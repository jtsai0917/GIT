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wn5164\Desktop\"/>
    </mc:Choice>
  </mc:AlternateContent>
  <xr:revisionPtr revIDLastSave="0" documentId="8_{426B1FBE-A6E2-418B-83C9-1CBFF0872DCA}" xr6:coauthVersionLast="31" xr6:coauthVersionMax="31" xr10:uidLastSave="{00000000-0000-0000-0000-000000000000}"/>
  <bookViews>
    <workbookView xWindow="-12" yWindow="6168" windowWidth="28836" windowHeight="6228" firstSheet="1" activeTab="1" xr2:uid="{00000000-000D-0000-FFFF-FFFF00000000}"/>
  </bookViews>
  <sheets>
    <sheet name="Sheet4" sheetId="17" state="hidden" r:id="rId1"/>
    <sheet name="1018" sheetId="472" r:id="rId2"/>
    <sheet name="1014" sheetId="471" r:id="rId3"/>
    <sheet name="1010" sheetId="470" r:id="rId4"/>
    <sheet name="1004" sheetId="469" r:id="rId5"/>
    <sheet name="0926" sheetId="467" r:id="rId6"/>
    <sheet name="0919" sheetId="468" r:id="rId7"/>
    <sheet name="0913" sheetId="466" r:id="rId8"/>
    <sheet name="0912" sheetId="465" r:id="rId9"/>
    <sheet name="0905" sheetId="464" r:id="rId10"/>
    <sheet name="0829" sheetId="463" r:id="rId11"/>
    <sheet name="0822" sheetId="462" r:id="rId12"/>
    <sheet name="0809" sheetId="461" r:id="rId13"/>
    <sheet name="0725" sheetId="459" r:id="rId14"/>
    <sheet name="0719" sheetId="458" r:id="rId15"/>
    <sheet name="0718" sheetId="457" r:id="rId16"/>
    <sheet name="0712" sheetId="456" r:id="rId17"/>
    <sheet name="0704" sheetId="455" r:id="rId18"/>
    <sheet name="0628" sheetId="454" r:id="rId19"/>
    <sheet name="0627" sheetId="452" r:id="rId20"/>
    <sheet name="0621" sheetId="451" r:id="rId21"/>
    <sheet name="0610" sheetId="450" r:id="rId22"/>
    <sheet name="0606" sheetId="449" r:id="rId23"/>
    <sheet name="0603." sheetId="447" r:id="rId24"/>
    <sheet name="0530" sheetId="446" r:id="rId25"/>
    <sheet name="0524" sheetId="444" r:id="rId26"/>
    <sheet name="0517" sheetId="443" r:id="rId27"/>
    <sheet name="0516" sheetId="442" r:id="rId28"/>
    <sheet name="0511" sheetId="441" r:id="rId29"/>
    <sheet name="0510" sheetId="440" r:id="rId30"/>
    <sheet name="0509" sheetId="439" r:id="rId31"/>
    <sheet name="0426" sheetId="438" r:id="rId32"/>
    <sheet name="0425" sheetId="436" r:id="rId33"/>
    <sheet name="0419" sheetId="435" r:id="rId34"/>
    <sheet name="0418" sheetId="434" r:id="rId35"/>
    <sheet name="0413" sheetId="432" r:id="rId36"/>
    <sheet name="0412" sheetId="433" r:id="rId37"/>
    <sheet name="0411" sheetId="431" r:id="rId38"/>
    <sheet name="0408" sheetId="430" r:id="rId39"/>
    <sheet name="0404" sheetId="429" r:id="rId40"/>
    <sheet name="0403" sheetId="428" r:id="rId41"/>
    <sheet name="How to use" sheetId="65" r:id="rId42"/>
    <sheet name="変換用シート" sheetId="64" r:id="rId43"/>
    <sheet name="表紙(テンプレート)" sheetId="281" r:id="rId44"/>
    <sheet name="変換用シート (2)" sheetId="282" r:id="rId45"/>
    <sheet name="表紙(テンプレート) (4)" sheetId="283" r:id="rId46"/>
    <sheet name="表紙(テンプレート) (3)" sheetId="284" r:id="rId47"/>
    <sheet name="表紙(テンプレート) " sheetId="285" r:id="rId48"/>
    <sheet name="表紙(テンプレート) (2)" sheetId="286" r:id="rId49"/>
  </sheets>
  <definedNames>
    <definedName name="_xlnm._FilterDatabase" localSheetId="40" hidden="1">'0403'!$B$2:$R$112</definedName>
    <definedName name="_xlnm._FilterDatabase" localSheetId="39" hidden="1">'0404'!$B$2:$R$95</definedName>
    <definedName name="_xlnm._FilterDatabase" localSheetId="38" hidden="1">'0408'!$B$2:$R$95</definedName>
    <definedName name="_xlnm._FilterDatabase" localSheetId="37" hidden="1">'0411'!$B$2:$R$97</definedName>
    <definedName name="_xlnm._FilterDatabase" localSheetId="36" hidden="1">'0412'!$B$2:$R$109</definedName>
    <definedName name="_xlnm._FilterDatabase" localSheetId="35" hidden="1">'0413'!$B$2:$R$98</definedName>
    <definedName name="_xlnm._FilterDatabase" localSheetId="34" hidden="1">'0418'!$B$2:$R$115</definedName>
    <definedName name="_xlnm._FilterDatabase" localSheetId="33" hidden="1">'0419'!$B$2:$R$116</definedName>
    <definedName name="_xlnm._FilterDatabase" localSheetId="32" hidden="1">'0425'!$B$2:$R$115</definedName>
    <definedName name="_xlnm._FilterDatabase" localSheetId="31" hidden="1">'0426'!$B$2:$R$117</definedName>
    <definedName name="_xlnm._FilterDatabase" localSheetId="30" hidden="1">'0509'!$B$2:$R$98</definedName>
    <definedName name="_xlnm._FilterDatabase" localSheetId="29" hidden="1">'0510'!$B$2:$R$98</definedName>
    <definedName name="_xlnm._FilterDatabase" localSheetId="28" hidden="1">'0511'!$B$2:$R$102</definedName>
    <definedName name="_xlnm._FilterDatabase" localSheetId="27" hidden="1">'0516'!$B$2:$R$103</definedName>
    <definedName name="_xlnm._FilterDatabase" localSheetId="26" hidden="1">'0517'!$B$2:$R$120</definedName>
    <definedName name="_xlnm._FilterDatabase" localSheetId="25" hidden="1">'0524'!$B$2:$R$127</definedName>
    <definedName name="_xlnm._FilterDatabase" localSheetId="24" hidden="1">'0530'!$B$2:$R$127</definedName>
    <definedName name="_xlnm._FilterDatabase" localSheetId="23" hidden="1">'0603.'!$B$2:$R$110</definedName>
    <definedName name="_xlnm._FilterDatabase" localSheetId="22" hidden="1">'0606'!$B$2:$R$110</definedName>
    <definedName name="_xlnm._FilterDatabase" localSheetId="21" hidden="1">'0610'!$B$2:$R$110</definedName>
    <definedName name="_xlnm._FilterDatabase" localSheetId="20" hidden="1">'0621'!$B$2:$R$124</definedName>
    <definedName name="_xlnm._FilterDatabase" localSheetId="19" hidden="1">'0627'!$B$2:$R$125</definedName>
    <definedName name="_xlnm._FilterDatabase" localSheetId="18" hidden="1">'0628'!$B$2:$R$126</definedName>
    <definedName name="_xlnm._FilterDatabase" localSheetId="17" hidden="1">'0704'!$B$2:$R$126</definedName>
    <definedName name="_xlnm._FilterDatabase" localSheetId="16" hidden="1">'0712'!$B$2:$R$128</definedName>
    <definedName name="_xlnm._FilterDatabase" localSheetId="15" hidden="1">'0718'!$B$2:$R$128</definedName>
    <definedName name="_xlnm._FilterDatabase" localSheetId="14" hidden="1">'0719'!$B$2:$R$147</definedName>
    <definedName name="_xlnm._FilterDatabase" localSheetId="13" hidden="1">'0725'!$B$2:$R$147</definedName>
    <definedName name="_xlnm._FilterDatabase" localSheetId="12" hidden="1">'0809'!$B$2:$R$148</definedName>
    <definedName name="_xlnm._FilterDatabase" localSheetId="11" hidden="1">'0822'!$B$2:$R$163</definedName>
    <definedName name="_xlnm._FilterDatabase" localSheetId="10" hidden="1">'0829'!$B$2:$R$168</definedName>
    <definedName name="_xlnm._FilterDatabase" localSheetId="9" hidden="1">'0905'!$B$2:$R$168</definedName>
    <definedName name="_xlnm._FilterDatabase" localSheetId="8" hidden="1">'0912'!$B$2:$R$170</definedName>
    <definedName name="_xlnm._FilterDatabase" localSheetId="7" hidden="1">'0913'!$B$2:$R$170</definedName>
    <definedName name="_xlnm._FilterDatabase" localSheetId="6" hidden="1">'0919'!$B$2:$R$98</definedName>
    <definedName name="_xlnm._FilterDatabase" localSheetId="5" hidden="1">'0926'!$B$2:$R$98</definedName>
    <definedName name="_xlnm._FilterDatabase" localSheetId="4" hidden="1">'1004'!$B$2:$R$101</definedName>
    <definedName name="_xlnm._FilterDatabase" localSheetId="3" hidden="1">'1010'!$B$2:$R$104</definedName>
    <definedName name="_xlnm._FilterDatabase" localSheetId="2" hidden="1">'1014'!$B$2:$R$116</definedName>
    <definedName name="_xlnm._FilterDatabase" localSheetId="1" hidden="1">'1018'!$B$2:$R$119</definedName>
    <definedName name="_xlnm.Print_Area" localSheetId="40">'0403'!$B$100:$O$105</definedName>
    <definedName name="_xlnm.Print_Area" localSheetId="39">'0404'!$B$86:$O$88</definedName>
    <definedName name="_xlnm.Print_Area" localSheetId="38">'0408'!$B$86:$O$88</definedName>
    <definedName name="_xlnm.Print_Area" localSheetId="37">'0411'!$B$88:$O$90</definedName>
    <definedName name="_xlnm.Print_Area" localSheetId="36">'0412'!$B$100:$O$102</definedName>
    <definedName name="_xlnm.Print_Area" localSheetId="35">'0413'!$B$88:$O$90</definedName>
    <definedName name="_xlnm.Print_Area" localSheetId="34">'0418'!$B$103:$O$105</definedName>
    <definedName name="_xlnm.Print_Area" localSheetId="33">'0419'!$B$104:$O$106</definedName>
    <definedName name="_xlnm.Print_Area" localSheetId="32">'0425'!$B$103:$O$105</definedName>
    <definedName name="_xlnm.Print_Area" localSheetId="31">'0426'!$B$105:$O$107</definedName>
    <definedName name="_xlnm.Print_Area" localSheetId="30">'0509'!$B$88:$O$88</definedName>
    <definedName name="_xlnm.Print_Area" localSheetId="29">'0510'!$B$88:$O$88</definedName>
    <definedName name="_xlnm.Print_Area" localSheetId="28">'0511'!$B$92:$O$92</definedName>
    <definedName name="_xlnm.Print_Area" localSheetId="27">'0516'!$B$93:$O$93</definedName>
    <definedName name="_xlnm.Print_Area" localSheetId="26">'0517'!$B$109:$O$109</definedName>
    <definedName name="_xlnm.Print_Area" localSheetId="25">'0524'!$B$117:$O$117</definedName>
    <definedName name="_xlnm.Print_Area" localSheetId="24">'0530'!$B$117:$O$117</definedName>
    <definedName name="_xlnm.Print_Area" localSheetId="23">'0603.'!#REF!</definedName>
    <definedName name="_xlnm.Print_Area" localSheetId="22">'0606'!#REF!</definedName>
    <definedName name="_xlnm.Print_Area" localSheetId="21">'0610'!#REF!</definedName>
    <definedName name="_xlnm.Print_Area" localSheetId="20">'0621'!#REF!</definedName>
    <definedName name="_xlnm.Print_Area" localSheetId="19">'0627'!#REF!</definedName>
    <definedName name="_xlnm.Print_Area" localSheetId="18">'0628'!#REF!</definedName>
    <definedName name="_xlnm.Print_Area" localSheetId="17">'0704'!#REF!</definedName>
    <definedName name="_xlnm.Print_Area" localSheetId="16">'0712'!#REF!</definedName>
    <definedName name="_xlnm.Print_Area" localSheetId="15">'0718'!#REF!</definedName>
    <definedName name="_xlnm.Print_Area" localSheetId="14">'0719'!#REF!</definedName>
    <definedName name="_xlnm.Print_Area" localSheetId="13">'0725'!#REF!</definedName>
    <definedName name="_xlnm.Print_Area" localSheetId="12">'0809'!#REF!</definedName>
    <definedName name="_xlnm.Print_Area" localSheetId="11">'0822'!#REF!</definedName>
    <definedName name="_xlnm.Print_Area" localSheetId="10">'0829'!#REF!</definedName>
    <definedName name="_xlnm.Print_Area" localSheetId="9">'0905'!#REF!</definedName>
    <definedName name="_xlnm.Print_Area" localSheetId="8">'0912'!#REF!</definedName>
    <definedName name="_xlnm.Print_Area" localSheetId="7">'0913'!#REF!</definedName>
    <definedName name="_xlnm.Print_Area" localSheetId="6">'0919'!#REF!</definedName>
    <definedName name="_xlnm.Print_Area" localSheetId="5">'0926'!#REF!</definedName>
    <definedName name="_xlnm.Print_Area" localSheetId="4">'1004'!#REF!</definedName>
    <definedName name="_xlnm.Print_Area" localSheetId="3">'1010'!#REF!</definedName>
    <definedName name="_xlnm.Print_Area" localSheetId="2">'1014'!#REF!</definedName>
    <definedName name="_xlnm.Print_Area" localSheetId="1">'1018'!#REF!</definedName>
    <definedName name="_xlnm.Print_Area" localSheetId="43">'表紙(テンプレート)'!$A$1:$Q$51</definedName>
    <definedName name="_xlnm.Print_Area" localSheetId="47">'表紙(テンプレート) '!$A$1:$Q$51</definedName>
    <definedName name="_xlnm.Print_Area" localSheetId="48">'表紙(テンプレート) (2)'!$A$1:$Q$51</definedName>
    <definedName name="_xlnm.Print_Area" localSheetId="46">'表紙(テンプレート) (3)'!$A$1:$Q$51</definedName>
    <definedName name="_xlnm.Print_Area" localSheetId="45">'表紙(テンプレート) (4)'!$A$1:$Q$51</definedName>
    <definedName name="_xlnm.Print_Titles" localSheetId="40">'0403'!$2:$2</definedName>
    <definedName name="_xlnm.Print_Titles" localSheetId="39">'0404'!$2:$2</definedName>
    <definedName name="_xlnm.Print_Titles" localSheetId="38">'0408'!$2:$2</definedName>
    <definedName name="_xlnm.Print_Titles" localSheetId="37">'0411'!$2:$2</definedName>
    <definedName name="_xlnm.Print_Titles" localSheetId="36">'0412'!$2:$2</definedName>
    <definedName name="_xlnm.Print_Titles" localSheetId="35">'0413'!$2:$2</definedName>
    <definedName name="_xlnm.Print_Titles" localSheetId="34">'0418'!$2:$2</definedName>
    <definedName name="_xlnm.Print_Titles" localSheetId="33">'0419'!$2:$2</definedName>
    <definedName name="_xlnm.Print_Titles" localSheetId="32">'0425'!$2:$2</definedName>
    <definedName name="_xlnm.Print_Titles" localSheetId="31">'0426'!$2:$2</definedName>
    <definedName name="_xlnm.Print_Titles" localSheetId="30">'0509'!$2:$2</definedName>
    <definedName name="_xlnm.Print_Titles" localSheetId="29">'0510'!$2:$2</definedName>
    <definedName name="_xlnm.Print_Titles" localSheetId="28">'0511'!$2:$2</definedName>
    <definedName name="_xlnm.Print_Titles" localSheetId="27">'0516'!$2:$2</definedName>
    <definedName name="_xlnm.Print_Titles" localSheetId="26">'0517'!$2:$2</definedName>
    <definedName name="_xlnm.Print_Titles" localSheetId="25">'0524'!$2:$2</definedName>
    <definedName name="_xlnm.Print_Titles" localSheetId="24">'0530'!$2:$2</definedName>
    <definedName name="_xlnm.Print_Titles" localSheetId="23">'0603.'!$2:$2</definedName>
    <definedName name="_xlnm.Print_Titles" localSheetId="22">'0606'!$2:$2</definedName>
    <definedName name="_xlnm.Print_Titles" localSheetId="21">'0610'!$2:$2</definedName>
    <definedName name="_xlnm.Print_Titles" localSheetId="20">'0621'!$2:$2</definedName>
    <definedName name="_xlnm.Print_Titles" localSheetId="19">'0627'!$2:$2</definedName>
    <definedName name="_xlnm.Print_Titles" localSheetId="18">'0628'!$2:$2</definedName>
    <definedName name="_xlnm.Print_Titles" localSheetId="17">'0704'!$2:$2</definedName>
    <definedName name="_xlnm.Print_Titles" localSheetId="16">'0712'!$2:$2</definedName>
    <definedName name="_xlnm.Print_Titles" localSheetId="15">'0718'!$2:$2</definedName>
    <definedName name="_xlnm.Print_Titles" localSheetId="14">'0719'!$2:$2</definedName>
    <definedName name="_xlnm.Print_Titles" localSheetId="13">'0725'!$2:$2</definedName>
    <definedName name="_xlnm.Print_Titles" localSheetId="12">'0809'!$2:$2</definedName>
    <definedName name="_xlnm.Print_Titles" localSheetId="11">'0822'!$2:$2</definedName>
    <definedName name="_xlnm.Print_Titles" localSheetId="10">'0829'!$2:$2</definedName>
    <definedName name="_xlnm.Print_Titles" localSheetId="9">'0905'!$2:$2</definedName>
    <definedName name="_xlnm.Print_Titles" localSheetId="8">'0912'!$2:$2</definedName>
    <definedName name="_xlnm.Print_Titles" localSheetId="7">'0913'!$2:$2</definedName>
    <definedName name="_xlnm.Print_Titles" localSheetId="6">'0919'!$2:$2</definedName>
    <definedName name="_xlnm.Print_Titles" localSheetId="5">'0926'!$2:$2</definedName>
    <definedName name="_xlnm.Print_Titles" localSheetId="4">'1004'!$2:$2</definedName>
    <definedName name="_xlnm.Print_Titles" localSheetId="3">'1010'!$2:$2</definedName>
    <definedName name="_xlnm.Print_Titles" localSheetId="2">'1014'!$2:$2</definedName>
    <definedName name="_xlnm.Print_Titles" localSheetId="1">'1018'!$2:$2</definedName>
  </definedNames>
  <calcPr calcId="179017"/>
</workbook>
</file>

<file path=xl/calcChain.xml><?xml version="1.0" encoding="utf-8"?>
<calcChain xmlns="http://schemas.openxmlformats.org/spreadsheetml/2006/main">
  <c r="H92" i="472" l="1"/>
  <c r="I92" i="472" s="1"/>
  <c r="H91" i="472"/>
  <c r="H110" i="472"/>
  <c r="I110" i="472" s="1"/>
  <c r="H108" i="472"/>
  <c r="I108" i="472" s="1"/>
  <c r="H74" i="472"/>
  <c r="I74" i="472" s="1"/>
  <c r="H119" i="472" l="1"/>
  <c r="I119" i="472" s="1"/>
  <c r="H118" i="472"/>
  <c r="I118" i="472" s="1"/>
  <c r="H117" i="472"/>
  <c r="I117" i="472" s="1"/>
  <c r="I116" i="472"/>
  <c r="H114" i="472"/>
  <c r="I114" i="472" s="1"/>
  <c r="H109" i="472"/>
  <c r="I109" i="472" s="1"/>
  <c r="H107" i="472"/>
  <c r="I107" i="472" s="1"/>
  <c r="H106" i="472"/>
  <c r="I106" i="472" s="1"/>
  <c r="H105" i="472"/>
  <c r="I105" i="472" s="1"/>
  <c r="H104" i="472"/>
  <c r="I104" i="472" s="1"/>
  <c r="H103" i="472"/>
  <c r="I103" i="472" s="1"/>
  <c r="H102" i="472"/>
  <c r="I102" i="472" s="1"/>
  <c r="H101" i="472"/>
  <c r="I101" i="472" s="1"/>
  <c r="H100" i="472"/>
  <c r="I100" i="472" s="1"/>
  <c r="H99" i="472"/>
  <c r="I99" i="472" s="1"/>
  <c r="H98" i="472"/>
  <c r="I98" i="472" s="1"/>
  <c r="H97" i="472"/>
  <c r="I97" i="472" s="1"/>
  <c r="H96" i="472"/>
  <c r="I96" i="472" s="1"/>
  <c r="H95" i="472"/>
  <c r="I95" i="472" s="1"/>
  <c r="H94" i="472"/>
  <c r="I94" i="472" s="1"/>
  <c r="H93" i="472"/>
  <c r="I93" i="472" s="1"/>
  <c r="I91" i="472"/>
  <c r="H90" i="472"/>
  <c r="I90" i="472" s="1"/>
  <c r="H89" i="472"/>
  <c r="I89" i="472" s="1"/>
  <c r="H88" i="472"/>
  <c r="I88" i="472" s="1"/>
  <c r="H87" i="472"/>
  <c r="I87" i="472" s="1"/>
  <c r="H86" i="472"/>
  <c r="I86" i="472" s="1"/>
  <c r="H85" i="472"/>
  <c r="I85" i="472" s="1"/>
  <c r="H84" i="472"/>
  <c r="I84" i="472" s="1"/>
  <c r="H83" i="472"/>
  <c r="I83" i="472" s="1"/>
  <c r="H82" i="472"/>
  <c r="I82" i="472" s="1"/>
  <c r="H81" i="472"/>
  <c r="I81" i="472" s="1"/>
  <c r="H80" i="472"/>
  <c r="I80" i="472" s="1"/>
  <c r="H79" i="472"/>
  <c r="I79" i="472" s="1"/>
  <c r="H78" i="472"/>
  <c r="I78" i="472" s="1"/>
  <c r="H77" i="472"/>
  <c r="I77" i="472" s="1"/>
  <c r="H76" i="472"/>
  <c r="I76" i="472" s="1"/>
  <c r="H75" i="472"/>
  <c r="I75" i="472" s="1"/>
  <c r="H73" i="472"/>
  <c r="I73" i="472" s="1"/>
  <c r="H72" i="472"/>
  <c r="I72" i="472" s="1"/>
  <c r="H71" i="472"/>
  <c r="I71" i="472" s="1"/>
  <c r="H70" i="472"/>
  <c r="I70" i="472" s="1"/>
  <c r="H69" i="472"/>
  <c r="I69" i="472" s="1"/>
  <c r="H68" i="472"/>
  <c r="I68" i="472" s="1"/>
  <c r="H67" i="472"/>
  <c r="I67" i="472" s="1"/>
  <c r="H66" i="472"/>
  <c r="I66" i="472" s="1"/>
  <c r="H65" i="472"/>
  <c r="I65" i="472" s="1"/>
  <c r="H64" i="472"/>
  <c r="I64" i="472" s="1"/>
  <c r="H63" i="472"/>
  <c r="I63" i="472" s="1"/>
  <c r="H62" i="472"/>
  <c r="I62" i="472" s="1"/>
  <c r="H61" i="472"/>
  <c r="I61" i="472" s="1"/>
  <c r="H60" i="472"/>
  <c r="I60" i="472" s="1"/>
  <c r="H59" i="472"/>
  <c r="I59" i="472" s="1"/>
  <c r="H58" i="472"/>
  <c r="I58" i="472" s="1"/>
  <c r="H57" i="472"/>
  <c r="I57" i="472" s="1"/>
  <c r="H56" i="472"/>
  <c r="I56" i="472" s="1"/>
  <c r="H55" i="472"/>
  <c r="I55" i="472" s="1"/>
  <c r="H54" i="472"/>
  <c r="I54" i="472" s="1"/>
  <c r="H53" i="472"/>
  <c r="I53" i="472" s="1"/>
  <c r="H52" i="472"/>
  <c r="I52" i="472" s="1"/>
  <c r="H51" i="472"/>
  <c r="I51" i="472" s="1"/>
  <c r="H50" i="472"/>
  <c r="I50" i="472" s="1"/>
  <c r="H49" i="472"/>
  <c r="I49" i="472" s="1"/>
  <c r="H48" i="472"/>
  <c r="I48" i="472" s="1"/>
  <c r="H47" i="472"/>
  <c r="I47" i="472" s="1"/>
  <c r="H46" i="472"/>
  <c r="I46" i="472" s="1"/>
  <c r="H45" i="472"/>
  <c r="I45" i="472" s="1"/>
  <c r="H44" i="472"/>
  <c r="I44" i="472" s="1"/>
  <c r="H43" i="472"/>
  <c r="H42" i="472"/>
  <c r="I42" i="472" s="1"/>
  <c r="H41" i="472"/>
  <c r="I41" i="472" s="1"/>
  <c r="H40" i="472"/>
  <c r="I40" i="472" s="1"/>
  <c r="H39" i="472"/>
  <c r="I39" i="472" s="1"/>
  <c r="I38" i="472"/>
  <c r="H37" i="472"/>
  <c r="I37" i="472" s="1"/>
  <c r="H36" i="472"/>
  <c r="I36" i="472" s="1"/>
  <c r="I35" i="472"/>
  <c r="H34" i="472"/>
  <c r="I34" i="472" s="1"/>
  <c r="H33" i="472"/>
  <c r="I33" i="472" s="1"/>
  <c r="H32" i="472"/>
  <c r="I32" i="472" s="1"/>
  <c r="H31" i="472"/>
  <c r="I31" i="472" s="1"/>
  <c r="H30" i="472"/>
  <c r="I30" i="472" s="1"/>
  <c r="H29" i="472"/>
  <c r="I29" i="472" s="1"/>
  <c r="H28" i="472"/>
  <c r="I28" i="472" s="1"/>
  <c r="H27" i="472"/>
  <c r="I27" i="472" s="1"/>
  <c r="H26" i="472"/>
  <c r="I26" i="472" s="1"/>
  <c r="H25" i="472"/>
  <c r="I25" i="472" s="1"/>
  <c r="H24" i="472"/>
  <c r="I24" i="472" s="1"/>
  <c r="H23" i="472"/>
  <c r="I23" i="472" s="1"/>
  <c r="H22" i="472"/>
  <c r="I22" i="472" s="1"/>
  <c r="H21" i="472"/>
  <c r="I21" i="472" s="1"/>
  <c r="H20" i="472"/>
  <c r="I20" i="472" s="1"/>
  <c r="H19" i="472"/>
  <c r="I19" i="472" s="1"/>
  <c r="H18" i="472"/>
  <c r="I18" i="472" s="1"/>
  <c r="H17" i="472"/>
  <c r="I17" i="472" s="1"/>
  <c r="H16" i="472"/>
  <c r="I16" i="472" s="1"/>
  <c r="H15" i="472"/>
  <c r="I15" i="472" s="1"/>
  <c r="H14" i="472"/>
  <c r="I14" i="472" s="1"/>
  <c r="H13" i="472"/>
  <c r="I13" i="472" s="1"/>
  <c r="I12" i="472"/>
  <c r="H11" i="472"/>
  <c r="I11" i="472" s="1"/>
  <c r="H10" i="472"/>
  <c r="I10" i="472" s="1"/>
  <c r="H8" i="472"/>
  <c r="I8" i="472" s="1"/>
  <c r="H7" i="472"/>
  <c r="I7" i="472" s="1"/>
  <c r="H6" i="472"/>
  <c r="I6" i="472" s="1"/>
  <c r="H5" i="472"/>
  <c r="I5" i="472" s="1"/>
  <c r="H4" i="472"/>
  <c r="I4" i="472" s="1"/>
  <c r="H3" i="472"/>
  <c r="I3" i="472" s="1"/>
  <c r="H116" i="471"/>
  <c r="I116" i="471" s="1"/>
  <c r="H115" i="471"/>
  <c r="I115" i="471" s="1"/>
  <c r="H114" i="471"/>
  <c r="I114" i="471" s="1"/>
  <c r="H113" i="471"/>
  <c r="I113" i="471" s="1"/>
  <c r="H112" i="471"/>
  <c r="I112" i="471" s="1"/>
  <c r="H111" i="471"/>
  <c r="I111" i="471" s="1"/>
  <c r="H107" i="471"/>
  <c r="I107" i="471" s="1"/>
  <c r="H106" i="471"/>
  <c r="I106" i="471" s="1"/>
  <c r="H105" i="471"/>
  <c r="I105" i="471" s="1"/>
  <c r="H104" i="471"/>
  <c r="I104" i="471" s="1"/>
  <c r="H103" i="471"/>
  <c r="I103" i="471" s="1"/>
  <c r="H102" i="471"/>
  <c r="I102" i="471" s="1"/>
  <c r="H101" i="471"/>
  <c r="I101" i="471" s="1"/>
  <c r="H100" i="471"/>
  <c r="I100" i="471" s="1"/>
  <c r="H99" i="471"/>
  <c r="I99" i="471" s="1"/>
  <c r="H98" i="471"/>
  <c r="I98" i="471" s="1"/>
  <c r="H97" i="471"/>
  <c r="I97" i="471" s="1"/>
  <c r="H96" i="471"/>
  <c r="I96" i="471" s="1"/>
  <c r="H95" i="471"/>
  <c r="I95" i="471" s="1"/>
  <c r="H94" i="471"/>
  <c r="I94" i="471" s="1"/>
  <c r="H93" i="471"/>
  <c r="I93" i="471" s="1"/>
  <c r="H92" i="471"/>
  <c r="I92" i="471" s="1"/>
  <c r="H91" i="471"/>
  <c r="I91" i="471" s="1"/>
  <c r="H90" i="471"/>
  <c r="I90" i="471" s="1"/>
  <c r="H89" i="471"/>
  <c r="I89" i="471" s="1"/>
  <c r="H88" i="471"/>
  <c r="I88" i="471" s="1"/>
  <c r="H87" i="471"/>
  <c r="I87" i="471" s="1"/>
  <c r="H86" i="471"/>
  <c r="I86" i="471" s="1"/>
  <c r="H85" i="471"/>
  <c r="I85" i="471" s="1"/>
  <c r="H84" i="471"/>
  <c r="I84" i="471" s="1"/>
  <c r="H83" i="471"/>
  <c r="I83" i="471" s="1"/>
  <c r="H82" i="471"/>
  <c r="I82" i="471" s="1"/>
  <c r="H81" i="471"/>
  <c r="I81" i="471" s="1"/>
  <c r="H80" i="471"/>
  <c r="I80" i="471" s="1"/>
  <c r="H79" i="471"/>
  <c r="I79" i="471" s="1"/>
  <c r="H78" i="471"/>
  <c r="I78" i="471" s="1"/>
  <c r="H77" i="471"/>
  <c r="I77" i="471" s="1"/>
  <c r="H76" i="471"/>
  <c r="I76" i="471" s="1"/>
  <c r="H75" i="471"/>
  <c r="I75" i="471" s="1"/>
  <c r="H74" i="471"/>
  <c r="I74" i="471" s="1"/>
  <c r="H73" i="471"/>
  <c r="I73" i="471" s="1"/>
  <c r="H72" i="471"/>
  <c r="I72" i="471" s="1"/>
  <c r="H71" i="471"/>
  <c r="I71" i="471" s="1"/>
  <c r="H70" i="471"/>
  <c r="I70" i="471" s="1"/>
  <c r="H69" i="471"/>
  <c r="I69" i="471" s="1"/>
  <c r="H68" i="471"/>
  <c r="I68" i="471" s="1"/>
  <c r="H67" i="471"/>
  <c r="I67" i="471" s="1"/>
  <c r="H66" i="471"/>
  <c r="I66" i="471" s="1"/>
  <c r="H65" i="471"/>
  <c r="I65" i="471" s="1"/>
  <c r="H64" i="471"/>
  <c r="I64" i="471" s="1"/>
  <c r="H63" i="471"/>
  <c r="I63" i="471" s="1"/>
  <c r="H62" i="471"/>
  <c r="I62" i="471" s="1"/>
  <c r="H61" i="471"/>
  <c r="I61" i="471" s="1"/>
  <c r="H60" i="471"/>
  <c r="I60" i="471" s="1"/>
  <c r="H59" i="471"/>
  <c r="I59" i="471" s="1"/>
  <c r="H58" i="471"/>
  <c r="I58" i="471" s="1"/>
  <c r="H57" i="471"/>
  <c r="I57" i="471" s="1"/>
  <c r="H56" i="471"/>
  <c r="I56" i="471" s="1"/>
  <c r="H55" i="471"/>
  <c r="I55" i="471" s="1"/>
  <c r="H54" i="471"/>
  <c r="I54" i="471" s="1"/>
  <c r="H53" i="471"/>
  <c r="I53" i="471" s="1"/>
  <c r="H52" i="471"/>
  <c r="I52" i="471" s="1"/>
  <c r="H51" i="471"/>
  <c r="I51" i="471" s="1"/>
  <c r="H50" i="471"/>
  <c r="I50" i="471" s="1"/>
  <c r="H49" i="471"/>
  <c r="I49" i="471" s="1"/>
  <c r="H48" i="471"/>
  <c r="I48" i="471" s="1"/>
  <c r="H47" i="471"/>
  <c r="I47" i="471" s="1"/>
  <c r="H46" i="471"/>
  <c r="I46" i="471" s="1"/>
  <c r="H45" i="471"/>
  <c r="I45" i="471" s="1"/>
  <c r="H44" i="471"/>
  <c r="I44" i="471" s="1"/>
  <c r="H43" i="471"/>
  <c r="H42" i="471"/>
  <c r="I42" i="471" s="1"/>
  <c r="H41" i="471"/>
  <c r="I41" i="471" s="1"/>
  <c r="H40" i="471"/>
  <c r="I40" i="471" s="1"/>
  <c r="H39" i="471"/>
  <c r="I39" i="471" s="1"/>
  <c r="I38" i="471"/>
  <c r="H37" i="471"/>
  <c r="I37" i="471" s="1"/>
  <c r="H36" i="471"/>
  <c r="I36" i="471" s="1"/>
  <c r="I35" i="471"/>
  <c r="H34" i="471"/>
  <c r="I34" i="471" s="1"/>
  <c r="H33" i="471"/>
  <c r="I33" i="471" s="1"/>
  <c r="H32" i="471"/>
  <c r="I32" i="471" s="1"/>
  <c r="H31" i="471"/>
  <c r="I31" i="471" s="1"/>
  <c r="H30" i="471"/>
  <c r="I30" i="471" s="1"/>
  <c r="H29" i="471"/>
  <c r="I29" i="471" s="1"/>
  <c r="H28" i="471"/>
  <c r="I28" i="471" s="1"/>
  <c r="H27" i="471"/>
  <c r="I27" i="471" s="1"/>
  <c r="H26" i="471"/>
  <c r="I26" i="471" s="1"/>
  <c r="H25" i="471"/>
  <c r="I25" i="471" s="1"/>
  <c r="H24" i="471"/>
  <c r="I24" i="471" s="1"/>
  <c r="H23" i="471"/>
  <c r="I23" i="471" s="1"/>
  <c r="H22" i="471"/>
  <c r="I22" i="471" s="1"/>
  <c r="H21" i="471"/>
  <c r="I21" i="471" s="1"/>
  <c r="H20" i="471"/>
  <c r="I20" i="471" s="1"/>
  <c r="H19" i="471"/>
  <c r="I19" i="471" s="1"/>
  <c r="H18" i="471"/>
  <c r="I18" i="471" s="1"/>
  <c r="H17" i="471"/>
  <c r="I17" i="471" s="1"/>
  <c r="H16" i="471"/>
  <c r="I16" i="471" s="1"/>
  <c r="H15" i="471"/>
  <c r="I15" i="471" s="1"/>
  <c r="H14" i="471"/>
  <c r="I14" i="471" s="1"/>
  <c r="H13" i="471"/>
  <c r="I13" i="471" s="1"/>
  <c r="I12" i="471"/>
  <c r="H11" i="471"/>
  <c r="I11" i="471" s="1"/>
  <c r="H10" i="471"/>
  <c r="I10" i="471" s="1"/>
  <c r="H8" i="471"/>
  <c r="I8" i="471" s="1"/>
  <c r="H7" i="471"/>
  <c r="I7" i="471" s="1"/>
  <c r="H6" i="471"/>
  <c r="I6" i="471" s="1"/>
  <c r="H5" i="471"/>
  <c r="I5" i="471" s="1"/>
  <c r="H4" i="471"/>
  <c r="I4" i="471" s="1"/>
  <c r="H3" i="471"/>
  <c r="I3" i="471" s="1"/>
  <c r="H104" i="470" l="1"/>
  <c r="I104" i="470" s="1"/>
  <c r="H103" i="470"/>
  <c r="I103" i="470" s="1"/>
  <c r="H102" i="470"/>
  <c r="I102" i="470" s="1"/>
  <c r="H101" i="470"/>
  <c r="I101" i="470" s="1"/>
  <c r="H100" i="470"/>
  <c r="I100" i="470" s="1"/>
  <c r="H96" i="470"/>
  <c r="I96" i="470" s="1"/>
  <c r="H95" i="470"/>
  <c r="I95" i="470" s="1"/>
  <c r="H94" i="470"/>
  <c r="I94" i="470" s="1"/>
  <c r="H93" i="470"/>
  <c r="I93" i="470" s="1"/>
  <c r="H92" i="470"/>
  <c r="I92" i="470" s="1"/>
  <c r="H91" i="470"/>
  <c r="I91" i="470" s="1"/>
  <c r="H90" i="470"/>
  <c r="I90" i="470" s="1"/>
  <c r="H89" i="470"/>
  <c r="I89" i="470" s="1"/>
  <c r="H88" i="470"/>
  <c r="I88" i="470" s="1"/>
  <c r="H87" i="470"/>
  <c r="I87" i="470" s="1"/>
  <c r="H86" i="470"/>
  <c r="I86" i="470" s="1"/>
  <c r="H85" i="470"/>
  <c r="I85" i="470" s="1"/>
  <c r="H84" i="470"/>
  <c r="I84" i="470" s="1"/>
  <c r="H83" i="470"/>
  <c r="I83" i="470" s="1"/>
  <c r="H81" i="470"/>
  <c r="I81" i="470" s="1"/>
  <c r="H80" i="470"/>
  <c r="I80" i="470" s="1"/>
  <c r="H79" i="470"/>
  <c r="I79" i="470" s="1"/>
  <c r="H78" i="470"/>
  <c r="I78" i="470" s="1"/>
  <c r="H77" i="470"/>
  <c r="I77" i="470" s="1"/>
  <c r="H76" i="470"/>
  <c r="I76" i="470" s="1"/>
  <c r="H75" i="470"/>
  <c r="I75" i="470" s="1"/>
  <c r="H74" i="470"/>
  <c r="I74" i="470" s="1"/>
  <c r="H73" i="470"/>
  <c r="I73" i="470" s="1"/>
  <c r="H72" i="470"/>
  <c r="I72" i="470" s="1"/>
  <c r="H71" i="470"/>
  <c r="I71" i="470" s="1"/>
  <c r="H70" i="470"/>
  <c r="I70" i="470" s="1"/>
  <c r="H69" i="470"/>
  <c r="I69" i="470" s="1"/>
  <c r="H68" i="470"/>
  <c r="I68" i="470" s="1"/>
  <c r="H67" i="470"/>
  <c r="I67" i="470" s="1"/>
  <c r="H66" i="470"/>
  <c r="I66" i="470" s="1"/>
  <c r="H65" i="470"/>
  <c r="I65" i="470" s="1"/>
  <c r="H64" i="470"/>
  <c r="I64" i="470" s="1"/>
  <c r="H63" i="470"/>
  <c r="I63" i="470" s="1"/>
  <c r="H62" i="470"/>
  <c r="I62" i="470" s="1"/>
  <c r="H61" i="470"/>
  <c r="I61" i="470" s="1"/>
  <c r="H60" i="470"/>
  <c r="I60" i="470" s="1"/>
  <c r="H59" i="470"/>
  <c r="I59" i="470" s="1"/>
  <c r="H58" i="470"/>
  <c r="I58" i="470" s="1"/>
  <c r="H57" i="470"/>
  <c r="I57" i="470" s="1"/>
  <c r="H56" i="470"/>
  <c r="I56" i="470" s="1"/>
  <c r="H55" i="470"/>
  <c r="I55" i="470" s="1"/>
  <c r="H54" i="470"/>
  <c r="I54" i="470" s="1"/>
  <c r="H53" i="470"/>
  <c r="I53" i="470" s="1"/>
  <c r="H52" i="470"/>
  <c r="I52" i="470" s="1"/>
  <c r="H51" i="470"/>
  <c r="I51" i="470" s="1"/>
  <c r="H50" i="470"/>
  <c r="I50" i="470" s="1"/>
  <c r="H49" i="470"/>
  <c r="I49" i="470" s="1"/>
  <c r="H48" i="470"/>
  <c r="I48" i="470" s="1"/>
  <c r="H47" i="470"/>
  <c r="I47" i="470" s="1"/>
  <c r="H46" i="470"/>
  <c r="I46" i="470" s="1"/>
  <c r="H45" i="470"/>
  <c r="I45" i="470" s="1"/>
  <c r="H44" i="470"/>
  <c r="I44" i="470" s="1"/>
  <c r="H43" i="470"/>
  <c r="I43" i="470" s="1"/>
  <c r="H42" i="470"/>
  <c r="I42" i="470" s="1"/>
  <c r="H41" i="470"/>
  <c r="I41" i="470" s="1"/>
  <c r="H40" i="470"/>
  <c r="I40" i="470" s="1"/>
  <c r="H39" i="470"/>
  <c r="I39" i="470" s="1"/>
  <c r="H38" i="470"/>
  <c r="H37" i="470"/>
  <c r="I37" i="470" s="1"/>
  <c r="H36" i="470"/>
  <c r="I36" i="470" s="1"/>
  <c r="H35" i="470"/>
  <c r="I35" i="470" s="1"/>
  <c r="I34" i="470"/>
  <c r="H33" i="470"/>
  <c r="I33" i="470" s="1"/>
  <c r="H32" i="470"/>
  <c r="I32" i="470" s="1"/>
  <c r="I31" i="470"/>
  <c r="H30" i="470"/>
  <c r="I30" i="470" s="1"/>
  <c r="H29" i="470"/>
  <c r="I29" i="470" s="1"/>
  <c r="H28" i="470"/>
  <c r="I28" i="470" s="1"/>
  <c r="H27" i="470"/>
  <c r="I27" i="470" s="1"/>
  <c r="H26" i="470"/>
  <c r="I26" i="470" s="1"/>
  <c r="H25" i="470"/>
  <c r="I25" i="470" s="1"/>
  <c r="H24" i="470"/>
  <c r="I24" i="470" s="1"/>
  <c r="H23" i="470"/>
  <c r="I23" i="470" s="1"/>
  <c r="H22" i="470"/>
  <c r="I22" i="470" s="1"/>
  <c r="H21" i="470"/>
  <c r="I21" i="470" s="1"/>
  <c r="H20" i="470"/>
  <c r="I20" i="470" s="1"/>
  <c r="H19" i="470"/>
  <c r="I19" i="470" s="1"/>
  <c r="H18" i="470"/>
  <c r="I18" i="470" s="1"/>
  <c r="H17" i="470"/>
  <c r="I17" i="470" s="1"/>
  <c r="H16" i="470"/>
  <c r="I16" i="470" s="1"/>
  <c r="H15" i="470"/>
  <c r="I15" i="470" s="1"/>
  <c r="H14" i="470"/>
  <c r="I14" i="470" s="1"/>
  <c r="H13" i="470"/>
  <c r="I13" i="470" s="1"/>
  <c r="I12" i="470"/>
  <c r="H11" i="470"/>
  <c r="I11" i="470" s="1"/>
  <c r="H10" i="470"/>
  <c r="I10" i="470" s="1"/>
  <c r="H8" i="470"/>
  <c r="I8" i="470" s="1"/>
  <c r="H7" i="470"/>
  <c r="I7" i="470" s="1"/>
  <c r="H6" i="470"/>
  <c r="I6" i="470" s="1"/>
  <c r="H5" i="470"/>
  <c r="I5" i="470" s="1"/>
  <c r="H4" i="470"/>
  <c r="I4" i="470" s="1"/>
  <c r="H3" i="470"/>
  <c r="I3" i="470" s="1"/>
  <c r="H98" i="469" l="1"/>
  <c r="I98" i="469" s="1"/>
  <c r="H90" i="469" l="1"/>
  <c r="I90" i="469"/>
  <c r="H91" i="469"/>
  <c r="I91" i="469"/>
  <c r="H100" i="469" l="1"/>
  <c r="I100" i="469" s="1"/>
  <c r="H99" i="469"/>
  <c r="I99" i="469" s="1"/>
  <c r="H97" i="469"/>
  <c r="I97" i="469" s="1"/>
  <c r="H96" i="469"/>
  <c r="I96" i="469" s="1"/>
  <c r="H89" i="469"/>
  <c r="I89" i="469" s="1"/>
  <c r="H88" i="469"/>
  <c r="I88" i="469" s="1"/>
  <c r="H87" i="469"/>
  <c r="I87" i="469" s="1"/>
  <c r="H86" i="469"/>
  <c r="I86" i="469" s="1"/>
  <c r="H85" i="469"/>
  <c r="I85" i="469" s="1"/>
  <c r="H84" i="469"/>
  <c r="I84" i="469" s="1"/>
  <c r="H83" i="469"/>
  <c r="I83" i="469" s="1"/>
  <c r="H82" i="469"/>
  <c r="I82" i="469" s="1"/>
  <c r="H80" i="469"/>
  <c r="I80" i="469" s="1"/>
  <c r="H79" i="469"/>
  <c r="I79" i="469" s="1"/>
  <c r="H78" i="469"/>
  <c r="I78" i="469" s="1"/>
  <c r="H77" i="469"/>
  <c r="I77" i="469" s="1"/>
  <c r="H76" i="469"/>
  <c r="I76" i="469" s="1"/>
  <c r="H75" i="469"/>
  <c r="I75" i="469" s="1"/>
  <c r="H74" i="469"/>
  <c r="I74" i="469" s="1"/>
  <c r="H73" i="469"/>
  <c r="I73" i="469" s="1"/>
  <c r="H72" i="469"/>
  <c r="I72" i="469" s="1"/>
  <c r="H71" i="469"/>
  <c r="I71" i="469" s="1"/>
  <c r="H70" i="469"/>
  <c r="I70" i="469" s="1"/>
  <c r="H69" i="469"/>
  <c r="I69" i="469" s="1"/>
  <c r="H68" i="469"/>
  <c r="I68" i="469" s="1"/>
  <c r="H67" i="469"/>
  <c r="I67" i="469" s="1"/>
  <c r="H66" i="469"/>
  <c r="I66" i="469" s="1"/>
  <c r="H65" i="469"/>
  <c r="I65" i="469" s="1"/>
  <c r="H64" i="469"/>
  <c r="I64" i="469" s="1"/>
  <c r="H63" i="469"/>
  <c r="I63" i="469" s="1"/>
  <c r="H62" i="469"/>
  <c r="I62" i="469" s="1"/>
  <c r="H61" i="469"/>
  <c r="I61" i="469" s="1"/>
  <c r="H60" i="469"/>
  <c r="I60" i="469" s="1"/>
  <c r="H59" i="469"/>
  <c r="I59" i="469" s="1"/>
  <c r="H58" i="469"/>
  <c r="I58" i="469" s="1"/>
  <c r="H57" i="469"/>
  <c r="I57" i="469" s="1"/>
  <c r="H56" i="469"/>
  <c r="I56" i="469" s="1"/>
  <c r="H55" i="469"/>
  <c r="I55" i="469" s="1"/>
  <c r="H54" i="469"/>
  <c r="I54" i="469" s="1"/>
  <c r="H53" i="469"/>
  <c r="I53" i="469" s="1"/>
  <c r="H52" i="469"/>
  <c r="I52" i="469" s="1"/>
  <c r="H51" i="469"/>
  <c r="I51" i="469" s="1"/>
  <c r="H50" i="469"/>
  <c r="I50" i="469" s="1"/>
  <c r="H49" i="469"/>
  <c r="I49" i="469" s="1"/>
  <c r="H48" i="469"/>
  <c r="I48" i="469" s="1"/>
  <c r="H47" i="469"/>
  <c r="I47" i="469" s="1"/>
  <c r="H46" i="469"/>
  <c r="I46" i="469" s="1"/>
  <c r="H45" i="469"/>
  <c r="I45" i="469" s="1"/>
  <c r="H44" i="469"/>
  <c r="I44" i="469" s="1"/>
  <c r="H43" i="469"/>
  <c r="I43" i="469" s="1"/>
  <c r="H42" i="469"/>
  <c r="I42" i="469" s="1"/>
  <c r="H41" i="469"/>
  <c r="I41" i="469" s="1"/>
  <c r="H40" i="469"/>
  <c r="I40" i="469" s="1"/>
  <c r="H39" i="469"/>
  <c r="I39" i="469" s="1"/>
  <c r="H38" i="469"/>
  <c r="H37" i="469"/>
  <c r="I37" i="469" s="1"/>
  <c r="H36" i="469"/>
  <c r="I36" i="469" s="1"/>
  <c r="H35" i="469"/>
  <c r="I35" i="469" s="1"/>
  <c r="I34" i="469"/>
  <c r="H33" i="469"/>
  <c r="I33" i="469" s="1"/>
  <c r="H32" i="469"/>
  <c r="I32" i="469" s="1"/>
  <c r="I31" i="469"/>
  <c r="H30" i="469"/>
  <c r="I30" i="469" s="1"/>
  <c r="H29" i="469"/>
  <c r="I29" i="469" s="1"/>
  <c r="H28" i="469"/>
  <c r="I28" i="469" s="1"/>
  <c r="H27" i="469"/>
  <c r="I27" i="469" s="1"/>
  <c r="H26" i="469"/>
  <c r="I26" i="469" s="1"/>
  <c r="H25" i="469"/>
  <c r="I25" i="469" s="1"/>
  <c r="H24" i="469"/>
  <c r="I24" i="469" s="1"/>
  <c r="H23" i="469"/>
  <c r="I23" i="469" s="1"/>
  <c r="H22" i="469"/>
  <c r="I22" i="469" s="1"/>
  <c r="H21" i="469"/>
  <c r="I21" i="469" s="1"/>
  <c r="H20" i="469"/>
  <c r="I20" i="469" s="1"/>
  <c r="H19" i="469"/>
  <c r="I19" i="469" s="1"/>
  <c r="H18" i="469"/>
  <c r="I18" i="469" s="1"/>
  <c r="H17" i="469"/>
  <c r="I17" i="469" s="1"/>
  <c r="H16" i="469"/>
  <c r="I16" i="469" s="1"/>
  <c r="H15" i="469"/>
  <c r="I15" i="469" s="1"/>
  <c r="H14" i="469"/>
  <c r="I14" i="469" s="1"/>
  <c r="H13" i="469"/>
  <c r="I13" i="469" s="1"/>
  <c r="I12" i="469"/>
  <c r="H11" i="469"/>
  <c r="I11" i="469" s="1"/>
  <c r="H10" i="469"/>
  <c r="I10" i="469" s="1"/>
  <c r="H8" i="469"/>
  <c r="I8" i="469" s="1"/>
  <c r="H7" i="469"/>
  <c r="I7" i="469" s="1"/>
  <c r="H6" i="469"/>
  <c r="I6" i="469" s="1"/>
  <c r="H5" i="469"/>
  <c r="I5" i="469" s="1"/>
  <c r="H4" i="469"/>
  <c r="I4" i="469" s="1"/>
  <c r="H3" i="469"/>
  <c r="I3" i="469" s="1"/>
  <c r="H90" i="467" l="1"/>
  <c r="I90" i="467" s="1"/>
  <c r="H81" i="467"/>
  <c r="I81" i="467" s="1"/>
  <c r="H97" i="468"/>
  <c r="I97" i="468" s="1"/>
  <c r="H96" i="468"/>
  <c r="I96" i="468" s="1"/>
  <c r="H95" i="468"/>
  <c r="I95" i="468" s="1"/>
  <c r="H94" i="468"/>
  <c r="I94" i="468" s="1"/>
  <c r="H90" i="468"/>
  <c r="I90" i="468" s="1"/>
  <c r="H89" i="468"/>
  <c r="I89" i="468" s="1"/>
  <c r="H88" i="468"/>
  <c r="I88" i="468" s="1"/>
  <c r="H87" i="468"/>
  <c r="I87" i="468" s="1"/>
  <c r="H86" i="468"/>
  <c r="I86" i="468" s="1"/>
  <c r="H85" i="468"/>
  <c r="I85" i="468" s="1"/>
  <c r="H84" i="468"/>
  <c r="I84" i="468" s="1"/>
  <c r="H83" i="468"/>
  <c r="I83" i="468" s="1"/>
  <c r="H82" i="468"/>
  <c r="I82" i="468" s="1"/>
  <c r="H81" i="468"/>
  <c r="I81" i="468" s="1"/>
  <c r="H80" i="468"/>
  <c r="I80" i="468" s="1"/>
  <c r="H79" i="468"/>
  <c r="I79" i="468" s="1"/>
  <c r="H78" i="468"/>
  <c r="I78" i="468" s="1"/>
  <c r="H77" i="468"/>
  <c r="I77" i="468" s="1"/>
  <c r="H76" i="468"/>
  <c r="I76" i="468" s="1"/>
  <c r="H75" i="468"/>
  <c r="I75" i="468" s="1"/>
  <c r="H74" i="468"/>
  <c r="I74" i="468" s="1"/>
  <c r="H73" i="468"/>
  <c r="I73" i="468" s="1"/>
  <c r="H72" i="468"/>
  <c r="I72" i="468" s="1"/>
  <c r="H71" i="468"/>
  <c r="I71" i="468" s="1"/>
  <c r="H70" i="468"/>
  <c r="I70" i="468" s="1"/>
  <c r="H69" i="468"/>
  <c r="I69" i="468" s="1"/>
  <c r="H68" i="468"/>
  <c r="I68" i="468" s="1"/>
  <c r="H67" i="468"/>
  <c r="I67" i="468" s="1"/>
  <c r="H66" i="468"/>
  <c r="I66" i="468" s="1"/>
  <c r="H65" i="468"/>
  <c r="I65" i="468" s="1"/>
  <c r="H64" i="468"/>
  <c r="I64" i="468" s="1"/>
  <c r="H63" i="468"/>
  <c r="I63" i="468" s="1"/>
  <c r="H62" i="468"/>
  <c r="I62" i="468" s="1"/>
  <c r="H61" i="468"/>
  <c r="I61" i="468" s="1"/>
  <c r="H60" i="468"/>
  <c r="I60" i="468" s="1"/>
  <c r="H59" i="468"/>
  <c r="I59" i="468" s="1"/>
  <c r="H58" i="468"/>
  <c r="I58" i="468" s="1"/>
  <c r="H57" i="468"/>
  <c r="I57" i="468" s="1"/>
  <c r="H56" i="468"/>
  <c r="I56" i="468" s="1"/>
  <c r="H55" i="468"/>
  <c r="I55" i="468" s="1"/>
  <c r="H54" i="468"/>
  <c r="I54" i="468" s="1"/>
  <c r="H53" i="468"/>
  <c r="I53" i="468" s="1"/>
  <c r="H52" i="468"/>
  <c r="I52" i="468" s="1"/>
  <c r="H51" i="468"/>
  <c r="I51" i="468" s="1"/>
  <c r="H50" i="468"/>
  <c r="I50" i="468" s="1"/>
  <c r="H49" i="468"/>
  <c r="I49" i="468" s="1"/>
  <c r="H48" i="468"/>
  <c r="I48" i="468" s="1"/>
  <c r="H47" i="468"/>
  <c r="I47" i="468" s="1"/>
  <c r="H46" i="468"/>
  <c r="I46" i="468" s="1"/>
  <c r="H45" i="468"/>
  <c r="I45" i="468" s="1"/>
  <c r="H44" i="468"/>
  <c r="I44" i="468" s="1"/>
  <c r="H43" i="468"/>
  <c r="I43" i="468" s="1"/>
  <c r="H42" i="468"/>
  <c r="I42" i="468" s="1"/>
  <c r="H41" i="468"/>
  <c r="I41" i="468" s="1"/>
  <c r="H40" i="468"/>
  <c r="I40" i="468" s="1"/>
  <c r="H39" i="468"/>
  <c r="I39" i="468" s="1"/>
  <c r="H38" i="468"/>
  <c r="I37" i="468"/>
  <c r="H37" i="468"/>
  <c r="H36" i="468"/>
  <c r="I36" i="468" s="1"/>
  <c r="I35" i="468"/>
  <c r="H35" i="468"/>
  <c r="I34" i="468"/>
  <c r="H33" i="468"/>
  <c r="I33" i="468" s="1"/>
  <c r="H32" i="468"/>
  <c r="I32" i="468" s="1"/>
  <c r="I31" i="468"/>
  <c r="I30" i="468"/>
  <c r="H30" i="468"/>
  <c r="I29" i="468"/>
  <c r="H29" i="468"/>
  <c r="H28" i="468"/>
  <c r="I28" i="468" s="1"/>
  <c r="I27" i="468"/>
  <c r="H27" i="468"/>
  <c r="I26" i="468"/>
  <c r="H26" i="468"/>
  <c r="H25" i="468"/>
  <c r="I25" i="468" s="1"/>
  <c r="I24" i="468"/>
  <c r="H24" i="468"/>
  <c r="I23" i="468"/>
  <c r="H23" i="468"/>
  <c r="H22" i="468"/>
  <c r="I22" i="468" s="1"/>
  <c r="I21" i="468"/>
  <c r="H21" i="468"/>
  <c r="I20" i="468"/>
  <c r="H20" i="468"/>
  <c r="H19" i="468"/>
  <c r="I19" i="468" s="1"/>
  <c r="I18" i="468"/>
  <c r="H18" i="468"/>
  <c r="I17" i="468"/>
  <c r="H17" i="468"/>
  <c r="H16" i="468"/>
  <c r="I16" i="468" s="1"/>
  <c r="I15" i="468"/>
  <c r="H15" i="468"/>
  <c r="I14" i="468"/>
  <c r="H14" i="468"/>
  <c r="H13" i="468"/>
  <c r="I13" i="468" s="1"/>
  <c r="I12" i="468"/>
  <c r="H11" i="468"/>
  <c r="I11" i="468" s="1"/>
  <c r="H10" i="468"/>
  <c r="I10" i="468" s="1"/>
  <c r="H8" i="468"/>
  <c r="I8" i="468" s="1"/>
  <c r="H7" i="468"/>
  <c r="I7" i="468" s="1"/>
  <c r="H6" i="468"/>
  <c r="I6" i="468" s="1"/>
  <c r="H5" i="468"/>
  <c r="I5" i="468" s="1"/>
  <c r="H4" i="468"/>
  <c r="I4" i="468" s="1"/>
  <c r="H3" i="468"/>
  <c r="I3" i="468" s="1"/>
  <c r="H3" i="467" l="1"/>
  <c r="I3" i="467" s="1"/>
  <c r="H4" i="467"/>
  <c r="I4" i="467" s="1"/>
  <c r="H5" i="467"/>
  <c r="I5" i="467" s="1"/>
  <c r="H6" i="467"/>
  <c r="I6" i="467" s="1"/>
  <c r="H7" i="467"/>
  <c r="I7" i="467" s="1"/>
  <c r="H8" i="467"/>
  <c r="I8" i="467" s="1"/>
  <c r="H10" i="467"/>
  <c r="I10" i="467" s="1"/>
  <c r="H11" i="467"/>
  <c r="I11" i="467" s="1"/>
  <c r="I12" i="467"/>
  <c r="H13" i="467"/>
  <c r="I13" i="467" s="1"/>
  <c r="H14" i="467"/>
  <c r="I14" i="467" s="1"/>
  <c r="H15" i="467"/>
  <c r="I15" i="467" s="1"/>
  <c r="H16" i="467"/>
  <c r="I16" i="467" s="1"/>
  <c r="H17" i="467"/>
  <c r="I17" i="467" s="1"/>
  <c r="H18" i="467"/>
  <c r="I18" i="467" s="1"/>
  <c r="H19" i="467"/>
  <c r="I19" i="467" s="1"/>
  <c r="H20" i="467"/>
  <c r="I20" i="467" s="1"/>
  <c r="H21" i="467"/>
  <c r="I21" i="467" s="1"/>
  <c r="H22" i="467"/>
  <c r="I22" i="467" s="1"/>
  <c r="H23" i="467"/>
  <c r="I23" i="467" s="1"/>
  <c r="H24" i="467"/>
  <c r="I24" i="467" s="1"/>
  <c r="H25" i="467"/>
  <c r="I25" i="467" s="1"/>
  <c r="H26" i="467"/>
  <c r="I26" i="467" s="1"/>
  <c r="H27" i="467"/>
  <c r="I27" i="467" s="1"/>
  <c r="H28" i="467"/>
  <c r="I28" i="467" s="1"/>
  <c r="H29" i="467"/>
  <c r="I29" i="467" s="1"/>
  <c r="H30" i="467"/>
  <c r="I30" i="467" s="1"/>
  <c r="I31" i="467"/>
  <c r="H32" i="467"/>
  <c r="I32" i="467" s="1"/>
  <c r="H33" i="467"/>
  <c r="I33" i="467" s="1"/>
  <c r="I34" i="467"/>
  <c r="H35" i="467"/>
  <c r="I35" i="467" s="1"/>
  <c r="H36" i="467"/>
  <c r="I36" i="467" s="1"/>
  <c r="H37" i="467"/>
  <c r="I37" i="467" s="1"/>
  <c r="H38" i="467"/>
  <c r="H39" i="467"/>
  <c r="I39" i="467" s="1"/>
  <c r="H40" i="467"/>
  <c r="I40" i="467" s="1"/>
  <c r="H41" i="467"/>
  <c r="I41" i="467" s="1"/>
  <c r="H42" i="467"/>
  <c r="I42" i="467" s="1"/>
  <c r="H43" i="467"/>
  <c r="I43" i="467" s="1"/>
  <c r="H44" i="467"/>
  <c r="I44" i="467" s="1"/>
  <c r="H45" i="467"/>
  <c r="I45" i="467" s="1"/>
  <c r="H46" i="467"/>
  <c r="I46" i="467" s="1"/>
  <c r="H47" i="467"/>
  <c r="I47" i="467" s="1"/>
  <c r="H48" i="467"/>
  <c r="I48" i="467" s="1"/>
  <c r="H49" i="467"/>
  <c r="I49" i="467" s="1"/>
  <c r="H50" i="467"/>
  <c r="I50" i="467" s="1"/>
  <c r="H51" i="467"/>
  <c r="I51" i="467" s="1"/>
  <c r="H52" i="467"/>
  <c r="I52" i="467" s="1"/>
  <c r="H53" i="467"/>
  <c r="I53" i="467" s="1"/>
  <c r="H54" i="467"/>
  <c r="I54" i="467" s="1"/>
  <c r="H55" i="467"/>
  <c r="I55" i="467" s="1"/>
  <c r="H56" i="467"/>
  <c r="I56" i="467" s="1"/>
  <c r="H57" i="467"/>
  <c r="I57" i="467" s="1"/>
  <c r="H58" i="467"/>
  <c r="I58" i="467" s="1"/>
  <c r="H59" i="467"/>
  <c r="I59" i="467" s="1"/>
  <c r="H60" i="467"/>
  <c r="I60" i="467" s="1"/>
  <c r="H61" i="467"/>
  <c r="I61" i="467" s="1"/>
  <c r="H62" i="467"/>
  <c r="I62" i="467" s="1"/>
  <c r="H63" i="467"/>
  <c r="I63" i="467" s="1"/>
  <c r="H64" i="467"/>
  <c r="I64" i="467" s="1"/>
  <c r="H65" i="467"/>
  <c r="I65" i="467" s="1"/>
  <c r="H66" i="467"/>
  <c r="I66" i="467" s="1"/>
  <c r="H67" i="467"/>
  <c r="I67" i="467" s="1"/>
  <c r="H68" i="467"/>
  <c r="I68" i="467" s="1"/>
  <c r="H69" i="467"/>
  <c r="I69" i="467" s="1"/>
  <c r="H70" i="467"/>
  <c r="I70" i="467" s="1"/>
  <c r="H71" i="467"/>
  <c r="I71" i="467" s="1"/>
  <c r="H72" i="467"/>
  <c r="I72" i="467" s="1"/>
  <c r="H73" i="467"/>
  <c r="I73" i="467" s="1"/>
  <c r="H74" i="467"/>
  <c r="I74" i="467" s="1"/>
  <c r="H75" i="467"/>
  <c r="I75" i="467" s="1"/>
  <c r="H76" i="467"/>
  <c r="I76" i="467" s="1"/>
  <c r="H77" i="467"/>
  <c r="I77" i="467" s="1"/>
  <c r="H78" i="467"/>
  <c r="I78" i="467" s="1"/>
  <c r="H79" i="467"/>
  <c r="I79" i="467" s="1"/>
  <c r="H80" i="467"/>
  <c r="I80" i="467" s="1"/>
  <c r="H82" i="467"/>
  <c r="I82" i="467" s="1"/>
  <c r="H83" i="467"/>
  <c r="I83" i="467" s="1"/>
  <c r="H84" i="467"/>
  <c r="I84" i="467" s="1"/>
  <c r="H85" i="467"/>
  <c r="I85" i="467" s="1"/>
  <c r="H86" i="467"/>
  <c r="I86" i="467" s="1"/>
  <c r="H87" i="467"/>
  <c r="I87" i="467" s="1"/>
  <c r="H88" i="467"/>
  <c r="I88" i="467" s="1"/>
  <c r="H89" i="467"/>
  <c r="I89" i="467" s="1"/>
  <c r="H94" i="467"/>
  <c r="I94" i="467" s="1"/>
  <c r="H95" i="467"/>
  <c r="I95" i="467" s="1"/>
  <c r="H96" i="467"/>
  <c r="I96" i="467" s="1"/>
  <c r="H97" i="467"/>
  <c r="I97" i="467" s="1"/>
  <c r="H168" i="466" l="1"/>
  <c r="I168" i="466" s="1"/>
  <c r="H167" i="466"/>
  <c r="I167" i="466" s="1"/>
  <c r="H166" i="466"/>
  <c r="I166" i="466" s="1"/>
  <c r="H165" i="466"/>
  <c r="I165" i="466" s="1"/>
  <c r="H164" i="466"/>
  <c r="I164" i="466" s="1"/>
  <c r="H163" i="466"/>
  <c r="I163" i="466" s="1"/>
  <c r="H162" i="466"/>
  <c r="I162" i="466" s="1"/>
  <c r="H161" i="466"/>
  <c r="I161" i="466" s="1"/>
  <c r="H160" i="466"/>
  <c r="I160" i="466" s="1"/>
  <c r="H159" i="466"/>
  <c r="I159" i="466" s="1"/>
  <c r="H158" i="466"/>
  <c r="I158" i="466" s="1"/>
  <c r="H157" i="466"/>
  <c r="I157" i="466" s="1"/>
  <c r="H153" i="466"/>
  <c r="I153" i="466" s="1"/>
  <c r="H152" i="466"/>
  <c r="I152" i="466" s="1"/>
  <c r="H151" i="466"/>
  <c r="I151" i="466" s="1"/>
  <c r="H150" i="466"/>
  <c r="I150" i="466" s="1"/>
  <c r="H149" i="466"/>
  <c r="I149" i="466" s="1"/>
  <c r="H148" i="466"/>
  <c r="I148" i="466" s="1"/>
  <c r="H147" i="466"/>
  <c r="I147" i="466" s="1"/>
  <c r="H146" i="466"/>
  <c r="I146" i="466" s="1"/>
  <c r="H145" i="466"/>
  <c r="I145" i="466" s="1"/>
  <c r="H144" i="466"/>
  <c r="I144" i="466" s="1"/>
  <c r="H143" i="466"/>
  <c r="I143" i="466" s="1"/>
  <c r="H142" i="466"/>
  <c r="I142" i="466" s="1"/>
  <c r="H141" i="466"/>
  <c r="I141" i="466" s="1"/>
  <c r="H140" i="466"/>
  <c r="I140" i="466" s="1"/>
  <c r="H139" i="466"/>
  <c r="I139" i="466" s="1"/>
  <c r="H138" i="466"/>
  <c r="I138" i="466" s="1"/>
  <c r="H137" i="466"/>
  <c r="I137" i="466" s="1"/>
  <c r="H136" i="466"/>
  <c r="I136" i="466" s="1"/>
  <c r="H135" i="466"/>
  <c r="I135" i="466" s="1"/>
  <c r="H134" i="466"/>
  <c r="I134" i="466" s="1"/>
  <c r="H133" i="466"/>
  <c r="I133" i="466" s="1"/>
  <c r="H132" i="466"/>
  <c r="I132" i="466" s="1"/>
  <c r="H131" i="466"/>
  <c r="I131" i="466" s="1"/>
  <c r="H130" i="466"/>
  <c r="I130" i="466" s="1"/>
  <c r="H129" i="466"/>
  <c r="I129" i="466" s="1"/>
  <c r="H128" i="466"/>
  <c r="I128" i="466" s="1"/>
  <c r="H127" i="466"/>
  <c r="I127" i="466" s="1"/>
  <c r="H126" i="466"/>
  <c r="I126" i="466" s="1"/>
  <c r="H125" i="466"/>
  <c r="I125" i="466" s="1"/>
  <c r="H124" i="466"/>
  <c r="I124" i="466" s="1"/>
  <c r="H123" i="466"/>
  <c r="I123" i="466" s="1"/>
  <c r="H122" i="466"/>
  <c r="I122" i="466" s="1"/>
  <c r="H121" i="466"/>
  <c r="I121" i="466" s="1"/>
  <c r="H120" i="466"/>
  <c r="I120" i="466" s="1"/>
  <c r="H119" i="466"/>
  <c r="I119" i="466" s="1"/>
  <c r="H118" i="466"/>
  <c r="I118" i="466" s="1"/>
  <c r="H117" i="466"/>
  <c r="I117" i="466" s="1"/>
  <c r="H116" i="466"/>
  <c r="I116" i="466" s="1"/>
  <c r="H115" i="466"/>
  <c r="I115" i="466" s="1"/>
  <c r="H114" i="466"/>
  <c r="I114" i="466" s="1"/>
  <c r="H113" i="466"/>
  <c r="I113" i="466" s="1"/>
  <c r="H112" i="466"/>
  <c r="I112" i="466" s="1"/>
  <c r="H111" i="466"/>
  <c r="I111" i="466" s="1"/>
  <c r="H110" i="466"/>
  <c r="I110" i="466" s="1"/>
  <c r="H109" i="466"/>
  <c r="I109" i="466" s="1"/>
  <c r="H108" i="466"/>
  <c r="I108" i="466" s="1"/>
  <c r="H107" i="466"/>
  <c r="I107" i="466" s="1"/>
  <c r="H106" i="466"/>
  <c r="I106" i="466" s="1"/>
  <c r="H105" i="466"/>
  <c r="I105" i="466" s="1"/>
  <c r="H104" i="466"/>
  <c r="I104" i="466" s="1"/>
  <c r="H103" i="466"/>
  <c r="I103" i="466" s="1"/>
  <c r="H102" i="466"/>
  <c r="I102" i="466" s="1"/>
  <c r="H101" i="466"/>
  <c r="I101" i="466" s="1"/>
  <c r="H100" i="466"/>
  <c r="I100" i="466" s="1"/>
  <c r="H99" i="466"/>
  <c r="I99" i="466" s="1"/>
  <c r="H98" i="466"/>
  <c r="I98" i="466" s="1"/>
  <c r="H97" i="466"/>
  <c r="I97" i="466" s="1"/>
  <c r="H96" i="466"/>
  <c r="I96" i="466" s="1"/>
  <c r="H95" i="466"/>
  <c r="I95" i="466" s="1"/>
  <c r="H94" i="466"/>
  <c r="I94" i="466" s="1"/>
  <c r="H93" i="466"/>
  <c r="I93" i="466" s="1"/>
  <c r="H92" i="466"/>
  <c r="I92" i="466" s="1"/>
  <c r="H91" i="466"/>
  <c r="I91" i="466" s="1"/>
  <c r="H90" i="466"/>
  <c r="I90" i="466" s="1"/>
  <c r="H89" i="466"/>
  <c r="I89" i="466" s="1"/>
  <c r="H88" i="466"/>
  <c r="I88" i="466" s="1"/>
  <c r="H87" i="466"/>
  <c r="I87" i="466" s="1"/>
  <c r="H86" i="466"/>
  <c r="I86" i="466" s="1"/>
  <c r="H85" i="466"/>
  <c r="I85" i="466" s="1"/>
  <c r="H84" i="466"/>
  <c r="I84" i="466" s="1"/>
  <c r="H83" i="466"/>
  <c r="I83" i="466" s="1"/>
  <c r="H82" i="466"/>
  <c r="I82" i="466" s="1"/>
  <c r="H81" i="466"/>
  <c r="I81" i="466" s="1"/>
  <c r="H80" i="466"/>
  <c r="I80" i="466" s="1"/>
  <c r="H79" i="466"/>
  <c r="I79" i="466" s="1"/>
  <c r="H78" i="466"/>
  <c r="I78" i="466" s="1"/>
  <c r="H77" i="466"/>
  <c r="I77" i="466" s="1"/>
  <c r="H76" i="466"/>
  <c r="I76" i="466" s="1"/>
  <c r="H75" i="466"/>
  <c r="I75" i="466" s="1"/>
  <c r="H74" i="466"/>
  <c r="I74" i="466" s="1"/>
  <c r="H73" i="466"/>
  <c r="I73" i="466" s="1"/>
  <c r="H72" i="466"/>
  <c r="I72" i="466" s="1"/>
  <c r="H71" i="466"/>
  <c r="H70" i="466"/>
  <c r="I70" i="466" s="1"/>
  <c r="H69" i="466"/>
  <c r="I69" i="466" s="1"/>
  <c r="H68" i="466"/>
  <c r="I68" i="466" s="1"/>
  <c r="H67" i="466"/>
  <c r="I67" i="466" s="1"/>
  <c r="H66" i="466"/>
  <c r="I66" i="466" s="1"/>
  <c r="H65" i="466"/>
  <c r="I65" i="466" s="1"/>
  <c r="H64" i="466"/>
  <c r="I64" i="466" s="1"/>
  <c r="H63" i="466"/>
  <c r="I63" i="466" s="1"/>
  <c r="H62" i="466"/>
  <c r="I62" i="466" s="1"/>
  <c r="H61" i="466"/>
  <c r="I61" i="466" s="1"/>
  <c r="H60" i="466"/>
  <c r="I60" i="466" s="1"/>
  <c r="H59" i="466"/>
  <c r="I59" i="466" s="1"/>
  <c r="I58" i="466"/>
  <c r="H57" i="466"/>
  <c r="I57" i="466" s="1"/>
  <c r="H56" i="466"/>
  <c r="I56" i="466" s="1"/>
  <c r="I55" i="466"/>
  <c r="H54" i="466"/>
  <c r="I54" i="466" s="1"/>
  <c r="H53" i="466"/>
  <c r="I53" i="466" s="1"/>
  <c r="H52" i="466"/>
  <c r="I52" i="466" s="1"/>
  <c r="H51" i="466"/>
  <c r="I51" i="466" s="1"/>
  <c r="H50" i="466"/>
  <c r="I50" i="466" s="1"/>
  <c r="H49" i="466"/>
  <c r="I49" i="466" s="1"/>
  <c r="H48" i="466"/>
  <c r="I48" i="466" s="1"/>
  <c r="H47" i="466"/>
  <c r="I47" i="466" s="1"/>
  <c r="H46" i="466"/>
  <c r="I46" i="466" s="1"/>
  <c r="H45" i="466"/>
  <c r="I45" i="466" s="1"/>
  <c r="H44" i="466"/>
  <c r="I44" i="466" s="1"/>
  <c r="H43" i="466"/>
  <c r="I43" i="466" s="1"/>
  <c r="H42" i="466"/>
  <c r="I42" i="466" s="1"/>
  <c r="H41" i="466"/>
  <c r="I41" i="466" s="1"/>
  <c r="H40" i="466"/>
  <c r="I40" i="466" s="1"/>
  <c r="H39" i="466"/>
  <c r="I39" i="466" s="1"/>
  <c r="I38" i="466"/>
  <c r="H37" i="466"/>
  <c r="I37" i="466" s="1"/>
  <c r="H36" i="466"/>
  <c r="I36" i="466" s="1"/>
  <c r="H34" i="466"/>
  <c r="I34" i="466" s="1"/>
  <c r="H33" i="466"/>
  <c r="I33" i="466" s="1"/>
  <c r="H32" i="466"/>
  <c r="I32" i="466" s="1"/>
  <c r="H31" i="466"/>
  <c r="I31" i="466" s="1"/>
  <c r="H30" i="466"/>
  <c r="I30" i="466" s="1"/>
  <c r="H29" i="466"/>
  <c r="I29" i="466" s="1"/>
  <c r="H28" i="466"/>
  <c r="I28" i="466" s="1"/>
  <c r="H27" i="466"/>
  <c r="I27" i="466" s="1"/>
  <c r="H26" i="466"/>
  <c r="I26" i="466" s="1"/>
  <c r="H25" i="466"/>
  <c r="I25" i="466" s="1"/>
  <c r="H24" i="466"/>
  <c r="I24" i="466" s="1"/>
  <c r="H23" i="466"/>
  <c r="I23" i="466" s="1"/>
  <c r="H22" i="466"/>
  <c r="I22" i="466" s="1"/>
  <c r="H21" i="466"/>
  <c r="I21" i="466" s="1"/>
  <c r="H20" i="466"/>
  <c r="I20" i="466" s="1"/>
  <c r="H19" i="466"/>
  <c r="I19" i="466" s="1"/>
  <c r="H18" i="466"/>
  <c r="I18" i="466" s="1"/>
  <c r="H17" i="466"/>
  <c r="I17" i="466" s="1"/>
  <c r="H16" i="466"/>
  <c r="I16" i="466" s="1"/>
  <c r="H15" i="466"/>
  <c r="I15" i="466" s="1"/>
  <c r="H14" i="466"/>
  <c r="I14" i="466" s="1"/>
  <c r="H13" i="466"/>
  <c r="I13" i="466" s="1"/>
  <c r="H12" i="466"/>
  <c r="I12" i="466" s="1"/>
  <c r="H11" i="466"/>
  <c r="I11" i="466" s="1"/>
  <c r="H10" i="466"/>
  <c r="I10" i="466" s="1"/>
  <c r="H9" i="466"/>
  <c r="I9" i="466" s="1"/>
  <c r="H8" i="466"/>
  <c r="I8" i="466" s="1"/>
  <c r="H7" i="466"/>
  <c r="I7" i="466" s="1"/>
  <c r="H6" i="466"/>
  <c r="I6" i="466" s="1"/>
  <c r="H5" i="466"/>
  <c r="I5" i="466" s="1"/>
  <c r="H4" i="466"/>
  <c r="I4" i="466" s="1"/>
  <c r="H3" i="466"/>
  <c r="I3" i="466" s="1"/>
  <c r="H168" i="465" l="1"/>
  <c r="I168" i="465" s="1"/>
  <c r="H167" i="465"/>
  <c r="I167" i="465" s="1"/>
  <c r="H166" i="465"/>
  <c r="I166" i="465" s="1"/>
  <c r="H165" i="465"/>
  <c r="I165" i="465" s="1"/>
  <c r="H164" i="465"/>
  <c r="I164" i="465" s="1"/>
  <c r="H163" i="465"/>
  <c r="I163" i="465" s="1"/>
  <c r="H162" i="465"/>
  <c r="I162" i="465" s="1"/>
  <c r="H161" i="465"/>
  <c r="I161" i="465" s="1"/>
  <c r="H160" i="465"/>
  <c r="I160" i="465" s="1"/>
  <c r="H159" i="465"/>
  <c r="I159" i="465" s="1"/>
  <c r="H158" i="465"/>
  <c r="I158" i="465" s="1"/>
  <c r="H157" i="465"/>
  <c r="I157" i="465" s="1"/>
  <c r="H153" i="465"/>
  <c r="I153" i="465" s="1"/>
  <c r="H152" i="465"/>
  <c r="I152" i="465" s="1"/>
  <c r="H151" i="465"/>
  <c r="I151" i="465" s="1"/>
  <c r="H150" i="465"/>
  <c r="I150" i="465" s="1"/>
  <c r="H149" i="465"/>
  <c r="I149" i="465" s="1"/>
  <c r="H148" i="465"/>
  <c r="I148" i="465" s="1"/>
  <c r="H147" i="465"/>
  <c r="I147" i="465" s="1"/>
  <c r="H146" i="465"/>
  <c r="I146" i="465" s="1"/>
  <c r="H145" i="465"/>
  <c r="I145" i="465" s="1"/>
  <c r="H144" i="465"/>
  <c r="I144" i="465" s="1"/>
  <c r="H143" i="465"/>
  <c r="I143" i="465" s="1"/>
  <c r="H142" i="465"/>
  <c r="I142" i="465" s="1"/>
  <c r="H141" i="465"/>
  <c r="I141" i="465" s="1"/>
  <c r="H140" i="465"/>
  <c r="I140" i="465" s="1"/>
  <c r="H139" i="465"/>
  <c r="I139" i="465" s="1"/>
  <c r="H138" i="465"/>
  <c r="I138" i="465" s="1"/>
  <c r="H137" i="465"/>
  <c r="I137" i="465" s="1"/>
  <c r="H136" i="465"/>
  <c r="I136" i="465" s="1"/>
  <c r="H135" i="465"/>
  <c r="I135" i="465" s="1"/>
  <c r="H134" i="465"/>
  <c r="I134" i="465" s="1"/>
  <c r="H133" i="465"/>
  <c r="I133" i="465" s="1"/>
  <c r="H132" i="465"/>
  <c r="I132" i="465" s="1"/>
  <c r="H131" i="465"/>
  <c r="I131" i="465" s="1"/>
  <c r="H130" i="465"/>
  <c r="I130" i="465" s="1"/>
  <c r="H129" i="465"/>
  <c r="I129" i="465" s="1"/>
  <c r="H128" i="465"/>
  <c r="I128" i="465" s="1"/>
  <c r="H127" i="465"/>
  <c r="I127" i="465" s="1"/>
  <c r="H126" i="465"/>
  <c r="I126" i="465" s="1"/>
  <c r="H125" i="465"/>
  <c r="I125" i="465" s="1"/>
  <c r="H124" i="465"/>
  <c r="I124" i="465" s="1"/>
  <c r="H123" i="465"/>
  <c r="I123" i="465" s="1"/>
  <c r="H122" i="465"/>
  <c r="I122" i="465" s="1"/>
  <c r="H121" i="465"/>
  <c r="I121" i="465" s="1"/>
  <c r="H120" i="465"/>
  <c r="I120" i="465" s="1"/>
  <c r="H119" i="465"/>
  <c r="I119" i="465" s="1"/>
  <c r="H118" i="465"/>
  <c r="I118" i="465" s="1"/>
  <c r="H117" i="465"/>
  <c r="I117" i="465" s="1"/>
  <c r="H116" i="465"/>
  <c r="I116" i="465" s="1"/>
  <c r="H115" i="465"/>
  <c r="I115" i="465" s="1"/>
  <c r="H114" i="465"/>
  <c r="I114" i="465" s="1"/>
  <c r="H113" i="465"/>
  <c r="I113" i="465" s="1"/>
  <c r="H112" i="465"/>
  <c r="I112" i="465" s="1"/>
  <c r="H111" i="465"/>
  <c r="I111" i="465" s="1"/>
  <c r="H110" i="465"/>
  <c r="I110" i="465" s="1"/>
  <c r="H109" i="465"/>
  <c r="I109" i="465" s="1"/>
  <c r="H108" i="465"/>
  <c r="I108" i="465" s="1"/>
  <c r="H107" i="465"/>
  <c r="I107" i="465" s="1"/>
  <c r="H106" i="465"/>
  <c r="I106" i="465" s="1"/>
  <c r="H105" i="465"/>
  <c r="I105" i="465" s="1"/>
  <c r="H104" i="465"/>
  <c r="I104" i="465" s="1"/>
  <c r="H103" i="465"/>
  <c r="I103" i="465" s="1"/>
  <c r="H102" i="465"/>
  <c r="I102" i="465" s="1"/>
  <c r="H101" i="465"/>
  <c r="I101" i="465" s="1"/>
  <c r="H100" i="465"/>
  <c r="I100" i="465" s="1"/>
  <c r="H99" i="465"/>
  <c r="I99" i="465" s="1"/>
  <c r="H98" i="465"/>
  <c r="I98" i="465" s="1"/>
  <c r="H97" i="465"/>
  <c r="I97" i="465" s="1"/>
  <c r="H96" i="465"/>
  <c r="I96" i="465" s="1"/>
  <c r="H95" i="465"/>
  <c r="I95" i="465" s="1"/>
  <c r="H94" i="465"/>
  <c r="I94" i="465" s="1"/>
  <c r="H93" i="465"/>
  <c r="I93" i="465" s="1"/>
  <c r="H92" i="465"/>
  <c r="I92" i="465" s="1"/>
  <c r="H91" i="465"/>
  <c r="I91" i="465" s="1"/>
  <c r="H90" i="465"/>
  <c r="I90" i="465" s="1"/>
  <c r="H89" i="465"/>
  <c r="I89" i="465" s="1"/>
  <c r="H88" i="465"/>
  <c r="I88" i="465" s="1"/>
  <c r="H87" i="465"/>
  <c r="I87" i="465" s="1"/>
  <c r="H86" i="465"/>
  <c r="I86" i="465" s="1"/>
  <c r="H85" i="465"/>
  <c r="I85" i="465" s="1"/>
  <c r="H84" i="465"/>
  <c r="I84" i="465" s="1"/>
  <c r="H83" i="465"/>
  <c r="I83" i="465" s="1"/>
  <c r="H82" i="465"/>
  <c r="I82" i="465" s="1"/>
  <c r="H81" i="465"/>
  <c r="I81" i="465" s="1"/>
  <c r="H80" i="465"/>
  <c r="I80" i="465" s="1"/>
  <c r="H79" i="465"/>
  <c r="I79" i="465" s="1"/>
  <c r="H78" i="465"/>
  <c r="I78" i="465" s="1"/>
  <c r="H77" i="465"/>
  <c r="I77" i="465" s="1"/>
  <c r="H76" i="465"/>
  <c r="I76" i="465" s="1"/>
  <c r="H75" i="465"/>
  <c r="I75" i="465" s="1"/>
  <c r="H74" i="465"/>
  <c r="I74" i="465" s="1"/>
  <c r="H73" i="465"/>
  <c r="I73" i="465" s="1"/>
  <c r="H72" i="465"/>
  <c r="I72" i="465" s="1"/>
  <c r="H71" i="465"/>
  <c r="H70" i="465"/>
  <c r="I70" i="465" s="1"/>
  <c r="H69" i="465"/>
  <c r="I69" i="465" s="1"/>
  <c r="H68" i="465"/>
  <c r="I68" i="465" s="1"/>
  <c r="H67" i="465"/>
  <c r="I67" i="465" s="1"/>
  <c r="H66" i="465"/>
  <c r="I66" i="465" s="1"/>
  <c r="H65" i="465"/>
  <c r="I65" i="465" s="1"/>
  <c r="H64" i="465"/>
  <c r="I64" i="465" s="1"/>
  <c r="H63" i="465"/>
  <c r="I63" i="465" s="1"/>
  <c r="H62" i="465"/>
  <c r="I62" i="465" s="1"/>
  <c r="H61" i="465"/>
  <c r="I61" i="465" s="1"/>
  <c r="H60" i="465"/>
  <c r="I60" i="465" s="1"/>
  <c r="H59" i="465"/>
  <c r="I59" i="465" s="1"/>
  <c r="I58" i="465"/>
  <c r="H57" i="465"/>
  <c r="I57" i="465" s="1"/>
  <c r="H56" i="465"/>
  <c r="I56" i="465" s="1"/>
  <c r="I55" i="465"/>
  <c r="H54" i="465"/>
  <c r="I54" i="465" s="1"/>
  <c r="H53" i="465"/>
  <c r="I53" i="465" s="1"/>
  <c r="H52" i="465"/>
  <c r="I52" i="465" s="1"/>
  <c r="H51" i="465"/>
  <c r="I51" i="465" s="1"/>
  <c r="H50" i="465"/>
  <c r="I50" i="465" s="1"/>
  <c r="H49" i="465"/>
  <c r="I49" i="465" s="1"/>
  <c r="H48" i="465"/>
  <c r="I48" i="465" s="1"/>
  <c r="H47" i="465"/>
  <c r="I47" i="465" s="1"/>
  <c r="H46" i="465"/>
  <c r="I46" i="465" s="1"/>
  <c r="H45" i="465"/>
  <c r="I45" i="465" s="1"/>
  <c r="H44" i="465"/>
  <c r="I44" i="465" s="1"/>
  <c r="H43" i="465"/>
  <c r="I43" i="465" s="1"/>
  <c r="H42" i="465"/>
  <c r="I42" i="465" s="1"/>
  <c r="H41" i="465"/>
  <c r="I41" i="465" s="1"/>
  <c r="H40" i="465"/>
  <c r="I40" i="465" s="1"/>
  <c r="H39" i="465"/>
  <c r="I39" i="465" s="1"/>
  <c r="I38" i="465"/>
  <c r="H37" i="465"/>
  <c r="I37" i="465" s="1"/>
  <c r="H36" i="465"/>
  <c r="I36" i="465" s="1"/>
  <c r="H34" i="465"/>
  <c r="I34" i="465" s="1"/>
  <c r="H33" i="465"/>
  <c r="I33" i="465" s="1"/>
  <c r="H32" i="465"/>
  <c r="I32" i="465" s="1"/>
  <c r="H31" i="465"/>
  <c r="I31" i="465" s="1"/>
  <c r="H30" i="465"/>
  <c r="I30" i="465" s="1"/>
  <c r="H29" i="465"/>
  <c r="I29" i="465" s="1"/>
  <c r="H28" i="465"/>
  <c r="I28" i="465" s="1"/>
  <c r="H27" i="465"/>
  <c r="I27" i="465" s="1"/>
  <c r="H26" i="465"/>
  <c r="I26" i="465" s="1"/>
  <c r="H25" i="465"/>
  <c r="I25" i="465" s="1"/>
  <c r="H24" i="465"/>
  <c r="I24" i="465" s="1"/>
  <c r="H23" i="465"/>
  <c r="I23" i="465" s="1"/>
  <c r="H22" i="465"/>
  <c r="I22" i="465" s="1"/>
  <c r="H21" i="465"/>
  <c r="I21" i="465" s="1"/>
  <c r="H20" i="465"/>
  <c r="I20" i="465" s="1"/>
  <c r="H19" i="465"/>
  <c r="I19" i="465" s="1"/>
  <c r="H18" i="465"/>
  <c r="I18" i="465" s="1"/>
  <c r="H17" i="465"/>
  <c r="I17" i="465" s="1"/>
  <c r="H16" i="465"/>
  <c r="I16" i="465" s="1"/>
  <c r="H15" i="465"/>
  <c r="I15" i="465" s="1"/>
  <c r="H14" i="465"/>
  <c r="I14" i="465" s="1"/>
  <c r="H13" i="465"/>
  <c r="I13" i="465" s="1"/>
  <c r="H12" i="465"/>
  <c r="I12" i="465" s="1"/>
  <c r="H11" i="465"/>
  <c r="I11" i="465" s="1"/>
  <c r="H10" i="465"/>
  <c r="I10" i="465" s="1"/>
  <c r="H9" i="465"/>
  <c r="I9" i="465" s="1"/>
  <c r="H8" i="465"/>
  <c r="I8" i="465" s="1"/>
  <c r="H7" i="465"/>
  <c r="I7" i="465" s="1"/>
  <c r="H6" i="465"/>
  <c r="I6" i="465" s="1"/>
  <c r="H5" i="465"/>
  <c r="I5" i="465" s="1"/>
  <c r="H4" i="465"/>
  <c r="I4" i="465" s="1"/>
  <c r="H3" i="465"/>
  <c r="I3" i="465" s="1"/>
  <c r="H166" i="464" l="1"/>
  <c r="I166" i="464" s="1"/>
  <c r="H165" i="464"/>
  <c r="I165" i="464" s="1"/>
  <c r="H164" i="464"/>
  <c r="I164" i="464" s="1"/>
  <c r="H163" i="464"/>
  <c r="I163" i="464" s="1"/>
  <c r="H162" i="464"/>
  <c r="I162" i="464" s="1"/>
  <c r="H161" i="464"/>
  <c r="I161" i="464" s="1"/>
  <c r="H160" i="464"/>
  <c r="I160" i="464" s="1"/>
  <c r="H159" i="464"/>
  <c r="I159" i="464" s="1"/>
  <c r="H158" i="464"/>
  <c r="I158" i="464" s="1"/>
  <c r="H157" i="464"/>
  <c r="I157" i="464" s="1"/>
  <c r="H156" i="464"/>
  <c r="I156" i="464" s="1"/>
  <c r="H155" i="464"/>
  <c r="I155" i="464" s="1"/>
  <c r="H151" i="464"/>
  <c r="I151" i="464" s="1"/>
  <c r="H150" i="464"/>
  <c r="I150" i="464" s="1"/>
  <c r="H149" i="464"/>
  <c r="I149" i="464" s="1"/>
  <c r="H148" i="464"/>
  <c r="I148" i="464" s="1"/>
  <c r="H147" i="464"/>
  <c r="I147" i="464" s="1"/>
  <c r="H146" i="464"/>
  <c r="I146" i="464" s="1"/>
  <c r="H145" i="464"/>
  <c r="I145" i="464" s="1"/>
  <c r="H144" i="464"/>
  <c r="I144" i="464" s="1"/>
  <c r="H143" i="464"/>
  <c r="I143" i="464" s="1"/>
  <c r="H142" i="464"/>
  <c r="I142" i="464" s="1"/>
  <c r="H141" i="464"/>
  <c r="I141" i="464" s="1"/>
  <c r="H140" i="464"/>
  <c r="I140" i="464" s="1"/>
  <c r="H139" i="464"/>
  <c r="I139" i="464" s="1"/>
  <c r="H138" i="464"/>
  <c r="I138" i="464" s="1"/>
  <c r="H137" i="464"/>
  <c r="I137" i="464" s="1"/>
  <c r="H136" i="464"/>
  <c r="I136" i="464" s="1"/>
  <c r="H135" i="464"/>
  <c r="I135" i="464" s="1"/>
  <c r="H134" i="464"/>
  <c r="I134" i="464" s="1"/>
  <c r="H133" i="464"/>
  <c r="I133" i="464" s="1"/>
  <c r="H132" i="464"/>
  <c r="I132" i="464" s="1"/>
  <c r="H131" i="464"/>
  <c r="I131" i="464" s="1"/>
  <c r="H130" i="464"/>
  <c r="I130" i="464" s="1"/>
  <c r="H129" i="464"/>
  <c r="I129" i="464" s="1"/>
  <c r="H128" i="464"/>
  <c r="I128" i="464" s="1"/>
  <c r="H127" i="464"/>
  <c r="I127" i="464" s="1"/>
  <c r="H126" i="464"/>
  <c r="I126" i="464" s="1"/>
  <c r="H125" i="464"/>
  <c r="I125" i="464" s="1"/>
  <c r="H124" i="464"/>
  <c r="I124" i="464" s="1"/>
  <c r="H123" i="464"/>
  <c r="I123" i="464" s="1"/>
  <c r="H122" i="464"/>
  <c r="I122" i="464" s="1"/>
  <c r="H121" i="464"/>
  <c r="I121" i="464" s="1"/>
  <c r="H120" i="464"/>
  <c r="I120" i="464" s="1"/>
  <c r="H119" i="464"/>
  <c r="I119" i="464" s="1"/>
  <c r="H118" i="464"/>
  <c r="I118" i="464" s="1"/>
  <c r="H117" i="464"/>
  <c r="I117" i="464" s="1"/>
  <c r="H116" i="464"/>
  <c r="I116" i="464" s="1"/>
  <c r="H115" i="464"/>
  <c r="I115" i="464" s="1"/>
  <c r="H114" i="464"/>
  <c r="I114" i="464" s="1"/>
  <c r="H113" i="464"/>
  <c r="I113" i="464" s="1"/>
  <c r="H112" i="464"/>
  <c r="I112" i="464" s="1"/>
  <c r="H111" i="464"/>
  <c r="I111" i="464" s="1"/>
  <c r="H110" i="464"/>
  <c r="I110" i="464" s="1"/>
  <c r="H109" i="464"/>
  <c r="I109" i="464" s="1"/>
  <c r="H108" i="464"/>
  <c r="I108" i="464" s="1"/>
  <c r="H107" i="464"/>
  <c r="I107" i="464" s="1"/>
  <c r="H106" i="464"/>
  <c r="I106" i="464" s="1"/>
  <c r="H105" i="464"/>
  <c r="I105" i="464" s="1"/>
  <c r="H104" i="464"/>
  <c r="I104" i="464" s="1"/>
  <c r="H103" i="464"/>
  <c r="I103" i="464" s="1"/>
  <c r="H102" i="464"/>
  <c r="I102" i="464" s="1"/>
  <c r="H101" i="464"/>
  <c r="I101" i="464" s="1"/>
  <c r="H100" i="464"/>
  <c r="I100" i="464" s="1"/>
  <c r="H99" i="464"/>
  <c r="I99" i="464" s="1"/>
  <c r="H98" i="464"/>
  <c r="I98" i="464" s="1"/>
  <c r="H97" i="464"/>
  <c r="I97" i="464" s="1"/>
  <c r="H96" i="464"/>
  <c r="I96" i="464" s="1"/>
  <c r="H95" i="464"/>
  <c r="I95" i="464" s="1"/>
  <c r="H94" i="464"/>
  <c r="I94" i="464" s="1"/>
  <c r="H93" i="464"/>
  <c r="I93" i="464" s="1"/>
  <c r="H92" i="464"/>
  <c r="I92" i="464" s="1"/>
  <c r="H91" i="464"/>
  <c r="I91" i="464" s="1"/>
  <c r="H90" i="464"/>
  <c r="I90" i="464" s="1"/>
  <c r="H89" i="464"/>
  <c r="I89" i="464" s="1"/>
  <c r="H88" i="464"/>
  <c r="I88" i="464" s="1"/>
  <c r="H87" i="464"/>
  <c r="I87" i="464" s="1"/>
  <c r="H86" i="464"/>
  <c r="I86" i="464" s="1"/>
  <c r="H85" i="464"/>
  <c r="I85" i="464" s="1"/>
  <c r="H84" i="464"/>
  <c r="I84" i="464" s="1"/>
  <c r="H83" i="464"/>
  <c r="I83" i="464" s="1"/>
  <c r="H82" i="464"/>
  <c r="I82" i="464" s="1"/>
  <c r="H81" i="464"/>
  <c r="I81" i="464" s="1"/>
  <c r="H80" i="464"/>
  <c r="I80" i="464" s="1"/>
  <c r="H79" i="464"/>
  <c r="I79" i="464" s="1"/>
  <c r="H78" i="464"/>
  <c r="I78" i="464" s="1"/>
  <c r="H77" i="464"/>
  <c r="I77" i="464" s="1"/>
  <c r="H76" i="464"/>
  <c r="I76" i="464" s="1"/>
  <c r="H75" i="464"/>
  <c r="I75" i="464" s="1"/>
  <c r="H74" i="464"/>
  <c r="I74" i="464" s="1"/>
  <c r="H73" i="464"/>
  <c r="I73" i="464" s="1"/>
  <c r="H72" i="464"/>
  <c r="I72" i="464" s="1"/>
  <c r="H71" i="464"/>
  <c r="H70" i="464"/>
  <c r="I70" i="464" s="1"/>
  <c r="H69" i="464"/>
  <c r="I69" i="464" s="1"/>
  <c r="H68" i="464"/>
  <c r="I68" i="464" s="1"/>
  <c r="H67" i="464"/>
  <c r="I67" i="464" s="1"/>
  <c r="H66" i="464"/>
  <c r="I66" i="464" s="1"/>
  <c r="H65" i="464"/>
  <c r="I65" i="464" s="1"/>
  <c r="H64" i="464"/>
  <c r="I64" i="464" s="1"/>
  <c r="H63" i="464"/>
  <c r="I63" i="464" s="1"/>
  <c r="H62" i="464"/>
  <c r="I62" i="464" s="1"/>
  <c r="H61" i="464"/>
  <c r="I61" i="464" s="1"/>
  <c r="H60" i="464"/>
  <c r="I60" i="464" s="1"/>
  <c r="H59" i="464"/>
  <c r="I59" i="464" s="1"/>
  <c r="I58" i="464"/>
  <c r="H57" i="464"/>
  <c r="I57" i="464" s="1"/>
  <c r="H56" i="464"/>
  <c r="I56" i="464" s="1"/>
  <c r="H55" i="464"/>
  <c r="I55" i="464" s="1"/>
  <c r="H54" i="464"/>
  <c r="I54" i="464" s="1"/>
  <c r="H53" i="464"/>
  <c r="I53" i="464" s="1"/>
  <c r="H52" i="464"/>
  <c r="I52" i="464" s="1"/>
  <c r="H51" i="464"/>
  <c r="I51" i="464" s="1"/>
  <c r="H50" i="464"/>
  <c r="I50" i="464" s="1"/>
  <c r="H49" i="464"/>
  <c r="I49" i="464" s="1"/>
  <c r="H48" i="464"/>
  <c r="I48" i="464" s="1"/>
  <c r="H47" i="464"/>
  <c r="I47" i="464" s="1"/>
  <c r="H46" i="464"/>
  <c r="I46" i="464" s="1"/>
  <c r="H45" i="464"/>
  <c r="I45" i="464" s="1"/>
  <c r="H44" i="464"/>
  <c r="I44" i="464" s="1"/>
  <c r="H43" i="464"/>
  <c r="I43" i="464" s="1"/>
  <c r="H42" i="464"/>
  <c r="I42" i="464" s="1"/>
  <c r="H41" i="464"/>
  <c r="I41" i="464" s="1"/>
  <c r="H40" i="464"/>
  <c r="I40" i="464" s="1"/>
  <c r="H39" i="464"/>
  <c r="I39" i="464" s="1"/>
  <c r="I38" i="464"/>
  <c r="H37" i="464"/>
  <c r="I37" i="464" s="1"/>
  <c r="H36" i="464"/>
  <c r="I36" i="464" s="1"/>
  <c r="H34" i="464"/>
  <c r="I34" i="464" s="1"/>
  <c r="H33" i="464"/>
  <c r="I33" i="464" s="1"/>
  <c r="H32" i="464"/>
  <c r="I32" i="464" s="1"/>
  <c r="H31" i="464"/>
  <c r="I31" i="464" s="1"/>
  <c r="H30" i="464"/>
  <c r="I30" i="464" s="1"/>
  <c r="H29" i="464"/>
  <c r="I29" i="464" s="1"/>
  <c r="H28" i="464"/>
  <c r="I28" i="464" s="1"/>
  <c r="H27" i="464"/>
  <c r="I27" i="464" s="1"/>
  <c r="H26" i="464"/>
  <c r="I26" i="464" s="1"/>
  <c r="H25" i="464"/>
  <c r="I25" i="464" s="1"/>
  <c r="H24" i="464"/>
  <c r="I24" i="464" s="1"/>
  <c r="H23" i="464"/>
  <c r="I23" i="464" s="1"/>
  <c r="H22" i="464"/>
  <c r="I22" i="464" s="1"/>
  <c r="H21" i="464"/>
  <c r="I21" i="464" s="1"/>
  <c r="H20" i="464"/>
  <c r="I20" i="464" s="1"/>
  <c r="H19" i="464"/>
  <c r="I19" i="464" s="1"/>
  <c r="H18" i="464"/>
  <c r="I18" i="464" s="1"/>
  <c r="H17" i="464"/>
  <c r="I17" i="464" s="1"/>
  <c r="H16" i="464"/>
  <c r="I16" i="464" s="1"/>
  <c r="H15" i="464"/>
  <c r="I15" i="464" s="1"/>
  <c r="H14" i="464"/>
  <c r="I14" i="464" s="1"/>
  <c r="H13" i="464"/>
  <c r="I13" i="464" s="1"/>
  <c r="H12" i="464"/>
  <c r="I12" i="464" s="1"/>
  <c r="H11" i="464"/>
  <c r="I11" i="464" s="1"/>
  <c r="H10" i="464"/>
  <c r="I10" i="464" s="1"/>
  <c r="H9" i="464"/>
  <c r="I9" i="464" s="1"/>
  <c r="H8" i="464"/>
  <c r="I8" i="464" s="1"/>
  <c r="H7" i="464"/>
  <c r="I7" i="464" s="1"/>
  <c r="H6" i="464"/>
  <c r="I6" i="464" s="1"/>
  <c r="H5" i="464"/>
  <c r="I5" i="464" s="1"/>
  <c r="H4" i="464"/>
  <c r="I4" i="464" s="1"/>
  <c r="H3" i="464"/>
  <c r="I3" i="464" s="1"/>
  <c r="H142" i="463" l="1"/>
  <c r="H166" i="463" l="1"/>
  <c r="I166" i="463" s="1"/>
  <c r="H165" i="463"/>
  <c r="I165" i="463" s="1"/>
  <c r="H164" i="463"/>
  <c r="I164" i="463" s="1"/>
  <c r="H163" i="463"/>
  <c r="I163" i="463" s="1"/>
  <c r="H162" i="463"/>
  <c r="I162" i="463" s="1"/>
  <c r="H161" i="463"/>
  <c r="I161" i="463" s="1"/>
  <c r="H160" i="463"/>
  <c r="I160" i="463" s="1"/>
  <c r="H159" i="463"/>
  <c r="I159" i="463" s="1"/>
  <c r="H158" i="463"/>
  <c r="I158" i="463" s="1"/>
  <c r="H157" i="463"/>
  <c r="I157" i="463" s="1"/>
  <c r="H156" i="463"/>
  <c r="I156" i="463" s="1"/>
  <c r="H155" i="463"/>
  <c r="I155" i="463" s="1"/>
  <c r="H151" i="463"/>
  <c r="I151" i="463" s="1"/>
  <c r="H150" i="463"/>
  <c r="I150" i="463" s="1"/>
  <c r="H149" i="463"/>
  <c r="I149" i="463" s="1"/>
  <c r="H148" i="463"/>
  <c r="I148" i="463" s="1"/>
  <c r="H147" i="463"/>
  <c r="I147" i="463" s="1"/>
  <c r="H146" i="463"/>
  <c r="I146" i="463" s="1"/>
  <c r="H145" i="463"/>
  <c r="I145" i="463" s="1"/>
  <c r="H144" i="463"/>
  <c r="I144" i="463" s="1"/>
  <c r="H143" i="463"/>
  <c r="I143" i="463" s="1"/>
  <c r="I142" i="463"/>
  <c r="H141" i="463"/>
  <c r="I141" i="463" s="1"/>
  <c r="H140" i="463"/>
  <c r="I140" i="463" s="1"/>
  <c r="H139" i="463"/>
  <c r="I139" i="463" s="1"/>
  <c r="H138" i="463"/>
  <c r="I138" i="463" s="1"/>
  <c r="H137" i="463"/>
  <c r="I137" i="463" s="1"/>
  <c r="H136" i="463"/>
  <c r="I136" i="463" s="1"/>
  <c r="H135" i="463"/>
  <c r="I135" i="463" s="1"/>
  <c r="H134" i="463"/>
  <c r="I134" i="463" s="1"/>
  <c r="H133" i="463"/>
  <c r="I133" i="463" s="1"/>
  <c r="H132" i="463"/>
  <c r="I132" i="463" s="1"/>
  <c r="H131" i="463"/>
  <c r="I131" i="463" s="1"/>
  <c r="H130" i="463"/>
  <c r="I130" i="463" s="1"/>
  <c r="H129" i="463"/>
  <c r="I129" i="463" s="1"/>
  <c r="H128" i="463"/>
  <c r="I128" i="463" s="1"/>
  <c r="H127" i="463"/>
  <c r="I127" i="463" s="1"/>
  <c r="H126" i="463"/>
  <c r="I126" i="463" s="1"/>
  <c r="H125" i="463"/>
  <c r="I125" i="463" s="1"/>
  <c r="H124" i="463"/>
  <c r="I124" i="463" s="1"/>
  <c r="H123" i="463"/>
  <c r="I123" i="463" s="1"/>
  <c r="H122" i="463"/>
  <c r="I122" i="463" s="1"/>
  <c r="H121" i="463"/>
  <c r="I121" i="463" s="1"/>
  <c r="H120" i="463"/>
  <c r="I120" i="463" s="1"/>
  <c r="H119" i="463"/>
  <c r="I119" i="463" s="1"/>
  <c r="H118" i="463"/>
  <c r="I118" i="463" s="1"/>
  <c r="H117" i="463"/>
  <c r="I117" i="463" s="1"/>
  <c r="H116" i="463"/>
  <c r="I116" i="463" s="1"/>
  <c r="H115" i="463"/>
  <c r="I115" i="463" s="1"/>
  <c r="H114" i="463"/>
  <c r="I114" i="463" s="1"/>
  <c r="H113" i="463"/>
  <c r="I113" i="463" s="1"/>
  <c r="H112" i="463"/>
  <c r="I112" i="463" s="1"/>
  <c r="H111" i="463"/>
  <c r="I111" i="463" s="1"/>
  <c r="H110" i="463"/>
  <c r="I110" i="463" s="1"/>
  <c r="H109" i="463"/>
  <c r="I109" i="463" s="1"/>
  <c r="H108" i="463"/>
  <c r="I108" i="463" s="1"/>
  <c r="H107" i="463"/>
  <c r="I107" i="463" s="1"/>
  <c r="H106" i="463"/>
  <c r="I106" i="463" s="1"/>
  <c r="H105" i="463"/>
  <c r="I105" i="463" s="1"/>
  <c r="H104" i="463"/>
  <c r="I104" i="463" s="1"/>
  <c r="H103" i="463"/>
  <c r="I103" i="463" s="1"/>
  <c r="H102" i="463"/>
  <c r="I102" i="463" s="1"/>
  <c r="H101" i="463"/>
  <c r="I101" i="463" s="1"/>
  <c r="H100" i="463"/>
  <c r="I100" i="463" s="1"/>
  <c r="H99" i="463"/>
  <c r="I99" i="463" s="1"/>
  <c r="H98" i="463"/>
  <c r="I98" i="463" s="1"/>
  <c r="H97" i="463"/>
  <c r="I97" i="463" s="1"/>
  <c r="H96" i="463"/>
  <c r="I96" i="463" s="1"/>
  <c r="H95" i="463"/>
  <c r="I95" i="463" s="1"/>
  <c r="H94" i="463"/>
  <c r="I94" i="463" s="1"/>
  <c r="H93" i="463"/>
  <c r="I93" i="463" s="1"/>
  <c r="H92" i="463"/>
  <c r="I92" i="463" s="1"/>
  <c r="H91" i="463"/>
  <c r="I91" i="463" s="1"/>
  <c r="H90" i="463"/>
  <c r="I90" i="463" s="1"/>
  <c r="H89" i="463"/>
  <c r="I89" i="463" s="1"/>
  <c r="H88" i="463"/>
  <c r="I88" i="463" s="1"/>
  <c r="H87" i="463"/>
  <c r="I87" i="463" s="1"/>
  <c r="H86" i="463"/>
  <c r="I86" i="463" s="1"/>
  <c r="H85" i="463"/>
  <c r="I85" i="463" s="1"/>
  <c r="H84" i="463"/>
  <c r="I84" i="463" s="1"/>
  <c r="H83" i="463"/>
  <c r="I83" i="463" s="1"/>
  <c r="H82" i="463"/>
  <c r="I82" i="463" s="1"/>
  <c r="H81" i="463"/>
  <c r="I81" i="463" s="1"/>
  <c r="H80" i="463"/>
  <c r="I80" i="463" s="1"/>
  <c r="H79" i="463"/>
  <c r="I79" i="463" s="1"/>
  <c r="H78" i="463"/>
  <c r="I78" i="463" s="1"/>
  <c r="H77" i="463"/>
  <c r="I77" i="463" s="1"/>
  <c r="H76" i="463"/>
  <c r="I76" i="463" s="1"/>
  <c r="H75" i="463"/>
  <c r="I75" i="463" s="1"/>
  <c r="H74" i="463"/>
  <c r="I74" i="463" s="1"/>
  <c r="H73" i="463"/>
  <c r="I73" i="463" s="1"/>
  <c r="H72" i="463"/>
  <c r="I72" i="463" s="1"/>
  <c r="H71" i="463"/>
  <c r="H70" i="463"/>
  <c r="I70" i="463" s="1"/>
  <c r="H69" i="463"/>
  <c r="I69" i="463" s="1"/>
  <c r="H68" i="463"/>
  <c r="I68" i="463" s="1"/>
  <c r="H67" i="463"/>
  <c r="I67" i="463" s="1"/>
  <c r="H66" i="463"/>
  <c r="I66" i="463" s="1"/>
  <c r="H65" i="463"/>
  <c r="I65" i="463" s="1"/>
  <c r="H64" i="463"/>
  <c r="I64" i="463" s="1"/>
  <c r="H63" i="463"/>
  <c r="I63" i="463" s="1"/>
  <c r="H62" i="463"/>
  <c r="I62" i="463" s="1"/>
  <c r="H61" i="463"/>
  <c r="I61" i="463" s="1"/>
  <c r="H60" i="463"/>
  <c r="I60" i="463" s="1"/>
  <c r="H59" i="463"/>
  <c r="I59" i="463" s="1"/>
  <c r="H58" i="463"/>
  <c r="I58" i="463" s="1"/>
  <c r="H57" i="463"/>
  <c r="I57" i="463" s="1"/>
  <c r="H56" i="463"/>
  <c r="I56" i="463" s="1"/>
  <c r="H55" i="463"/>
  <c r="I55" i="463" s="1"/>
  <c r="H54" i="463"/>
  <c r="I54" i="463" s="1"/>
  <c r="H53" i="463"/>
  <c r="I53" i="463" s="1"/>
  <c r="H52" i="463"/>
  <c r="I52" i="463" s="1"/>
  <c r="H51" i="463"/>
  <c r="I51" i="463" s="1"/>
  <c r="H50" i="463"/>
  <c r="I50" i="463" s="1"/>
  <c r="H49" i="463"/>
  <c r="I49" i="463" s="1"/>
  <c r="H48" i="463"/>
  <c r="I48" i="463" s="1"/>
  <c r="H47" i="463"/>
  <c r="I47" i="463" s="1"/>
  <c r="H46" i="463"/>
  <c r="I46" i="463" s="1"/>
  <c r="H45" i="463"/>
  <c r="I45" i="463" s="1"/>
  <c r="H44" i="463"/>
  <c r="I44" i="463" s="1"/>
  <c r="H43" i="463"/>
  <c r="I43" i="463" s="1"/>
  <c r="H42" i="463"/>
  <c r="I42" i="463" s="1"/>
  <c r="H41" i="463"/>
  <c r="I41" i="463" s="1"/>
  <c r="H40" i="463"/>
  <c r="I40" i="463" s="1"/>
  <c r="H39" i="463"/>
  <c r="I39" i="463" s="1"/>
  <c r="I38" i="463"/>
  <c r="H37" i="463"/>
  <c r="I37" i="463" s="1"/>
  <c r="H36" i="463"/>
  <c r="I36" i="463" s="1"/>
  <c r="H34" i="463"/>
  <c r="I34" i="463" s="1"/>
  <c r="H33" i="463"/>
  <c r="I33" i="463" s="1"/>
  <c r="H32" i="463"/>
  <c r="I32" i="463" s="1"/>
  <c r="H31" i="463"/>
  <c r="I31" i="463" s="1"/>
  <c r="H30" i="463"/>
  <c r="I30" i="463" s="1"/>
  <c r="H29" i="463"/>
  <c r="I29" i="463" s="1"/>
  <c r="H28" i="463"/>
  <c r="I28" i="463" s="1"/>
  <c r="H27" i="463"/>
  <c r="I27" i="463" s="1"/>
  <c r="H26" i="463"/>
  <c r="I26" i="463" s="1"/>
  <c r="H25" i="463"/>
  <c r="I25" i="463" s="1"/>
  <c r="H24" i="463"/>
  <c r="I24" i="463" s="1"/>
  <c r="H23" i="463"/>
  <c r="I23" i="463" s="1"/>
  <c r="H22" i="463"/>
  <c r="I22" i="463" s="1"/>
  <c r="H21" i="463"/>
  <c r="I21" i="463" s="1"/>
  <c r="H20" i="463"/>
  <c r="I20" i="463" s="1"/>
  <c r="H19" i="463"/>
  <c r="I19" i="463" s="1"/>
  <c r="H18" i="463"/>
  <c r="I18" i="463" s="1"/>
  <c r="H17" i="463"/>
  <c r="I17" i="463" s="1"/>
  <c r="H16" i="463"/>
  <c r="I16" i="463" s="1"/>
  <c r="H15" i="463"/>
  <c r="I15" i="463" s="1"/>
  <c r="H14" i="463"/>
  <c r="I14" i="463" s="1"/>
  <c r="H13" i="463"/>
  <c r="I13" i="463" s="1"/>
  <c r="H12" i="463"/>
  <c r="I12" i="463" s="1"/>
  <c r="H11" i="463"/>
  <c r="I11" i="463" s="1"/>
  <c r="H10" i="463"/>
  <c r="I10" i="463" s="1"/>
  <c r="H9" i="463"/>
  <c r="I9" i="463" s="1"/>
  <c r="H8" i="463"/>
  <c r="I8" i="463" s="1"/>
  <c r="H7" i="463"/>
  <c r="I7" i="463" s="1"/>
  <c r="H6" i="463"/>
  <c r="I6" i="463" s="1"/>
  <c r="H5" i="463"/>
  <c r="I5" i="463" s="1"/>
  <c r="H4" i="463"/>
  <c r="I4" i="463" s="1"/>
  <c r="H3" i="463"/>
  <c r="I3" i="463" s="1"/>
  <c r="H3" i="462" l="1"/>
  <c r="I3" i="462" s="1"/>
  <c r="H4" i="462"/>
  <c r="I4" i="462" s="1"/>
  <c r="H5" i="462"/>
  <c r="I5" i="462" s="1"/>
  <c r="H6" i="462"/>
  <c r="I6" i="462" s="1"/>
  <c r="H7" i="462"/>
  <c r="I7" i="462" s="1"/>
  <c r="H8" i="462"/>
  <c r="I8" i="462" s="1"/>
  <c r="H9" i="462"/>
  <c r="I9" i="462" s="1"/>
  <c r="H10" i="462"/>
  <c r="I10" i="462" s="1"/>
  <c r="H11" i="462"/>
  <c r="I11" i="462" s="1"/>
  <c r="H12" i="462"/>
  <c r="I12" i="462" s="1"/>
  <c r="H13" i="462"/>
  <c r="I13" i="462" s="1"/>
  <c r="H14" i="462"/>
  <c r="I14" i="462" s="1"/>
  <c r="H15" i="462"/>
  <c r="I15" i="462" s="1"/>
  <c r="H16" i="462"/>
  <c r="I16" i="462" s="1"/>
  <c r="H17" i="462"/>
  <c r="I17" i="462" s="1"/>
  <c r="H18" i="462"/>
  <c r="I18" i="462" s="1"/>
  <c r="H19" i="462"/>
  <c r="I19" i="462" s="1"/>
  <c r="H20" i="462"/>
  <c r="I20" i="462" s="1"/>
  <c r="H21" i="462"/>
  <c r="I21" i="462" s="1"/>
  <c r="H22" i="462"/>
  <c r="I22" i="462" s="1"/>
  <c r="H23" i="462"/>
  <c r="I23" i="462" s="1"/>
  <c r="H24" i="462"/>
  <c r="I24" i="462" s="1"/>
  <c r="H25" i="462"/>
  <c r="I25" i="462" s="1"/>
  <c r="H26" i="462"/>
  <c r="I26" i="462" s="1"/>
  <c r="H27" i="462"/>
  <c r="I27" i="462" s="1"/>
  <c r="H28" i="462"/>
  <c r="I28" i="462" s="1"/>
  <c r="H29" i="462"/>
  <c r="I29" i="462" s="1"/>
  <c r="H30" i="462"/>
  <c r="I30" i="462" s="1"/>
  <c r="H31" i="462"/>
  <c r="I31" i="462" s="1"/>
  <c r="H32" i="462"/>
  <c r="I32" i="462" s="1"/>
  <c r="H33" i="462"/>
  <c r="I33" i="462" s="1"/>
  <c r="H34" i="462"/>
  <c r="I34" i="462" s="1"/>
  <c r="H35" i="462"/>
  <c r="I35" i="462" s="1"/>
  <c r="H36" i="462"/>
  <c r="I36" i="462" s="1"/>
  <c r="H37" i="462"/>
  <c r="I37" i="462" s="1"/>
  <c r="H38" i="462"/>
  <c r="I38" i="462" s="1"/>
  <c r="H39" i="462"/>
  <c r="I39" i="462" s="1"/>
  <c r="H40" i="462"/>
  <c r="I40" i="462" s="1"/>
  <c r="H41" i="462"/>
  <c r="I41" i="462" s="1"/>
  <c r="H42" i="462"/>
  <c r="I42" i="462" s="1"/>
  <c r="H43" i="462"/>
  <c r="I43" i="462" s="1"/>
  <c r="H44" i="462"/>
  <c r="I44" i="462" s="1"/>
  <c r="H45" i="462"/>
  <c r="I45" i="462" s="1"/>
  <c r="H46" i="462"/>
  <c r="I46" i="462" s="1"/>
  <c r="H47" i="462"/>
  <c r="I47" i="462" s="1"/>
  <c r="H48" i="462"/>
  <c r="I48" i="462" s="1"/>
  <c r="H49" i="462"/>
  <c r="I49" i="462" s="1"/>
  <c r="H50" i="462"/>
  <c r="I50" i="462" s="1"/>
  <c r="H51" i="462"/>
  <c r="I51" i="462" s="1"/>
  <c r="H52" i="462"/>
  <c r="I52" i="462" s="1"/>
  <c r="H53" i="462"/>
  <c r="I53" i="462" s="1"/>
  <c r="H54" i="462"/>
  <c r="I54" i="462" s="1"/>
  <c r="H55" i="462"/>
  <c r="I55" i="462" s="1"/>
  <c r="H56" i="462"/>
  <c r="I56" i="462" s="1"/>
  <c r="H57" i="462"/>
  <c r="I57" i="462" s="1"/>
  <c r="H58" i="462"/>
  <c r="I58" i="462" s="1"/>
  <c r="H59" i="462"/>
  <c r="I59" i="462" s="1"/>
  <c r="H60" i="462"/>
  <c r="I60" i="462" s="1"/>
  <c r="H61" i="462"/>
  <c r="I61" i="462" s="1"/>
  <c r="H62" i="462"/>
  <c r="I62" i="462" s="1"/>
  <c r="H63" i="462"/>
  <c r="I63" i="462" s="1"/>
  <c r="H64" i="462"/>
  <c r="I64" i="462" s="1"/>
  <c r="H65" i="462"/>
  <c r="I65" i="462" s="1"/>
  <c r="H66" i="462"/>
  <c r="I66" i="462" s="1"/>
  <c r="H67" i="462"/>
  <c r="I67" i="462" s="1"/>
  <c r="H68" i="462"/>
  <c r="I68" i="462" s="1"/>
  <c r="H69" i="462"/>
  <c r="H70" i="462"/>
  <c r="I70" i="462" s="1"/>
  <c r="H71" i="462"/>
  <c r="I71" i="462" s="1"/>
  <c r="H72" i="462"/>
  <c r="I72" i="462" s="1"/>
  <c r="H73" i="462"/>
  <c r="I73" i="462" s="1"/>
  <c r="H74" i="462"/>
  <c r="I74" i="462" s="1"/>
  <c r="H75" i="462"/>
  <c r="I75" i="462" s="1"/>
  <c r="H76" i="462"/>
  <c r="I76" i="462" s="1"/>
  <c r="H77" i="462"/>
  <c r="I77" i="462" s="1"/>
  <c r="H78" i="462"/>
  <c r="I78" i="462" s="1"/>
  <c r="H79" i="462"/>
  <c r="I79" i="462" s="1"/>
  <c r="H80" i="462"/>
  <c r="I80" i="462" s="1"/>
  <c r="H81" i="462"/>
  <c r="I81" i="462" s="1"/>
  <c r="H82" i="462"/>
  <c r="I82" i="462" s="1"/>
  <c r="H83" i="462"/>
  <c r="I83" i="462" s="1"/>
  <c r="H84" i="462"/>
  <c r="I84" i="462" s="1"/>
  <c r="H85" i="462"/>
  <c r="I85" i="462" s="1"/>
  <c r="H86" i="462"/>
  <c r="I86" i="462" s="1"/>
  <c r="H87" i="462"/>
  <c r="I87" i="462" s="1"/>
  <c r="H88" i="462"/>
  <c r="I88" i="462" s="1"/>
  <c r="H89" i="462"/>
  <c r="I89" i="462" s="1"/>
  <c r="H90" i="462"/>
  <c r="I90" i="462" s="1"/>
  <c r="H91" i="462"/>
  <c r="I91" i="462" s="1"/>
  <c r="H92" i="462"/>
  <c r="I92" i="462" s="1"/>
  <c r="H93" i="462"/>
  <c r="I93" i="462" s="1"/>
  <c r="H94" i="462"/>
  <c r="I94" i="462" s="1"/>
  <c r="H95" i="462"/>
  <c r="I95" i="462" s="1"/>
  <c r="H96" i="462"/>
  <c r="I96" i="462" s="1"/>
  <c r="H97" i="462"/>
  <c r="I97" i="462" s="1"/>
  <c r="H98" i="462"/>
  <c r="I98" i="462" s="1"/>
  <c r="H99" i="462"/>
  <c r="I99" i="462" s="1"/>
  <c r="H100" i="462"/>
  <c r="I100" i="462" s="1"/>
  <c r="H101" i="462"/>
  <c r="I101" i="462" s="1"/>
  <c r="H102" i="462"/>
  <c r="I102" i="462" s="1"/>
  <c r="H103" i="462"/>
  <c r="I103" i="462" s="1"/>
  <c r="H104" i="462"/>
  <c r="I104" i="462" s="1"/>
  <c r="H105" i="462"/>
  <c r="I105" i="462" s="1"/>
  <c r="H106" i="462"/>
  <c r="I106" i="462" s="1"/>
  <c r="H107" i="462"/>
  <c r="I107" i="462" s="1"/>
  <c r="H108" i="462"/>
  <c r="I108" i="462" s="1"/>
  <c r="H109" i="462"/>
  <c r="I109" i="462" s="1"/>
  <c r="H110" i="462"/>
  <c r="I110" i="462" s="1"/>
  <c r="H111" i="462"/>
  <c r="I111" i="462" s="1"/>
  <c r="H112" i="462"/>
  <c r="I112" i="462" s="1"/>
  <c r="H113" i="462"/>
  <c r="I113" i="462" s="1"/>
  <c r="H114" i="462"/>
  <c r="I114" i="462" s="1"/>
  <c r="H115" i="462"/>
  <c r="I115" i="462" s="1"/>
  <c r="H116" i="462"/>
  <c r="I116" i="462" s="1"/>
  <c r="H117" i="462"/>
  <c r="I117" i="462" s="1"/>
  <c r="H118" i="462"/>
  <c r="I118" i="462" s="1"/>
  <c r="H119" i="462"/>
  <c r="I119" i="462" s="1"/>
  <c r="H120" i="462"/>
  <c r="I120" i="462" s="1"/>
  <c r="H121" i="462"/>
  <c r="I121" i="462" s="1"/>
  <c r="H122" i="462"/>
  <c r="I122" i="462" s="1"/>
  <c r="H123" i="462"/>
  <c r="I123" i="462" s="1"/>
  <c r="H124" i="462"/>
  <c r="I124" i="462" s="1"/>
  <c r="H125" i="462"/>
  <c r="I125" i="462" s="1"/>
  <c r="H126" i="462"/>
  <c r="I126" i="462" s="1"/>
  <c r="H127" i="462"/>
  <c r="I127" i="462" s="1"/>
  <c r="H128" i="462"/>
  <c r="I128" i="462" s="1"/>
  <c r="H129" i="462"/>
  <c r="I129" i="462" s="1"/>
  <c r="H130" i="462"/>
  <c r="I130" i="462" s="1"/>
  <c r="H131" i="462"/>
  <c r="I131" i="462" s="1"/>
  <c r="H132" i="462"/>
  <c r="I132" i="462" s="1"/>
  <c r="H133" i="462"/>
  <c r="I133" i="462" s="1"/>
  <c r="H134" i="462"/>
  <c r="I134" i="462" s="1"/>
  <c r="H135" i="462"/>
  <c r="I135" i="462" s="1"/>
  <c r="H136" i="462"/>
  <c r="I136" i="462" s="1"/>
  <c r="H137" i="462"/>
  <c r="I137" i="462" s="1"/>
  <c r="H138" i="462"/>
  <c r="I138" i="462" s="1"/>
  <c r="H139" i="462"/>
  <c r="I139" i="462" s="1"/>
  <c r="H140" i="462"/>
  <c r="I140" i="462" s="1"/>
  <c r="H141" i="462"/>
  <c r="I141" i="462" s="1"/>
  <c r="H142" i="462"/>
  <c r="I142" i="462" s="1"/>
  <c r="H143" i="462"/>
  <c r="I143" i="462" s="1"/>
  <c r="H144" i="462"/>
  <c r="I144" i="462" s="1"/>
  <c r="H145" i="462"/>
  <c r="I145" i="462" s="1"/>
  <c r="H146" i="462"/>
  <c r="I146" i="462" s="1"/>
  <c r="H150" i="462"/>
  <c r="I150" i="462" s="1"/>
  <c r="H151" i="462"/>
  <c r="I151" i="462" s="1"/>
  <c r="H152" i="462"/>
  <c r="I152" i="462" s="1"/>
  <c r="H153" i="462"/>
  <c r="I153" i="462" s="1"/>
  <c r="H154" i="462"/>
  <c r="I154" i="462" s="1"/>
  <c r="H155" i="462"/>
  <c r="I155" i="462" s="1"/>
  <c r="H156" i="462"/>
  <c r="I156" i="462" s="1"/>
  <c r="H157" i="462"/>
  <c r="I157" i="462" s="1"/>
  <c r="H158" i="462"/>
  <c r="I158" i="462" s="1"/>
  <c r="H159" i="462"/>
  <c r="I159" i="462" s="1"/>
  <c r="H160" i="462"/>
  <c r="I160" i="462" s="1"/>
  <c r="H161" i="462"/>
  <c r="I161" i="462" s="1"/>
  <c r="H3" i="461" l="1"/>
  <c r="I3" i="461" s="1"/>
  <c r="H4" i="461"/>
  <c r="I4" i="461" s="1"/>
  <c r="H5" i="461"/>
  <c r="I5" i="461" s="1"/>
  <c r="H6" i="461"/>
  <c r="I6" i="461" s="1"/>
  <c r="H7" i="461"/>
  <c r="I7" i="461" s="1"/>
  <c r="H8" i="461"/>
  <c r="I8" i="461" s="1"/>
  <c r="H9" i="461"/>
  <c r="I9" i="461" s="1"/>
  <c r="H10" i="461"/>
  <c r="I10" i="461" s="1"/>
  <c r="H11" i="461"/>
  <c r="I11" i="461" s="1"/>
  <c r="H12" i="461"/>
  <c r="I12" i="461" s="1"/>
  <c r="H13" i="461"/>
  <c r="I13" i="461" s="1"/>
  <c r="H14" i="461"/>
  <c r="I14" i="461" s="1"/>
  <c r="H15" i="461"/>
  <c r="I15" i="461" s="1"/>
  <c r="H16" i="461"/>
  <c r="I16" i="461" s="1"/>
  <c r="H17" i="461"/>
  <c r="I17" i="461" s="1"/>
  <c r="H18" i="461"/>
  <c r="I18" i="461" s="1"/>
  <c r="H19" i="461"/>
  <c r="I19" i="461" s="1"/>
  <c r="H20" i="461"/>
  <c r="I20" i="461" s="1"/>
  <c r="H21" i="461"/>
  <c r="I21" i="461" s="1"/>
  <c r="H22" i="461"/>
  <c r="I22" i="461" s="1"/>
  <c r="H23" i="461"/>
  <c r="I23" i="461" s="1"/>
  <c r="H24" i="461"/>
  <c r="I24" i="461" s="1"/>
  <c r="H25" i="461"/>
  <c r="I25" i="461" s="1"/>
  <c r="H26" i="461"/>
  <c r="I26" i="461" s="1"/>
  <c r="H27" i="461"/>
  <c r="I27" i="461" s="1"/>
  <c r="H28" i="461"/>
  <c r="I28" i="461" s="1"/>
  <c r="H29" i="461"/>
  <c r="I29" i="461" s="1"/>
  <c r="H30" i="461"/>
  <c r="I30" i="461" s="1"/>
  <c r="H31" i="461"/>
  <c r="I31" i="461" s="1"/>
  <c r="H32" i="461"/>
  <c r="I32" i="461" s="1"/>
  <c r="H33" i="461"/>
  <c r="I33" i="461" s="1"/>
  <c r="H34" i="461"/>
  <c r="I34" i="461" s="1"/>
  <c r="H35" i="461"/>
  <c r="I35" i="461" s="1"/>
  <c r="H36" i="461"/>
  <c r="I36" i="461" s="1"/>
  <c r="H37" i="461"/>
  <c r="I37" i="461" s="1"/>
  <c r="H38" i="461"/>
  <c r="I38" i="461" s="1"/>
  <c r="H39" i="461"/>
  <c r="I39" i="461" s="1"/>
  <c r="H40" i="461"/>
  <c r="I40" i="461" s="1"/>
  <c r="H41" i="461"/>
  <c r="I41" i="461" s="1"/>
  <c r="H42" i="461"/>
  <c r="I42" i="461" s="1"/>
  <c r="H43" i="461"/>
  <c r="I43" i="461" s="1"/>
  <c r="H44" i="461"/>
  <c r="I44" i="461" s="1"/>
  <c r="H45" i="461"/>
  <c r="I45" i="461" s="1"/>
  <c r="H46" i="461"/>
  <c r="I46" i="461" s="1"/>
  <c r="H47" i="461"/>
  <c r="I47" i="461" s="1"/>
  <c r="H48" i="461"/>
  <c r="I48" i="461" s="1"/>
  <c r="H49" i="461"/>
  <c r="I49" i="461" s="1"/>
  <c r="H50" i="461"/>
  <c r="I50" i="461" s="1"/>
  <c r="H51" i="461"/>
  <c r="I51" i="461" s="1"/>
  <c r="H52" i="461"/>
  <c r="I52" i="461" s="1"/>
  <c r="H53" i="461"/>
  <c r="I53" i="461" s="1"/>
  <c r="H54" i="461"/>
  <c r="I54" i="461" s="1"/>
  <c r="H55" i="461"/>
  <c r="I55" i="461" s="1"/>
  <c r="H56" i="461"/>
  <c r="I56" i="461" s="1"/>
  <c r="H57" i="461"/>
  <c r="I57" i="461" s="1"/>
  <c r="H58" i="461"/>
  <c r="I58" i="461" s="1"/>
  <c r="H59" i="461"/>
  <c r="I59" i="461" s="1"/>
  <c r="H60" i="461"/>
  <c r="I60" i="461" s="1"/>
  <c r="H61" i="461"/>
  <c r="I61" i="461" s="1"/>
  <c r="H62" i="461"/>
  <c r="H63" i="461"/>
  <c r="I63" i="461" s="1"/>
  <c r="H64" i="461"/>
  <c r="I64" i="461" s="1"/>
  <c r="H65" i="461"/>
  <c r="I65" i="461" s="1"/>
  <c r="H66" i="461"/>
  <c r="I66" i="461" s="1"/>
  <c r="H67" i="461"/>
  <c r="I67" i="461" s="1"/>
  <c r="H68" i="461"/>
  <c r="I68" i="461" s="1"/>
  <c r="H69" i="461"/>
  <c r="I69" i="461" s="1"/>
  <c r="H70" i="461"/>
  <c r="I70" i="461" s="1"/>
  <c r="H71" i="461"/>
  <c r="I71" i="461" s="1"/>
  <c r="H72" i="461"/>
  <c r="I72" i="461" s="1"/>
  <c r="H73" i="461"/>
  <c r="I73" i="461" s="1"/>
  <c r="H74" i="461"/>
  <c r="I74" i="461" s="1"/>
  <c r="H75" i="461"/>
  <c r="I75" i="461" s="1"/>
  <c r="H76" i="461"/>
  <c r="I76" i="461" s="1"/>
  <c r="H77" i="461"/>
  <c r="I77" i="461" s="1"/>
  <c r="H78" i="461"/>
  <c r="I78" i="461" s="1"/>
  <c r="H79" i="461"/>
  <c r="I79" i="461" s="1"/>
  <c r="H80" i="461"/>
  <c r="I80" i="461" s="1"/>
  <c r="H81" i="461"/>
  <c r="I81" i="461" s="1"/>
  <c r="H82" i="461"/>
  <c r="I82" i="461" s="1"/>
  <c r="H83" i="461"/>
  <c r="I83" i="461" s="1"/>
  <c r="H84" i="461"/>
  <c r="I84" i="461" s="1"/>
  <c r="H85" i="461"/>
  <c r="I85" i="461" s="1"/>
  <c r="H86" i="461"/>
  <c r="I86" i="461" s="1"/>
  <c r="H87" i="461"/>
  <c r="I87" i="461" s="1"/>
  <c r="H88" i="461"/>
  <c r="I88" i="461" s="1"/>
  <c r="H89" i="461"/>
  <c r="I89" i="461" s="1"/>
  <c r="H90" i="461"/>
  <c r="I90" i="461" s="1"/>
  <c r="H91" i="461"/>
  <c r="I91" i="461" s="1"/>
  <c r="H92" i="461"/>
  <c r="I92" i="461" s="1"/>
  <c r="H93" i="461"/>
  <c r="I93" i="461" s="1"/>
  <c r="H94" i="461"/>
  <c r="I94" i="461" s="1"/>
  <c r="H95" i="461"/>
  <c r="I95" i="461" s="1"/>
  <c r="H96" i="461"/>
  <c r="I96" i="461" s="1"/>
  <c r="H97" i="461"/>
  <c r="I97" i="461" s="1"/>
  <c r="H98" i="461"/>
  <c r="I98" i="461" s="1"/>
  <c r="H99" i="461"/>
  <c r="I99" i="461" s="1"/>
  <c r="H100" i="461"/>
  <c r="I100" i="461" s="1"/>
  <c r="H101" i="461"/>
  <c r="I101" i="461" s="1"/>
  <c r="H102" i="461"/>
  <c r="I102" i="461" s="1"/>
  <c r="H103" i="461"/>
  <c r="I103" i="461" s="1"/>
  <c r="H104" i="461"/>
  <c r="I104" i="461" s="1"/>
  <c r="H105" i="461"/>
  <c r="I105" i="461" s="1"/>
  <c r="H106" i="461"/>
  <c r="I106" i="461" s="1"/>
  <c r="H107" i="461"/>
  <c r="I107" i="461" s="1"/>
  <c r="H108" i="461"/>
  <c r="I108" i="461" s="1"/>
  <c r="H109" i="461"/>
  <c r="I109" i="461" s="1"/>
  <c r="H110" i="461"/>
  <c r="I110" i="461" s="1"/>
  <c r="H111" i="461"/>
  <c r="I111" i="461" s="1"/>
  <c r="H112" i="461"/>
  <c r="I112" i="461" s="1"/>
  <c r="H113" i="461"/>
  <c r="I113" i="461" s="1"/>
  <c r="H114" i="461"/>
  <c r="I114" i="461" s="1"/>
  <c r="H115" i="461"/>
  <c r="I115" i="461" s="1"/>
  <c r="H116" i="461"/>
  <c r="I116" i="461" s="1"/>
  <c r="H117" i="461"/>
  <c r="I117" i="461" s="1"/>
  <c r="H118" i="461"/>
  <c r="I118" i="461" s="1"/>
  <c r="H119" i="461"/>
  <c r="I119" i="461" s="1"/>
  <c r="H120" i="461"/>
  <c r="I120" i="461" s="1"/>
  <c r="H121" i="461"/>
  <c r="I121" i="461" s="1"/>
  <c r="H122" i="461"/>
  <c r="I122" i="461" s="1"/>
  <c r="H123" i="461"/>
  <c r="I123" i="461" s="1"/>
  <c r="H124" i="461"/>
  <c r="I124" i="461" s="1"/>
  <c r="H125" i="461"/>
  <c r="I125" i="461" s="1"/>
  <c r="H126" i="461"/>
  <c r="I126" i="461" s="1"/>
  <c r="H127" i="461"/>
  <c r="I127" i="461" s="1"/>
  <c r="H128" i="461"/>
  <c r="I128" i="461" s="1"/>
  <c r="H129" i="461"/>
  <c r="I129" i="461" s="1"/>
  <c r="H130" i="461"/>
  <c r="I130" i="461" s="1"/>
  <c r="H131" i="461"/>
  <c r="I131" i="461" s="1"/>
  <c r="H132" i="461"/>
  <c r="I132" i="461" s="1"/>
  <c r="H135" i="461"/>
  <c r="I135" i="461" s="1"/>
  <c r="H136" i="461"/>
  <c r="I136" i="461" s="1"/>
  <c r="H137" i="461"/>
  <c r="I137" i="461" s="1"/>
  <c r="H138" i="461"/>
  <c r="I138" i="461" s="1"/>
  <c r="H139" i="461"/>
  <c r="I139" i="461" s="1"/>
  <c r="H140" i="461"/>
  <c r="I140" i="461" s="1"/>
  <c r="H141" i="461"/>
  <c r="I141" i="461" s="1"/>
  <c r="H142" i="461"/>
  <c r="I142" i="461" s="1"/>
  <c r="H143" i="461"/>
  <c r="I143" i="461" s="1"/>
  <c r="H144" i="461"/>
  <c r="I144" i="461" s="1"/>
  <c r="H145" i="461"/>
  <c r="I145" i="461" s="1"/>
  <c r="H144" i="459" l="1"/>
  <c r="I144" i="459" s="1"/>
  <c r="H143" i="459"/>
  <c r="I143" i="459" s="1"/>
  <c r="H142" i="459"/>
  <c r="I142" i="459" s="1"/>
  <c r="H141" i="459"/>
  <c r="I141" i="459" s="1"/>
  <c r="H140" i="459"/>
  <c r="I140" i="459" s="1"/>
  <c r="H139" i="459"/>
  <c r="I139" i="459" s="1"/>
  <c r="H138" i="459"/>
  <c r="I138" i="459" s="1"/>
  <c r="H137" i="459"/>
  <c r="I137" i="459" s="1"/>
  <c r="H136" i="459"/>
  <c r="I136" i="459" s="1"/>
  <c r="H135" i="459"/>
  <c r="I135" i="459" s="1"/>
  <c r="H134" i="459"/>
  <c r="I134" i="459" s="1"/>
  <c r="H131" i="459"/>
  <c r="I131" i="459" s="1"/>
  <c r="H130" i="459"/>
  <c r="I130" i="459" s="1"/>
  <c r="H129" i="459"/>
  <c r="I129" i="459" s="1"/>
  <c r="H128" i="459"/>
  <c r="I128" i="459" s="1"/>
  <c r="H127" i="459"/>
  <c r="I127" i="459" s="1"/>
  <c r="H126" i="459"/>
  <c r="I126" i="459" s="1"/>
  <c r="H125" i="459"/>
  <c r="I125" i="459" s="1"/>
  <c r="H124" i="459"/>
  <c r="I124" i="459" s="1"/>
  <c r="H123" i="459"/>
  <c r="I123" i="459" s="1"/>
  <c r="H122" i="459"/>
  <c r="I122" i="459" s="1"/>
  <c r="H121" i="459"/>
  <c r="I121" i="459" s="1"/>
  <c r="H120" i="459"/>
  <c r="I120" i="459" s="1"/>
  <c r="H119" i="459"/>
  <c r="I119" i="459" s="1"/>
  <c r="H118" i="459"/>
  <c r="I118" i="459" s="1"/>
  <c r="H117" i="459"/>
  <c r="I117" i="459" s="1"/>
  <c r="H116" i="459"/>
  <c r="I116" i="459" s="1"/>
  <c r="H115" i="459"/>
  <c r="I115" i="459" s="1"/>
  <c r="H114" i="459"/>
  <c r="I114" i="459" s="1"/>
  <c r="H113" i="459"/>
  <c r="I113" i="459" s="1"/>
  <c r="H112" i="459"/>
  <c r="I112" i="459" s="1"/>
  <c r="H111" i="459"/>
  <c r="I111" i="459" s="1"/>
  <c r="H110" i="459"/>
  <c r="I110" i="459" s="1"/>
  <c r="H109" i="459"/>
  <c r="I109" i="459" s="1"/>
  <c r="H108" i="459"/>
  <c r="I108" i="459" s="1"/>
  <c r="H107" i="459"/>
  <c r="I107" i="459" s="1"/>
  <c r="H106" i="459"/>
  <c r="I106" i="459" s="1"/>
  <c r="H105" i="459"/>
  <c r="I105" i="459" s="1"/>
  <c r="H104" i="459"/>
  <c r="I104" i="459" s="1"/>
  <c r="H103" i="459"/>
  <c r="I103" i="459" s="1"/>
  <c r="H102" i="459"/>
  <c r="I102" i="459" s="1"/>
  <c r="H101" i="459"/>
  <c r="I101" i="459" s="1"/>
  <c r="H100" i="459"/>
  <c r="I100" i="459" s="1"/>
  <c r="H99" i="459"/>
  <c r="I99" i="459" s="1"/>
  <c r="H98" i="459"/>
  <c r="I98" i="459" s="1"/>
  <c r="H97" i="459"/>
  <c r="I97" i="459" s="1"/>
  <c r="H96" i="459"/>
  <c r="I96" i="459" s="1"/>
  <c r="H95" i="459"/>
  <c r="I95" i="459" s="1"/>
  <c r="H94" i="459"/>
  <c r="I94" i="459" s="1"/>
  <c r="H93" i="459"/>
  <c r="I93" i="459" s="1"/>
  <c r="H92" i="459"/>
  <c r="I92" i="459" s="1"/>
  <c r="H91" i="459"/>
  <c r="I91" i="459" s="1"/>
  <c r="H90" i="459"/>
  <c r="I90" i="459" s="1"/>
  <c r="H89" i="459"/>
  <c r="I89" i="459" s="1"/>
  <c r="H88" i="459"/>
  <c r="I88" i="459" s="1"/>
  <c r="H87" i="459"/>
  <c r="I87" i="459" s="1"/>
  <c r="H86" i="459"/>
  <c r="I86" i="459" s="1"/>
  <c r="H85" i="459"/>
  <c r="I85" i="459" s="1"/>
  <c r="H84" i="459"/>
  <c r="I84" i="459" s="1"/>
  <c r="H83" i="459"/>
  <c r="I83" i="459" s="1"/>
  <c r="H82" i="459"/>
  <c r="I82" i="459" s="1"/>
  <c r="H81" i="459"/>
  <c r="I81" i="459" s="1"/>
  <c r="H80" i="459"/>
  <c r="I80" i="459" s="1"/>
  <c r="H79" i="459"/>
  <c r="I79" i="459" s="1"/>
  <c r="H78" i="459"/>
  <c r="I78" i="459" s="1"/>
  <c r="H77" i="459"/>
  <c r="I77" i="459" s="1"/>
  <c r="H76" i="459"/>
  <c r="I76" i="459" s="1"/>
  <c r="H75" i="459"/>
  <c r="I75" i="459" s="1"/>
  <c r="H74" i="459"/>
  <c r="I74" i="459" s="1"/>
  <c r="H73" i="459"/>
  <c r="I73" i="459" s="1"/>
  <c r="H72" i="459"/>
  <c r="I72" i="459" s="1"/>
  <c r="H71" i="459"/>
  <c r="I71" i="459" s="1"/>
  <c r="H70" i="459"/>
  <c r="I70" i="459" s="1"/>
  <c r="H69" i="459"/>
  <c r="I69" i="459" s="1"/>
  <c r="H68" i="459"/>
  <c r="I68" i="459" s="1"/>
  <c r="H67" i="459"/>
  <c r="I67" i="459" s="1"/>
  <c r="H66" i="459"/>
  <c r="I66" i="459" s="1"/>
  <c r="H65" i="459"/>
  <c r="I65" i="459" s="1"/>
  <c r="H64" i="459"/>
  <c r="I64" i="459" s="1"/>
  <c r="H63" i="459"/>
  <c r="I63" i="459" s="1"/>
  <c r="H62" i="459"/>
  <c r="H61" i="459"/>
  <c r="I61" i="459" s="1"/>
  <c r="H60" i="459"/>
  <c r="I60" i="459" s="1"/>
  <c r="H59" i="459"/>
  <c r="I59" i="459" s="1"/>
  <c r="H58" i="459"/>
  <c r="I58" i="459" s="1"/>
  <c r="H57" i="459"/>
  <c r="I57" i="459" s="1"/>
  <c r="H56" i="459"/>
  <c r="I56" i="459" s="1"/>
  <c r="H55" i="459"/>
  <c r="I55" i="459" s="1"/>
  <c r="H54" i="459"/>
  <c r="I54" i="459" s="1"/>
  <c r="H53" i="459"/>
  <c r="I53" i="459" s="1"/>
  <c r="H52" i="459"/>
  <c r="I52" i="459" s="1"/>
  <c r="H51" i="459"/>
  <c r="I51" i="459" s="1"/>
  <c r="H50" i="459"/>
  <c r="I50" i="459" s="1"/>
  <c r="H49" i="459"/>
  <c r="I49" i="459" s="1"/>
  <c r="H48" i="459"/>
  <c r="I48" i="459" s="1"/>
  <c r="H47" i="459"/>
  <c r="I47" i="459" s="1"/>
  <c r="H46" i="459"/>
  <c r="I46" i="459" s="1"/>
  <c r="H45" i="459"/>
  <c r="I45" i="459" s="1"/>
  <c r="H44" i="459"/>
  <c r="I44" i="459" s="1"/>
  <c r="H43" i="459"/>
  <c r="I43" i="459" s="1"/>
  <c r="H42" i="459"/>
  <c r="I42" i="459" s="1"/>
  <c r="H41" i="459"/>
  <c r="I41" i="459" s="1"/>
  <c r="H40" i="459"/>
  <c r="I40" i="459" s="1"/>
  <c r="H39" i="459"/>
  <c r="I39" i="459" s="1"/>
  <c r="H38" i="459"/>
  <c r="I38" i="459" s="1"/>
  <c r="H37" i="459"/>
  <c r="I37" i="459" s="1"/>
  <c r="H36" i="459"/>
  <c r="I36" i="459" s="1"/>
  <c r="H35" i="459"/>
  <c r="I35" i="459" s="1"/>
  <c r="H34" i="459"/>
  <c r="I34" i="459" s="1"/>
  <c r="H33" i="459"/>
  <c r="I33" i="459" s="1"/>
  <c r="H32" i="459"/>
  <c r="I32" i="459" s="1"/>
  <c r="H31" i="459"/>
  <c r="I31" i="459" s="1"/>
  <c r="H30" i="459"/>
  <c r="I30" i="459" s="1"/>
  <c r="H29" i="459"/>
  <c r="I29" i="459" s="1"/>
  <c r="H28" i="459"/>
  <c r="I28" i="459" s="1"/>
  <c r="H27" i="459"/>
  <c r="I27" i="459" s="1"/>
  <c r="H26" i="459"/>
  <c r="I26" i="459" s="1"/>
  <c r="H25" i="459"/>
  <c r="I25" i="459" s="1"/>
  <c r="H24" i="459"/>
  <c r="I24" i="459" s="1"/>
  <c r="H23" i="459"/>
  <c r="I23" i="459" s="1"/>
  <c r="H22" i="459"/>
  <c r="I22" i="459" s="1"/>
  <c r="H21" i="459"/>
  <c r="I21" i="459" s="1"/>
  <c r="H20" i="459"/>
  <c r="I20" i="459" s="1"/>
  <c r="H19" i="459"/>
  <c r="I19" i="459" s="1"/>
  <c r="H18" i="459"/>
  <c r="I18" i="459" s="1"/>
  <c r="H17" i="459"/>
  <c r="I17" i="459" s="1"/>
  <c r="H16" i="459"/>
  <c r="I16" i="459" s="1"/>
  <c r="H15" i="459"/>
  <c r="I15" i="459" s="1"/>
  <c r="H14" i="459"/>
  <c r="I14" i="459" s="1"/>
  <c r="H13" i="459"/>
  <c r="I13" i="459" s="1"/>
  <c r="H12" i="459"/>
  <c r="I12" i="459" s="1"/>
  <c r="H11" i="459"/>
  <c r="I11" i="459" s="1"/>
  <c r="H10" i="459"/>
  <c r="I10" i="459" s="1"/>
  <c r="H9" i="459"/>
  <c r="I9" i="459" s="1"/>
  <c r="H8" i="459"/>
  <c r="I8" i="459" s="1"/>
  <c r="H7" i="459"/>
  <c r="I7" i="459" s="1"/>
  <c r="H6" i="459"/>
  <c r="I6" i="459" s="1"/>
  <c r="H5" i="459"/>
  <c r="I5" i="459" s="1"/>
  <c r="H4" i="459"/>
  <c r="I4" i="459" s="1"/>
  <c r="H3" i="459"/>
  <c r="I3" i="459" s="1"/>
  <c r="H144" i="458" l="1"/>
  <c r="I144" i="458" s="1"/>
  <c r="H143" i="458"/>
  <c r="I143" i="458" s="1"/>
  <c r="H142" i="458"/>
  <c r="I142" i="458" s="1"/>
  <c r="H141" i="458"/>
  <c r="I141" i="458" s="1"/>
  <c r="H140" i="458"/>
  <c r="I140" i="458" s="1"/>
  <c r="H139" i="458"/>
  <c r="I139" i="458" s="1"/>
  <c r="H138" i="458"/>
  <c r="I138" i="458" s="1"/>
  <c r="H137" i="458"/>
  <c r="I137" i="458" s="1"/>
  <c r="H136" i="458"/>
  <c r="I136" i="458" s="1"/>
  <c r="H135" i="458"/>
  <c r="I135" i="458" s="1"/>
  <c r="H134" i="458"/>
  <c r="I134" i="458" s="1"/>
  <c r="H131" i="458"/>
  <c r="I131" i="458" s="1"/>
  <c r="H130" i="458"/>
  <c r="I130" i="458" s="1"/>
  <c r="H129" i="458"/>
  <c r="I129" i="458" s="1"/>
  <c r="H128" i="458"/>
  <c r="I128" i="458" s="1"/>
  <c r="H127" i="458"/>
  <c r="I127" i="458" s="1"/>
  <c r="H126" i="458"/>
  <c r="I126" i="458" s="1"/>
  <c r="H125" i="458"/>
  <c r="I125" i="458" s="1"/>
  <c r="H124" i="458"/>
  <c r="I124" i="458" s="1"/>
  <c r="H123" i="458"/>
  <c r="I123" i="458" s="1"/>
  <c r="H122" i="458"/>
  <c r="I122" i="458" s="1"/>
  <c r="H121" i="458"/>
  <c r="I121" i="458" s="1"/>
  <c r="H120" i="458"/>
  <c r="I120" i="458" s="1"/>
  <c r="H119" i="458"/>
  <c r="I119" i="458" s="1"/>
  <c r="H118" i="458"/>
  <c r="I118" i="458" s="1"/>
  <c r="H117" i="458"/>
  <c r="I117" i="458" s="1"/>
  <c r="H116" i="458"/>
  <c r="I116" i="458" s="1"/>
  <c r="H115" i="458"/>
  <c r="I115" i="458" s="1"/>
  <c r="H114" i="458"/>
  <c r="I114" i="458" s="1"/>
  <c r="H113" i="458"/>
  <c r="I113" i="458" s="1"/>
  <c r="H112" i="458"/>
  <c r="I112" i="458" s="1"/>
  <c r="H111" i="458"/>
  <c r="I111" i="458" s="1"/>
  <c r="H110" i="458"/>
  <c r="I110" i="458" s="1"/>
  <c r="H109" i="458"/>
  <c r="I109" i="458" s="1"/>
  <c r="H108" i="458"/>
  <c r="I108" i="458" s="1"/>
  <c r="H107" i="458"/>
  <c r="I107" i="458" s="1"/>
  <c r="H106" i="458"/>
  <c r="I106" i="458" s="1"/>
  <c r="H105" i="458"/>
  <c r="I105" i="458" s="1"/>
  <c r="H104" i="458"/>
  <c r="I104" i="458" s="1"/>
  <c r="H103" i="458"/>
  <c r="I103" i="458" s="1"/>
  <c r="H102" i="458"/>
  <c r="I102" i="458" s="1"/>
  <c r="H101" i="458"/>
  <c r="I101" i="458" s="1"/>
  <c r="H100" i="458"/>
  <c r="I100" i="458" s="1"/>
  <c r="H99" i="458"/>
  <c r="I99" i="458" s="1"/>
  <c r="H98" i="458"/>
  <c r="I98" i="458" s="1"/>
  <c r="H97" i="458"/>
  <c r="I97" i="458" s="1"/>
  <c r="H96" i="458"/>
  <c r="I96" i="458" s="1"/>
  <c r="H95" i="458"/>
  <c r="I95" i="458" s="1"/>
  <c r="H94" i="458"/>
  <c r="I94" i="458" s="1"/>
  <c r="H93" i="458"/>
  <c r="I93" i="458" s="1"/>
  <c r="H92" i="458"/>
  <c r="I92" i="458" s="1"/>
  <c r="H91" i="458"/>
  <c r="I91" i="458" s="1"/>
  <c r="H90" i="458"/>
  <c r="I90" i="458" s="1"/>
  <c r="H89" i="458"/>
  <c r="I89" i="458" s="1"/>
  <c r="H88" i="458"/>
  <c r="I88" i="458" s="1"/>
  <c r="H87" i="458"/>
  <c r="I87" i="458" s="1"/>
  <c r="H86" i="458"/>
  <c r="I86" i="458" s="1"/>
  <c r="H85" i="458"/>
  <c r="I85" i="458" s="1"/>
  <c r="H84" i="458"/>
  <c r="I84" i="458" s="1"/>
  <c r="H83" i="458"/>
  <c r="I83" i="458" s="1"/>
  <c r="H82" i="458"/>
  <c r="I82" i="458" s="1"/>
  <c r="H81" i="458"/>
  <c r="I81" i="458" s="1"/>
  <c r="H80" i="458"/>
  <c r="I80" i="458" s="1"/>
  <c r="H79" i="458"/>
  <c r="I79" i="458" s="1"/>
  <c r="H78" i="458"/>
  <c r="I78" i="458" s="1"/>
  <c r="H77" i="458"/>
  <c r="I77" i="458" s="1"/>
  <c r="H76" i="458"/>
  <c r="I76" i="458" s="1"/>
  <c r="H75" i="458"/>
  <c r="I75" i="458" s="1"/>
  <c r="H74" i="458"/>
  <c r="I74" i="458" s="1"/>
  <c r="H73" i="458"/>
  <c r="I73" i="458" s="1"/>
  <c r="H72" i="458"/>
  <c r="I72" i="458" s="1"/>
  <c r="H71" i="458"/>
  <c r="I71" i="458" s="1"/>
  <c r="H70" i="458"/>
  <c r="I70" i="458" s="1"/>
  <c r="H69" i="458"/>
  <c r="I69" i="458" s="1"/>
  <c r="H68" i="458"/>
  <c r="I68" i="458" s="1"/>
  <c r="H67" i="458"/>
  <c r="I67" i="458" s="1"/>
  <c r="H66" i="458"/>
  <c r="I66" i="458" s="1"/>
  <c r="H65" i="458"/>
  <c r="I65" i="458" s="1"/>
  <c r="H64" i="458"/>
  <c r="I64" i="458" s="1"/>
  <c r="H63" i="458"/>
  <c r="I63" i="458" s="1"/>
  <c r="H62" i="458"/>
  <c r="H61" i="458"/>
  <c r="I61" i="458" s="1"/>
  <c r="H60" i="458"/>
  <c r="I60" i="458" s="1"/>
  <c r="H59" i="458"/>
  <c r="I59" i="458" s="1"/>
  <c r="H58" i="458"/>
  <c r="I58" i="458" s="1"/>
  <c r="H57" i="458"/>
  <c r="I57" i="458" s="1"/>
  <c r="H56" i="458"/>
  <c r="I56" i="458" s="1"/>
  <c r="H55" i="458"/>
  <c r="I55" i="458" s="1"/>
  <c r="H54" i="458"/>
  <c r="I54" i="458" s="1"/>
  <c r="H53" i="458"/>
  <c r="I53" i="458" s="1"/>
  <c r="H52" i="458"/>
  <c r="I52" i="458" s="1"/>
  <c r="H51" i="458"/>
  <c r="I51" i="458" s="1"/>
  <c r="H50" i="458"/>
  <c r="I50" i="458" s="1"/>
  <c r="H49" i="458"/>
  <c r="I49" i="458" s="1"/>
  <c r="H48" i="458"/>
  <c r="I48" i="458" s="1"/>
  <c r="H47" i="458"/>
  <c r="I47" i="458" s="1"/>
  <c r="H46" i="458"/>
  <c r="I46" i="458" s="1"/>
  <c r="H45" i="458"/>
  <c r="I45" i="458" s="1"/>
  <c r="H44" i="458"/>
  <c r="I44" i="458" s="1"/>
  <c r="H43" i="458"/>
  <c r="I43" i="458" s="1"/>
  <c r="H42" i="458"/>
  <c r="I42" i="458" s="1"/>
  <c r="H41" i="458"/>
  <c r="I41" i="458" s="1"/>
  <c r="H40" i="458"/>
  <c r="I40" i="458" s="1"/>
  <c r="H39" i="458"/>
  <c r="I39" i="458" s="1"/>
  <c r="H38" i="458"/>
  <c r="I38" i="458" s="1"/>
  <c r="H37" i="458"/>
  <c r="I37" i="458" s="1"/>
  <c r="H36" i="458"/>
  <c r="I36" i="458" s="1"/>
  <c r="H35" i="458"/>
  <c r="I35" i="458" s="1"/>
  <c r="H34" i="458"/>
  <c r="I34" i="458" s="1"/>
  <c r="H33" i="458"/>
  <c r="I33" i="458" s="1"/>
  <c r="H32" i="458"/>
  <c r="I32" i="458" s="1"/>
  <c r="H31" i="458"/>
  <c r="I31" i="458" s="1"/>
  <c r="H30" i="458"/>
  <c r="I30" i="458" s="1"/>
  <c r="H29" i="458"/>
  <c r="I29" i="458" s="1"/>
  <c r="H28" i="458"/>
  <c r="I28" i="458" s="1"/>
  <c r="H27" i="458"/>
  <c r="I27" i="458" s="1"/>
  <c r="H26" i="458"/>
  <c r="I26" i="458" s="1"/>
  <c r="H25" i="458"/>
  <c r="I25" i="458" s="1"/>
  <c r="H24" i="458"/>
  <c r="I24" i="458" s="1"/>
  <c r="H23" i="458"/>
  <c r="I23" i="458" s="1"/>
  <c r="H22" i="458"/>
  <c r="I22" i="458" s="1"/>
  <c r="H21" i="458"/>
  <c r="I21" i="458" s="1"/>
  <c r="H20" i="458"/>
  <c r="I20" i="458" s="1"/>
  <c r="H19" i="458"/>
  <c r="I19" i="458" s="1"/>
  <c r="H18" i="458"/>
  <c r="I18" i="458" s="1"/>
  <c r="H17" i="458"/>
  <c r="I17" i="458" s="1"/>
  <c r="H16" i="458"/>
  <c r="I16" i="458" s="1"/>
  <c r="H15" i="458"/>
  <c r="I15" i="458" s="1"/>
  <c r="H14" i="458"/>
  <c r="I14" i="458" s="1"/>
  <c r="H13" i="458"/>
  <c r="I13" i="458" s="1"/>
  <c r="H12" i="458"/>
  <c r="I12" i="458" s="1"/>
  <c r="H11" i="458"/>
  <c r="I11" i="458" s="1"/>
  <c r="H10" i="458"/>
  <c r="I10" i="458" s="1"/>
  <c r="H9" i="458"/>
  <c r="I9" i="458" s="1"/>
  <c r="H8" i="458"/>
  <c r="I8" i="458" s="1"/>
  <c r="H7" i="458"/>
  <c r="I7" i="458" s="1"/>
  <c r="H6" i="458"/>
  <c r="I6" i="458" s="1"/>
  <c r="H5" i="458"/>
  <c r="I5" i="458" s="1"/>
  <c r="H4" i="458"/>
  <c r="I4" i="458" s="1"/>
  <c r="H3" i="458"/>
  <c r="I3" i="458" s="1"/>
  <c r="H128" i="457" l="1"/>
  <c r="I128" i="457" s="1"/>
  <c r="H127" i="457"/>
  <c r="I127" i="457" s="1"/>
  <c r="H126" i="457"/>
  <c r="I126" i="457" s="1"/>
  <c r="H125" i="457"/>
  <c r="I125" i="457" s="1"/>
  <c r="H124" i="457"/>
  <c r="I124" i="457" s="1"/>
  <c r="H123" i="457"/>
  <c r="I123" i="457" s="1"/>
  <c r="H122" i="457"/>
  <c r="I122" i="457" s="1"/>
  <c r="H121" i="457"/>
  <c r="I121" i="457" s="1"/>
  <c r="H120" i="457"/>
  <c r="I120" i="457" s="1"/>
  <c r="H119" i="457"/>
  <c r="I119" i="457" s="1"/>
  <c r="H117" i="457"/>
  <c r="I117" i="457" s="1"/>
  <c r="H116" i="457"/>
  <c r="I116" i="457" s="1"/>
  <c r="H115" i="457"/>
  <c r="I115" i="457" s="1"/>
  <c r="H114" i="457"/>
  <c r="I114" i="457" s="1"/>
  <c r="H113" i="457"/>
  <c r="I113" i="457" s="1"/>
  <c r="H112" i="457"/>
  <c r="I112" i="457" s="1"/>
  <c r="H111" i="457"/>
  <c r="I111" i="457" s="1"/>
  <c r="H110" i="457"/>
  <c r="I110" i="457" s="1"/>
  <c r="H109" i="457"/>
  <c r="I109" i="457" s="1"/>
  <c r="H108" i="457"/>
  <c r="I108" i="457" s="1"/>
  <c r="H107" i="457"/>
  <c r="I107" i="457" s="1"/>
  <c r="H106" i="457"/>
  <c r="I106" i="457" s="1"/>
  <c r="H105" i="457"/>
  <c r="I105" i="457" s="1"/>
  <c r="H104" i="457"/>
  <c r="I104" i="457" s="1"/>
  <c r="H103" i="457"/>
  <c r="I103" i="457" s="1"/>
  <c r="H102" i="457"/>
  <c r="I102" i="457" s="1"/>
  <c r="H101" i="457"/>
  <c r="I101" i="457" s="1"/>
  <c r="H100" i="457"/>
  <c r="I100" i="457" s="1"/>
  <c r="H99" i="457"/>
  <c r="I99" i="457" s="1"/>
  <c r="H98" i="457"/>
  <c r="I98" i="457" s="1"/>
  <c r="H97" i="457"/>
  <c r="I97" i="457" s="1"/>
  <c r="H96" i="457"/>
  <c r="I96" i="457" s="1"/>
  <c r="H95" i="457"/>
  <c r="I95" i="457" s="1"/>
  <c r="H94" i="457"/>
  <c r="I94" i="457" s="1"/>
  <c r="H93" i="457"/>
  <c r="I93" i="457" s="1"/>
  <c r="H92" i="457"/>
  <c r="I92" i="457" s="1"/>
  <c r="H91" i="457"/>
  <c r="I91" i="457" s="1"/>
  <c r="H90" i="457"/>
  <c r="I90" i="457" s="1"/>
  <c r="H89" i="457"/>
  <c r="I89" i="457" s="1"/>
  <c r="H88" i="457"/>
  <c r="I88" i="457" s="1"/>
  <c r="H87" i="457"/>
  <c r="I87" i="457" s="1"/>
  <c r="H86" i="457"/>
  <c r="I86" i="457" s="1"/>
  <c r="H85" i="457"/>
  <c r="I85" i="457" s="1"/>
  <c r="H84" i="457"/>
  <c r="I84" i="457" s="1"/>
  <c r="H83" i="457"/>
  <c r="I83" i="457" s="1"/>
  <c r="H82" i="457"/>
  <c r="I82" i="457" s="1"/>
  <c r="H81" i="457"/>
  <c r="I81" i="457" s="1"/>
  <c r="H80" i="457"/>
  <c r="I80" i="457" s="1"/>
  <c r="H79" i="457"/>
  <c r="I79" i="457" s="1"/>
  <c r="H78" i="457"/>
  <c r="I78" i="457" s="1"/>
  <c r="H77" i="457"/>
  <c r="I77" i="457" s="1"/>
  <c r="H76" i="457"/>
  <c r="I76" i="457" s="1"/>
  <c r="H75" i="457"/>
  <c r="I75" i="457" s="1"/>
  <c r="H74" i="457"/>
  <c r="I74" i="457" s="1"/>
  <c r="H73" i="457"/>
  <c r="I73" i="457" s="1"/>
  <c r="H72" i="457"/>
  <c r="I72" i="457" s="1"/>
  <c r="H71" i="457"/>
  <c r="I71" i="457" s="1"/>
  <c r="H70" i="457"/>
  <c r="I70" i="457" s="1"/>
  <c r="H69" i="457"/>
  <c r="I69" i="457" s="1"/>
  <c r="H68" i="457"/>
  <c r="I68" i="457" s="1"/>
  <c r="H67" i="457"/>
  <c r="I67" i="457" s="1"/>
  <c r="H66" i="457"/>
  <c r="I66" i="457" s="1"/>
  <c r="H65" i="457"/>
  <c r="I65" i="457" s="1"/>
  <c r="H64" i="457"/>
  <c r="I64" i="457" s="1"/>
  <c r="H63" i="457"/>
  <c r="I63" i="457" s="1"/>
  <c r="H62" i="457"/>
  <c r="I62" i="457" s="1"/>
  <c r="H61" i="457"/>
  <c r="I61" i="457" s="1"/>
  <c r="H60" i="457"/>
  <c r="I60" i="457" s="1"/>
  <c r="H59" i="457"/>
  <c r="I59" i="457" s="1"/>
  <c r="H58" i="457"/>
  <c r="I58" i="457" s="1"/>
  <c r="H57" i="457"/>
  <c r="H56" i="457"/>
  <c r="I56" i="457" s="1"/>
  <c r="H55" i="457"/>
  <c r="I55" i="457" s="1"/>
  <c r="H54" i="457"/>
  <c r="I54" i="457" s="1"/>
  <c r="H53" i="457"/>
  <c r="I53" i="457" s="1"/>
  <c r="H52" i="457"/>
  <c r="I52" i="457" s="1"/>
  <c r="H51" i="457"/>
  <c r="I51" i="457" s="1"/>
  <c r="H50" i="457"/>
  <c r="I50" i="457" s="1"/>
  <c r="H49" i="457"/>
  <c r="I49" i="457" s="1"/>
  <c r="H48" i="457"/>
  <c r="I48" i="457" s="1"/>
  <c r="H47" i="457"/>
  <c r="I47" i="457" s="1"/>
  <c r="H46" i="457"/>
  <c r="I46" i="457" s="1"/>
  <c r="H45" i="457"/>
  <c r="I45" i="457" s="1"/>
  <c r="H44" i="457"/>
  <c r="I44" i="457" s="1"/>
  <c r="H43" i="457"/>
  <c r="I43" i="457" s="1"/>
  <c r="H42" i="457"/>
  <c r="I42" i="457" s="1"/>
  <c r="H41" i="457"/>
  <c r="I41" i="457" s="1"/>
  <c r="H40" i="457"/>
  <c r="I40" i="457" s="1"/>
  <c r="H39" i="457"/>
  <c r="I39" i="457" s="1"/>
  <c r="H38" i="457"/>
  <c r="I38" i="457" s="1"/>
  <c r="H37" i="457"/>
  <c r="I37" i="457" s="1"/>
  <c r="H36" i="457"/>
  <c r="I36" i="457" s="1"/>
  <c r="H35" i="457"/>
  <c r="I35" i="457" s="1"/>
  <c r="H34" i="457"/>
  <c r="I34" i="457" s="1"/>
  <c r="H33" i="457"/>
  <c r="I33" i="457" s="1"/>
  <c r="H32" i="457"/>
  <c r="I32" i="457" s="1"/>
  <c r="H31" i="457"/>
  <c r="I31" i="457" s="1"/>
  <c r="H30" i="457"/>
  <c r="I30" i="457" s="1"/>
  <c r="H29" i="457"/>
  <c r="I29" i="457" s="1"/>
  <c r="H28" i="457"/>
  <c r="I28" i="457" s="1"/>
  <c r="H27" i="457"/>
  <c r="I27" i="457" s="1"/>
  <c r="H26" i="457"/>
  <c r="I26" i="457" s="1"/>
  <c r="H25" i="457"/>
  <c r="I25" i="457" s="1"/>
  <c r="H24" i="457"/>
  <c r="I24" i="457" s="1"/>
  <c r="H23" i="457"/>
  <c r="I23" i="457" s="1"/>
  <c r="H22" i="457"/>
  <c r="I22" i="457" s="1"/>
  <c r="H21" i="457"/>
  <c r="I21" i="457" s="1"/>
  <c r="H20" i="457"/>
  <c r="I20" i="457" s="1"/>
  <c r="H19" i="457"/>
  <c r="I19" i="457" s="1"/>
  <c r="H18" i="457"/>
  <c r="I18" i="457" s="1"/>
  <c r="H17" i="457"/>
  <c r="I17" i="457" s="1"/>
  <c r="H16" i="457"/>
  <c r="I16" i="457" s="1"/>
  <c r="H15" i="457"/>
  <c r="I15" i="457" s="1"/>
  <c r="H14" i="457"/>
  <c r="I14" i="457" s="1"/>
  <c r="H13" i="457"/>
  <c r="I13" i="457" s="1"/>
  <c r="H12" i="457"/>
  <c r="I12" i="457" s="1"/>
  <c r="H11" i="457"/>
  <c r="I11" i="457" s="1"/>
  <c r="H10" i="457"/>
  <c r="I10" i="457" s="1"/>
  <c r="H9" i="457"/>
  <c r="I9" i="457" s="1"/>
  <c r="H8" i="457"/>
  <c r="I8" i="457" s="1"/>
  <c r="H7" i="457"/>
  <c r="I7" i="457" s="1"/>
  <c r="H6" i="457"/>
  <c r="I6" i="457" s="1"/>
  <c r="H5" i="457"/>
  <c r="I5" i="457" s="1"/>
  <c r="H4" i="457"/>
  <c r="I4" i="457" s="1"/>
  <c r="H3" i="457"/>
  <c r="I3" i="457" s="1"/>
  <c r="H128" i="456"/>
  <c r="I128" i="456" s="1"/>
  <c r="H127" i="456"/>
  <c r="I127" i="456" s="1"/>
  <c r="H126" i="456"/>
  <c r="I126" i="456" s="1"/>
  <c r="H125" i="456"/>
  <c r="I125" i="456" s="1"/>
  <c r="H124" i="456"/>
  <c r="I124" i="456" s="1"/>
  <c r="H123" i="456"/>
  <c r="I123" i="456" s="1"/>
  <c r="H122" i="456"/>
  <c r="I122" i="456" s="1"/>
  <c r="H121" i="456"/>
  <c r="I121" i="456" s="1"/>
  <c r="H120" i="456"/>
  <c r="I120" i="456" s="1"/>
  <c r="H119" i="456"/>
  <c r="I119" i="456" s="1"/>
  <c r="H117" i="456"/>
  <c r="I117" i="456" s="1"/>
  <c r="H116" i="456"/>
  <c r="I116" i="456" s="1"/>
  <c r="H115" i="456"/>
  <c r="I115" i="456" s="1"/>
  <c r="H114" i="456"/>
  <c r="I114" i="456" s="1"/>
  <c r="H113" i="456"/>
  <c r="I113" i="456" s="1"/>
  <c r="H112" i="456"/>
  <c r="I112" i="456" s="1"/>
  <c r="H111" i="456"/>
  <c r="I111" i="456" s="1"/>
  <c r="H110" i="456"/>
  <c r="I110" i="456" s="1"/>
  <c r="H109" i="456"/>
  <c r="I109" i="456" s="1"/>
  <c r="H108" i="456"/>
  <c r="I108" i="456" s="1"/>
  <c r="H107" i="456"/>
  <c r="I107" i="456" s="1"/>
  <c r="H106" i="456"/>
  <c r="I106" i="456" s="1"/>
  <c r="H105" i="456"/>
  <c r="I105" i="456" s="1"/>
  <c r="H104" i="456"/>
  <c r="I104" i="456" s="1"/>
  <c r="H103" i="456"/>
  <c r="I103" i="456" s="1"/>
  <c r="H102" i="456"/>
  <c r="I102" i="456" s="1"/>
  <c r="H101" i="456"/>
  <c r="I101" i="456" s="1"/>
  <c r="H100" i="456"/>
  <c r="I100" i="456" s="1"/>
  <c r="H99" i="456"/>
  <c r="I99" i="456" s="1"/>
  <c r="H98" i="456"/>
  <c r="I98" i="456" s="1"/>
  <c r="H97" i="456"/>
  <c r="I97" i="456" s="1"/>
  <c r="H96" i="456"/>
  <c r="I96" i="456" s="1"/>
  <c r="H95" i="456"/>
  <c r="I95" i="456" s="1"/>
  <c r="H94" i="456"/>
  <c r="I94" i="456" s="1"/>
  <c r="H93" i="456"/>
  <c r="I93" i="456" s="1"/>
  <c r="H92" i="456"/>
  <c r="I92" i="456" s="1"/>
  <c r="H91" i="456"/>
  <c r="I91" i="456" s="1"/>
  <c r="H90" i="456"/>
  <c r="I90" i="456" s="1"/>
  <c r="H89" i="456"/>
  <c r="I89" i="456" s="1"/>
  <c r="H88" i="456"/>
  <c r="I88" i="456" s="1"/>
  <c r="H87" i="456"/>
  <c r="I87" i="456" s="1"/>
  <c r="H86" i="456"/>
  <c r="I86" i="456" s="1"/>
  <c r="H85" i="456"/>
  <c r="I85" i="456" s="1"/>
  <c r="H84" i="456"/>
  <c r="I84" i="456" s="1"/>
  <c r="H83" i="456"/>
  <c r="I83" i="456" s="1"/>
  <c r="H82" i="456"/>
  <c r="I82" i="456" s="1"/>
  <c r="H81" i="456"/>
  <c r="I81" i="456" s="1"/>
  <c r="H80" i="456"/>
  <c r="I80" i="456" s="1"/>
  <c r="H79" i="456"/>
  <c r="I79" i="456" s="1"/>
  <c r="H78" i="456"/>
  <c r="I78" i="456" s="1"/>
  <c r="H77" i="456"/>
  <c r="I77" i="456" s="1"/>
  <c r="H76" i="456"/>
  <c r="I76" i="456" s="1"/>
  <c r="H75" i="456"/>
  <c r="I75" i="456" s="1"/>
  <c r="H74" i="456"/>
  <c r="I74" i="456" s="1"/>
  <c r="H73" i="456"/>
  <c r="I73" i="456" s="1"/>
  <c r="H72" i="456"/>
  <c r="I72" i="456" s="1"/>
  <c r="H71" i="456"/>
  <c r="I71" i="456" s="1"/>
  <c r="H70" i="456"/>
  <c r="I70" i="456" s="1"/>
  <c r="H69" i="456"/>
  <c r="I69" i="456" s="1"/>
  <c r="H68" i="456"/>
  <c r="I68" i="456" s="1"/>
  <c r="H67" i="456"/>
  <c r="I67" i="456" s="1"/>
  <c r="H66" i="456"/>
  <c r="I66" i="456" s="1"/>
  <c r="H65" i="456"/>
  <c r="I65" i="456" s="1"/>
  <c r="H64" i="456"/>
  <c r="I64" i="456" s="1"/>
  <c r="H63" i="456"/>
  <c r="I63" i="456" s="1"/>
  <c r="H62" i="456"/>
  <c r="I62" i="456" s="1"/>
  <c r="H61" i="456"/>
  <c r="I61" i="456" s="1"/>
  <c r="H60" i="456"/>
  <c r="I60" i="456" s="1"/>
  <c r="H59" i="456"/>
  <c r="I59" i="456" s="1"/>
  <c r="H58" i="456"/>
  <c r="I58" i="456" s="1"/>
  <c r="H57" i="456"/>
  <c r="I56" i="456"/>
  <c r="H56" i="456"/>
  <c r="H55" i="456"/>
  <c r="I55" i="456" s="1"/>
  <c r="H54" i="456"/>
  <c r="I54" i="456" s="1"/>
  <c r="I53" i="456"/>
  <c r="H53" i="456"/>
  <c r="I52" i="456"/>
  <c r="H52" i="456"/>
  <c r="I51" i="456"/>
  <c r="H51" i="456"/>
  <c r="I50" i="456"/>
  <c r="H50" i="456"/>
  <c r="I49" i="456"/>
  <c r="H49" i="456"/>
  <c r="H48" i="456"/>
  <c r="I48" i="456" s="1"/>
  <c r="I47" i="456"/>
  <c r="H47" i="456"/>
  <c r="I46" i="456"/>
  <c r="H46" i="456"/>
  <c r="H45" i="456"/>
  <c r="I45" i="456" s="1"/>
  <c r="I44" i="456"/>
  <c r="H44" i="456"/>
  <c r="I43" i="456"/>
  <c r="H43" i="456"/>
  <c r="H42" i="456"/>
  <c r="I42" i="456" s="1"/>
  <c r="I41" i="456"/>
  <c r="H41" i="456"/>
  <c r="H40" i="456"/>
  <c r="I40" i="456" s="1"/>
  <c r="H39" i="456"/>
  <c r="I39" i="456" s="1"/>
  <c r="I38" i="456"/>
  <c r="H38" i="456"/>
  <c r="H37" i="456"/>
  <c r="I37" i="456" s="1"/>
  <c r="H36" i="456"/>
  <c r="I36" i="456" s="1"/>
  <c r="I35" i="456"/>
  <c r="H35" i="456"/>
  <c r="H34" i="456"/>
  <c r="I34" i="456" s="1"/>
  <c r="H33" i="456"/>
  <c r="I33" i="456" s="1"/>
  <c r="I32" i="456"/>
  <c r="H32" i="456"/>
  <c r="H31" i="456"/>
  <c r="I31" i="456" s="1"/>
  <c r="H30" i="456"/>
  <c r="I30" i="456" s="1"/>
  <c r="I29" i="456"/>
  <c r="H29" i="456"/>
  <c r="H28" i="456"/>
  <c r="I28" i="456" s="1"/>
  <c r="H27" i="456"/>
  <c r="I27" i="456" s="1"/>
  <c r="I26" i="456"/>
  <c r="H26" i="456"/>
  <c r="H25" i="456"/>
  <c r="I25" i="456" s="1"/>
  <c r="H24" i="456"/>
  <c r="I24" i="456" s="1"/>
  <c r="I23" i="456"/>
  <c r="H23" i="456"/>
  <c r="H22" i="456"/>
  <c r="I22" i="456" s="1"/>
  <c r="H21" i="456"/>
  <c r="I21" i="456" s="1"/>
  <c r="I20" i="456"/>
  <c r="H20" i="456"/>
  <c r="H19" i="456"/>
  <c r="I19" i="456" s="1"/>
  <c r="H18" i="456"/>
  <c r="I18" i="456" s="1"/>
  <c r="I17" i="456"/>
  <c r="H17" i="456"/>
  <c r="H16" i="456"/>
  <c r="I16" i="456" s="1"/>
  <c r="H15" i="456"/>
  <c r="I15" i="456" s="1"/>
  <c r="I14" i="456"/>
  <c r="H14" i="456"/>
  <c r="H13" i="456"/>
  <c r="I13" i="456" s="1"/>
  <c r="H12" i="456"/>
  <c r="I12" i="456" s="1"/>
  <c r="I11" i="456"/>
  <c r="H11" i="456"/>
  <c r="H10" i="456"/>
  <c r="I10" i="456" s="1"/>
  <c r="H9" i="456"/>
  <c r="I9" i="456" s="1"/>
  <c r="I8" i="456"/>
  <c r="H8" i="456"/>
  <c r="H7" i="456"/>
  <c r="I7" i="456" s="1"/>
  <c r="H6" i="456"/>
  <c r="I6" i="456" s="1"/>
  <c r="I5" i="456"/>
  <c r="H5" i="456"/>
  <c r="H4" i="456"/>
  <c r="I4" i="456" s="1"/>
  <c r="H3" i="456"/>
  <c r="I3" i="456" s="1"/>
  <c r="H126" i="455" l="1"/>
  <c r="I126" i="455" s="1"/>
  <c r="H125" i="455"/>
  <c r="I125" i="455" s="1"/>
  <c r="H124" i="455"/>
  <c r="I124" i="455" s="1"/>
  <c r="H123" i="455"/>
  <c r="I123" i="455" s="1"/>
  <c r="H122" i="455"/>
  <c r="I122" i="455" s="1"/>
  <c r="H121" i="455"/>
  <c r="I121" i="455" s="1"/>
  <c r="H120" i="455"/>
  <c r="I120" i="455" s="1"/>
  <c r="H119" i="455"/>
  <c r="I119" i="455" s="1"/>
  <c r="H118" i="455"/>
  <c r="I118" i="455" s="1"/>
  <c r="H117" i="455"/>
  <c r="I117" i="455" s="1"/>
  <c r="H115" i="455"/>
  <c r="I115" i="455" s="1"/>
  <c r="H114" i="455"/>
  <c r="I114" i="455" s="1"/>
  <c r="H113" i="455"/>
  <c r="I113" i="455" s="1"/>
  <c r="H112" i="455"/>
  <c r="I112" i="455" s="1"/>
  <c r="H111" i="455"/>
  <c r="I111" i="455" s="1"/>
  <c r="H110" i="455"/>
  <c r="I110" i="455" s="1"/>
  <c r="H109" i="455"/>
  <c r="I109" i="455" s="1"/>
  <c r="H108" i="455"/>
  <c r="I108" i="455" s="1"/>
  <c r="H107" i="455"/>
  <c r="I107" i="455" s="1"/>
  <c r="H106" i="455"/>
  <c r="I106" i="455" s="1"/>
  <c r="H105" i="455"/>
  <c r="I105" i="455" s="1"/>
  <c r="H104" i="455"/>
  <c r="I104" i="455" s="1"/>
  <c r="H103" i="455"/>
  <c r="I103" i="455" s="1"/>
  <c r="H102" i="455"/>
  <c r="I102" i="455" s="1"/>
  <c r="H101" i="455"/>
  <c r="I101" i="455" s="1"/>
  <c r="H100" i="455"/>
  <c r="I100" i="455" s="1"/>
  <c r="H99" i="455"/>
  <c r="I99" i="455" s="1"/>
  <c r="H98" i="455"/>
  <c r="I98" i="455" s="1"/>
  <c r="H97" i="455"/>
  <c r="I97" i="455" s="1"/>
  <c r="H96" i="455"/>
  <c r="I96" i="455" s="1"/>
  <c r="H95" i="455"/>
  <c r="I95" i="455" s="1"/>
  <c r="H94" i="455"/>
  <c r="I94" i="455" s="1"/>
  <c r="H93" i="455"/>
  <c r="I93" i="455" s="1"/>
  <c r="H92" i="455"/>
  <c r="I92" i="455" s="1"/>
  <c r="H91" i="455"/>
  <c r="I91" i="455" s="1"/>
  <c r="H90" i="455"/>
  <c r="I90" i="455" s="1"/>
  <c r="H89" i="455"/>
  <c r="I89" i="455" s="1"/>
  <c r="H88" i="455"/>
  <c r="I88" i="455" s="1"/>
  <c r="H87" i="455"/>
  <c r="I87" i="455" s="1"/>
  <c r="H86" i="455"/>
  <c r="I86" i="455" s="1"/>
  <c r="H85" i="455"/>
  <c r="I85" i="455" s="1"/>
  <c r="H84" i="455"/>
  <c r="I84" i="455" s="1"/>
  <c r="H83" i="455"/>
  <c r="I83" i="455" s="1"/>
  <c r="H82" i="455"/>
  <c r="I82" i="455" s="1"/>
  <c r="H81" i="455"/>
  <c r="I81" i="455" s="1"/>
  <c r="H80" i="455"/>
  <c r="I80" i="455" s="1"/>
  <c r="H79" i="455"/>
  <c r="I79" i="455" s="1"/>
  <c r="H78" i="455"/>
  <c r="I78" i="455" s="1"/>
  <c r="H77" i="455"/>
  <c r="I77" i="455" s="1"/>
  <c r="H76" i="455"/>
  <c r="I76" i="455" s="1"/>
  <c r="H75" i="455"/>
  <c r="I75" i="455" s="1"/>
  <c r="H74" i="455"/>
  <c r="I74" i="455" s="1"/>
  <c r="H73" i="455"/>
  <c r="I73" i="455" s="1"/>
  <c r="H72" i="455"/>
  <c r="I72" i="455" s="1"/>
  <c r="H71" i="455"/>
  <c r="I71" i="455" s="1"/>
  <c r="H70" i="455"/>
  <c r="I70" i="455" s="1"/>
  <c r="H69" i="455"/>
  <c r="I69" i="455" s="1"/>
  <c r="H68" i="455"/>
  <c r="I68" i="455" s="1"/>
  <c r="H67" i="455"/>
  <c r="I67" i="455" s="1"/>
  <c r="H66" i="455"/>
  <c r="I66" i="455" s="1"/>
  <c r="H65" i="455"/>
  <c r="I65" i="455" s="1"/>
  <c r="H64" i="455"/>
  <c r="I64" i="455" s="1"/>
  <c r="H63" i="455"/>
  <c r="I63" i="455" s="1"/>
  <c r="H62" i="455"/>
  <c r="I62" i="455" s="1"/>
  <c r="H61" i="455"/>
  <c r="I61" i="455" s="1"/>
  <c r="H60" i="455"/>
  <c r="I60" i="455" s="1"/>
  <c r="H59" i="455"/>
  <c r="I59" i="455" s="1"/>
  <c r="H58" i="455"/>
  <c r="I58" i="455" s="1"/>
  <c r="H57" i="455"/>
  <c r="H56" i="455"/>
  <c r="I56" i="455" s="1"/>
  <c r="H55" i="455"/>
  <c r="I55" i="455" s="1"/>
  <c r="H54" i="455"/>
  <c r="I54" i="455" s="1"/>
  <c r="H53" i="455"/>
  <c r="I53" i="455" s="1"/>
  <c r="H52" i="455"/>
  <c r="I52" i="455" s="1"/>
  <c r="H51" i="455"/>
  <c r="I51" i="455" s="1"/>
  <c r="H50" i="455"/>
  <c r="I50" i="455" s="1"/>
  <c r="H49" i="455"/>
  <c r="I49" i="455" s="1"/>
  <c r="H48" i="455"/>
  <c r="I48" i="455" s="1"/>
  <c r="H47" i="455"/>
  <c r="I47" i="455" s="1"/>
  <c r="H46" i="455"/>
  <c r="I46" i="455" s="1"/>
  <c r="H45" i="455"/>
  <c r="I45" i="455" s="1"/>
  <c r="H44" i="455"/>
  <c r="I44" i="455" s="1"/>
  <c r="H43" i="455"/>
  <c r="I43" i="455" s="1"/>
  <c r="H42" i="455"/>
  <c r="I42" i="455" s="1"/>
  <c r="H41" i="455"/>
  <c r="I41" i="455" s="1"/>
  <c r="H40" i="455"/>
  <c r="I40" i="455" s="1"/>
  <c r="H39" i="455"/>
  <c r="I39" i="455" s="1"/>
  <c r="H38" i="455"/>
  <c r="I38" i="455" s="1"/>
  <c r="H37" i="455"/>
  <c r="I37" i="455" s="1"/>
  <c r="H36" i="455"/>
  <c r="I36" i="455" s="1"/>
  <c r="H35" i="455"/>
  <c r="I35" i="455" s="1"/>
  <c r="H34" i="455"/>
  <c r="I34" i="455" s="1"/>
  <c r="H33" i="455"/>
  <c r="I33" i="455" s="1"/>
  <c r="H32" i="455"/>
  <c r="I32" i="455" s="1"/>
  <c r="H31" i="455"/>
  <c r="I31" i="455" s="1"/>
  <c r="H30" i="455"/>
  <c r="I30" i="455" s="1"/>
  <c r="H29" i="455"/>
  <c r="I29" i="455" s="1"/>
  <c r="H28" i="455"/>
  <c r="I28" i="455" s="1"/>
  <c r="H27" i="455"/>
  <c r="I27" i="455" s="1"/>
  <c r="H26" i="455"/>
  <c r="I26" i="455" s="1"/>
  <c r="H25" i="455"/>
  <c r="I25" i="455" s="1"/>
  <c r="H24" i="455"/>
  <c r="I24" i="455" s="1"/>
  <c r="H23" i="455"/>
  <c r="I23" i="455" s="1"/>
  <c r="H22" i="455"/>
  <c r="I22" i="455" s="1"/>
  <c r="H21" i="455"/>
  <c r="I21" i="455" s="1"/>
  <c r="H20" i="455"/>
  <c r="I20" i="455" s="1"/>
  <c r="H19" i="455"/>
  <c r="I19" i="455" s="1"/>
  <c r="H18" i="455"/>
  <c r="I18" i="455" s="1"/>
  <c r="H17" i="455"/>
  <c r="I17" i="455" s="1"/>
  <c r="H16" i="455"/>
  <c r="I16" i="455" s="1"/>
  <c r="H15" i="455"/>
  <c r="I15" i="455" s="1"/>
  <c r="H14" i="455"/>
  <c r="I14" i="455" s="1"/>
  <c r="H13" i="455"/>
  <c r="I13" i="455" s="1"/>
  <c r="H12" i="455"/>
  <c r="I12" i="455" s="1"/>
  <c r="H11" i="455"/>
  <c r="I11" i="455" s="1"/>
  <c r="H10" i="455"/>
  <c r="I10" i="455" s="1"/>
  <c r="H9" i="455"/>
  <c r="I9" i="455" s="1"/>
  <c r="H8" i="455"/>
  <c r="I8" i="455" s="1"/>
  <c r="H7" i="455"/>
  <c r="I7" i="455" s="1"/>
  <c r="H6" i="455"/>
  <c r="I6" i="455" s="1"/>
  <c r="H5" i="455"/>
  <c r="I5" i="455" s="1"/>
  <c r="H4" i="455"/>
  <c r="I4" i="455" s="1"/>
  <c r="H3" i="455"/>
  <c r="I3" i="455" s="1"/>
  <c r="H126" i="454"/>
  <c r="I126" i="454" s="1"/>
  <c r="I125" i="454"/>
  <c r="H125" i="454"/>
  <c r="H124" i="454"/>
  <c r="I124" i="454" s="1"/>
  <c r="H123" i="454"/>
  <c r="I123" i="454" s="1"/>
  <c r="I122" i="454"/>
  <c r="H122" i="454"/>
  <c r="H121" i="454"/>
  <c r="I121" i="454" s="1"/>
  <c r="H120" i="454"/>
  <c r="I120" i="454" s="1"/>
  <c r="I119" i="454"/>
  <c r="H119" i="454"/>
  <c r="H118" i="454"/>
  <c r="I118" i="454" s="1"/>
  <c r="H117" i="454"/>
  <c r="I117" i="454" s="1"/>
  <c r="I115" i="454"/>
  <c r="H115" i="454"/>
  <c r="H114" i="454"/>
  <c r="I114" i="454" s="1"/>
  <c r="H113" i="454"/>
  <c r="I113" i="454" s="1"/>
  <c r="I112" i="454"/>
  <c r="H112" i="454"/>
  <c r="H111" i="454"/>
  <c r="I111" i="454" s="1"/>
  <c r="H110" i="454"/>
  <c r="I110" i="454" s="1"/>
  <c r="I109" i="454"/>
  <c r="H109" i="454"/>
  <c r="H108" i="454"/>
  <c r="I108" i="454" s="1"/>
  <c r="H107" i="454"/>
  <c r="I107" i="454" s="1"/>
  <c r="H106" i="454"/>
  <c r="I106" i="454" s="1"/>
  <c r="H105" i="454"/>
  <c r="I105" i="454" s="1"/>
  <c r="H104" i="454"/>
  <c r="I104" i="454" s="1"/>
  <c r="H103" i="454"/>
  <c r="I103" i="454" s="1"/>
  <c r="H102" i="454"/>
  <c r="I102" i="454" s="1"/>
  <c r="H101" i="454"/>
  <c r="I101" i="454" s="1"/>
  <c r="H100" i="454"/>
  <c r="I100" i="454" s="1"/>
  <c r="H99" i="454"/>
  <c r="I99" i="454" s="1"/>
  <c r="H98" i="454"/>
  <c r="I98" i="454" s="1"/>
  <c r="H97" i="454"/>
  <c r="I97" i="454" s="1"/>
  <c r="H96" i="454"/>
  <c r="I96" i="454" s="1"/>
  <c r="H95" i="454"/>
  <c r="I95" i="454" s="1"/>
  <c r="H94" i="454"/>
  <c r="I94" i="454" s="1"/>
  <c r="H93" i="454"/>
  <c r="I93" i="454" s="1"/>
  <c r="H92" i="454"/>
  <c r="I92" i="454" s="1"/>
  <c r="H91" i="454"/>
  <c r="I91" i="454" s="1"/>
  <c r="H90" i="454"/>
  <c r="I90" i="454" s="1"/>
  <c r="H89" i="454"/>
  <c r="I89" i="454" s="1"/>
  <c r="H88" i="454"/>
  <c r="I88" i="454" s="1"/>
  <c r="H87" i="454"/>
  <c r="I87" i="454" s="1"/>
  <c r="H86" i="454"/>
  <c r="I86" i="454" s="1"/>
  <c r="H85" i="454"/>
  <c r="I85" i="454" s="1"/>
  <c r="H84" i="454"/>
  <c r="I84" i="454" s="1"/>
  <c r="H83" i="454"/>
  <c r="I83" i="454" s="1"/>
  <c r="H82" i="454"/>
  <c r="I82" i="454" s="1"/>
  <c r="H81" i="454"/>
  <c r="I81" i="454" s="1"/>
  <c r="H80" i="454"/>
  <c r="I80" i="454" s="1"/>
  <c r="H79" i="454"/>
  <c r="I79" i="454" s="1"/>
  <c r="H78" i="454"/>
  <c r="I78" i="454" s="1"/>
  <c r="H77" i="454"/>
  <c r="I77" i="454" s="1"/>
  <c r="H76" i="454"/>
  <c r="I76" i="454" s="1"/>
  <c r="H75" i="454"/>
  <c r="I75" i="454" s="1"/>
  <c r="H74" i="454"/>
  <c r="I74" i="454" s="1"/>
  <c r="H73" i="454"/>
  <c r="I73" i="454" s="1"/>
  <c r="H72" i="454"/>
  <c r="I72" i="454" s="1"/>
  <c r="H71" i="454"/>
  <c r="I71" i="454" s="1"/>
  <c r="H70" i="454"/>
  <c r="I70" i="454" s="1"/>
  <c r="H69" i="454"/>
  <c r="I69" i="454" s="1"/>
  <c r="H68" i="454"/>
  <c r="I68" i="454" s="1"/>
  <c r="H67" i="454"/>
  <c r="I67" i="454" s="1"/>
  <c r="H66" i="454"/>
  <c r="I66" i="454" s="1"/>
  <c r="H65" i="454"/>
  <c r="I65" i="454" s="1"/>
  <c r="H64" i="454"/>
  <c r="I64" i="454" s="1"/>
  <c r="H63" i="454"/>
  <c r="I63" i="454" s="1"/>
  <c r="H62" i="454"/>
  <c r="I62" i="454" s="1"/>
  <c r="H61" i="454"/>
  <c r="I61" i="454" s="1"/>
  <c r="H60" i="454"/>
  <c r="I60" i="454" s="1"/>
  <c r="H59" i="454"/>
  <c r="I59" i="454" s="1"/>
  <c r="H58" i="454"/>
  <c r="I58" i="454" s="1"/>
  <c r="H57" i="454"/>
  <c r="H56" i="454"/>
  <c r="I56" i="454" s="1"/>
  <c r="H55" i="454"/>
  <c r="I55" i="454" s="1"/>
  <c r="H54" i="454"/>
  <c r="I54" i="454" s="1"/>
  <c r="H53" i="454"/>
  <c r="I53" i="454" s="1"/>
  <c r="H52" i="454"/>
  <c r="I52" i="454" s="1"/>
  <c r="H51" i="454"/>
  <c r="I51" i="454" s="1"/>
  <c r="H50" i="454"/>
  <c r="I50" i="454" s="1"/>
  <c r="H49" i="454"/>
  <c r="I49" i="454" s="1"/>
  <c r="H48" i="454"/>
  <c r="I48" i="454" s="1"/>
  <c r="H47" i="454"/>
  <c r="I47" i="454" s="1"/>
  <c r="H46" i="454"/>
  <c r="I46" i="454" s="1"/>
  <c r="H45" i="454"/>
  <c r="I45" i="454" s="1"/>
  <c r="H44" i="454"/>
  <c r="I44" i="454" s="1"/>
  <c r="H43" i="454"/>
  <c r="I43" i="454" s="1"/>
  <c r="H42" i="454"/>
  <c r="I42" i="454" s="1"/>
  <c r="H41" i="454"/>
  <c r="I41" i="454" s="1"/>
  <c r="H40" i="454"/>
  <c r="I40" i="454" s="1"/>
  <c r="H39" i="454"/>
  <c r="I39" i="454" s="1"/>
  <c r="H38" i="454"/>
  <c r="I38" i="454" s="1"/>
  <c r="H37" i="454"/>
  <c r="I37" i="454" s="1"/>
  <c r="H36" i="454"/>
  <c r="I36" i="454" s="1"/>
  <c r="H35" i="454"/>
  <c r="I35" i="454" s="1"/>
  <c r="H34" i="454"/>
  <c r="I34" i="454" s="1"/>
  <c r="H33" i="454"/>
  <c r="I33" i="454" s="1"/>
  <c r="H32" i="454"/>
  <c r="I32" i="454" s="1"/>
  <c r="H31" i="454"/>
  <c r="I31" i="454" s="1"/>
  <c r="H30" i="454"/>
  <c r="I30" i="454" s="1"/>
  <c r="H29" i="454"/>
  <c r="I29" i="454" s="1"/>
  <c r="H28" i="454"/>
  <c r="I28" i="454" s="1"/>
  <c r="H27" i="454"/>
  <c r="I27" i="454" s="1"/>
  <c r="H26" i="454"/>
  <c r="I26" i="454" s="1"/>
  <c r="H25" i="454"/>
  <c r="I25" i="454" s="1"/>
  <c r="H24" i="454"/>
  <c r="I24" i="454" s="1"/>
  <c r="H23" i="454"/>
  <c r="I23" i="454" s="1"/>
  <c r="H22" i="454"/>
  <c r="I22" i="454" s="1"/>
  <c r="H21" i="454"/>
  <c r="I21" i="454" s="1"/>
  <c r="H20" i="454"/>
  <c r="I20" i="454" s="1"/>
  <c r="H19" i="454"/>
  <c r="I19" i="454" s="1"/>
  <c r="H18" i="454"/>
  <c r="I18" i="454" s="1"/>
  <c r="H17" i="454"/>
  <c r="I17" i="454" s="1"/>
  <c r="H16" i="454"/>
  <c r="I16" i="454" s="1"/>
  <c r="H15" i="454"/>
  <c r="I15" i="454" s="1"/>
  <c r="H14" i="454"/>
  <c r="I14" i="454" s="1"/>
  <c r="H13" i="454"/>
  <c r="I13" i="454" s="1"/>
  <c r="H12" i="454"/>
  <c r="I12" i="454" s="1"/>
  <c r="H11" i="454"/>
  <c r="I11" i="454" s="1"/>
  <c r="H10" i="454"/>
  <c r="I10" i="454" s="1"/>
  <c r="H9" i="454"/>
  <c r="I9" i="454" s="1"/>
  <c r="H8" i="454"/>
  <c r="I8" i="454" s="1"/>
  <c r="H7" i="454"/>
  <c r="I7" i="454" s="1"/>
  <c r="H6" i="454"/>
  <c r="I6" i="454" s="1"/>
  <c r="H5" i="454"/>
  <c r="I5" i="454" s="1"/>
  <c r="H4" i="454"/>
  <c r="I4" i="454" s="1"/>
  <c r="H3" i="454"/>
  <c r="I3" i="454" s="1"/>
  <c r="H58" i="452" l="1"/>
  <c r="I58" i="452" s="1"/>
  <c r="H56" i="452"/>
  <c r="H125" i="452" l="1"/>
  <c r="I125" i="452" s="1"/>
  <c r="H124" i="452"/>
  <c r="I124" i="452" s="1"/>
  <c r="H123" i="452"/>
  <c r="I123" i="452" s="1"/>
  <c r="H122" i="452"/>
  <c r="I122" i="452" s="1"/>
  <c r="H121" i="452"/>
  <c r="I121" i="452" s="1"/>
  <c r="H120" i="452"/>
  <c r="I120" i="452" s="1"/>
  <c r="H119" i="452"/>
  <c r="I119" i="452" s="1"/>
  <c r="H118" i="452"/>
  <c r="I118" i="452" s="1"/>
  <c r="H117" i="452"/>
  <c r="I117" i="452" s="1"/>
  <c r="H116" i="452"/>
  <c r="I116" i="452" s="1"/>
  <c r="H114" i="452"/>
  <c r="I114" i="452" s="1"/>
  <c r="H113" i="452"/>
  <c r="I113" i="452" s="1"/>
  <c r="H112" i="452"/>
  <c r="I112" i="452" s="1"/>
  <c r="H111" i="452"/>
  <c r="I111" i="452" s="1"/>
  <c r="H110" i="452"/>
  <c r="I110" i="452" s="1"/>
  <c r="H109" i="452"/>
  <c r="I109" i="452" s="1"/>
  <c r="H108" i="452"/>
  <c r="I108" i="452" s="1"/>
  <c r="H107" i="452"/>
  <c r="I107" i="452" s="1"/>
  <c r="H106" i="452"/>
  <c r="I106" i="452" s="1"/>
  <c r="H105" i="452"/>
  <c r="I105" i="452" s="1"/>
  <c r="H104" i="452"/>
  <c r="I104" i="452" s="1"/>
  <c r="H103" i="452"/>
  <c r="I103" i="452" s="1"/>
  <c r="H102" i="452"/>
  <c r="I102" i="452" s="1"/>
  <c r="H101" i="452"/>
  <c r="I101" i="452" s="1"/>
  <c r="H100" i="452"/>
  <c r="I100" i="452" s="1"/>
  <c r="H99" i="452"/>
  <c r="I99" i="452" s="1"/>
  <c r="H98" i="452"/>
  <c r="I98" i="452" s="1"/>
  <c r="H97" i="452"/>
  <c r="I97" i="452" s="1"/>
  <c r="H96" i="452"/>
  <c r="I96" i="452" s="1"/>
  <c r="H95" i="452"/>
  <c r="I95" i="452" s="1"/>
  <c r="H94" i="452"/>
  <c r="I94" i="452" s="1"/>
  <c r="H93" i="452"/>
  <c r="I93" i="452" s="1"/>
  <c r="H92" i="452"/>
  <c r="I92" i="452" s="1"/>
  <c r="H91" i="452"/>
  <c r="I91" i="452" s="1"/>
  <c r="H90" i="452"/>
  <c r="I90" i="452" s="1"/>
  <c r="H89" i="452"/>
  <c r="I89" i="452" s="1"/>
  <c r="H88" i="452"/>
  <c r="I88" i="452" s="1"/>
  <c r="H87" i="452"/>
  <c r="I87" i="452" s="1"/>
  <c r="H86" i="452"/>
  <c r="I86" i="452" s="1"/>
  <c r="H85" i="452"/>
  <c r="I85" i="452" s="1"/>
  <c r="H84" i="452"/>
  <c r="I84" i="452" s="1"/>
  <c r="H83" i="452"/>
  <c r="I83" i="452" s="1"/>
  <c r="H82" i="452"/>
  <c r="I82" i="452" s="1"/>
  <c r="H81" i="452"/>
  <c r="I81" i="452" s="1"/>
  <c r="H80" i="452"/>
  <c r="I80" i="452" s="1"/>
  <c r="H79" i="452"/>
  <c r="I79" i="452" s="1"/>
  <c r="H78" i="452"/>
  <c r="I78" i="452" s="1"/>
  <c r="H77" i="452"/>
  <c r="I77" i="452" s="1"/>
  <c r="H76" i="452"/>
  <c r="I76" i="452" s="1"/>
  <c r="H75" i="452"/>
  <c r="I75" i="452" s="1"/>
  <c r="H74" i="452"/>
  <c r="I74" i="452" s="1"/>
  <c r="H73" i="452"/>
  <c r="I73" i="452" s="1"/>
  <c r="H72" i="452"/>
  <c r="I72" i="452" s="1"/>
  <c r="H71" i="452"/>
  <c r="I71" i="452" s="1"/>
  <c r="H70" i="452"/>
  <c r="I70" i="452" s="1"/>
  <c r="H69" i="452"/>
  <c r="I69" i="452" s="1"/>
  <c r="H68" i="452"/>
  <c r="I68" i="452" s="1"/>
  <c r="H67" i="452"/>
  <c r="I67" i="452" s="1"/>
  <c r="H66" i="452"/>
  <c r="I66" i="452" s="1"/>
  <c r="H65" i="452"/>
  <c r="I65" i="452" s="1"/>
  <c r="H64" i="452"/>
  <c r="I64" i="452" s="1"/>
  <c r="H63" i="452"/>
  <c r="I63" i="452" s="1"/>
  <c r="H62" i="452"/>
  <c r="I62" i="452" s="1"/>
  <c r="H61" i="452"/>
  <c r="I61" i="452" s="1"/>
  <c r="H60" i="452"/>
  <c r="I60" i="452" s="1"/>
  <c r="H59" i="452"/>
  <c r="I59" i="452" s="1"/>
  <c r="H57" i="452"/>
  <c r="I57" i="452" s="1"/>
  <c r="H55" i="452"/>
  <c r="I55" i="452" s="1"/>
  <c r="H54" i="452"/>
  <c r="I54" i="452" s="1"/>
  <c r="H53" i="452"/>
  <c r="I53" i="452" s="1"/>
  <c r="H52" i="452"/>
  <c r="I52" i="452" s="1"/>
  <c r="H51" i="452"/>
  <c r="I51" i="452" s="1"/>
  <c r="H50" i="452"/>
  <c r="I50" i="452" s="1"/>
  <c r="H49" i="452"/>
  <c r="I49" i="452" s="1"/>
  <c r="H48" i="452"/>
  <c r="I48" i="452" s="1"/>
  <c r="H47" i="452"/>
  <c r="I47" i="452" s="1"/>
  <c r="H46" i="452"/>
  <c r="I46" i="452" s="1"/>
  <c r="H45" i="452"/>
  <c r="I45" i="452" s="1"/>
  <c r="H44" i="452"/>
  <c r="I44" i="452" s="1"/>
  <c r="H43" i="452"/>
  <c r="I43" i="452" s="1"/>
  <c r="H42" i="452"/>
  <c r="I42" i="452" s="1"/>
  <c r="H41" i="452"/>
  <c r="I41" i="452" s="1"/>
  <c r="H40" i="452"/>
  <c r="I40" i="452" s="1"/>
  <c r="H39" i="452"/>
  <c r="I39" i="452" s="1"/>
  <c r="H38" i="452"/>
  <c r="I38" i="452" s="1"/>
  <c r="H37" i="452"/>
  <c r="I37" i="452" s="1"/>
  <c r="H36" i="452"/>
  <c r="I36" i="452" s="1"/>
  <c r="H35" i="452"/>
  <c r="I35" i="452" s="1"/>
  <c r="H34" i="452"/>
  <c r="I34" i="452" s="1"/>
  <c r="H33" i="452"/>
  <c r="I33" i="452" s="1"/>
  <c r="H32" i="452"/>
  <c r="I32" i="452" s="1"/>
  <c r="H31" i="452"/>
  <c r="I31" i="452" s="1"/>
  <c r="H30" i="452"/>
  <c r="I30" i="452" s="1"/>
  <c r="H29" i="452"/>
  <c r="I29" i="452" s="1"/>
  <c r="H28" i="452"/>
  <c r="I28" i="452" s="1"/>
  <c r="H27" i="452"/>
  <c r="I27" i="452" s="1"/>
  <c r="H26" i="452"/>
  <c r="I26" i="452" s="1"/>
  <c r="H25" i="452"/>
  <c r="I25" i="452" s="1"/>
  <c r="H24" i="452"/>
  <c r="I24" i="452" s="1"/>
  <c r="H23" i="452"/>
  <c r="I23" i="452" s="1"/>
  <c r="H22" i="452"/>
  <c r="I22" i="452" s="1"/>
  <c r="H21" i="452"/>
  <c r="I21" i="452" s="1"/>
  <c r="H20" i="452"/>
  <c r="I20" i="452" s="1"/>
  <c r="H19" i="452"/>
  <c r="I19" i="452" s="1"/>
  <c r="H18" i="452"/>
  <c r="I18" i="452" s="1"/>
  <c r="H17" i="452"/>
  <c r="I17" i="452" s="1"/>
  <c r="H16" i="452"/>
  <c r="I16" i="452" s="1"/>
  <c r="H15" i="452"/>
  <c r="I15" i="452" s="1"/>
  <c r="H14" i="452"/>
  <c r="I14" i="452" s="1"/>
  <c r="H13" i="452"/>
  <c r="I13" i="452" s="1"/>
  <c r="H12" i="452"/>
  <c r="I12" i="452" s="1"/>
  <c r="H11" i="452"/>
  <c r="I11" i="452" s="1"/>
  <c r="H10" i="452"/>
  <c r="I10" i="452" s="1"/>
  <c r="H9" i="452"/>
  <c r="I9" i="452" s="1"/>
  <c r="H8" i="452"/>
  <c r="I8" i="452" s="1"/>
  <c r="H7" i="452"/>
  <c r="I7" i="452" s="1"/>
  <c r="H6" i="452"/>
  <c r="I6" i="452" s="1"/>
  <c r="H5" i="452"/>
  <c r="I5" i="452" s="1"/>
  <c r="H4" i="452"/>
  <c r="I4" i="452" s="1"/>
  <c r="H3" i="452"/>
  <c r="I3" i="452" s="1"/>
  <c r="H124" i="451"/>
  <c r="I124" i="451" s="1"/>
  <c r="I123" i="451"/>
  <c r="H123" i="451"/>
  <c r="H122" i="451"/>
  <c r="I122" i="451" s="1"/>
  <c r="H121" i="451"/>
  <c r="I121" i="451" s="1"/>
  <c r="I120" i="451"/>
  <c r="H120" i="451"/>
  <c r="H119" i="451"/>
  <c r="I119" i="451" s="1"/>
  <c r="H118" i="451"/>
  <c r="I118" i="451" s="1"/>
  <c r="I117" i="451"/>
  <c r="H117" i="451"/>
  <c r="H116" i="451"/>
  <c r="I116" i="451" s="1"/>
  <c r="H115" i="451"/>
  <c r="I115" i="451" s="1"/>
  <c r="I113" i="451"/>
  <c r="H113" i="451"/>
  <c r="H112" i="451"/>
  <c r="I112" i="451" s="1"/>
  <c r="H111" i="451"/>
  <c r="I111" i="451" s="1"/>
  <c r="I110" i="451"/>
  <c r="H110" i="451"/>
  <c r="H109" i="451"/>
  <c r="I109" i="451" s="1"/>
  <c r="H108" i="451"/>
  <c r="I108" i="451" s="1"/>
  <c r="I107" i="451"/>
  <c r="H107" i="451"/>
  <c r="H106" i="451"/>
  <c r="I106" i="451" s="1"/>
  <c r="H105" i="451"/>
  <c r="I105" i="451" s="1"/>
  <c r="I104" i="451"/>
  <c r="H104" i="451"/>
  <c r="H103" i="451"/>
  <c r="I103" i="451" s="1"/>
  <c r="H102" i="451"/>
  <c r="I102" i="451" s="1"/>
  <c r="I101" i="451"/>
  <c r="H101" i="451"/>
  <c r="H100" i="451"/>
  <c r="I100" i="451" s="1"/>
  <c r="H99" i="451"/>
  <c r="I99" i="451" s="1"/>
  <c r="I98" i="451"/>
  <c r="H98" i="451"/>
  <c r="H97" i="451"/>
  <c r="I97" i="451" s="1"/>
  <c r="H96" i="451"/>
  <c r="I96" i="451" s="1"/>
  <c r="I95" i="451"/>
  <c r="H95" i="451"/>
  <c r="H94" i="451"/>
  <c r="I94" i="451" s="1"/>
  <c r="H93" i="451"/>
  <c r="I93" i="451" s="1"/>
  <c r="I92" i="451"/>
  <c r="H92" i="451"/>
  <c r="H91" i="451"/>
  <c r="I91" i="451" s="1"/>
  <c r="H90" i="451"/>
  <c r="I90" i="451" s="1"/>
  <c r="I89" i="451"/>
  <c r="H89" i="451"/>
  <c r="H88" i="451"/>
  <c r="I88" i="451" s="1"/>
  <c r="H87" i="451"/>
  <c r="I87" i="451" s="1"/>
  <c r="I86" i="451"/>
  <c r="H86" i="451"/>
  <c r="H85" i="451"/>
  <c r="I85" i="451" s="1"/>
  <c r="H84" i="451"/>
  <c r="I84" i="451" s="1"/>
  <c r="I83" i="451"/>
  <c r="H83" i="451"/>
  <c r="H82" i="451"/>
  <c r="I82" i="451" s="1"/>
  <c r="H81" i="451"/>
  <c r="I81" i="451" s="1"/>
  <c r="I80" i="451"/>
  <c r="H80" i="451"/>
  <c r="H79" i="451"/>
  <c r="I79" i="451" s="1"/>
  <c r="H78" i="451"/>
  <c r="I78" i="451" s="1"/>
  <c r="H77" i="451"/>
  <c r="I77" i="451" s="1"/>
  <c r="H76" i="451"/>
  <c r="I76" i="451" s="1"/>
  <c r="H75" i="451"/>
  <c r="I75" i="451" s="1"/>
  <c r="H74" i="451"/>
  <c r="I74" i="451" s="1"/>
  <c r="H73" i="451"/>
  <c r="I73" i="451" s="1"/>
  <c r="H72" i="451"/>
  <c r="I72" i="451" s="1"/>
  <c r="H71" i="451"/>
  <c r="I71" i="451" s="1"/>
  <c r="H70" i="451"/>
  <c r="I70" i="451" s="1"/>
  <c r="H69" i="451"/>
  <c r="I69" i="451" s="1"/>
  <c r="H68" i="451"/>
  <c r="I68" i="451" s="1"/>
  <c r="H67" i="451"/>
  <c r="I67" i="451" s="1"/>
  <c r="H66" i="451"/>
  <c r="I66" i="451" s="1"/>
  <c r="H65" i="451"/>
  <c r="I65" i="451" s="1"/>
  <c r="H64" i="451"/>
  <c r="I64" i="451" s="1"/>
  <c r="H63" i="451"/>
  <c r="I63" i="451" s="1"/>
  <c r="I62" i="451"/>
  <c r="H62" i="451"/>
  <c r="H61" i="451"/>
  <c r="I61" i="451" s="1"/>
  <c r="H60" i="451"/>
  <c r="I60" i="451" s="1"/>
  <c r="I59" i="451"/>
  <c r="H59" i="451"/>
  <c r="H58" i="451"/>
  <c r="I58" i="451" s="1"/>
  <c r="H57" i="451"/>
  <c r="I57" i="451" s="1"/>
  <c r="I56" i="451"/>
  <c r="H56" i="451"/>
  <c r="H55" i="451"/>
  <c r="I55" i="451" s="1"/>
  <c r="H54" i="451"/>
  <c r="I54" i="451" s="1"/>
  <c r="I53" i="451"/>
  <c r="H53" i="451"/>
  <c r="H52" i="451"/>
  <c r="I52" i="451" s="1"/>
  <c r="H51" i="451"/>
  <c r="I51" i="451" s="1"/>
  <c r="I50" i="451"/>
  <c r="H50" i="451"/>
  <c r="H49" i="451"/>
  <c r="I49" i="451" s="1"/>
  <c r="H48" i="451"/>
  <c r="I48" i="451" s="1"/>
  <c r="I47" i="451"/>
  <c r="H47" i="451"/>
  <c r="H46" i="451"/>
  <c r="I46" i="451" s="1"/>
  <c r="H45" i="451"/>
  <c r="I45" i="451" s="1"/>
  <c r="I44" i="451"/>
  <c r="H44" i="451"/>
  <c r="H43" i="451"/>
  <c r="I43" i="451" s="1"/>
  <c r="H42" i="451"/>
  <c r="I42" i="451" s="1"/>
  <c r="I41" i="451"/>
  <c r="H41" i="451"/>
  <c r="H40" i="451"/>
  <c r="I40" i="451" s="1"/>
  <c r="H39" i="451"/>
  <c r="I39" i="451" s="1"/>
  <c r="I38" i="451"/>
  <c r="H38" i="451"/>
  <c r="H37" i="451"/>
  <c r="I37" i="451" s="1"/>
  <c r="H36" i="451"/>
  <c r="I36" i="451" s="1"/>
  <c r="I35" i="451"/>
  <c r="H35" i="451"/>
  <c r="H34" i="451"/>
  <c r="I34" i="451" s="1"/>
  <c r="H33" i="451"/>
  <c r="I33" i="451" s="1"/>
  <c r="I32" i="451"/>
  <c r="H32" i="451"/>
  <c r="H31" i="451"/>
  <c r="I31" i="451" s="1"/>
  <c r="H30" i="451"/>
  <c r="I30" i="451" s="1"/>
  <c r="I29" i="451"/>
  <c r="H29" i="451"/>
  <c r="H28" i="451"/>
  <c r="I28" i="451" s="1"/>
  <c r="H27" i="451"/>
  <c r="I27" i="451" s="1"/>
  <c r="I26" i="451"/>
  <c r="H26" i="451"/>
  <c r="H25" i="451"/>
  <c r="I25" i="451" s="1"/>
  <c r="H24" i="451"/>
  <c r="I24" i="451" s="1"/>
  <c r="I23" i="451"/>
  <c r="H23" i="451"/>
  <c r="H22" i="451"/>
  <c r="I22" i="451" s="1"/>
  <c r="H21" i="451"/>
  <c r="I21" i="451" s="1"/>
  <c r="I20" i="451"/>
  <c r="H20" i="451"/>
  <c r="H19" i="451"/>
  <c r="I19" i="451" s="1"/>
  <c r="H18" i="451"/>
  <c r="I18" i="451" s="1"/>
  <c r="I17" i="451"/>
  <c r="H17" i="451"/>
  <c r="H16" i="451"/>
  <c r="I16" i="451" s="1"/>
  <c r="H15" i="451"/>
  <c r="I15" i="451" s="1"/>
  <c r="I14" i="451"/>
  <c r="H14" i="451"/>
  <c r="H13" i="451"/>
  <c r="I13" i="451" s="1"/>
  <c r="H12" i="451"/>
  <c r="I12" i="451" s="1"/>
  <c r="I11" i="451"/>
  <c r="H11" i="451"/>
  <c r="H10" i="451"/>
  <c r="I10" i="451" s="1"/>
  <c r="H9" i="451"/>
  <c r="I9" i="451" s="1"/>
  <c r="I8" i="451"/>
  <c r="H8" i="451"/>
  <c r="H7" i="451"/>
  <c r="I7" i="451" s="1"/>
  <c r="H6" i="451"/>
  <c r="I6" i="451" s="1"/>
  <c r="I5" i="451"/>
  <c r="H5" i="451"/>
  <c r="H4" i="451"/>
  <c r="I4" i="451" s="1"/>
  <c r="H3" i="451"/>
  <c r="I3" i="451" s="1"/>
  <c r="H52" i="450" l="1"/>
  <c r="I52" i="450" s="1"/>
  <c r="H110" i="450" l="1"/>
  <c r="I110" i="450" s="1"/>
  <c r="H109" i="450"/>
  <c r="I109" i="450" s="1"/>
  <c r="H108" i="450"/>
  <c r="I108" i="450" s="1"/>
  <c r="H107" i="450"/>
  <c r="I107" i="450" s="1"/>
  <c r="H106" i="450"/>
  <c r="I106" i="450" s="1"/>
  <c r="H105" i="450"/>
  <c r="I105" i="450" s="1"/>
  <c r="H104" i="450"/>
  <c r="I104" i="450" s="1"/>
  <c r="H103" i="450"/>
  <c r="I103" i="450" s="1"/>
  <c r="H102" i="450"/>
  <c r="I102" i="450" s="1"/>
  <c r="H100" i="450"/>
  <c r="I100" i="450" s="1"/>
  <c r="H99" i="450"/>
  <c r="I99" i="450" s="1"/>
  <c r="H98" i="450"/>
  <c r="I98" i="450" s="1"/>
  <c r="H97" i="450"/>
  <c r="I97" i="450" s="1"/>
  <c r="H96" i="450"/>
  <c r="I96" i="450" s="1"/>
  <c r="H95" i="450"/>
  <c r="I95" i="450" s="1"/>
  <c r="H94" i="450"/>
  <c r="I94" i="450" s="1"/>
  <c r="H93" i="450"/>
  <c r="I93" i="450" s="1"/>
  <c r="H92" i="450"/>
  <c r="I92" i="450" s="1"/>
  <c r="H91" i="450"/>
  <c r="I91" i="450" s="1"/>
  <c r="H90" i="450"/>
  <c r="I90" i="450" s="1"/>
  <c r="H89" i="450"/>
  <c r="I89" i="450" s="1"/>
  <c r="H88" i="450"/>
  <c r="I88" i="450" s="1"/>
  <c r="H87" i="450"/>
  <c r="I87" i="450" s="1"/>
  <c r="H86" i="450"/>
  <c r="I86" i="450" s="1"/>
  <c r="H85" i="450"/>
  <c r="I85" i="450" s="1"/>
  <c r="H84" i="450"/>
  <c r="I84" i="450" s="1"/>
  <c r="H83" i="450"/>
  <c r="I83" i="450" s="1"/>
  <c r="H82" i="450"/>
  <c r="I82" i="450" s="1"/>
  <c r="H81" i="450"/>
  <c r="I81" i="450" s="1"/>
  <c r="H80" i="450"/>
  <c r="I80" i="450" s="1"/>
  <c r="H79" i="450"/>
  <c r="I79" i="450" s="1"/>
  <c r="H78" i="450"/>
  <c r="I78" i="450" s="1"/>
  <c r="H77" i="450"/>
  <c r="I77" i="450" s="1"/>
  <c r="H76" i="450"/>
  <c r="I76" i="450" s="1"/>
  <c r="H75" i="450"/>
  <c r="I75" i="450" s="1"/>
  <c r="H74" i="450"/>
  <c r="I74" i="450" s="1"/>
  <c r="H73" i="450"/>
  <c r="I73" i="450" s="1"/>
  <c r="H72" i="450"/>
  <c r="I72" i="450" s="1"/>
  <c r="H71" i="450"/>
  <c r="I71" i="450" s="1"/>
  <c r="H70" i="450"/>
  <c r="I70" i="450" s="1"/>
  <c r="H69" i="450"/>
  <c r="I69" i="450" s="1"/>
  <c r="H68" i="450"/>
  <c r="I68" i="450" s="1"/>
  <c r="H67" i="450"/>
  <c r="I67" i="450" s="1"/>
  <c r="H66" i="450"/>
  <c r="I66" i="450" s="1"/>
  <c r="H65" i="450"/>
  <c r="I65" i="450" s="1"/>
  <c r="H64" i="450"/>
  <c r="I64" i="450" s="1"/>
  <c r="H63" i="450"/>
  <c r="I63" i="450" s="1"/>
  <c r="H62" i="450"/>
  <c r="I62" i="450" s="1"/>
  <c r="H61" i="450"/>
  <c r="I61" i="450" s="1"/>
  <c r="H60" i="450"/>
  <c r="I60" i="450" s="1"/>
  <c r="H59" i="450"/>
  <c r="I59" i="450" s="1"/>
  <c r="H58" i="450"/>
  <c r="I58" i="450" s="1"/>
  <c r="H57" i="450"/>
  <c r="I57" i="450" s="1"/>
  <c r="H56" i="450"/>
  <c r="I56" i="450" s="1"/>
  <c r="H55" i="450"/>
  <c r="I55" i="450" s="1"/>
  <c r="H54" i="450"/>
  <c r="I54" i="450" s="1"/>
  <c r="H53" i="450"/>
  <c r="I53" i="450" s="1"/>
  <c r="H51" i="450"/>
  <c r="I51" i="450" s="1"/>
  <c r="H50" i="450"/>
  <c r="I50" i="450" s="1"/>
  <c r="H49" i="450"/>
  <c r="I49" i="450" s="1"/>
  <c r="H48" i="450"/>
  <c r="I48" i="450" s="1"/>
  <c r="H47" i="450"/>
  <c r="I47" i="450" s="1"/>
  <c r="H46" i="450"/>
  <c r="I46" i="450" s="1"/>
  <c r="H45" i="450"/>
  <c r="I45" i="450" s="1"/>
  <c r="H44" i="450"/>
  <c r="I44" i="450" s="1"/>
  <c r="H43" i="450"/>
  <c r="I43" i="450" s="1"/>
  <c r="H42" i="450"/>
  <c r="I42" i="450" s="1"/>
  <c r="H41" i="450"/>
  <c r="I41" i="450" s="1"/>
  <c r="H40" i="450"/>
  <c r="I40" i="450" s="1"/>
  <c r="H39" i="450"/>
  <c r="I39" i="450" s="1"/>
  <c r="H38" i="450"/>
  <c r="I38" i="450" s="1"/>
  <c r="H37" i="450"/>
  <c r="I37" i="450" s="1"/>
  <c r="H36" i="450"/>
  <c r="I36" i="450" s="1"/>
  <c r="H35" i="450"/>
  <c r="I35" i="450" s="1"/>
  <c r="H34" i="450"/>
  <c r="I34" i="450" s="1"/>
  <c r="H33" i="450"/>
  <c r="I33" i="450" s="1"/>
  <c r="H32" i="450"/>
  <c r="I32" i="450" s="1"/>
  <c r="H31" i="450"/>
  <c r="I31" i="450" s="1"/>
  <c r="H30" i="450"/>
  <c r="I30" i="450" s="1"/>
  <c r="H29" i="450"/>
  <c r="I29" i="450" s="1"/>
  <c r="H28" i="450"/>
  <c r="I28" i="450" s="1"/>
  <c r="H27" i="450"/>
  <c r="I27" i="450" s="1"/>
  <c r="H26" i="450"/>
  <c r="I26" i="450" s="1"/>
  <c r="H25" i="450"/>
  <c r="I25" i="450" s="1"/>
  <c r="H24" i="450"/>
  <c r="I24" i="450" s="1"/>
  <c r="H23" i="450"/>
  <c r="I23" i="450" s="1"/>
  <c r="H22" i="450"/>
  <c r="I22" i="450" s="1"/>
  <c r="H21" i="450"/>
  <c r="I21" i="450" s="1"/>
  <c r="H20" i="450"/>
  <c r="I20" i="450" s="1"/>
  <c r="H19" i="450"/>
  <c r="I19" i="450" s="1"/>
  <c r="H18" i="450"/>
  <c r="I18" i="450" s="1"/>
  <c r="H17" i="450"/>
  <c r="I17" i="450" s="1"/>
  <c r="H16" i="450"/>
  <c r="I16" i="450" s="1"/>
  <c r="H15" i="450"/>
  <c r="I15" i="450" s="1"/>
  <c r="H14" i="450"/>
  <c r="I14" i="450" s="1"/>
  <c r="H13" i="450"/>
  <c r="I13" i="450" s="1"/>
  <c r="H12" i="450"/>
  <c r="I12" i="450" s="1"/>
  <c r="H11" i="450"/>
  <c r="I11" i="450" s="1"/>
  <c r="H10" i="450"/>
  <c r="I10" i="450" s="1"/>
  <c r="H9" i="450"/>
  <c r="I9" i="450" s="1"/>
  <c r="H8" i="450"/>
  <c r="I8" i="450" s="1"/>
  <c r="H7" i="450"/>
  <c r="I7" i="450" s="1"/>
  <c r="H6" i="450"/>
  <c r="I6" i="450" s="1"/>
  <c r="H5" i="450"/>
  <c r="I5" i="450" s="1"/>
  <c r="H4" i="450"/>
  <c r="I4" i="450" s="1"/>
  <c r="H3" i="450"/>
  <c r="I3" i="450" s="1"/>
  <c r="H110" i="449" l="1"/>
  <c r="I110" i="449" s="1"/>
  <c r="H109" i="449"/>
  <c r="I109" i="449" s="1"/>
  <c r="H108" i="449"/>
  <c r="I108" i="449" s="1"/>
  <c r="H107" i="449"/>
  <c r="I107" i="449" s="1"/>
  <c r="H106" i="449"/>
  <c r="I106" i="449" s="1"/>
  <c r="H105" i="449"/>
  <c r="I105" i="449" s="1"/>
  <c r="H104" i="449"/>
  <c r="I104" i="449" s="1"/>
  <c r="H103" i="449"/>
  <c r="I103" i="449" s="1"/>
  <c r="H102" i="449"/>
  <c r="I102" i="449" s="1"/>
  <c r="H100" i="449"/>
  <c r="I100" i="449" s="1"/>
  <c r="H99" i="449"/>
  <c r="I99" i="449" s="1"/>
  <c r="H98" i="449"/>
  <c r="I98" i="449" s="1"/>
  <c r="H97" i="449"/>
  <c r="I97" i="449" s="1"/>
  <c r="H96" i="449"/>
  <c r="I96" i="449" s="1"/>
  <c r="H95" i="449"/>
  <c r="I95" i="449" s="1"/>
  <c r="H94" i="449"/>
  <c r="I94" i="449" s="1"/>
  <c r="H93" i="449"/>
  <c r="I93" i="449" s="1"/>
  <c r="H92" i="449"/>
  <c r="I92" i="449" s="1"/>
  <c r="H91" i="449"/>
  <c r="I91" i="449" s="1"/>
  <c r="H90" i="449"/>
  <c r="I90" i="449" s="1"/>
  <c r="H89" i="449"/>
  <c r="I89" i="449" s="1"/>
  <c r="H88" i="449"/>
  <c r="I88" i="449" s="1"/>
  <c r="H87" i="449"/>
  <c r="I87" i="449" s="1"/>
  <c r="H86" i="449"/>
  <c r="I86" i="449" s="1"/>
  <c r="H85" i="449"/>
  <c r="I85" i="449" s="1"/>
  <c r="H84" i="449"/>
  <c r="I84" i="449" s="1"/>
  <c r="H83" i="449"/>
  <c r="I83" i="449" s="1"/>
  <c r="H82" i="449"/>
  <c r="I82" i="449" s="1"/>
  <c r="H81" i="449"/>
  <c r="I81" i="449" s="1"/>
  <c r="H80" i="449"/>
  <c r="I80" i="449" s="1"/>
  <c r="H79" i="449"/>
  <c r="I79" i="449" s="1"/>
  <c r="H78" i="449"/>
  <c r="I78" i="449" s="1"/>
  <c r="H77" i="449"/>
  <c r="I77" i="449" s="1"/>
  <c r="H76" i="449"/>
  <c r="I76" i="449" s="1"/>
  <c r="H75" i="449"/>
  <c r="I75" i="449" s="1"/>
  <c r="H74" i="449"/>
  <c r="I74" i="449" s="1"/>
  <c r="H73" i="449"/>
  <c r="I73" i="449" s="1"/>
  <c r="H72" i="449"/>
  <c r="I72" i="449" s="1"/>
  <c r="H71" i="449"/>
  <c r="I71" i="449" s="1"/>
  <c r="H70" i="449"/>
  <c r="I70" i="449" s="1"/>
  <c r="H69" i="449"/>
  <c r="I69" i="449" s="1"/>
  <c r="H68" i="449"/>
  <c r="I68" i="449" s="1"/>
  <c r="H67" i="449"/>
  <c r="I67" i="449" s="1"/>
  <c r="H66" i="449"/>
  <c r="I66" i="449" s="1"/>
  <c r="H65" i="449"/>
  <c r="I65" i="449" s="1"/>
  <c r="H64" i="449"/>
  <c r="I64" i="449" s="1"/>
  <c r="H63" i="449"/>
  <c r="I63" i="449" s="1"/>
  <c r="H62" i="449"/>
  <c r="I62" i="449" s="1"/>
  <c r="H61" i="449"/>
  <c r="I61" i="449" s="1"/>
  <c r="H60" i="449"/>
  <c r="I60" i="449" s="1"/>
  <c r="H59" i="449"/>
  <c r="I59" i="449" s="1"/>
  <c r="H58" i="449"/>
  <c r="I58" i="449" s="1"/>
  <c r="H57" i="449"/>
  <c r="I57" i="449" s="1"/>
  <c r="H56" i="449"/>
  <c r="I56" i="449" s="1"/>
  <c r="H55" i="449"/>
  <c r="I55" i="449" s="1"/>
  <c r="H54" i="449"/>
  <c r="I54" i="449" s="1"/>
  <c r="H53" i="449"/>
  <c r="I53" i="449" s="1"/>
  <c r="H52" i="449"/>
  <c r="I52" i="449" s="1"/>
  <c r="H51" i="449"/>
  <c r="I51" i="449" s="1"/>
  <c r="H50" i="449"/>
  <c r="I50" i="449" s="1"/>
  <c r="H49" i="449"/>
  <c r="I49" i="449" s="1"/>
  <c r="H48" i="449"/>
  <c r="I48" i="449" s="1"/>
  <c r="H47" i="449"/>
  <c r="I47" i="449" s="1"/>
  <c r="H46" i="449"/>
  <c r="I46" i="449" s="1"/>
  <c r="H45" i="449"/>
  <c r="I45" i="449" s="1"/>
  <c r="H44" i="449"/>
  <c r="I44" i="449" s="1"/>
  <c r="H43" i="449"/>
  <c r="I43" i="449" s="1"/>
  <c r="H42" i="449"/>
  <c r="I42" i="449" s="1"/>
  <c r="H41" i="449"/>
  <c r="I41" i="449" s="1"/>
  <c r="H40" i="449"/>
  <c r="I40" i="449" s="1"/>
  <c r="H39" i="449"/>
  <c r="I39" i="449" s="1"/>
  <c r="H38" i="449"/>
  <c r="I38" i="449" s="1"/>
  <c r="H37" i="449"/>
  <c r="I37" i="449" s="1"/>
  <c r="H36" i="449"/>
  <c r="I36" i="449" s="1"/>
  <c r="H35" i="449"/>
  <c r="I35" i="449" s="1"/>
  <c r="H34" i="449"/>
  <c r="I34" i="449" s="1"/>
  <c r="H33" i="449"/>
  <c r="I33" i="449" s="1"/>
  <c r="H32" i="449"/>
  <c r="I32" i="449" s="1"/>
  <c r="H31" i="449"/>
  <c r="I31" i="449" s="1"/>
  <c r="H30" i="449"/>
  <c r="I30" i="449" s="1"/>
  <c r="H29" i="449"/>
  <c r="I29" i="449" s="1"/>
  <c r="H28" i="449"/>
  <c r="I28" i="449" s="1"/>
  <c r="H27" i="449"/>
  <c r="I27" i="449" s="1"/>
  <c r="H26" i="449"/>
  <c r="I26" i="449" s="1"/>
  <c r="H25" i="449"/>
  <c r="I25" i="449" s="1"/>
  <c r="H24" i="449"/>
  <c r="I24" i="449" s="1"/>
  <c r="H23" i="449"/>
  <c r="I23" i="449" s="1"/>
  <c r="H22" i="449"/>
  <c r="I22" i="449" s="1"/>
  <c r="H21" i="449"/>
  <c r="I21" i="449" s="1"/>
  <c r="H20" i="449"/>
  <c r="I20" i="449" s="1"/>
  <c r="H19" i="449"/>
  <c r="I19" i="449" s="1"/>
  <c r="H18" i="449"/>
  <c r="I18" i="449" s="1"/>
  <c r="H17" i="449"/>
  <c r="I17" i="449" s="1"/>
  <c r="H16" i="449"/>
  <c r="I16" i="449" s="1"/>
  <c r="H15" i="449"/>
  <c r="I15" i="449" s="1"/>
  <c r="H14" i="449"/>
  <c r="I14" i="449" s="1"/>
  <c r="H13" i="449"/>
  <c r="I13" i="449" s="1"/>
  <c r="H12" i="449"/>
  <c r="I12" i="449" s="1"/>
  <c r="H11" i="449"/>
  <c r="I11" i="449" s="1"/>
  <c r="H10" i="449"/>
  <c r="I10" i="449" s="1"/>
  <c r="H9" i="449"/>
  <c r="I9" i="449" s="1"/>
  <c r="H8" i="449"/>
  <c r="I8" i="449" s="1"/>
  <c r="H7" i="449"/>
  <c r="I7" i="449" s="1"/>
  <c r="H6" i="449"/>
  <c r="I6" i="449" s="1"/>
  <c r="H5" i="449"/>
  <c r="I5" i="449" s="1"/>
  <c r="H4" i="449"/>
  <c r="I4" i="449" s="1"/>
  <c r="H3" i="449"/>
  <c r="I3" i="449" s="1"/>
  <c r="H110" i="447" l="1"/>
  <c r="I110" i="447" s="1"/>
  <c r="H109" i="447"/>
  <c r="I109" i="447" s="1"/>
  <c r="H108" i="447"/>
  <c r="I108" i="447" s="1"/>
  <c r="H107" i="447"/>
  <c r="I107" i="447" s="1"/>
  <c r="H106" i="447"/>
  <c r="I106" i="447" s="1"/>
  <c r="H105" i="447"/>
  <c r="I105" i="447" s="1"/>
  <c r="H104" i="447"/>
  <c r="I104" i="447" s="1"/>
  <c r="H103" i="447"/>
  <c r="I103" i="447" s="1"/>
  <c r="H102" i="447"/>
  <c r="I102" i="447" s="1"/>
  <c r="H100" i="447"/>
  <c r="I100" i="447" s="1"/>
  <c r="H99" i="447"/>
  <c r="I99" i="447" s="1"/>
  <c r="H98" i="447"/>
  <c r="I98" i="447" s="1"/>
  <c r="H97" i="447"/>
  <c r="I97" i="447" s="1"/>
  <c r="H96" i="447"/>
  <c r="I96" i="447" s="1"/>
  <c r="H95" i="447"/>
  <c r="I95" i="447" s="1"/>
  <c r="H94" i="447"/>
  <c r="I94" i="447" s="1"/>
  <c r="H93" i="447"/>
  <c r="I93" i="447" s="1"/>
  <c r="H92" i="447"/>
  <c r="I92" i="447" s="1"/>
  <c r="H91" i="447"/>
  <c r="I91" i="447" s="1"/>
  <c r="H90" i="447"/>
  <c r="I90" i="447" s="1"/>
  <c r="H89" i="447"/>
  <c r="I89" i="447" s="1"/>
  <c r="H88" i="447"/>
  <c r="I88" i="447" s="1"/>
  <c r="H87" i="447"/>
  <c r="I87" i="447" s="1"/>
  <c r="H86" i="447"/>
  <c r="I86" i="447" s="1"/>
  <c r="H85" i="447"/>
  <c r="I85" i="447" s="1"/>
  <c r="H84" i="447"/>
  <c r="I84" i="447" s="1"/>
  <c r="H83" i="447"/>
  <c r="I83" i="447" s="1"/>
  <c r="H82" i="447"/>
  <c r="I82" i="447" s="1"/>
  <c r="H81" i="447"/>
  <c r="I81" i="447" s="1"/>
  <c r="H80" i="447"/>
  <c r="I80" i="447" s="1"/>
  <c r="H79" i="447"/>
  <c r="I79" i="447" s="1"/>
  <c r="H78" i="447"/>
  <c r="I78" i="447" s="1"/>
  <c r="H77" i="447"/>
  <c r="I77" i="447" s="1"/>
  <c r="H76" i="447"/>
  <c r="I76" i="447" s="1"/>
  <c r="H75" i="447"/>
  <c r="I75" i="447" s="1"/>
  <c r="H74" i="447"/>
  <c r="I74" i="447" s="1"/>
  <c r="H73" i="447"/>
  <c r="I73" i="447" s="1"/>
  <c r="H72" i="447"/>
  <c r="I72" i="447" s="1"/>
  <c r="H71" i="447"/>
  <c r="I71" i="447" s="1"/>
  <c r="H70" i="447"/>
  <c r="I70" i="447" s="1"/>
  <c r="H69" i="447"/>
  <c r="I69" i="447" s="1"/>
  <c r="H68" i="447"/>
  <c r="I68" i="447" s="1"/>
  <c r="H67" i="447"/>
  <c r="I67" i="447" s="1"/>
  <c r="H66" i="447"/>
  <c r="I66" i="447" s="1"/>
  <c r="H65" i="447"/>
  <c r="I65" i="447" s="1"/>
  <c r="H64" i="447"/>
  <c r="I64" i="447" s="1"/>
  <c r="H63" i="447"/>
  <c r="I63" i="447" s="1"/>
  <c r="H62" i="447"/>
  <c r="I62" i="447" s="1"/>
  <c r="H61" i="447"/>
  <c r="I61" i="447" s="1"/>
  <c r="H60" i="447"/>
  <c r="I60" i="447" s="1"/>
  <c r="H59" i="447"/>
  <c r="I59" i="447" s="1"/>
  <c r="H58" i="447"/>
  <c r="I58" i="447" s="1"/>
  <c r="H57" i="447"/>
  <c r="I57" i="447" s="1"/>
  <c r="H56" i="447"/>
  <c r="I56" i="447" s="1"/>
  <c r="H55" i="447"/>
  <c r="I55" i="447" s="1"/>
  <c r="H54" i="447"/>
  <c r="I54" i="447" s="1"/>
  <c r="H53" i="447"/>
  <c r="I53" i="447" s="1"/>
  <c r="H52" i="447"/>
  <c r="I52" i="447" s="1"/>
  <c r="H51" i="447"/>
  <c r="I51" i="447" s="1"/>
  <c r="H50" i="447"/>
  <c r="I50" i="447" s="1"/>
  <c r="H49" i="447"/>
  <c r="I49" i="447" s="1"/>
  <c r="H48" i="447"/>
  <c r="I48" i="447" s="1"/>
  <c r="H47" i="447"/>
  <c r="I47" i="447" s="1"/>
  <c r="H46" i="447"/>
  <c r="I46" i="447" s="1"/>
  <c r="H45" i="447"/>
  <c r="I45" i="447" s="1"/>
  <c r="H44" i="447"/>
  <c r="I44" i="447" s="1"/>
  <c r="H43" i="447"/>
  <c r="I43" i="447" s="1"/>
  <c r="H42" i="447"/>
  <c r="I42" i="447" s="1"/>
  <c r="H41" i="447"/>
  <c r="I41" i="447" s="1"/>
  <c r="H40" i="447"/>
  <c r="I40" i="447" s="1"/>
  <c r="H39" i="447"/>
  <c r="I39" i="447" s="1"/>
  <c r="H38" i="447"/>
  <c r="I38" i="447" s="1"/>
  <c r="H37" i="447"/>
  <c r="I37" i="447" s="1"/>
  <c r="H36" i="447"/>
  <c r="I36" i="447" s="1"/>
  <c r="H35" i="447"/>
  <c r="I35" i="447" s="1"/>
  <c r="H34" i="447"/>
  <c r="I34" i="447" s="1"/>
  <c r="H33" i="447"/>
  <c r="I33" i="447" s="1"/>
  <c r="H32" i="447"/>
  <c r="I32" i="447" s="1"/>
  <c r="H31" i="447"/>
  <c r="I31" i="447" s="1"/>
  <c r="H30" i="447"/>
  <c r="I30" i="447" s="1"/>
  <c r="H29" i="447"/>
  <c r="I29" i="447" s="1"/>
  <c r="H28" i="447"/>
  <c r="I28" i="447" s="1"/>
  <c r="H27" i="447"/>
  <c r="I27" i="447" s="1"/>
  <c r="H26" i="447"/>
  <c r="I26" i="447" s="1"/>
  <c r="H25" i="447"/>
  <c r="I25" i="447" s="1"/>
  <c r="H24" i="447"/>
  <c r="I24" i="447" s="1"/>
  <c r="H23" i="447"/>
  <c r="I23" i="447" s="1"/>
  <c r="H22" i="447"/>
  <c r="I22" i="447" s="1"/>
  <c r="H21" i="447"/>
  <c r="I21" i="447" s="1"/>
  <c r="H20" i="447"/>
  <c r="I20" i="447" s="1"/>
  <c r="H19" i="447"/>
  <c r="I19" i="447" s="1"/>
  <c r="H18" i="447"/>
  <c r="I18" i="447" s="1"/>
  <c r="H17" i="447"/>
  <c r="I17" i="447" s="1"/>
  <c r="H16" i="447"/>
  <c r="I16" i="447" s="1"/>
  <c r="H15" i="447"/>
  <c r="I15" i="447" s="1"/>
  <c r="H14" i="447"/>
  <c r="I14" i="447" s="1"/>
  <c r="H13" i="447"/>
  <c r="I13" i="447" s="1"/>
  <c r="H12" i="447"/>
  <c r="I12" i="447" s="1"/>
  <c r="H11" i="447"/>
  <c r="I11" i="447" s="1"/>
  <c r="H10" i="447"/>
  <c r="I10" i="447" s="1"/>
  <c r="H9" i="447"/>
  <c r="I9" i="447" s="1"/>
  <c r="H8" i="447"/>
  <c r="I8" i="447" s="1"/>
  <c r="H7" i="447"/>
  <c r="I7" i="447" s="1"/>
  <c r="H6" i="447"/>
  <c r="I6" i="447" s="1"/>
  <c r="H5" i="447"/>
  <c r="I5" i="447" s="1"/>
  <c r="H4" i="447"/>
  <c r="I4" i="447" s="1"/>
  <c r="H3" i="447"/>
  <c r="I3" i="447" s="1"/>
  <c r="H127" i="446" l="1"/>
  <c r="I127" i="446" s="1"/>
  <c r="H126" i="446"/>
  <c r="I126" i="446" s="1"/>
  <c r="H125" i="446"/>
  <c r="I125" i="446" s="1"/>
  <c r="H124" i="446"/>
  <c r="I124" i="446" s="1"/>
  <c r="H123" i="446"/>
  <c r="I123" i="446" s="1"/>
  <c r="H122" i="446"/>
  <c r="I122" i="446" s="1"/>
  <c r="H121" i="446"/>
  <c r="I121" i="446" s="1"/>
  <c r="H120" i="446"/>
  <c r="I120" i="446" s="1"/>
  <c r="H119" i="446"/>
  <c r="I119" i="446" s="1"/>
  <c r="H118" i="446"/>
  <c r="I118" i="446" s="1"/>
  <c r="H117" i="446"/>
  <c r="I117" i="446" s="1"/>
  <c r="H115" i="446"/>
  <c r="I115" i="446" s="1"/>
  <c r="H114" i="446"/>
  <c r="I114" i="446" s="1"/>
  <c r="H96" i="446"/>
  <c r="I96" i="446" s="1"/>
  <c r="H113" i="446"/>
  <c r="I113" i="446" s="1"/>
  <c r="H112" i="446"/>
  <c r="I112" i="446" s="1"/>
  <c r="H111" i="446"/>
  <c r="I111" i="446" s="1"/>
  <c r="H110" i="446"/>
  <c r="I110" i="446" s="1"/>
  <c r="H109" i="446"/>
  <c r="I109" i="446" s="1"/>
  <c r="H108" i="446"/>
  <c r="I108" i="446" s="1"/>
  <c r="H107" i="446"/>
  <c r="I107" i="446" s="1"/>
  <c r="H106" i="446"/>
  <c r="I106" i="446" s="1"/>
  <c r="H105" i="446"/>
  <c r="I105" i="446" s="1"/>
  <c r="H95" i="446"/>
  <c r="I95" i="446" s="1"/>
  <c r="H104" i="446"/>
  <c r="I104" i="446" s="1"/>
  <c r="H103" i="446"/>
  <c r="I103" i="446" s="1"/>
  <c r="H102" i="446"/>
  <c r="I102" i="446" s="1"/>
  <c r="H101" i="446"/>
  <c r="I101" i="446" s="1"/>
  <c r="H100" i="446"/>
  <c r="I100" i="446" s="1"/>
  <c r="H99" i="446"/>
  <c r="I99" i="446" s="1"/>
  <c r="H98" i="446"/>
  <c r="I98" i="446" s="1"/>
  <c r="H97" i="446"/>
  <c r="I97" i="446" s="1"/>
  <c r="H94" i="446"/>
  <c r="I94" i="446" s="1"/>
  <c r="H93" i="446"/>
  <c r="I93" i="446" s="1"/>
  <c r="H92" i="446"/>
  <c r="I92" i="446" s="1"/>
  <c r="H91" i="446"/>
  <c r="I91" i="446" s="1"/>
  <c r="H90" i="446"/>
  <c r="I90" i="446" s="1"/>
  <c r="H89" i="446"/>
  <c r="I89" i="446" s="1"/>
  <c r="H88" i="446"/>
  <c r="I88" i="446" s="1"/>
  <c r="H87" i="446"/>
  <c r="I87" i="446" s="1"/>
  <c r="H86" i="446"/>
  <c r="I86" i="446" s="1"/>
  <c r="H85" i="446"/>
  <c r="I85" i="446" s="1"/>
  <c r="H84" i="446"/>
  <c r="I84" i="446" s="1"/>
  <c r="H83" i="446"/>
  <c r="I83" i="446" s="1"/>
  <c r="H82" i="446"/>
  <c r="I82" i="446" s="1"/>
  <c r="H81" i="446"/>
  <c r="I81" i="446" s="1"/>
  <c r="H80" i="446"/>
  <c r="I80" i="446" s="1"/>
  <c r="H79" i="446"/>
  <c r="I79" i="446" s="1"/>
  <c r="H78" i="446"/>
  <c r="I78" i="446" s="1"/>
  <c r="H77" i="446"/>
  <c r="I77" i="446" s="1"/>
  <c r="H76" i="446"/>
  <c r="I76" i="446" s="1"/>
  <c r="H75" i="446"/>
  <c r="I75" i="446" s="1"/>
  <c r="H74" i="446"/>
  <c r="I74" i="446" s="1"/>
  <c r="H73" i="446"/>
  <c r="I73" i="446" s="1"/>
  <c r="H72" i="446"/>
  <c r="I72" i="446" s="1"/>
  <c r="H71" i="446"/>
  <c r="I71" i="446" s="1"/>
  <c r="H70" i="446"/>
  <c r="I70" i="446" s="1"/>
  <c r="H69" i="446"/>
  <c r="I69" i="446" s="1"/>
  <c r="H68" i="446"/>
  <c r="I68" i="446" s="1"/>
  <c r="H67" i="446"/>
  <c r="I67" i="446" s="1"/>
  <c r="H66" i="446"/>
  <c r="I66" i="446" s="1"/>
  <c r="H65" i="446"/>
  <c r="I65" i="446" s="1"/>
  <c r="H64" i="446"/>
  <c r="I64" i="446" s="1"/>
  <c r="H63" i="446"/>
  <c r="I63" i="446" s="1"/>
  <c r="H62" i="446"/>
  <c r="I62" i="446" s="1"/>
  <c r="H61" i="446"/>
  <c r="I61" i="446" s="1"/>
  <c r="H60" i="446"/>
  <c r="I60" i="446" s="1"/>
  <c r="H59" i="446"/>
  <c r="I59" i="446" s="1"/>
  <c r="H58" i="446"/>
  <c r="I58" i="446" s="1"/>
  <c r="H57" i="446"/>
  <c r="I57" i="446" s="1"/>
  <c r="H56" i="446"/>
  <c r="I56" i="446" s="1"/>
  <c r="H55" i="446"/>
  <c r="I55" i="446" s="1"/>
  <c r="H54" i="446"/>
  <c r="I54" i="446" s="1"/>
  <c r="H53" i="446"/>
  <c r="I53" i="446" s="1"/>
  <c r="H52" i="446"/>
  <c r="I52" i="446" s="1"/>
  <c r="H51" i="446"/>
  <c r="I51" i="446" s="1"/>
  <c r="H50" i="446"/>
  <c r="I50" i="446" s="1"/>
  <c r="H49" i="446"/>
  <c r="I49" i="446" s="1"/>
  <c r="H48" i="446"/>
  <c r="I48" i="446" s="1"/>
  <c r="H47" i="446"/>
  <c r="I47" i="446" s="1"/>
  <c r="H46" i="446"/>
  <c r="I46" i="446" s="1"/>
  <c r="H45" i="446"/>
  <c r="I45" i="446" s="1"/>
  <c r="H44" i="446"/>
  <c r="I44" i="446" s="1"/>
  <c r="H43" i="446"/>
  <c r="I43" i="446" s="1"/>
  <c r="H42" i="446"/>
  <c r="I42" i="446" s="1"/>
  <c r="H41" i="446"/>
  <c r="I41" i="446" s="1"/>
  <c r="H40" i="446"/>
  <c r="I40" i="446" s="1"/>
  <c r="H39" i="446"/>
  <c r="I39" i="446" s="1"/>
  <c r="H38" i="446"/>
  <c r="I38" i="446" s="1"/>
  <c r="H37" i="446"/>
  <c r="I37" i="446" s="1"/>
  <c r="H36" i="446"/>
  <c r="I36" i="446" s="1"/>
  <c r="H35" i="446"/>
  <c r="I35" i="446" s="1"/>
  <c r="H34" i="446"/>
  <c r="I34" i="446" s="1"/>
  <c r="H33" i="446"/>
  <c r="I33" i="446" s="1"/>
  <c r="H32" i="446"/>
  <c r="I32" i="446" s="1"/>
  <c r="H31" i="446"/>
  <c r="I31" i="446" s="1"/>
  <c r="H30" i="446"/>
  <c r="I30" i="446" s="1"/>
  <c r="H29" i="446"/>
  <c r="I29" i="446" s="1"/>
  <c r="H28" i="446"/>
  <c r="I28" i="446" s="1"/>
  <c r="H27" i="446"/>
  <c r="I27" i="446" s="1"/>
  <c r="H26" i="446"/>
  <c r="I26" i="446" s="1"/>
  <c r="H25" i="446"/>
  <c r="I25" i="446" s="1"/>
  <c r="H24" i="446"/>
  <c r="I24" i="446" s="1"/>
  <c r="H23" i="446"/>
  <c r="I23" i="446" s="1"/>
  <c r="H22" i="446"/>
  <c r="I22" i="446" s="1"/>
  <c r="H21" i="446"/>
  <c r="I21" i="446" s="1"/>
  <c r="H20" i="446"/>
  <c r="I20" i="446" s="1"/>
  <c r="H19" i="446"/>
  <c r="I19" i="446" s="1"/>
  <c r="H18" i="446"/>
  <c r="I18" i="446" s="1"/>
  <c r="H17" i="446"/>
  <c r="I17" i="446" s="1"/>
  <c r="H16" i="446"/>
  <c r="I16" i="446" s="1"/>
  <c r="H15" i="446"/>
  <c r="I15" i="446" s="1"/>
  <c r="H14" i="446"/>
  <c r="I14" i="446" s="1"/>
  <c r="H13" i="446"/>
  <c r="I13" i="446" s="1"/>
  <c r="H12" i="446"/>
  <c r="I12" i="446" s="1"/>
  <c r="H11" i="446"/>
  <c r="I11" i="446" s="1"/>
  <c r="H10" i="446"/>
  <c r="I10" i="446" s="1"/>
  <c r="H9" i="446"/>
  <c r="I9" i="446" s="1"/>
  <c r="H8" i="446"/>
  <c r="I8" i="446" s="1"/>
  <c r="H7" i="446"/>
  <c r="I7" i="446" s="1"/>
  <c r="H6" i="446"/>
  <c r="I6" i="446" s="1"/>
  <c r="H5" i="446"/>
  <c r="I5" i="446" s="1"/>
  <c r="H4" i="446"/>
  <c r="I4" i="446" s="1"/>
  <c r="H3" i="446"/>
  <c r="I3" i="446" s="1"/>
  <c r="H43" i="444" l="1"/>
  <c r="I43" i="444" s="1"/>
  <c r="H113" i="444"/>
  <c r="I113" i="444" s="1"/>
  <c r="H103" i="444"/>
  <c r="I103" i="444" s="1"/>
  <c r="H104" i="444"/>
  <c r="I104" i="444" s="1"/>
  <c r="H105" i="444"/>
  <c r="I105" i="444" s="1"/>
  <c r="H112" i="444"/>
  <c r="I112" i="444" s="1"/>
  <c r="H86" i="444"/>
  <c r="I86" i="444" s="1"/>
  <c r="H67" i="444"/>
  <c r="I67" i="444"/>
  <c r="H102" i="444" l="1"/>
  <c r="I102" i="444" s="1"/>
  <c r="H101" i="444"/>
  <c r="I101" i="444" s="1"/>
  <c r="H127" i="444" l="1"/>
  <c r="I127" i="444" s="1"/>
  <c r="H126" i="444"/>
  <c r="I126" i="444" s="1"/>
  <c r="H125" i="444"/>
  <c r="I125" i="444" s="1"/>
  <c r="H124" i="444"/>
  <c r="I124" i="444" s="1"/>
  <c r="H123" i="444"/>
  <c r="I123" i="444" s="1"/>
  <c r="H122" i="444"/>
  <c r="I122" i="444" s="1"/>
  <c r="H121" i="444"/>
  <c r="I121" i="444" s="1"/>
  <c r="H120" i="444"/>
  <c r="I120" i="444" s="1"/>
  <c r="H119" i="444"/>
  <c r="I119" i="444" s="1"/>
  <c r="H118" i="444"/>
  <c r="I118" i="444" s="1"/>
  <c r="H117" i="444"/>
  <c r="I117" i="444" s="1"/>
  <c r="H115" i="444"/>
  <c r="I115" i="444" s="1"/>
  <c r="H114" i="444"/>
  <c r="I114" i="444" s="1"/>
  <c r="H111" i="444"/>
  <c r="I111" i="444" s="1"/>
  <c r="H110" i="444"/>
  <c r="I110" i="444" s="1"/>
  <c r="H109" i="444"/>
  <c r="I109" i="444" s="1"/>
  <c r="H108" i="444"/>
  <c r="I108" i="444" s="1"/>
  <c r="H107" i="444"/>
  <c r="I107" i="444" s="1"/>
  <c r="H106" i="444"/>
  <c r="I106" i="444" s="1"/>
  <c r="H100" i="444"/>
  <c r="I100" i="444" s="1"/>
  <c r="H99" i="444"/>
  <c r="I99" i="444" s="1"/>
  <c r="H98" i="444"/>
  <c r="I98" i="444" s="1"/>
  <c r="H97" i="444"/>
  <c r="I97" i="444" s="1"/>
  <c r="H96" i="444"/>
  <c r="I96" i="444" s="1"/>
  <c r="H95" i="444"/>
  <c r="I95" i="444" s="1"/>
  <c r="H94" i="444"/>
  <c r="I94" i="444" s="1"/>
  <c r="H93" i="444"/>
  <c r="I93" i="444" s="1"/>
  <c r="H92" i="444"/>
  <c r="I92" i="444" s="1"/>
  <c r="H91" i="444"/>
  <c r="I91" i="444" s="1"/>
  <c r="H90" i="444"/>
  <c r="I90" i="444" s="1"/>
  <c r="H89" i="444"/>
  <c r="I89" i="444" s="1"/>
  <c r="H88" i="444"/>
  <c r="I88" i="444" s="1"/>
  <c r="H87" i="444"/>
  <c r="I87" i="444" s="1"/>
  <c r="H85" i="444"/>
  <c r="I85" i="444" s="1"/>
  <c r="H84" i="444"/>
  <c r="I84" i="444" s="1"/>
  <c r="H83" i="444"/>
  <c r="I83" i="444" s="1"/>
  <c r="H82" i="444"/>
  <c r="I82" i="444" s="1"/>
  <c r="H81" i="444"/>
  <c r="I81" i="444" s="1"/>
  <c r="H80" i="444"/>
  <c r="I80" i="444" s="1"/>
  <c r="H79" i="444"/>
  <c r="I79" i="444" s="1"/>
  <c r="H78" i="444"/>
  <c r="I78" i="444" s="1"/>
  <c r="H77" i="444"/>
  <c r="I77" i="444" s="1"/>
  <c r="H76" i="444"/>
  <c r="I76" i="444" s="1"/>
  <c r="H75" i="444"/>
  <c r="I75" i="444" s="1"/>
  <c r="H74" i="444"/>
  <c r="I74" i="444" s="1"/>
  <c r="H73" i="444"/>
  <c r="I73" i="444" s="1"/>
  <c r="H72" i="444"/>
  <c r="I72" i="444" s="1"/>
  <c r="H71" i="444"/>
  <c r="I71" i="444" s="1"/>
  <c r="H70" i="444"/>
  <c r="I70" i="444" s="1"/>
  <c r="H69" i="444"/>
  <c r="I69" i="444" s="1"/>
  <c r="H68" i="444"/>
  <c r="I68" i="444" s="1"/>
  <c r="H66" i="444"/>
  <c r="I66" i="444" s="1"/>
  <c r="H65" i="444"/>
  <c r="I65" i="444" s="1"/>
  <c r="H64" i="444"/>
  <c r="I64" i="444" s="1"/>
  <c r="H63" i="444"/>
  <c r="I63" i="444" s="1"/>
  <c r="H62" i="444"/>
  <c r="I62" i="444" s="1"/>
  <c r="H61" i="444"/>
  <c r="I61" i="444" s="1"/>
  <c r="H60" i="444"/>
  <c r="I60" i="444" s="1"/>
  <c r="H59" i="444"/>
  <c r="I59" i="444" s="1"/>
  <c r="H58" i="444"/>
  <c r="I58" i="444" s="1"/>
  <c r="H57" i="444"/>
  <c r="I57" i="444" s="1"/>
  <c r="H56" i="444"/>
  <c r="I56" i="444" s="1"/>
  <c r="H55" i="444"/>
  <c r="I55" i="444" s="1"/>
  <c r="H54" i="444"/>
  <c r="I54" i="444" s="1"/>
  <c r="H53" i="444"/>
  <c r="I53" i="444" s="1"/>
  <c r="H52" i="444"/>
  <c r="I52" i="444" s="1"/>
  <c r="H51" i="444"/>
  <c r="I51" i="444" s="1"/>
  <c r="H50" i="444"/>
  <c r="I50" i="444" s="1"/>
  <c r="H49" i="444"/>
  <c r="I49" i="444" s="1"/>
  <c r="H48" i="444"/>
  <c r="I48" i="444" s="1"/>
  <c r="H47" i="444"/>
  <c r="I47" i="444" s="1"/>
  <c r="H46" i="444"/>
  <c r="I46" i="444" s="1"/>
  <c r="H45" i="444"/>
  <c r="I45" i="444" s="1"/>
  <c r="H44" i="444"/>
  <c r="I44" i="444" s="1"/>
  <c r="H42" i="444"/>
  <c r="I42" i="444" s="1"/>
  <c r="H41" i="444"/>
  <c r="I41" i="444" s="1"/>
  <c r="H40" i="444"/>
  <c r="I40" i="444" s="1"/>
  <c r="H39" i="444"/>
  <c r="I39" i="444" s="1"/>
  <c r="H38" i="444"/>
  <c r="I38" i="444" s="1"/>
  <c r="H37" i="444"/>
  <c r="I37" i="444" s="1"/>
  <c r="H36" i="444"/>
  <c r="I36" i="444" s="1"/>
  <c r="H35" i="444"/>
  <c r="I35" i="444" s="1"/>
  <c r="H34" i="444"/>
  <c r="I34" i="444" s="1"/>
  <c r="H33" i="444"/>
  <c r="I33" i="444" s="1"/>
  <c r="H32" i="444"/>
  <c r="I32" i="444" s="1"/>
  <c r="H31" i="444"/>
  <c r="I31" i="444" s="1"/>
  <c r="H30" i="444"/>
  <c r="I30" i="444" s="1"/>
  <c r="H29" i="444"/>
  <c r="I29" i="444" s="1"/>
  <c r="H28" i="444"/>
  <c r="I28" i="444" s="1"/>
  <c r="H27" i="444"/>
  <c r="I27" i="444" s="1"/>
  <c r="H26" i="444"/>
  <c r="I26" i="444" s="1"/>
  <c r="H25" i="444"/>
  <c r="I25" i="444" s="1"/>
  <c r="H24" i="444"/>
  <c r="I24" i="444" s="1"/>
  <c r="H23" i="444"/>
  <c r="I23" i="444" s="1"/>
  <c r="H22" i="444"/>
  <c r="I22" i="444" s="1"/>
  <c r="H21" i="444"/>
  <c r="I21" i="444" s="1"/>
  <c r="H20" i="444"/>
  <c r="I20" i="444" s="1"/>
  <c r="H19" i="444"/>
  <c r="I19" i="444" s="1"/>
  <c r="H18" i="444"/>
  <c r="I18" i="444" s="1"/>
  <c r="H17" i="444"/>
  <c r="I17" i="444" s="1"/>
  <c r="H16" i="444"/>
  <c r="I16" i="444" s="1"/>
  <c r="H15" i="444"/>
  <c r="I15" i="444" s="1"/>
  <c r="H14" i="444"/>
  <c r="I14" i="444" s="1"/>
  <c r="H13" i="444"/>
  <c r="I13" i="444" s="1"/>
  <c r="H12" i="444"/>
  <c r="I12" i="444" s="1"/>
  <c r="H11" i="444"/>
  <c r="I11" i="444" s="1"/>
  <c r="H10" i="444"/>
  <c r="I10" i="444" s="1"/>
  <c r="H9" i="444"/>
  <c r="I9" i="444" s="1"/>
  <c r="H8" i="444"/>
  <c r="I8" i="444" s="1"/>
  <c r="H7" i="444"/>
  <c r="I7" i="444" s="1"/>
  <c r="H6" i="444"/>
  <c r="I6" i="444" s="1"/>
  <c r="H5" i="444"/>
  <c r="I5" i="444" s="1"/>
  <c r="H4" i="444"/>
  <c r="I4" i="444" s="1"/>
  <c r="H3" i="444"/>
  <c r="I3" i="444" s="1"/>
  <c r="H120" i="443" l="1"/>
  <c r="I120" i="443" s="1"/>
  <c r="H119" i="443"/>
  <c r="I119" i="443" s="1"/>
  <c r="H118" i="443"/>
  <c r="I118" i="443" s="1"/>
  <c r="H117" i="443"/>
  <c r="I117" i="443" s="1"/>
  <c r="H116" i="443"/>
  <c r="I116" i="443" s="1"/>
  <c r="H115" i="443"/>
  <c r="I115" i="443" s="1"/>
  <c r="H114" i="443"/>
  <c r="I114" i="443" s="1"/>
  <c r="H113" i="443"/>
  <c r="I113" i="443" s="1"/>
  <c r="H112" i="443"/>
  <c r="I112" i="443" s="1"/>
  <c r="H111" i="443"/>
  <c r="I111" i="443" s="1"/>
  <c r="H110" i="443"/>
  <c r="I110" i="443" s="1"/>
  <c r="H109" i="443"/>
  <c r="I109" i="443" s="1"/>
  <c r="H108" i="443"/>
  <c r="I108" i="443" s="1"/>
  <c r="H107" i="443"/>
  <c r="I107" i="443" s="1"/>
  <c r="H106" i="443"/>
  <c r="I106" i="443" s="1"/>
  <c r="H105" i="443"/>
  <c r="I105" i="443" s="1"/>
  <c r="H104" i="443"/>
  <c r="I104" i="443" s="1"/>
  <c r="H103" i="443"/>
  <c r="I103" i="443" s="1"/>
  <c r="H102" i="443"/>
  <c r="I102" i="443" s="1"/>
  <c r="H101" i="443"/>
  <c r="I101" i="443" s="1"/>
  <c r="H100" i="443"/>
  <c r="I100" i="443" s="1"/>
  <c r="H97" i="443"/>
  <c r="I97" i="443" s="1"/>
  <c r="H96" i="443"/>
  <c r="I96" i="443" s="1"/>
  <c r="H95" i="443"/>
  <c r="I95" i="443" s="1"/>
  <c r="H94" i="443"/>
  <c r="I94" i="443" s="1"/>
  <c r="H93" i="443"/>
  <c r="I93" i="443" s="1"/>
  <c r="H92" i="443"/>
  <c r="I92" i="443" s="1"/>
  <c r="H91" i="443"/>
  <c r="I91" i="443" s="1"/>
  <c r="H90" i="443"/>
  <c r="I90" i="443" s="1"/>
  <c r="H89" i="443"/>
  <c r="I89" i="443" s="1"/>
  <c r="H88" i="443"/>
  <c r="I88" i="443" s="1"/>
  <c r="H87" i="443"/>
  <c r="I87" i="443" s="1"/>
  <c r="H86" i="443"/>
  <c r="I86" i="443" s="1"/>
  <c r="H85" i="443"/>
  <c r="I85" i="443" s="1"/>
  <c r="H84" i="443"/>
  <c r="I84" i="443" s="1"/>
  <c r="H83" i="443"/>
  <c r="I83" i="443" s="1"/>
  <c r="H82" i="443"/>
  <c r="I82" i="443" s="1"/>
  <c r="H81" i="443"/>
  <c r="I81" i="443" s="1"/>
  <c r="H80" i="443"/>
  <c r="I80" i="443" s="1"/>
  <c r="H79" i="443"/>
  <c r="I79" i="443" s="1"/>
  <c r="H78" i="443"/>
  <c r="I78" i="443" s="1"/>
  <c r="H77" i="443"/>
  <c r="I77" i="443" s="1"/>
  <c r="H76" i="443"/>
  <c r="I76" i="443" s="1"/>
  <c r="H75" i="443"/>
  <c r="I75" i="443" s="1"/>
  <c r="H74" i="443"/>
  <c r="I74" i="443" s="1"/>
  <c r="H73" i="443"/>
  <c r="I73" i="443" s="1"/>
  <c r="H72" i="443"/>
  <c r="I72" i="443" s="1"/>
  <c r="H71" i="443"/>
  <c r="I71" i="443" s="1"/>
  <c r="H70" i="443"/>
  <c r="I70" i="443" s="1"/>
  <c r="H69" i="443"/>
  <c r="I69" i="443" s="1"/>
  <c r="H68" i="443"/>
  <c r="I68" i="443" s="1"/>
  <c r="H67" i="443"/>
  <c r="I67" i="443" s="1"/>
  <c r="H66" i="443"/>
  <c r="I66" i="443" s="1"/>
  <c r="H65" i="443"/>
  <c r="I65" i="443" s="1"/>
  <c r="H64" i="443"/>
  <c r="I64" i="443" s="1"/>
  <c r="H63" i="443"/>
  <c r="I63" i="443" s="1"/>
  <c r="H62" i="443"/>
  <c r="I62" i="443" s="1"/>
  <c r="H61" i="443"/>
  <c r="I61" i="443" s="1"/>
  <c r="H60" i="443"/>
  <c r="I60" i="443" s="1"/>
  <c r="H59" i="443"/>
  <c r="I59" i="443" s="1"/>
  <c r="H58" i="443"/>
  <c r="I58" i="443" s="1"/>
  <c r="H57" i="443"/>
  <c r="I57" i="443" s="1"/>
  <c r="H56" i="443"/>
  <c r="I56" i="443" s="1"/>
  <c r="H55" i="443"/>
  <c r="I55" i="443" s="1"/>
  <c r="H54" i="443"/>
  <c r="I54" i="443" s="1"/>
  <c r="H53" i="443"/>
  <c r="I53" i="443" s="1"/>
  <c r="H52" i="443"/>
  <c r="I52" i="443" s="1"/>
  <c r="H51" i="443"/>
  <c r="I51" i="443" s="1"/>
  <c r="H50" i="443"/>
  <c r="I50" i="443" s="1"/>
  <c r="H49" i="443"/>
  <c r="I49" i="443" s="1"/>
  <c r="H48" i="443"/>
  <c r="I48" i="443" s="1"/>
  <c r="H47" i="443"/>
  <c r="I47" i="443" s="1"/>
  <c r="H46" i="443"/>
  <c r="I46" i="443" s="1"/>
  <c r="H45" i="443"/>
  <c r="I45" i="443" s="1"/>
  <c r="H44" i="443"/>
  <c r="I44" i="443" s="1"/>
  <c r="H43" i="443"/>
  <c r="I43" i="443" s="1"/>
  <c r="H42" i="443"/>
  <c r="I42" i="443" s="1"/>
  <c r="H41" i="443"/>
  <c r="I41" i="443" s="1"/>
  <c r="H40" i="443"/>
  <c r="I40" i="443" s="1"/>
  <c r="H39" i="443"/>
  <c r="I39" i="443" s="1"/>
  <c r="H38" i="443"/>
  <c r="I38" i="443" s="1"/>
  <c r="H37" i="443"/>
  <c r="I37" i="443" s="1"/>
  <c r="H36" i="443"/>
  <c r="I36" i="443" s="1"/>
  <c r="H35" i="443"/>
  <c r="I35" i="443" s="1"/>
  <c r="H34" i="443"/>
  <c r="I34" i="443" s="1"/>
  <c r="H33" i="443"/>
  <c r="I33" i="443" s="1"/>
  <c r="H32" i="443"/>
  <c r="I32" i="443" s="1"/>
  <c r="H31" i="443"/>
  <c r="I31" i="443" s="1"/>
  <c r="H30" i="443"/>
  <c r="I30" i="443" s="1"/>
  <c r="H29" i="443"/>
  <c r="I29" i="443" s="1"/>
  <c r="H28" i="443"/>
  <c r="I28" i="443" s="1"/>
  <c r="H27" i="443"/>
  <c r="I27" i="443" s="1"/>
  <c r="H26" i="443"/>
  <c r="I26" i="443" s="1"/>
  <c r="H25" i="443"/>
  <c r="I25" i="443" s="1"/>
  <c r="H24" i="443"/>
  <c r="I24" i="443" s="1"/>
  <c r="H23" i="443"/>
  <c r="I23" i="443" s="1"/>
  <c r="H22" i="443"/>
  <c r="I22" i="443" s="1"/>
  <c r="H21" i="443"/>
  <c r="I21" i="443" s="1"/>
  <c r="H20" i="443"/>
  <c r="I20" i="443" s="1"/>
  <c r="H19" i="443"/>
  <c r="I19" i="443" s="1"/>
  <c r="H18" i="443"/>
  <c r="I18" i="443" s="1"/>
  <c r="H17" i="443"/>
  <c r="I17" i="443" s="1"/>
  <c r="H16" i="443"/>
  <c r="I16" i="443" s="1"/>
  <c r="H15" i="443"/>
  <c r="I15" i="443" s="1"/>
  <c r="H14" i="443"/>
  <c r="I14" i="443" s="1"/>
  <c r="H13" i="443"/>
  <c r="I13" i="443" s="1"/>
  <c r="H12" i="443"/>
  <c r="I12" i="443" s="1"/>
  <c r="H11" i="443"/>
  <c r="I11" i="443" s="1"/>
  <c r="H10" i="443"/>
  <c r="I10" i="443" s="1"/>
  <c r="H9" i="443"/>
  <c r="I9" i="443" s="1"/>
  <c r="H8" i="443"/>
  <c r="I8" i="443" s="1"/>
  <c r="H7" i="443"/>
  <c r="I7" i="443" s="1"/>
  <c r="H6" i="443"/>
  <c r="I6" i="443" s="1"/>
  <c r="H5" i="443"/>
  <c r="I5" i="443" s="1"/>
  <c r="H4" i="443"/>
  <c r="I4" i="443" s="1"/>
  <c r="H3" i="443"/>
  <c r="I3" i="443" s="1"/>
  <c r="H43" i="442" l="1"/>
  <c r="I43" i="442" s="1"/>
  <c r="H103" i="442" l="1"/>
  <c r="I103" i="442" s="1"/>
  <c r="H102" i="442"/>
  <c r="I102" i="442" s="1"/>
  <c r="H101" i="442"/>
  <c r="I101" i="442" s="1"/>
  <c r="H100" i="442"/>
  <c r="I100" i="442" s="1"/>
  <c r="H99" i="442"/>
  <c r="I99" i="442" s="1"/>
  <c r="H98" i="442"/>
  <c r="I98" i="442" s="1"/>
  <c r="H97" i="442"/>
  <c r="I97" i="442" s="1"/>
  <c r="H96" i="442"/>
  <c r="I96" i="442" s="1"/>
  <c r="H95" i="442"/>
  <c r="I95" i="442" s="1"/>
  <c r="H94" i="442"/>
  <c r="I94" i="442" s="1"/>
  <c r="H93" i="442"/>
  <c r="I93" i="442" s="1"/>
  <c r="H92" i="442"/>
  <c r="I92" i="442" s="1"/>
  <c r="H91" i="442"/>
  <c r="I91" i="442" s="1"/>
  <c r="H90" i="442"/>
  <c r="I90" i="442" s="1"/>
  <c r="H89" i="442"/>
  <c r="I89" i="442" s="1"/>
  <c r="H88" i="442"/>
  <c r="I88" i="442" s="1"/>
  <c r="H87" i="442"/>
  <c r="I87" i="442" s="1"/>
  <c r="H86" i="442"/>
  <c r="I86" i="442" s="1"/>
  <c r="H85" i="442"/>
  <c r="I85" i="442" s="1"/>
  <c r="H84" i="442"/>
  <c r="I84" i="442" s="1"/>
  <c r="H83" i="442"/>
  <c r="I83" i="442" s="1"/>
  <c r="H82" i="442"/>
  <c r="I82" i="442" s="1"/>
  <c r="H81" i="442"/>
  <c r="I81" i="442" s="1"/>
  <c r="H80" i="442"/>
  <c r="I80" i="442" s="1"/>
  <c r="H79" i="442"/>
  <c r="I79" i="442" s="1"/>
  <c r="H78" i="442"/>
  <c r="I78" i="442" s="1"/>
  <c r="H77" i="442"/>
  <c r="I77" i="442" s="1"/>
  <c r="H76" i="442"/>
  <c r="I76" i="442" s="1"/>
  <c r="H75" i="442"/>
  <c r="I75" i="442" s="1"/>
  <c r="H74" i="442"/>
  <c r="I74" i="442" s="1"/>
  <c r="H73" i="442"/>
  <c r="I73" i="442" s="1"/>
  <c r="H72" i="442"/>
  <c r="I72" i="442" s="1"/>
  <c r="H71" i="442"/>
  <c r="I71" i="442" s="1"/>
  <c r="H70" i="442"/>
  <c r="I70" i="442" s="1"/>
  <c r="H69" i="442"/>
  <c r="I69" i="442" s="1"/>
  <c r="H68" i="442"/>
  <c r="I68" i="442" s="1"/>
  <c r="H67" i="442"/>
  <c r="I67" i="442" s="1"/>
  <c r="H66" i="442"/>
  <c r="I66" i="442" s="1"/>
  <c r="H65" i="442"/>
  <c r="I65" i="442" s="1"/>
  <c r="H64" i="442"/>
  <c r="I64" i="442" s="1"/>
  <c r="H63" i="442"/>
  <c r="I63" i="442" s="1"/>
  <c r="H62" i="442"/>
  <c r="I62" i="442" s="1"/>
  <c r="H61" i="442"/>
  <c r="I61" i="442" s="1"/>
  <c r="H60" i="442"/>
  <c r="I60" i="442" s="1"/>
  <c r="H59" i="442"/>
  <c r="I59" i="442" s="1"/>
  <c r="H58" i="442"/>
  <c r="I58" i="442" s="1"/>
  <c r="H57" i="442"/>
  <c r="I57" i="442" s="1"/>
  <c r="H56" i="442"/>
  <c r="I56" i="442" s="1"/>
  <c r="H55" i="442"/>
  <c r="I55" i="442" s="1"/>
  <c r="H54" i="442"/>
  <c r="I54" i="442" s="1"/>
  <c r="H53" i="442"/>
  <c r="I53" i="442" s="1"/>
  <c r="H52" i="442"/>
  <c r="I52" i="442" s="1"/>
  <c r="H51" i="442"/>
  <c r="I51" i="442" s="1"/>
  <c r="H50" i="442"/>
  <c r="I50" i="442" s="1"/>
  <c r="H49" i="442"/>
  <c r="I49" i="442" s="1"/>
  <c r="H48" i="442"/>
  <c r="I48" i="442" s="1"/>
  <c r="H47" i="442"/>
  <c r="I47" i="442" s="1"/>
  <c r="H46" i="442"/>
  <c r="I46" i="442" s="1"/>
  <c r="H45" i="442"/>
  <c r="I45" i="442" s="1"/>
  <c r="H44" i="442"/>
  <c r="I44" i="442" s="1"/>
  <c r="H42" i="442"/>
  <c r="I42" i="442" s="1"/>
  <c r="H41" i="442"/>
  <c r="I41" i="442" s="1"/>
  <c r="H40" i="442"/>
  <c r="I40" i="442" s="1"/>
  <c r="H39" i="442"/>
  <c r="I39" i="442" s="1"/>
  <c r="H38" i="442"/>
  <c r="I38" i="442" s="1"/>
  <c r="H37" i="442"/>
  <c r="I37" i="442" s="1"/>
  <c r="H36" i="442"/>
  <c r="I36" i="442" s="1"/>
  <c r="H35" i="442"/>
  <c r="I35" i="442" s="1"/>
  <c r="H34" i="442"/>
  <c r="I34" i="442" s="1"/>
  <c r="H33" i="442"/>
  <c r="I33" i="442" s="1"/>
  <c r="H32" i="442"/>
  <c r="I32" i="442" s="1"/>
  <c r="H31" i="442"/>
  <c r="I31" i="442" s="1"/>
  <c r="H30" i="442"/>
  <c r="I30" i="442" s="1"/>
  <c r="H29" i="442"/>
  <c r="I29" i="442" s="1"/>
  <c r="H28" i="442"/>
  <c r="I28" i="442" s="1"/>
  <c r="H27" i="442"/>
  <c r="I27" i="442" s="1"/>
  <c r="H26" i="442"/>
  <c r="I26" i="442" s="1"/>
  <c r="H25" i="442"/>
  <c r="I25" i="442" s="1"/>
  <c r="H24" i="442"/>
  <c r="I24" i="442" s="1"/>
  <c r="H23" i="442"/>
  <c r="I23" i="442" s="1"/>
  <c r="H22" i="442"/>
  <c r="I22" i="442" s="1"/>
  <c r="H21" i="442"/>
  <c r="I21" i="442" s="1"/>
  <c r="H20" i="442"/>
  <c r="I20" i="442" s="1"/>
  <c r="H19" i="442"/>
  <c r="I19" i="442" s="1"/>
  <c r="H18" i="442"/>
  <c r="I18" i="442" s="1"/>
  <c r="H17" i="442"/>
  <c r="I17" i="442" s="1"/>
  <c r="H16" i="442"/>
  <c r="I16" i="442" s="1"/>
  <c r="H15" i="442"/>
  <c r="I15" i="442" s="1"/>
  <c r="H14" i="442"/>
  <c r="I14" i="442" s="1"/>
  <c r="H13" i="442"/>
  <c r="I13" i="442" s="1"/>
  <c r="H12" i="442"/>
  <c r="I12" i="442" s="1"/>
  <c r="H10" i="442"/>
  <c r="I10" i="442" s="1"/>
  <c r="H11" i="442"/>
  <c r="I11" i="442" s="1"/>
  <c r="H9" i="442"/>
  <c r="I9" i="442" s="1"/>
  <c r="H8" i="442"/>
  <c r="I8" i="442" s="1"/>
  <c r="H7" i="442"/>
  <c r="I7" i="442" s="1"/>
  <c r="H6" i="442"/>
  <c r="I6" i="442" s="1"/>
  <c r="H5" i="442"/>
  <c r="I5" i="442" s="1"/>
  <c r="H4" i="442"/>
  <c r="I4" i="442" s="1"/>
  <c r="H3" i="442"/>
  <c r="I3" i="442" s="1"/>
  <c r="H55" i="441" l="1"/>
  <c r="I55" i="441" s="1"/>
  <c r="H54" i="441"/>
  <c r="I54" i="441" s="1"/>
  <c r="H102" i="441"/>
  <c r="I102" i="441" s="1"/>
  <c r="I101" i="441"/>
  <c r="H101" i="441"/>
  <c r="H100" i="441"/>
  <c r="I100" i="441" s="1"/>
  <c r="H99" i="441"/>
  <c r="I99" i="441" s="1"/>
  <c r="I98" i="441"/>
  <c r="H98" i="441"/>
  <c r="H97" i="441"/>
  <c r="I97" i="441" s="1"/>
  <c r="H96" i="441"/>
  <c r="I96" i="441" s="1"/>
  <c r="I95" i="441"/>
  <c r="H95" i="441"/>
  <c r="H94" i="441"/>
  <c r="I94" i="441" s="1"/>
  <c r="H93" i="441"/>
  <c r="I93" i="441" s="1"/>
  <c r="I92" i="441"/>
  <c r="H92" i="441"/>
  <c r="H91" i="441"/>
  <c r="I91" i="441" s="1"/>
  <c r="H90" i="441"/>
  <c r="I90" i="441" s="1"/>
  <c r="I89" i="441"/>
  <c r="H89" i="441"/>
  <c r="H88" i="441"/>
  <c r="I88" i="441" s="1"/>
  <c r="H87" i="441"/>
  <c r="I87" i="441" s="1"/>
  <c r="I86" i="441"/>
  <c r="H86" i="441"/>
  <c r="H85" i="441"/>
  <c r="I85" i="441" s="1"/>
  <c r="H84" i="441"/>
  <c r="I84" i="441" s="1"/>
  <c r="I83" i="441"/>
  <c r="H83" i="441"/>
  <c r="H82" i="441"/>
  <c r="I82" i="441" s="1"/>
  <c r="H81" i="441"/>
  <c r="I81" i="441" s="1"/>
  <c r="I80" i="441"/>
  <c r="H80" i="441"/>
  <c r="H79" i="441"/>
  <c r="I79" i="441" s="1"/>
  <c r="H78" i="441"/>
  <c r="I78" i="441" s="1"/>
  <c r="I77" i="441"/>
  <c r="H77" i="441"/>
  <c r="H76" i="441"/>
  <c r="I76" i="441" s="1"/>
  <c r="H75" i="441"/>
  <c r="I75" i="441" s="1"/>
  <c r="I74" i="441"/>
  <c r="H74" i="441"/>
  <c r="H73" i="441"/>
  <c r="I73" i="441" s="1"/>
  <c r="H72" i="441"/>
  <c r="I72" i="441" s="1"/>
  <c r="I71" i="441"/>
  <c r="H71" i="441"/>
  <c r="H70" i="441"/>
  <c r="I70" i="441" s="1"/>
  <c r="H69" i="441"/>
  <c r="I69" i="441" s="1"/>
  <c r="I68" i="441"/>
  <c r="H68" i="441"/>
  <c r="H67" i="441"/>
  <c r="I67" i="441" s="1"/>
  <c r="H66" i="441"/>
  <c r="I66" i="441" s="1"/>
  <c r="I65" i="441"/>
  <c r="H65" i="441"/>
  <c r="H64" i="441"/>
  <c r="I64" i="441" s="1"/>
  <c r="H63" i="441"/>
  <c r="I63" i="441" s="1"/>
  <c r="H62" i="441"/>
  <c r="I62" i="441" s="1"/>
  <c r="H61" i="441"/>
  <c r="I61" i="441" s="1"/>
  <c r="H60" i="441"/>
  <c r="I60" i="441" s="1"/>
  <c r="H59" i="441"/>
  <c r="I59" i="441" s="1"/>
  <c r="H58" i="441"/>
  <c r="I58" i="441" s="1"/>
  <c r="H57" i="441"/>
  <c r="I57" i="441" s="1"/>
  <c r="H56" i="441"/>
  <c r="I56" i="441" s="1"/>
  <c r="H53" i="441"/>
  <c r="I53" i="441" s="1"/>
  <c r="H52" i="441"/>
  <c r="I52" i="441" s="1"/>
  <c r="H51" i="441"/>
  <c r="I51" i="441" s="1"/>
  <c r="H50" i="441"/>
  <c r="I50" i="441" s="1"/>
  <c r="H49" i="441"/>
  <c r="I49" i="441" s="1"/>
  <c r="H48" i="441"/>
  <c r="I48" i="441" s="1"/>
  <c r="H47" i="441"/>
  <c r="I47" i="441" s="1"/>
  <c r="H46" i="441"/>
  <c r="I46" i="441" s="1"/>
  <c r="H45" i="441"/>
  <c r="I45" i="441" s="1"/>
  <c r="H44" i="441"/>
  <c r="I44" i="441" s="1"/>
  <c r="H43" i="441"/>
  <c r="I43" i="441" s="1"/>
  <c r="H42" i="441"/>
  <c r="I42" i="441" s="1"/>
  <c r="H41" i="441"/>
  <c r="I41" i="441" s="1"/>
  <c r="H40" i="441"/>
  <c r="I40" i="441" s="1"/>
  <c r="H39" i="441"/>
  <c r="I39" i="441" s="1"/>
  <c r="H38" i="441"/>
  <c r="I38" i="441" s="1"/>
  <c r="H37" i="441"/>
  <c r="I37" i="441" s="1"/>
  <c r="H36" i="441"/>
  <c r="I36" i="441" s="1"/>
  <c r="H35" i="441"/>
  <c r="I35" i="441" s="1"/>
  <c r="H34" i="441"/>
  <c r="I34" i="441" s="1"/>
  <c r="H33" i="441"/>
  <c r="I33" i="441" s="1"/>
  <c r="H32" i="441"/>
  <c r="I32" i="441" s="1"/>
  <c r="H31" i="441"/>
  <c r="I31" i="441" s="1"/>
  <c r="H30" i="441"/>
  <c r="I30" i="441" s="1"/>
  <c r="H29" i="441"/>
  <c r="I29" i="441" s="1"/>
  <c r="H28" i="441"/>
  <c r="I28" i="441" s="1"/>
  <c r="H27" i="441"/>
  <c r="I27" i="441" s="1"/>
  <c r="H26" i="441"/>
  <c r="I26" i="441" s="1"/>
  <c r="H25" i="441"/>
  <c r="I25" i="441" s="1"/>
  <c r="H24" i="441"/>
  <c r="I24" i="441" s="1"/>
  <c r="H23" i="441"/>
  <c r="I23" i="441" s="1"/>
  <c r="H22" i="441"/>
  <c r="I22" i="441" s="1"/>
  <c r="H21" i="441"/>
  <c r="I21" i="441" s="1"/>
  <c r="H20" i="441"/>
  <c r="I20" i="441" s="1"/>
  <c r="H19" i="441"/>
  <c r="I19" i="441" s="1"/>
  <c r="H18" i="441"/>
  <c r="I18" i="441" s="1"/>
  <c r="H17" i="441"/>
  <c r="I17" i="441" s="1"/>
  <c r="H16" i="441"/>
  <c r="I16" i="441" s="1"/>
  <c r="H15" i="441"/>
  <c r="I15" i="441" s="1"/>
  <c r="H14" i="441"/>
  <c r="I14" i="441" s="1"/>
  <c r="H13" i="441"/>
  <c r="I13" i="441" s="1"/>
  <c r="H12" i="441"/>
  <c r="I12" i="441" s="1"/>
  <c r="H11" i="441"/>
  <c r="I11" i="441" s="1"/>
  <c r="H10" i="441"/>
  <c r="I10" i="441" s="1"/>
  <c r="H9" i="441"/>
  <c r="I9" i="441" s="1"/>
  <c r="H8" i="441"/>
  <c r="I8" i="441" s="1"/>
  <c r="H7" i="441"/>
  <c r="I7" i="441" s="1"/>
  <c r="H6" i="441"/>
  <c r="I6" i="441" s="1"/>
  <c r="H5" i="441"/>
  <c r="I5" i="441" s="1"/>
  <c r="H4" i="441"/>
  <c r="I4" i="441" s="1"/>
  <c r="H3" i="441"/>
  <c r="I3" i="441" s="1"/>
  <c r="H98" i="440" l="1"/>
  <c r="I98" i="440" s="1"/>
  <c r="H97" i="440"/>
  <c r="I97" i="440" s="1"/>
  <c r="H96" i="440"/>
  <c r="I96" i="440" s="1"/>
  <c r="H95" i="440"/>
  <c r="I95" i="440" s="1"/>
  <c r="H94" i="440"/>
  <c r="I94" i="440" s="1"/>
  <c r="H93" i="440"/>
  <c r="I93" i="440" s="1"/>
  <c r="H92" i="440"/>
  <c r="I92" i="440" s="1"/>
  <c r="H91" i="440"/>
  <c r="I91" i="440" s="1"/>
  <c r="H90" i="440"/>
  <c r="I90" i="440" s="1"/>
  <c r="H89" i="440"/>
  <c r="I89" i="440" s="1"/>
  <c r="H88" i="440"/>
  <c r="I88" i="440" s="1"/>
  <c r="H87" i="440"/>
  <c r="I87" i="440" s="1"/>
  <c r="H86" i="440"/>
  <c r="I86" i="440" s="1"/>
  <c r="H85" i="440"/>
  <c r="I85" i="440" s="1"/>
  <c r="H84" i="440"/>
  <c r="I84" i="440" s="1"/>
  <c r="H83" i="440"/>
  <c r="I83" i="440" s="1"/>
  <c r="H82" i="440"/>
  <c r="I82" i="440" s="1"/>
  <c r="H81" i="440"/>
  <c r="I81" i="440" s="1"/>
  <c r="H80" i="440"/>
  <c r="I80" i="440" s="1"/>
  <c r="H79" i="440"/>
  <c r="I79" i="440" s="1"/>
  <c r="H78" i="440"/>
  <c r="I78" i="440" s="1"/>
  <c r="H77" i="440"/>
  <c r="I77" i="440" s="1"/>
  <c r="H76" i="440"/>
  <c r="I76" i="440" s="1"/>
  <c r="H75" i="440"/>
  <c r="I75" i="440" s="1"/>
  <c r="H74" i="440"/>
  <c r="I74" i="440" s="1"/>
  <c r="H73" i="440"/>
  <c r="I73" i="440" s="1"/>
  <c r="H72" i="440"/>
  <c r="I72" i="440" s="1"/>
  <c r="H71" i="440"/>
  <c r="I71" i="440" s="1"/>
  <c r="H70" i="440"/>
  <c r="I70" i="440" s="1"/>
  <c r="H69" i="440"/>
  <c r="I69" i="440" s="1"/>
  <c r="H68" i="440"/>
  <c r="I68" i="440" s="1"/>
  <c r="H67" i="440"/>
  <c r="I67" i="440" s="1"/>
  <c r="H66" i="440"/>
  <c r="I66" i="440" s="1"/>
  <c r="H65" i="440"/>
  <c r="I65" i="440" s="1"/>
  <c r="H64" i="440"/>
  <c r="I64" i="440" s="1"/>
  <c r="H63" i="440"/>
  <c r="I63" i="440" s="1"/>
  <c r="H62" i="440"/>
  <c r="I62" i="440" s="1"/>
  <c r="H61" i="440"/>
  <c r="I61" i="440" s="1"/>
  <c r="H60" i="440"/>
  <c r="I60" i="440" s="1"/>
  <c r="H59" i="440"/>
  <c r="I59" i="440" s="1"/>
  <c r="H58" i="440"/>
  <c r="I58" i="440" s="1"/>
  <c r="H57" i="440"/>
  <c r="I57" i="440" s="1"/>
  <c r="H56" i="440"/>
  <c r="I56" i="440" s="1"/>
  <c r="H55" i="440"/>
  <c r="I55" i="440" s="1"/>
  <c r="H54" i="440"/>
  <c r="I54" i="440" s="1"/>
  <c r="H53" i="440"/>
  <c r="I53" i="440" s="1"/>
  <c r="H52" i="440"/>
  <c r="I52" i="440" s="1"/>
  <c r="H51" i="440"/>
  <c r="I51" i="440" s="1"/>
  <c r="H50" i="440"/>
  <c r="I50" i="440" s="1"/>
  <c r="H49" i="440"/>
  <c r="I49" i="440" s="1"/>
  <c r="H48" i="440"/>
  <c r="I48" i="440" s="1"/>
  <c r="H47" i="440"/>
  <c r="I47" i="440" s="1"/>
  <c r="H46" i="440"/>
  <c r="I46" i="440" s="1"/>
  <c r="H45" i="440"/>
  <c r="I45" i="440" s="1"/>
  <c r="H44" i="440"/>
  <c r="I44" i="440" s="1"/>
  <c r="H43" i="440"/>
  <c r="I43" i="440" s="1"/>
  <c r="H42" i="440"/>
  <c r="I42" i="440" s="1"/>
  <c r="H41" i="440"/>
  <c r="I41" i="440" s="1"/>
  <c r="H40" i="440"/>
  <c r="I40" i="440" s="1"/>
  <c r="H39" i="440"/>
  <c r="I39" i="440" s="1"/>
  <c r="H38" i="440"/>
  <c r="I38" i="440" s="1"/>
  <c r="H37" i="440"/>
  <c r="I37" i="440" s="1"/>
  <c r="H36" i="440"/>
  <c r="I36" i="440" s="1"/>
  <c r="H35" i="440"/>
  <c r="I35" i="440" s="1"/>
  <c r="H34" i="440"/>
  <c r="I34" i="440" s="1"/>
  <c r="H33" i="440"/>
  <c r="I33" i="440" s="1"/>
  <c r="H32" i="440"/>
  <c r="I32" i="440" s="1"/>
  <c r="H31" i="440"/>
  <c r="I31" i="440" s="1"/>
  <c r="H30" i="440"/>
  <c r="I30" i="440" s="1"/>
  <c r="H29" i="440"/>
  <c r="I29" i="440" s="1"/>
  <c r="H28" i="440"/>
  <c r="I28" i="440" s="1"/>
  <c r="H27" i="440"/>
  <c r="I27" i="440" s="1"/>
  <c r="H26" i="440"/>
  <c r="I26" i="440" s="1"/>
  <c r="H25" i="440"/>
  <c r="I25" i="440" s="1"/>
  <c r="H24" i="440"/>
  <c r="I24" i="440" s="1"/>
  <c r="H23" i="440"/>
  <c r="I23" i="440" s="1"/>
  <c r="H22" i="440"/>
  <c r="I22" i="440" s="1"/>
  <c r="H21" i="440"/>
  <c r="I21" i="440" s="1"/>
  <c r="H20" i="440"/>
  <c r="I20" i="440" s="1"/>
  <c r="H19" i="440"/>
  <c r="I19" i="440" s="1"/>
  <c r="H18" i="440"/>
  <c r="I18" i="440" s="1"/>
  <c r="H17" i="440"/>
  <c r="I17" i="440" s="1"/>
  <c r="H16" i="440"/>
  <c r="I16" i="440" s="1"/>
  <c r="H15" i="440"/>
  <c r="I15" i="440" s="1"/>
  <c r="H14" i="440"/>
  <c r="I14" i="440" s="1"/>
  <c r="H13" i="440"/>
  <c r="I13" i="440" s="1"/>
  <c r="H12" i="440"/>
  <c r="I12" i="440" s="1"/>
  <c r="H11" i="440"/>
  <c r="I11" i="440" s="1"/>
  <c r="H10" i="440"/>
  <c r="I10" i="440" s="1"/>
  <c r="H9" i="440"/>
  <c r="I9" i="440" s="1"/>
  <c r="H8" i="440"/>
  <c r="I8" i="440" s="1"/>
  <c r="H7" i="440"/>
  <c r="I7" i="440" s="1"/>
  <c r="H6" i="440"/>
  <c r="I6" i="440" s="1"/>
  <c r="H5" i="440"/>
  <c r="I5" i="440" s="1"/>
  <c r="H4" i="440"/>
  <c r="I4" i="440" s="1"/>
  <c r="H3" i="440"/>
  <c r="I3" i="440" s="1"/>
  <c r="H9" i="439" l="1"/>
  <c r="I9" i="439" s="1"/>
  <c r="H98" i="439" l="1"/>
  <c r="I98" i="439" s="1"/>
  <c r="H97" i="439"/>
  <c r="I97" i="439" s="1"/>
  <c r="H96" i="439"/>
  <c r="I96" i="439" s="1"/>
  <c r="H95" i="439"/>
  <c r="I95" i="439" s="1"/>
  <c r="H94" i="439"/>
  <c r="I94" i="439" s="1"/>
  <c r="H93" i="439"/>
  <c r="I93" i="439" s="1"/>
  <c r="H92" i="439"/>
  <c r="I92" i="439" s="1"/>
  <c r="H91" i="439"/>
  <c r="I91" i="439" s="1"/>
  <c r="H90" i="439"/>
  <c r="I90" i="439" s="1"/>
  <c r="H89" i="439"/>
  <c r="I89" i="439" s="1"/>
  <c r="H88" i="439"/>
  <c r="I88" i="439" s="1"/>
  <c r="H87" i="439"/>
  <c r="I87" i="439" s="1"/>
  <c r="H86" i="439"/>
  <c r="I86" i="439" s="1"/>
  <c r="H85" i="439"/>
  <c r="I85" i="439" s="1"/>
  <c r="H84" i="439"/>
  <c r="I84" i="439" s="1"/>
  <c r="H83" i="439"/>
  <c r="I83" i="439" s="1"/>
  <c r="H82" i="439"/>
  <c r="I82" i="439" s="1"/>
  <c r="H81" i="439"/>
  <c r="I81" i="439" s="1"/>
  <c r="H80" i="439"/>
  <c r="I80" i="439" s="1"/>
  <c r="H79" i="439"/>
  <c r="I79" i="439" s="1"/>
  <c r="H78" i="439"/>
  <c r="I78" i="439" s="1"/>
  <c r="H77" i="439"/>
  <c r="I77" i="439" s="1"/>
  <c r="H76" i="439"/>
  <c r="I76" i="439" s="1"/>
  <c r="H75" i="439"/>
  <c r="I75" i="439" s="1"/>
  <c r="H74" i="439"/>
  <c r="I74" i="439" s="1"/>
  <c r="H73" i="439"/>
  <c r="I73" i="439" s="1"/>
  <c r="H72" i="439"/>
  <c r="I72" i="439" s="1"/>
  <c r="H71" i="439"/>
  <c r="I71" i="439" s="1"/>
  <c r="H70" i="439"/>
  <c r="I70" i="439" s="1"/>
  <c r="H69" i="439"/>
  <c r="I69" i="439" s="1"/>
  <c r="H68" i="439"/>
  <c r="I68" i="439" s="1"/>
  <c r="H67" i="439"/>
  <c r="I67" i="439" s="1"/>
  <c r="H66" i="439"/>
  <c r="I66" i="439" s="1"/>
  <c r="H65" i="439"/>
  <c r="I65" i="439" s="1"/>
  <c r="H64" i="439"/>
  <c r="I64" i="439" s="1"/>
  <c r="H63" i="439"/>
  <c r="I63" i="439" s="1"/>
  <c r="H62" i="439"/>
  <c r="I62" i="439" s="1"/>
  <c r="H61" i="439"/>
  <c r="I61" i="439" s="1"/>
  <c r="H60" i="439"/>
  <c r="I60" i="439" s="1"/>
  <c r="H59" i="439"/>
  <c r="I59" i="439" s="1"/>
  <c r="H58" i="439"/>
  <c r="I58" i="439" s="1"/>
  <c r="H57" i="439"/>
  <c r="I57" i="439" s="1"/>
  <c r="H56" i="439"/>
  <c r="I56" i="439" s="1"/>
  <c r="H55" i="439"/>
  <c r="I55" i="439" s="1"/>
  <c r="H54" i="439"/>
  <c r="I54" i="439" s="1"/>
  <c r="H53" i="439"/>
  <c r="I53" i="439" s="1"/>
  <c r="H52" i="439"/>
  <c r="I52" i="439" s="1"/>
  <c r="H51" i="439"/>
  <c r="I51" i="439" s="1"/>
  <c r="H50" i="439"/>
  <c r="I50" i="439" s="1"/>
  <c r="H49" i="439"/>
  <c r="I49" i="439" s="1"/>
  <c r="H48" i="439"/>
  <c r="I48" i="439" s="1"/>
  <c r="H47" i="439"/>
  <c r="I47" i="439" s="1"/>
  <c r="H46" i="439"/>
  <c r="I46" i="439" s="1"/>
  <c r="H45" i="439"/>
  <c r="I45" i="439" s="1"/>
  <c r="H44" i="439"/>
  <c r="I44" i="439" s="1"/>
  <c r="H43" i="439"/>
  <c r="I43" i="439" s="1"/>
  <c r="H42" i="439"/>
  <c r="I42" i="439" s="1"/>
  <c r="H41" i="439"/>
  <c r="I41" i="439" s="1"/>
  <c r="H40" i="439"/>
  <c r="I40" i="439" s="1"/>
  <c r="H39" i="439"/>
  <c r="I39" i="439" s="1"/>
  <c r="H38" i="439"/>
  <c r="I38" i="439" s="1"/>
  <c r="H37" i="439"/>
  <c r="I37" i="439" s="1"/>
  <c r="H36" i="439"/>
  <c r="I36" i="439" s="1"/>
  <c r="H35" i="439"/>
  <c r="I35" i="439" s="1"/>
  <c r="H34" i="439"/>
  <c r="I34" i="439" s="1"/>
  <c r="H33" i="439"/>
  <c r="I33" i="439" s="1"/>
  <c r="H32" i="439"/>
  <c r="I32" i="439" s="1"/>
  <c r="H31" i="439"/>
  <c r="I31" i="439" s="1"/>
  <c r="H30" i="439"/>
  <c r="I30" i="439" s="1"/>
  <c r="H29" i="439"/>
  <c r="I29" i="439" s="1"/>
  <c r="H28" i="439"/>
  <c r="I28" i="439" s="1"/>
  <c r="H27" i="439"/>
  <c r="I27" i="439" s="1"/>
  <c r="H26" i="439"/>
  <c r="I26" i="439" s="1"/>
  <c r="H24" i="439"/>
  <c r="I24" i="439" s="1"/>
  <c r="H25" i="439"/>
  <c r="I25" i="439" s="1"/>
  <c r="H23" i="439"/>
  <c r="I23" i="439" s="1"/>
  <c r="H22" i="439"/>
  <c r="I22" i="439" s="1"/>
  <c r="H21" i="439"/>
  <c r="I21" i="439" s="1"/>
  <c r="H20" i="439"/>
  <c r="I20" i="439" s="1"/>
  <c r="H18" i="439"/>
  <c r="I18" i="439" s="1"/>
  <c r="H19" i="439"/>
  <c r="I19" i="439" s="1"/>
  <c r="H17" i="439"/>
  <c r="I17" i="439" s="1"/>
  <c r="H16" i="439"/>
  <c r="I16" i="439" s="1"/>
  <c r="H15" i="439"/>
  <c r="I15" i="439" s="1"/>
  <c r="H14" i="439"/>
  <c r="I14" i="439" s="1"/>
  <c r="H13" i="439"/>
  <c r="I13" i="439" s="1"/>
  <c r="H12" i="439"/>
  <c r="I12" i="439" s="1"/>
  <c r="H11" i="439"/>
  <c r="I11" i="439" s="1"/>
  <c r="H10" i="439"/>
  <c r="I10" i="439" s="1"/>
  <c r="H8" i="439"/>
  <c r="I8" i="439" s="1"/>
  <c r="H7" i="439"/>
  <c r="I7" i="439" s="1"/>
  <c r="H6" i="439"/>
  <c r="I6" i="439" s="1"/>
  <c r="H5" i="439"/>
  <c r="I5" i="439" s="1"/>
  <c r="H4" i="439"/>
  <c r="I4" i="439" s="1"/>
  <c r="H3" i="439"/>
  <c r="I3" i="439" s="1"/>
  <c r="I31" i="438"/>
  <c r="H31" i="438"/>
  <c r="H117" i="438" l="1"/>
  <c r="I117" i="438" s="1"/>
  <c r="H116" i="438"/>
  <c r="I116" i="438" s="1"/>
  <c r="H115" i="438"/>
  <c r="I115" i="438" s="1"/>
  <c r="H114" i="438"/>
  <c r="I114" i="438" s="1"/>
  <c r="H113" i="438"/>
  <c r="I113" i="438" s="1"/>
  <c r="H112" i="438"/>
  <c r="I112" i="438" s="1"/>
  <c r="H111" i="438"/>
  <c r="I111" i="438" s="1"/>
  <c r="H110" i="438"/>
  <c r="I110" i="438" s="1"/>
  <c r="H109" i="438"/>
  <c r="I109" i="438" s="1"/>
  <c r="H108" i="438"/>
  <c r="I108" i="438" s="1"/>
  <c r="H107" i="438"/>
  <c r="I107" i="438" s="1"/>
  <c r="H106" i="438"/>
  <c r="I106" i="438" s="1"/>
  <c r="H105" i="438"/>
  <c r="I105" i="438" s="1"/>
  <c r="H104" i="438"/>
  <c r="I104" i="438" s="1"/>
  <c r="H103" i="438"/>
  <c r="I103" i="438" s="1"/>
  <c r="H102" i="438"/>
  <c r="I102" i="438" s="1"/>
  <c r="H101" i="438"/>
  <c r="I101" i="438" s="1"/>
  <c r="H100" i="438"/>
  <c r="I100" i="438" s="1"/>
  <c r="H99" i="438"/>
  <c r="I99" i="438" s="1"/>
  <c r="H98" i="438"/>
  <c r="I98" i="438" s="1"/>
  <c r="H97" i="438"/>
  <c r="I97" i="438" s="1"/>
  <c r="H96" i="438"/>
  <c r="I96" i="438" s="1"/>
  <c r="H95" i="438"/>
  <c r="I95" i="438" s="1"/>
  <c r="H94" i="438"/>
  <c r="I94" i="438" s="1"/>
  <c r="H93" i="438"/>
  <c r="I93" i="438" s="1"/>
  <c r="H92" i="438"/>
  <c r="I92" i="438" s="1"/>
  <c r="H91" i="438"/>
  <c r="I91" i="438" s="1"/>
  <c r="H90" i="438"/>
  <c r="I90" i="438" s="1"/>
  <c r="H89" i="438"/>
  <c r="I89" i="438" s="1"/>
  <c r="H88" i="438"/>
  <c r="I88" i="438" s="1"/>
  <c r="H87" i="438"/>
  <c r="I87" i="438" s="1"/>
  <c r="H86" i="438"/>
  <c r="I86" i="438" s="1"/>
  <c r="H85" i="438"/>
  <c r="I85" i="438" s="1"/>
  <c r="H84" i="438"/>
  <c r="I84" i="438" s="1"/>
  <c r="H83" i="438"/>
  <c r="I83" i="438" s="1"/>
  <c r="H82" i="438"/>
  <c r="I82" i="438" s="1"/>
  <c r="H81" i="438"/>
  <c r="I81" i="438" s="1"/>
  <c r="H80" i="438"/>
  <c r="I80" i="438" s="1"/>
  <c r="H79" i="438"/>
  <c r="I79" i="438" s="1"/>
  <c r="H78" i="438"/>
  <c r="I78" i="438" s="1"/>
  <c r="H77" i="438"/>
  <c r="I77" i="438" s="1"/>
  <c r="H76" i="438"/>
  <c r="I76" i="438" s="1"/>
  <c r="H75" i="438"/>
  <c r="I75" i="438" s="1"/>
  <c r="H74" i="438"/>
  <c r="I74" i="438" s="1"/>
  <c r="H73" i="438"/>
  <c r="I73" i="438" s="1"/>
  <c r="H72" i="438"/>
  <c r="I72" i="438" s="1"/>
  <c r="H71" i="438"/>
  <c r="I71" i="438" s="1"/>
  <c r="H70" i="438"/>
  <c r="I70" i="438" s="1"/>
  <c r="H69" i="438"/>
  <c r="I69" i="438" s="1"/>
  <c r="H68" i="438"/>
  <c r="I68" i="438" s="1"/>
  <c r="H67" i="438"/>
  <c r="I67" i="438" s="1"/>
  <c r="H66" i="438"/>
  <c r="I66" i="438" s="1"/>
  <c r="H65" i="438"/>
  <c r="I65" i="438" s="1"/>
  <c r="H64" i="438"/>
  <c r="I64" i="438" s="1"/>
  <c r="H63" i="438"/>
  <c r="I63" i="438" s="1"/>
  <c r="H62" i="438"/>
  <c r="I62" i="438" s="1"/>
  <c r="H61" i="438"/>
  <c r="I61" i="438" s="1"/>
  <c r="H60" i="438"/>
  <c r="I60" i="438" s="1"/>
  <c r="H59" i="438"/>
  <c r="I59" i="438" s="1"/>
  <c r="H58" i="438"/>
  <c r="I58" i="438" s="1"/>
  <c r="H57" i="438"/>
  <c r="I57" i="438" s="1"/>
  <c r="H56" i="438"/>
  <c r="I56" i="438" s="1"/>
  <c r="H55" i="438"/>
  <c r="I55" i="438" s="1"/>
  <c r="H54" i="438"/>
  <c r="I54" i="438" s="1"/>
  <c r="H53" i="438"/>
  <c r="I53" i="438" s="1"/>
  <c r="H52" i="438"/>
  <c r="I52" i="438" s="1"/>
  <c r="H51" i="438"/>
  <c r="I51" i="438" s="1"/>
  <c r="H50" i="438"/>
  <c r="I50" i="438" s="1"/>
  <c r="H49" i="438"/>
  <c r="I49" i="438" s="1"/>
  <c r="H48" i="438"/>
  <c r="I48" i="438" s="1"/>
  <c r="H47" i="438"/>
  <c r="I47" i="438" s="1"/>
  <c r="H46" i="438"/>
  <c r="I46" i="438" s="1"/>
  <c r="H45" i="438"/>
  <c r="I45" i="438" s="1"/>
  <c r="H44" i="438"/>
  <c r="I44" i="438" s="1"/>
  <c r="H43" i="438"/>
  <c r="I43" i="438" s="1"/>
  <c r="H42" i="438"/>
  <c r="I42" i="438" s="1"/>
  <c r="H41" i="438"/>
  <c r="I41" i="438" s="1"/>
  <c r="H40" i="438"/>
  <c r="I40" i="438" s="1"/>
  <c r="H39" i="438"/>
  <c r="I39" i="438" s="1"/>
  <c r="H38" i="438"/>
  <c r="I38" i="438" s="1"/>
  <c r="H37" i="438"/>
  <c r="I37" i="438" s="1"/>
  <c r="H36" i="438"/>
  <c r="I36" i="438" s="1"/>
  <c r="H35" i="438"/>
  <c r="I35" i="438" s="1"/>
  <c r="H34" i="438"/>
  <c r="I34" i="438" s="1"/>
  <c r="H33" i="438"/>
  <c r="I33" i="438" s="1"/>
  <c r="H32" i="438"/>
  <c r="I32" i="438" s="1"/>
  <c r="H30" i="438"/>
  <c r="I30" i="438" s="1"/>
  <c r="H29" i="438"/>
  <c r="I29" i="438" s="1"/>
  <c r="H28" i="438"/>
  <c r="I28" i="438" s="1"/>
  <c r="H27" i="438"/>
  <c r="I27" i="438" s="1"/>
  <c r="H26" i="438"/>
  <c r="I26" i="438" s="1"/>
  <c r="H25" i="438"/>
  <c r="I25" i="438" s="1"/>
  <c r="H23" i="438"/>
  <c r="I23" i="438" s="1"/>
  <c r="H24" i="438"/>
  <c r="I24" i="438" s="1"/>
  <c r="H22" i="438"/>
  <c r="I22" i="438" s="1"/>
  <c r="H21" i="438"/>
  <c r="I21" i="438" s="1"/>
  <c r="H20" i="438"/>
  <c r="I20" i="438" s="1"/>
  <c r="H19" i="438"/>
  <c r="I19" i="438" s="1"/>
  <c r="H18" i="438"/>
  <c r="I18" i="438" s="1"/>
  <c r="H17" i="438"/>
  <c r="I17" i="438" s="1"/>
  <c r="H16" i="438"/>
  <c r="I16" i="438" s="1"/>
  <c r="H15" i="438"/>
  <c r="I15" i="438" s="1"/>
  <c r="H14" i="438"/>
  <c r="I14" i="438" s="1"/>
  <c r="H13" i="438"/>
  <c r="I13" i="438" s="1"/>
  <c r="H12" i="438"/>
  <c r="I12" i="438" s="1"/>
  <c r="H11" i="438"/>
  <c r="I11" i="438" s="1"/>
  <c r="H10" i="438"/>
  <c r="I10" i="438" s="1"/>
  <c r="H9" i="438"/>
  <c r="I9" i="438" s="1"/>
  <c r="H8" i="438"/>
  <c r="I8" i="438" s="1"/>
  <c r="H7" i="438"/>
  <c r="I7" i="438" s="1"/>
  <c r="H6" i="438"/>
  <c r="I6" i="438" s="1"/>
  <c r="H5" i="438"/>
  <c r="I5" i="438" s="1"/>
  <c r="H4" i="438"/>
  <c r="I4" i="438" s="1"/>
  <c r="H3" i="438"/>
  <c r="I3" i="438" s="1"/>
  <c r="H115" i="436" l="1"/>
  <c r="I115" i="436" s="1"/>
  <c r="H114" i="436"/>
  <c r="I114" i="436" s="1"/>
  <c r="H113" i="436"/>
  <c r="I113" i="436" s="1"/>
  <c r="H112" i="436"/>
  <c r="I112" i="436" s="1"/>
  <c r="H111" i="436"/>
  <c r="I111" i="436" s="1"/>
  <c r="H110" i="436"/>
  <c r="I110" i="436" s="1"/>
  <c r="H109" i="436"/>
  <c r="I109" i="436" s="1"/>
  <c r="H108" i="436"/>
  <c r="I108" i="436" s="1"/>
  <c r="H107" i="436"/>
  <c r="I107" i="436" s="1"/>
  <c r="H106" i="436"/>
  <c r="I106" i="436" s="1"/>
  <c r="H105" i="436"/>
  <c r="I105" i="436" s="1"/>
  <c r="H104" i="436"/>
  <c r="I104" i="436" s="1"/>
  <c r="H103" i="436"/>
  <c r="I103" i="436" s="1"/>
  <c r="H102" i="436"/>
  <c r="I102" i="436" s="1"/>
  <c r="H101" i="436"/>
  <c r="I101" i="436" s="1"/>
  <c r="H100" i="436"/>
  <c r="I100" i="436" s="1"/>
  <c r="H99" i="436"/>
  <c r="I99" i="436" s="1"/>
  <c r="H98" i="436"/>
  <c r="I98" i="436" s="1"/>
  <c r="H97" i="436"/>
  <c r="I97" i="436" s="1"/>
  <c r="H96" i="436"/>
  <c r="I96" i="436" s="1"/>
  <c r="H95" i="436"/>
  <c r="I95" i="436" s="1"/>
  <c r="H94" i="436"/>
  <c r="I94" i="436" s="1"/>
  <c r="H93" i="436"/>
  <c r="I93" i="436" s="1"/>
  <c r="H92" i="436"/>
  <c r="I92" i="436" s="1"/>
  <c r="H91" i="436"/>
  <c r="I91" i="436" s="1"/>
  <c r="H90" i="436"/>
  <c r="I90" i="436" s="1"/>
  <c r="H89" i="436"/>
  <c r="I89" i="436" s="1"/>
  <c r="H88" i="436"/>
  <c r="I88" i="436" s="1"/>
  <c r="H87" i="436"/>
  <c r="I87" i="436" s="1"/>
  <c r="H86" i="436"/>
  <c r="I86" i="436" s="1"/>
  <c r="H85" i="436"/>
  <c r="I85" i="436" s="1"/>
  <c r="H84" i="436"/>
  <c r="I84" i="436" s="1"/>
  <c r="H83" i="436"/>
  <c r="I83" i="436" s="1"/>
  <c r="H82" i="436"/>
  <c r="I82" i="436" s="1"/>
  <c r="H81" i="436"/>
  <c r="I81" i="436" s="1"/>
  <c r="H80" i="436"/>
  <c r="I80" i="436" s="1"/>
  <c r="H79" i="436"/>
  <c r="I79" i="436" s="1"/>
  <c r="H78" i="436"/>
  <c r="I78" i="436" s="1"/>
  <c r="H77" i="436"/>
  <c r="I77" i="436" s="1"/>
  <c r="H76" i="436"/>
  <c r="I76" i="436" s="1"/>
  <c r="H75" i="436"/>
  <c r="I75" i="436" s="1"/>
  <c r="H74" i="436"/>
  <c r="I74" i="436" s="1"/>
  <c r="H73" i="436"/>
  <c r="I73" i="436" s="1"/>
  <c r="H72" i="436"/>
  <c r="I72" i="436" s="1"/>
  <c r="H71" i="436"/>
  <c r="I71" i="436" s="1"/>
  <c r="H70" i="436"/>
  <c r="I70" i="436" s="1"/>
  <c r="H69" i="436"/>
  <c r="I69" i="436" s="1"/>
  <c r="H68" i="436"/>
  <c r="I68" i="436" s="1"/>
  <c r="H67" i="436"/>
  <c r="I67" i="436" s="1"/>
  <c r="H66" i="436"/>
  <c r="I66" i="436" s="1"/>
  <c r="H65" i="436"/>
  <c r="I65" i="436" s="1"/>
  <c r="H64" i="436"/>
  <c r="I64" i="436" s="1"/>
  <c r="H63" i="436"/>
  <c r="I63" i="436" s="1"/>
  <c r="H62" i="436"/>
  <c r="I62" i="436" s="1"/>
  <c r="H61" i="436"/>
  <c r="I61" i="436" s="1"/>
  <c r="H60" i="436"/>
  <c r="I60" i="436" s="1"/>
  <c r="H59" i="436"/>
  <c r="I59" i="436" s="1"/>
  <c r="H58" i="436"/>
  <c r="I58" i="436" s="1"/>
  <c r="H57" i="436"/>
  <c r="I57" i="436" s="1"/>
  <c r="H56" i="436"/>
  <c r="I56" i="436" s="1"/>
  <c r="H55" i="436"/>
  <c r="I55" i="436" s="1"/>
  <c r="H54" i="436"/>
  <c r="I54" i="436" s="1"/>
  <c r="H53" i="436"/>
  <c r="I53" i="436" s="1"/>
  <c r="H52" i="436"/>
  <c r="I52" i="436" s="1"/>
  <c r="H51" i="436"/>
  <c r="I51" i="436" s="1"/>
  <c r="H50" i="436"/>
  <c r="I50" i="436" s="1"/>
  <c r="H49" i="436"/>
  <c r="I49" i="436" s="1"/>
  <c r="H48" i="436"/>
  <c r="I48" i="436" s="1"/>
  <c r="H47" i="436"/>
  <c r="I47" i="436" s="1"/>
  <c r="H46" i="436"/>
  <c r="I46" i="436" s="1"/>
  <c r="H45" i="436"/>
  <c r="I45" i="436" s="1"/>
  <c r="H44" i="436"/>
  <c r="I44" i="436" s="1"/>
  <c r="H43" i="436"/>
  <c r="I43" i="436" s="1"/>
  <c r="H42" i="436"/>
  <c r="I42" i="436" s="1"/>
  <c r="H41" i="436"/>
  <c r="I41" i="436" s="1"/>
  <c r="H40" i="436"/>
  <c r="I40" i="436" s="1"/>
  <c r="H39" i="436"/>
  <c r="I39" i="436" s="1"/>
  <c r="H38" i="436"/>
  <c r="I38" i="436" s="1"/>
  <c r="H37" i="436"/>
  <c r="I37" i="436" s="1"/>
  <c r="H36" i="436"/>
  <c r="I36" i="436" s="1"/>
  <c r="H35" i="436"/>
  <c r="I35" i="436" s="1"/>
  <c r="H34" i="436"/>
  <c r="I34" i="436" s="1"/>
  <c r="H33" i="436"/>
  <c r="I33" i="436" s="1"/>
  <c r="H32" i="436"/>
  <c r="I32" i="436" s="1"/>
  <c r="H31" i="436"/>
  <c r="I31" i="436" s="1"/>
  <c r="H30" i="436"/>
  <c r="I30" i="436" s="1"/>
  <c r="H29" i="436"/>
  <c r="I29" i="436" s="1"/>
  <c r="H28" i="436"/>
  <c r="I28" i="436" s="1"/>
  <c r="H27" i="436"/>
  <c r="I27" i="436" s="1"/>
  <c r="H26" i="436"/>
  <c r="I26" i="436" s="1"/>
  <c r="H25" i="436"/>
  <c r="I25" i="436" s="1"/>
  <c r="H24" i="436"/>
  <c r="I24" i="436" s="1"/>
  <c r="H23" i="436"/>
  <c r="I23" i="436" s="1"/>
  <c r="H22" i="436"/>
  <c r="I22" i="436" s="1"/>
  <c r="H21" i="436"/>
  <c r="I21" i="436" s="1"/>
  <c r="H20" i="436"/>
  <c r="I20" i="436" s="1"/>
  <c r="H19" i="436"/>
  <c r="I19" i="436" s="1"/>
  <c r="H18" i="436"/>
  <c r="I18" i="436" s="1"/>
  <c r="H17" i="436"/>
  <c r="I17" i="436" s="1"/>
  <c r="H16" i="436"/>
  <c r="I16" i="436" s="1"/>
  <c r="H15" i="436"/>
  <c r="I15" i="436" s="1"/>
  <c r="H14" i="436"/>
  <c r="I14" i="436" s="1"/>
  <c r="H13" i="436"/>
  <c r="I13" i="436" s="1"/>
  <c r="H12" i="436"/>
  <c r="I12" i="436" s="1"/>
  <c r="H11" i="436"/>
  <c r="I11" i="436" s="1"/>
  <c r="H10" i="436"/>
  <c r="I10" i="436" s="1"/>
  <c r="H9" i="436"/>
  <c r="I9" i="436" s="1"/>
  <c r="H8" i="436"/>
  <c r="I8" i="436" s="1"/>
  <c r="H7" i="436"/>
  <c r="I7" i="436" s="1"/>
  <c r="H6" i="436"/>
  <c r="I6" i="436" s="1"/>
  <c r="H5" i="436"/>
  <c r="I5" i="436" s="1"/>
  <c r="H4" i="436"/>
  <c r="I4" i="436" s="1"/>
  <c r="H3" i="436"/>
  <c r="I3" i="436" s="1"/>
  <c r="H116" i="435" l="1"/>
  <c r="I116" i="435" s="1"/>
  <c r="H115" i="435"/>
  <c r="I115" i="435" s="1"/>
  <c r="H114" i="435"/>
  <c r="I114" i="435" s="1"/>
  <c r="H113" i="435"/>
  <c r="I113" i="435" s="1"/>
  <c r="H112" i="435"/>
  <c r="I112" i="435" s="1"/>
  <c r="H111" i="435"/>
  <c r="I111" i="435" s="1"/>
  <c r="H110" i="435"/>
  <c r="I110" i="435" s="1"/>
  <c r="H109" i="435"/>
  <c r="I109" i="435" s="1"/>
  <c r="H108" i="435"/>
  <c r="I108" i="435" s="1"/>
  <c r="H107" i="435"/>
  <c r="I107" i="435" s="1"/>
  <c r="H106" i="435"/>
  <c r="I106" i="435" s="1"/>
  <c r="H105" i="435"/>
  <c r="I105" i="435" s="1"/>
  <c r="H104" i="435"/>
  <c r="I104" i="435" s="1"/>
  <c r="H103" i="435"/>
  <c r="I103" i="435" s="1"/>
  <c r="H102" i="435"/>
  <c r="I102" i="435" s="1"/>
  <c r="H101" i="435"/>
  <c r="I101" i="435" s="1"/>
  <c r="H100" i="435"/>
  <c r="I100" i="435" s="1"/>
  <c r="H99" i="435"/>
  <c r="I99" i="435" s="1"/>
  <c r="H98" i="435"/>
  <c r="I98" i="435" s="1"/>
  <c r="H97" i="435"/>
  <c r="I97" i="435" s="1"/>
  <c r="H96" i="435"/>
  <c r="I96" i="435" s="1"/>
  <c r="H95" i="435"/>
  <c r="I95" i="435" s="1"/>
  <c r="H94" i="435"/>
  <c r="I94" i="435" s="1"/>
  <c r="H93" i="435"/>
  <c r="I93" i="435" s="1"/>
  <c r="H92" i="435"/>
  <c r="I92" i="435" s="1"/>
  <c r="H91" i="435"/>
  <c r="I91" i="435" s="1"/>
  <c r="H90" i="435"/>
  <c r="I90" i="435" s="1"/>
  <c r="H89" i="435"/>
  <c r="I89" i="435" s="1"/>
  <c r="H88" i="435"/>
  <c r="I88" i="435" s="1"/>
  <c r="H87" i="435"/>
  <c r="I87" i="435" s="1"/>
  <c r="H86" i="435"/>
  <c r="I86" i="435" s="1"/>
  <c r="H85" i="435"/>
  <c r="I85" i="435" s="1"/>
  <c r="H84" i="435"/>
  <c r="I84" i="435" s="1"/>
  <c r="H83" i="435"/>
  <c r="I83" i="435" s="1"/>
  <c r="H82" i="435"/>
  <c r="I82" i="435" s="1"/>
  <c r="H81" i="435"/>
  <c r="I81" i="435" s="1"/>
  <c r="H80" i="435"/>
  <c r="I80" i="435" s="1"/>
  <c r="H79" i="435"/>
  <c r="I79" i="435" s="1"/>
  <c r="H78" i="435"/>
  <c r="I78" i="435" s="1"/>
  <c r="H77" i="435"/>
  <c r="I77" i="435" s="1"/>
  <c r="H76" i="435"/>
  <c r="I76" i="435" s="1"/>
  <c r="H75" i="435"/>
  <c r="I75" i="435" s="1"/>
  <c r="H74" i="435"/>
  <c r="I74" i="435" s="1"/>
  <c r="H73" i="435"/>
  <c r="I73" i="435" s="1"/>
  <c r="H72" i="435"/>
  <c r="I72" i="435" s="1"/>
  <c r="H71" i="435"/>
  <c r="I71" i="435" s="1"/>
  <c r="H70" i="435"/>
  <c r="I70" i="435" s="1"/>
  <c r="H69" i="435"/>
  <c r="I69" i="435" s="1"/>
  <c r="H68" i="435"/>
  <c r="I68" i="435" s="1"/>
  <c r="H67" i="435"/>
  <c r="I67" i="435" s="1"/>
  <c r="H66" i="435"/>
  <c r="I66" i="435" s="1"/>
  <c r="H65" i="435"/>
  <c r="I65" i="435" s="1"/>
  <c r="H64" i="435"/>
  <c r="I64" i="435" s="1"/>
  <c r="H63" i="435"/>
  <c r="I63" i="435" s="1"/>
  <c r="H62" i="435"/>
  <c r="I62" i="435" s="1"/>
  <c r="H61" i="435"/>
  <c r="I61" i="435" s="1"/>
  <c r="H60" i="435"/>
  <c r="I60" i="435" s="1"/>
  <c r="H59" i="435"/>
  <c r="I59" i="435" s="1"/>
  <c r="H58" i="435"/>
  <c r="I58" i="435" s="1"/>
  <c r="H57" i="435"/>
  <c r="I57" i="435" s="1"/>
  <c r="H56" i="435"/>
  <c r="I56" i="435" s="1"/>
  <c r="H55" i="435"/>
  <c r="I55" i="435" s="1"/>
  <c r="H54" i="435"/>
  <c r="I54" i="435" s="1"/>
  <c r="H53" i="435"/>
  <c r="I53" i="435" s="1"/>
  <c r="H52" i="435"/>
  <c r="I52" i="435" s="1"/>
  <c r="H51" i="435"/>
  <c r="I51" i="435" s="1"/>
  <c r="H50" i="435"/>
  <c r="I50" i="435" s="1"/>
  <c r="H49" i="435"/>
  <c r="I49" i="435" s="1"/>
  <c r="H48" i="435"/>
  <c r="I48" i="435" s="1"/>
  <c r="H47" i="435"/>
  <c r="I47" i="435" s="1"/>
  <c r="H46" i="435"/>
  <c r="I46" i="435" s="1"/>
  <c r="H45" i="435"/>
  <c r="I45" i="435" s="1"/>
  <c r="H44" i="435"/>
  <c r="I44" i="435" s="1"/>
  <c r="H43" i="435"/>
  <c r="I43" i="435" s="1"/>
  <c r="H42" i="435"/>
  <c r="I42" i="435" s="1"/>
  <c r="H41" i="435"/>
  <c r="I41" i="435" s="1"/>
  <c r="H40" i="435"/>
  <c r="I40" i="435" s="1"/>
  <c r="H39" i="435"/>
  <c r="I39" i="435" s="1"/>
  <c r="H38" i="435"/>
  <c r="I38" i="435" s="1"/>
  <c r="H37" i="435"/>
  <c r="I37" i="435" s="1"/>
  <c r="H36" i="435"/>
  <c r="I36" i="435" s="1"/>
  <c r="H35" i="435"/>
  <c r="I35" i="435" s="1"/>
  <c r="H34" i="435"/>
  <c r="I34" i="435" s="1"/>
  <c r="H33" i="435"/>
  <c r="I33" i="435" s="1"/>
  <c r="H32" i="435"/>
  <c r="I32" i="435" s="1"/>
  <c r="H31" i="435"/>
  <c r="I31" i="435" s="1"/>
  <c r="H30" i="435"/>
  <c r="I30" i="435" s="1"/>
  <c r="H29" i="435"/>
  <c r="I29" i="435" s="1"/>
  <c r="H28" i="435"/>
  <c r="I28" i="435" s="1"/>
  <c r="H27" i="435"/>
  <c r="I27" i="435" s="1"/>
  <c r="H26" i="435"/>
  <c r="I26" i="435" s="1"/>
  <c r="H25" i="435"/>
  <c r="I25" i="435" s="1"/>
  <c r="H24" i="435"/>
  <c r="I24" i="435" s="1"/>
  <c r="H23" i="435"/>
  <c r="I23" i="435" s="1"/>
  <c r="H22" i="435"/>
  <c r="I22" i="435" s="1"/>
  <c r="H21" i="435"/>
  <c r="I21" i="435" s="1"/>
  <c r="H20" i="435"/>
  <c r="I20" i="435" s="1"/>
  <c r="H19" i="435"/>
  <c r="I19" i="435" s="1"/>
  <c r="H18" i="435"/>
  <c r="I18" i="435" s="1"/>
  <c r="H17" i="435"/>
  <c r="I17" i="435" s="1"/>
  <c r="H16" i="435"/>
  <c r="I16" i="435" s="1"/>
  <c r="H15" i="435"/>
  <c r="I15" i="435" s="1"/>
  <c r="H14" i="435"/>
  <c r="I14" i="435" s="1"/>
  <c r="H13" i="435"/>
  <c r="I13" i="435" s="1"/>
  <c r="H12" i="435"/>
  <c r="I12" i="435" s="1"/>
  <c r="H11" i="435"/>
  <c r="I11" i="435" s="1"/>
  <c r="H10" i="435"/>
  <c r="I10" i="435" s="1"/>
  <c r="H9" i="435"/>
  <c r="I9" i="435" s="1"/>
  <c r="H8" i="435"/>
  <c r="I8" i="435" s="1"/>
  <c r="H7" i="435"/>
  <c r="I7" i="435" s="1"/>
  <c r="H6" i="435"/>
  <c r="I6" i="435" s="1"/>
  <c r="H5" i="435"/>
  <c r="I5" i="435" s="1"/>
  <c r="H4" i="435"/>
  <c r="I4" i="435" s="1"/>
  <c r="H3" i="435"/>
  <c r="I3" i="435" s="1"/>
  <c r="H27" i="434" l="1"/>
  <c r="I27" i="434" s="1"/>
  <c r="H16" i="434"/>
  <c r="I16" i="434" s="1"/>
  <c r="H48" i="434" l="1"/>
  <c r="I48" i="434" s="1"/>
  <c r="H111" i="434" l="1"/>
  <c r="I111" i="434" s="1"/>
  <c r="H110" i="434"/>
  <c r="I110" i="434" s="1"/>
  <c r="H115" i="434"/>
  <c r="I115" i="434" s="1"/>
  <c r="H114" i="434"/>
  <c r="I114" i="434" s="1"/>
  <c r="H113" i="434"/>
  <c r="I113" i="434" s="1"/>
  <c r="H112" i="434"/>
  <c r="I112" i="434" s="1"/>
  <c r="H109" i="434"/>
  <c r="I109" i="434" s="1"/>
  <c r="H108" i="434"/>
  <c r="I108" i="434" s="1"/>
  <c r="H107" i="434"/>
  <c r="I107" i="434" s="1"/>
  <c r="H106" i="434"/>
  <c r="I106" i="434" s="1"/>
  <c r="H105" i="434"/>
  <c r="I105" i="434" s="1"/>
  <c r="H104" i="434"/>
  <c r="I104" i="434" s="1"/>
  <c r="H103" i="434"/>
  <c r="I103" i="434" s="1"/>
  <c r="H102" i="434"/>
  <c r="I102" i="434" s="1"/>
  <c r="H101" i="434"/>
  <c r="I101" i="434" s="1"/>
  <c r="H100" i="434"/>
  <c r="I100" i="434" s="1"/>
  <c r="H99" i="434"/>
  <c r="I99" i="434" s="1"/>
  <c r="H98" i="434"/>
  <c r="I98" i="434" s="1"/>
  <c r="H97" i="434"/>
  <c r="I97" i="434" s="1"/>
  <c r="H96" i="434"/>
  <c r="I96" i="434" s="1"/>
  <c r="H95" i="434"/>
  <c r="I95" i="434" s="1"/>
  <c r="H94" i="434"/>
  <c r="I94" i="434" s="1"/>
  <c r="H93" i="434"/>
  <c r="I93" i="434" s="1"/>
  <c r="H92" i="434"/>
  <c r="I92" i="434" s="1"/>
  <c r="H91" i="434"/>
  <c r="I91" i="434" s="1"/>
  <c r="H90" i="434"/>
  <c r="I90" i="434" s="1"/>
  <c r="H89" i="434"/>
  <c r="I89" i="434" s="1"/>
  <c r="H88" i="434"/>
  <c r="I88" i="434" s="1"/>
  <c r="H87" i="434"/>
  <c r="I87" i="434" s="1"/>
  <c r="H86" i="434"/>
  <c r="I86" i="434" s="1"/>
  <c r="H85" i="434"/>
  <c r="I85" i="434" s="1"/>
  <c r="H84" i="434"/>
  <c r="I84" i="434" s="1"/>
  <c r="H83" i="434"/>
  <c r="I83" i="434" s="1"/>
  <c r="H82" i="434"/>
  <c r="I82" i="434" s="1"/>
  <c r="H81" i="434"/>
  <c r="I81" i="434" s="1"/>
  <c r="H80" i="434"/>
  <c r="I80" i="434" s="1"/>
  <c r="H79" i="434"/>
  <c r="I79" i="434" s="1"/>
  <c r="H78" i="434"/>
  <c r="I78" i="434" s="1"/>
  <c r="H77" i="434"/>
  <c r="I77" i="434" s="1"/>
  <c r="H76" i="434"/>
  <c r="I76" i="434" s="1"/>
  <c r="H75" i="434"/>
  <c r="I75" i="434" s="1"/>
  <c r="H74" i="434"/>
  <c r="I74" i="434" s="1"/>
  <c r="H73" i="434"/>
  <c r="I73" i="434" s="1"/>
  <c r="H72" i="434"/>
  <c r="I72" i="434" s="1"/>
  <c r="H71" i="434"/>
  <c r="I71" i="434" s="1"/>
  <c r="H70" i="434"/>
  <c r="I70" i="434" s="1"/>
  <c r="H69" i="434"/>
  <c r="I69" i="434" s="1"/>
  <c r="H68" i="434"/>
  <c r="I68" i="434" s="1"/>
  <c r="H67" i="434"/>
  <c r="I67" i="434" s="1"/>
  <c r="H66" i="434"/>
  <c r="I66" i="434" s="1"/>
  <c r="H65" i="434"/>
  <c r="I65" i="434" s="1"/>
  <c r="H64" i="434"/>
  <c r="I64" i="434" s="1"/>
  <c r="H63" i="434"/>
  <c r="I63" i="434" s="1"/>
  <c r="H62" i="434"/>
  <c r="I62" i="434" s="1"/>
  <c r="H61" i="434"/>
  <c r="I61" i="434" s="1"/>
  <c r="H60" i="434"/>
  <c r="I60" i="434" s="1"/>
  <c r="H59" i="434"/>
  <c r="I59" i="434" s="1"/>
  <c r="H58" i="434"/>
  <c r="I58" i="434" s="1"/>
  <c r="H57" i="434"/>
  <c r="I57" i="434" s="1"/>
  <c r="H56" i="434"/>
  <c r="I56" i="434" s="1"/>
  <c r="H55" i="434"/>
  <c r="I55" i="434" s="1"/>
  <c r="H54" i="434"/>
  <c r="I54" i="434" s="1"/>
  <c r="H53" i="434"/>
  <c r="I53" i="434" s="1"/>
  <c r="H52" i="434"/>
  <c r="I52" i="434" s="1"/>
  <c r="H51" i="434"/>
  <c r="I51" i="434" s="1"/>
  <c r="H50" i="434"/>
  <c r="I50" i="434" s="1"/>
  <c r="H49" i="434"/>
  <c r="I49" i="434" s="1"/>
  <c r="H47" i="434"/>
  <c r="I47" i="434" s="1"/>
  <c r="H46" i="434"/>
  <c r="I46" i="434" s="1"/>
  <c r="H45" i="434"/>
  <c r="I45" i="434" s="1"/>
  <c r="H44" i="434"/>
  <c r="I44" i="434" s="1"/>
  <c r="H43" i="434"/>
  <c r="I43" i="434" s="1"/>
  <c r="H42" i="434"/>
  <c r="I42" i="434" s="1"/>
  <c r="H41" i="434"/>
  <c r="I41" i="434" s="1"/>
  <c r="H40" i="434"/>
  <c r="I40" i="434" s="1"/>
  <c r="H39" i="434"/>
  <c r="I39" i="434" s="1"/>
  <c r="H38" i="434"/>
  <c r="I38" i="434" s="1"/>
  <c r="H37" i="434"/>
  <c r="I37" i="434" s="1"/>
  <c r="H36" i="434"/>
  <c r="I36" i="434" s="1"/>
  <c r="H35" i="434"/>
  <c r="I35" i="434" s="1"/>
  <c r="H34" i="434"/>
  <c r="I34" i="434" s="1"/>
  <c r="H33" i="434"/>
  <c r="I33" i="434" s="1"/>
  <c r="H32" i="434"/>
  <c r="I32" i="434" s="1"/>
  <c r="H31" i="434"/>
  <c r="I31" i="434" s="1"/>
  <c r="H30" i="434"/>
  <c r="I30" i="434" s="1"/>
  <c r="H29" i="434"/>
  <c r="I29" i="434" s="1"/>
  <c r="H28" i="434"/>
  <c r="I28" i="434" s="1"/>
  <c r="H26" i="434"/>
  <c r="I26" i="434" s="1"/>
  <c r="H25" i="434"/>
  <c r="I25" i="434" s="1"/>
  <c r="H24" i="434"/>
  <c r="I24" i="434" s="1"/>
  <c r="H23" i="434"/>
  <c r="I23" i="434" s="1"/>
  <c r="H22" i="434"/>
  <c r="I22" i="434" s="1"/>
  <c r="H21" i="434"/>
  <c r="I21" i="434" s="1"/>
  <c r="H20" i="434"/>
  <c r="I20" i="434" s="1"/>
  <c r="H19" i="434"/>
  <c r="I19" i="434" s="1"/>
  <c r="H18" i="434"/>
  <c r="I18" i="434" s="1"/>
  <c r="H17" i="434"/>
  <c r="I17" i="434" s="1"/>
  <c r="H15" i="434"/>
  <c r="I15" i="434" s="1"/>
  <c r="H14" i="434"/>
  <c r="I14" i="434" s="1"/>
  <c r="H13" i="434"/>
  <c r="I13" i="434" s="1"/>
  <c r="H12" i="434"/>
  <c r="I12" i="434" s="1"/>
  <c r="H11" i="434"/>
  <c r="I11" i="434" s="1"/>
  <c r="H10" i="434"/>
  <c r="I10" i="434" s="1"/>
  <c r="H9" i="434"/>
  <c r="I9" i="434" s="1"/>
  <c r="H8" i="434"/>
  <c r="I8" i="434" s="1"/>
  <c r="H7" i="434"/>
  <c r="I7" i="434" s="1"/>
  <c r="H6" i="434"/>
  <c r="I6" i="434" s="1"/>
  <c r="H5" i="434"/>
  <c r="I5" i="434" s="1"/>
  <c r="H4" i="434"/>
  <c r="I4" i="434" s="1"/>
  <c r="H3" i="434"/>
  <c r="I3" i="434" s="1"/>
  <c r="H111" i="433"/>
  <c r="I111" i="433" s="1"/>
  <c r="H110" i="433"/>
  <c r="I110" i="433" s="1"/>
  <c r="H109" i="433"/>
  <c r="I109" i="433" s="1"/>
  <c r="H108" i="433"/>
  <c r="I108" i="433" s="1"/>
  <c r="H107" i="433"/>
  <c r="I107" i="433" s="1"/>
  <c r="H106" i="433"/>
  <c r="I106" i="433" s="1"/>
  <c r="H105" i="433"/>
  <c r="I105" i="433" s="1"/>
  <c r="H104" i="433"/>
  <c r="I104" i="433" s="1"/>
  <c r="H103" i="433"/>
  <c r="I103" i="433" s="1"/>
  <c r="H102" i="433"/>
  <c r="I102" i="433" s="1"/>
  <c r="H101" i="433"/>
  <c r="I101" i="433" s="1"/>
  <c r="H100" i="433"/>
  <c r="I100" i="433" s="1"/>
  <c r="H99" i="433"/>
  <c r="I99" i="433" s="1"/>
  <c r="H98" i="433"/>
  <c r="I98" i="433" s="1"/>
  <c r="H97" i="433"/>
  <c r="I97" i="433" s="1"/>
  <c r="H96" i="433"/>
  <c r="I96" i="433" s="1"/>
  <c r="H95" i="433"/>
  <c r="I95" i="433" s="1"/>
  <c r="H94" i="433"/>
  <c r="I94" i="433" s="1"/>
  <c r="H93" i="433"/>
  <c r="I93" i="433" s="1"/>
  <c r="H92" i="433"/>
  <c r="I92" i="433" s="1"/>
  <c r="H91" i="433"/>
  <c r="I91" i="433" s="1"/>
  <c r="H90" i="433"/>
  <c r="I90" i="433" s="1"/>
  <c r="H89" i="433"/>
  <c r="I89" i="433" s="1"/>
  <c r="H88" i="433"/>
  <c r="I88" i="433" s="1"/>
  <c r="H87" i="433"/>
  <c r="I87" i="433" s="1"/>
  <c r="H86" i="433"/>
  <c r="I86" i="433" s="1"/>
  <c r="H85" i="433"/>
  <c r="I85" i="433" s="1"/>
  <c r="H84" i="433"/>
  <c r="I84" i="433" s="1"/>
  <c r="H83" i="433"/>
  <c r="I83" i="433" s="1"/>
  <c r="H82" i="433"/>
  <c r="I82" i="433" s="1"/>
  <c r="H81" i="433"/>
  <c r="I81" i="433" s="1"/>
  <c r="H80" i="433"/>
  <c r="I80" i="433" s="1"/>
  <c r="H79" i="433"/>
  <c r="I79" i="433" s="1"/>
  <c r="H78" i="433"/>
  <c r="I78" i="433" s="1"/>
  <c r="H77" i="433"/>
  <c r="I77" i="433" s="1"/>
  <c r="H76" i="433"/>
  <c r="I76" i="433" s="1"/>
  <c r="H75" i="433"/>
  <c r="I75" i="433" s="1"/>
  <c r="H74" i="433"/>
  <c r="I74" i="433" s="1"/>
  <c r="H73" i="433"/>
  <c r="I73" i="433" s="1"/>
  <c r="H72" i="433"/>
  <c r="I72" i="433" s="1"/>
  <c r="H71" i="433"/>
  <c r="I71" i="433" s="1"/>
  <c r="H70" i="433"/>
  <c r="I70" i="433" s="1"/>
  <c r="H69" i="433"/>
  <c r="I69" i="433" s="1"/>
  <c r="H68" i="433"/>
  <c r="I68" i="433" s="1"/>
  <c r="H67" i="433"/>
  <c r="I67" i="433" s="1"/>
  <c r="H66" i="433"/>
  <c r="I66" i="433" s="1"/>
  <c r="H65" i="433"/>
  <c r="I65" i="433" s="1"/>
  <c r="H64" i="433"/>
  <c r="I64" i="433" s="1"/>
  <c r="H63" i="433"/>
  <c r="I63" i="433" s="1"/>
  <c r="H62" i="433"/>
  <c r="I62" i="433" s="1"/>
  <c r="H61" i="433"/>
  <c r="I61" i="433" s="1"/>
  <c r="H60" i="433"/>
  <c r="I60" i="433" s="1"/>
  <c r="H59" i="433"/>
  <c r="I59" i="433" s="1"/>
  <c r="H58" i="433"/>
  <c r="I58" i="433" s="1"/>
  <c r="H57" i="433"/>
  <c r="I57" i="433" s="1"/>
  <c r="H56" i="433"/>
  <c r="I56" i="433" s="1"/>
  <c r="H55" i="433"/>
  <c r="I55" i="433" s="1"/>
  <c r="H54" i="433"/>
  <c r="I54" i="433" s="1"/>
  <c r="H53" i="433"/>
  <c r="I53" i="433" s="1"/>
  <c r="H52" i="433"/>
  <c r="I52" i="433" s="1"/>
  <c r="H51" i="433"/>
  <c r="I51" i="433" s="1"/>
  <c r="H50" i="433"/>
  <c r="I50" i="433" s="1"/>
  <c r="H49" i="433"/>
  <c r="I49" i="433" s="1"/>
  <c r="H48" i="433"/>
  <c r="I48" i="433" s="1"/>
  <c r="H47" i="433"/>
  <c r="I47" i="433" s="1"/>
  <c r="H46" i="433"/>
  <c r="I46" i="433" s="1"/>
  <c r="H45" i="433"/>
  <c r="I45" i="433" s="1"/>
  <c r="H44" i="433"/>
  <c r="I44" i="433" s="1"/>
  <c r="H43" i="433"/>
  <c r="I43" i="433" s="1"/>
  <c r="H42" i="433"/>
  <c r="I42" i="433" s="1"/>
  <c r="H41" i="433"/>
  <c r="I41" i="433" s="1"/>
  <c r="H40" i="433"/>
  <c r="I40" i="433" s="1"/>
  <c r="H39" i="433"/>
  <c r="I39" i="433" s="1"/>
  <c r="H38" i="433"/>
  <c r="I38" i="433" s="1"/>
  <c r="H37" i="433"/>
  <c r="I37" i="433" s="1"/>
  <c r="H36" i="433"/>
  <c r="I36" i="433" s="1"/>
  <c r="H35" i="433"/>
  <c r="I35" i="433" s="1"/>
  <c r="H34" i="433"/>
  <c r="I34" i="433" s="1"/>
  <c r="H33" i="433"/>
  <c r="I33" i="433" s="1"/>
  <c r="H32" i="433"/>
  <c r="I32" i="433" s="1"/>
  <c r="H31" i="433"/>
  <c r="I31" i="433" s="1"/>
  <c r="H30" i="433"/>
  <c r="I30" i="433" s="1"/>
  <c r="H29" i="433"/>
  <c r="I29" i="433" s="1"/>
  <c r="H28" i="433"/>
  <c r="I28" i="433" s="1"/>
  <c r="H27" i="433"/>
  <c r="I27" i="433" s="1"/>
  <c r="H26" i="433"/>
  <c r="I26" i="433" s="1"/>
  <c r="H25" i="433"/>
  <c r="I25" i="433" s="1"/>
  <c r="H24" i="433"/>
  <c r="I24" i="433" s="1"/>
  <c r="H23" i="433"/>
  <c r="I23" i="433" s="1"/>
  <c r="H22" i="433"/>
  <c r="I22" i="433" s="1"/>
  <c r="H21" i="433"/>
  <c r="I21" i="433" s="1"/>
  <c r="H20" i="433"/>
  <c r="I20" i="433" s="1"/>
  <c r="H19" i="433"/>
  <c r="I19" i="433" s="1"/>
  <c r="H18" i="433"/>
  <c r="I18" i="433" s="1"/>
  <c r="H17" i="433"/>
  <c r="I17" i="433" s="1"/>
  <c r="H16" i="433"/>
  <c r="I16" i="433" s="1"/>
  <c r="H15" i="433"/>
  <c r="I15" i="433" s="1"/>
  <c r="H14" i="433"/>
  <c r="I14" i="433" s="1"/>
  <c r="H13" i="433"/>
  <c r="I13" i="433" s="1"/>
  <c r="H12" i="433"/>
  <c r="I12" i="433" s="1"/>
  <c r="H11" i="433"/>
  <c r="I11" i="433" s="1"/>
  <c r="H10" i="433"/>
  <c r="I10" i="433" s="1"/>
  <c r="H9" i="433"/>
  <c r="I9" i="433" s="1"/>
  <c r="H8" i="433"/>
  <c r="I8" i="433" s="1"/>
  <c r="H7" i="433"/>
  <c r="I7" i="433" s="1"/>
  <c r="H6" i="433"/>
  <c r="I6" i="433" s="1"/>
  <c r="H5" i="433"/>
  <c r="I5" i="433" s="1"/>
  <c r="H4" i="433"/>
  <c r="I4" i="433" s="1"/>
  <c r="H3" i="433"/>
  <c r="I3" i="433" s="1"/>
  <c r="H96" i="432" l="1"/>
  <c r="I96" i="432" s="1"/>
  <c r="H98" i="432"/>
  <c r="I98" i="432" s="1"/>
  <c r="H97" i="432"/>
  <c r="I97" i="432" s="1"/>
  <c r="H95" i="432"/>
  <c r="I95" i="432" s="1"/>
  <c r="H94" i="432"/>
  <c r="I94" i="432" s="1"/>
  <c r="H93" i="432"/>
  <c r="I93" i="432" s="1"/>
  <c r="H92" i="432"/>
  <c r="I92" i="432" s="1"/>
  <c r="H91" i="432"/>
  <c r="I91" i="432" s="1"/>
  <c r="H90" i="432"/>
  <c r="I90" i="432" s="1"/>
  <c r="H89" i="432"/>
  <c r="I89" i="432" s="1"/>
  <c r="H88" i="432"/>
  <c r="I88" i="432" s="1"/>
  <c r="H87" i="432"/>
  <c r="I87" i="432" s="1"/>
  <c r="H86" i="432"/>
  <c r="I86" i="432" s="1"/>
  <c r="H85" i="432"/>
  <c r="I85" i="432" s="1"/>
  <c r="H84" i="432"/>
  <c r="I84" i="432" s="1"/>
  <c r="H83" i="432"/>
  <c r="I83" i="432" s="1"/>
  <c r="H82" i="432"/>
  <c r="I82" i="432" s="1"/>
  <c r="H81" i="432"/>
  <c r="I81" i="432" s="1"/>
  <c r="H80" i="432"/>
  <c r="I80" i="432" s="1"/>
  <c r="H79" i="432"/>
  <c r="I79" i="432" s="1"/>
  <c r="H78" i="432"/>
  <c r="I78" i="432" s="1"/>
  <c r="H77" i="432"/>
  <c r="I77" i="432" s="1"/>
  <c r="H76" i="432"/>
  <c r="I76" i="432" s="1"/>
  <c r="H75" i="432"/>
  <c r="I75" i="432" s="1"/>
  <c r="H74" i="432"/>
  <c r="I74" i="432" s="1"/>
  <c r="H73" i="432"/>
  <c r="I73" i="432" s="1"/>
  <c r="H72" i="432"/>
  <c r="I72" i="432" s="1"/>
  <c r="H71" i="432"/>
  <c r="I71" i="432" s="1"/>
  <c r="H70" i="432"/>
  <c r="I70" i="432" s="1"/>
  <c r="H69" i="432"/>
  <c r="I69" i="432" s="1"/>
  <c r="H68" i="432"/>
  <c r="I68" i="432" s="1"/>
  <c r="H67" i="432"/>
  <c r="I67" i="432" s="1"/>
  <c r="H66" i="432"/>
  <c r="I66" i="432" s="1"/>
  <c r="H65" i="432"/>
  <c r="I65" i="432" s="1"/>
  <c r="H64" i="432"/>
  <c r="I64" i="432" s="1"/>
  <c r="H63" i="432"/>
  <c r="I63" i="432" s="1"/>
  <c r="H62" i="432"/>
  <c r="I62" i="432" s="1"/>
  <c r="H61" i="432"/>
  <c r="I61" i="432" s="1"/>
  <c r="H60" i="432"/>
  <c r="I60" i="432" s="1"/>
  <c r="H59" i="432"/>
  <c r="I59" i="432" s="1"/>
  <c r="H58" i="432"/>
  <c r="I58" i="432" s="1"/>
  <c r="H57" i="432"/>
  <c r="I57" i="432" s="1"/>
  <c r="H56" i="432"/>
  <c r="I56" i="432" s="1"/>
  <c r="H55" i="432"/>
  <c r="I55" i="432" s="1"/>
  <c r="H54" i="432"/>
  <c r="I54" i="432" s="1"/>
  <c r="H53" i="432"/>
  <c r="I53" i="432" s="1"/>
  <c r="H52" i="432"/>
  <c r="I52" i="432" s="1"/>
  <c r="H51" i="432"/>
  <c r="I51" i="432" s="1"/>
  <c r="H50" i="432"/>
  <c r="I50" i="432" s="1"/>
  <c r="H49" i="432"/>
  <c r="I49" i="432" s="1"/>
  <c r="H48" i="432"/>
  <c r="I48" i="432" s="1"/>
  <c r="H47" i="432"/>
  <c r="I47" i="432" s="1"/>
  <c r="H46" i="432"/>
  <c r="I46" i="432" s="1"/>
  <c r="H45" i="432"/>
  <c r="I45" i="432" s="1"/>
  <c r="H44" i="432"/>
  <c r="I44" i="432" s="1"/>
  <c r="H43" i="432"/>
  <c r="I43" i="432" s="1"/>
  <c r="H42" i="432"/>
  <c r="I42" i="432" s="1"/>
  <c r="H41" i="432"/>
  <c r="I41" i="432" s="1"/>
  <c r="H40" i="432"/>
  <c r="I40" i="432" s="1"/>
  <c r="H39" i="432"/>
  <c r="I39" i="432" s="1"/>
  <c r="H38" i="432"/>
  <c r="I38" i="432" s="1"/>
  <c r="H37" i="432"/>
  <c r="I37" i="432" s="1"/>
  <c r="H36" i="432"/>
  <c r="I36" i="432" s="1"/>
  <c r="H35" i="432"/>
  <c r="I35" i="432" s="1"/>
  <c r="H34" i="432"/>
  <c r="I34" i="432" s="1"/>
  <c r="H33" i="432"/>
  <c r="I33" i="432" s="1"/>
  <c r="H32" i="432"/>
  <c r="I32" i="432" s="1"/>
  <c r="H31" i="432"/>
  <c r="I31" i="432" s="1"/>
  <c r="H30" i="432"/>
  <c r="I30" i="432" s="1"/>
  <c r="H29" i="432"/>
  <c r="I29" i="432" s="1"/>
  <c r="H28" i="432"/>
  <c r="I28" i="432" s="1"/>
  <c r="H27" i="432"/>
  <c r="I27" i="432" s="1"/>
  <c r="H26" i="432"/>
  <c r="I26" i="432" s="1"/>
  <c r="H25" i="432"/>
  <c r="I25" i="432" s="1"/>
  <c r="H24" i="432"/>
  <c r="I24" i="432" s="1"/>
  <c r="H23" i="432"/>
  <c r="I23" i="432" s="1"/>
  <c r="H22" i="432"/>
  <c r="I22" i="432" s="1"/>
  <c r="H21" i="432"/>
  <c r="I21" i="432" s="1"/>
  <c r="H20" i="432"/>
  <c r="I20" i="432" s="1"/>
  <c r="H19" i="432"/>
  <c r="I19" i="432" s="1"/>
  <c r="H18" i="432"/>
  <c r="I18" i="432" s="1"/>
  <c r="H17" i="432"/>
  <c r="I17" i="432" s="1"/>
  <c r="H16" i="432"/>
  <c r="I16" i="432" s="1"/>
  <c r="H15" i="432"/>
  <c r="I15" i="432" s="1"/>
  <c r="H14" i="432"/>
  <c r="I14" i="432" s="1"/>
  <c r="H13" i="432"/>
  <c r="I13" i="432" s="1"/>
  <c r="H12" i="432"/>
  <c r="I12" i="432" s="1"/>
  <c r="H11" i="432"/>
  <c r="I11" i="432" s="1"/>
  <c r="H10" i="432"/>
  <c r="I10" i="432" s="1"/>
  <c r="H9" i="432"/>
  <c r="I9" i="432" s="1"/>
  <c r="H8" i="432"/>
  <c r="I8" i="432" s="1"/>
  <c r="H7" i="432"/>
  <c r="I7" i="432" s="1"/>
  <c r="H6" i="432"/>
  <c r="I6" i="432" s="1"/>
  <c r="H5" i="432"/>
  <c r="I5" i="432" s="1"/>
  <c r="H4" i="432"/>
  <c r="I4" i="432" s="1"/>
  <c r="H3" i="432"/>
  <c r="I3" i="432" s="1"/>
  <c r="H97" i="431" l="1"/>
  <c r="I97" i="431" s="1"/>
  <c r="H96" i="431"/>
  <c r="I96" i="431" s="1"/>
  <c r="H95" i="431"/>
  <c r="I95" i="431" s="1"/>
  <c r="H94" i="431"/>
  <c r="I94" i="431" s="1"/>
  <c r="H93" i="431"/>
  <c r="I93" i="431" s="1"/>
  <c r="H92" i="431"/>
  <c r="I92" i="431" s="1"/>
  <c r="H91" i="431"/>
  <c r="I91" i="431" s="1"/>
  <c r="H90" i="431"/>
  <c r="I90" i="431" s="1"/>
  <c r="H89" i="431"/>
  <c r="I89" i="431" s="1"/>
  <c r="H88" i="431"/>
  <c r="I88" i="431" s="1"/>
  <c r="H87" i="431"/>
  <c r="I87" i="431" s="1"/>
  <c r="H86" i="431"/>
  <c r="I86" i="431" s="1"/>
  <c r="H85" i="431"/>
  <c r="I85" i="431" s="1"/>
  <c r="H84" i="431"/>
  <c r="I84" i="431" s="1"/>
  <c r="H83" i="431"/>
  <c r="I83" i="431" s="1"/>
  <c r="H82" i="431"/>
  <c r="I82" i="431" s="1"/>
  <c r="H81" i="431"/>
  <c r="I81" i="431" s="1"/>
  <c r="H80" i="431"/>
  <c r="I80" i="431" s="1"/>
  <c r="H79" i="431"/>
  <c r="I79" i="431" s="1"/>
  <c r="H78" i="431"/>
  <c r="I78" i="431" s="1"/>
  <c r="H77" i="431"/>
  <c r="I77" i="431" s="1"/>
  <c r="H76" i="431"/>
  <c r="I76" i="431" s="1"/>
  <c r="H75" i="431"/>
  <c r="I75" i="431" s="1"/>
  <c r="H74" i="431"/>
  <c r="I74" i="431" s="1"/>
  <c r="H73" i="431"/>
  <c r="I73" i="431" s="1"/>
  <c r="H72" i="431"/>
  <c r="I72" i="431" s="1"/>
  <c r="H71" i="431"/>
  <c r="I71" i="431" s="1"/>
  <c r="H70" i="431"/>
  <c r="I70" i="431" s="1"/>
  <c r="H69" i="431"/>
  <c r="I69" i="431" s="1"/>
  <c r="H68" i="431"/>
  <c r="I68" i="431" s="1"/>
  <c r="H67" i="431"/>
  <c r="I67" i="431" s="1"/>
  <c r="H66" i="431"/>
  <c r="I66" i="431" s="1"/>
  <c r="H65" i="431"/>
  <c r="I65" i="431" s="1"/>
  <c r="H64" i="431"/>
  <c r="I64" i="431" s="1"/>
  <c r="H63" i="431"/>
  <c r="I63" i="431" s="1"/>
  <c r="H62" i="431"/>
  <c r="I62" i="431" s="1"/>
  <c r="H61" i="431"/>
  <c r="I61" i="431" s="1"/>
  <c r="H60" i="431"/>
  <c r="I60" i="431" s="1"/>
  <c r="H59" i="431"/>
  <c r="I59" i="431" s="1"/>
  <c r="H58" i="431"/>
  <c r="I58" i="431" s="1"/>
  <c r="H57" i="431"/>
  <c r="I57" i="431" s="1"/>
  <c r="H56" i="431"/>
  <c r="I56" i="431" s="1"/>
  <c r="H55" i="431"/>
  <c r="I55" i="431" s="1"/>
  <c r="H54" i="431"/>
  <c r="I54" i="431" s="1"/>
  <c r="H53" i="431"/>
  <c r="I53" i="431" s="1"/>
  <c r="H52" i="431"/>
  <c r="I52" i="431" s="1"/>
  <c r="H51" i="431"/>
  <c r="I51" i="431" s="1"/>
  <c r="H50" i="431"/>
  <c r="I50" i="431" s="1"/>
  <c r="H49" i="431"/>
  <c r="I49" i="431" s="1"/>
  <c r="H48" i="431"/>
  <c r="I48" i="431" s="1"/>
  <c r="H47" i="431"/>
  <c r="I47" i="431" s="1"/>
  <c r="H46" i="431"/>
  <c r="I46" i="431" s="1"/>
  <c r="H45" i="431"/>
  <c r="I45" i="431" s="1"/>
  <c r="H44" i="431"/>
  <c r="I44" i="431" s="1"/>
  <c r="H43" i="431"/>
  <c r="I43" i="431" s="1"/>
  <c r="H42" i="431"/>
  <c r="I42" i="431" s="1"/>
  <c r="H41" i="431"/>
  <c r="I41" i="431" s="1"/>
  <c r="H40" i="431"/>
  <c r="I40" i="431" s="1"/>
  <c r="H39" i="431"/>
  <c r="I39" i="431" s="1"/>
  <c r="H38" i="431"/>
  <c r="I38" i="431" s="1"/>
  <c r="H37" i="431"/>
  <c r="I37" i="431" s="1"/>
  <c r="H36" i="431"/>
  <c r="I36" i="431" s="1"/>
  <c r="H35" i="431"/>
  <c r="I35" i="431" s="1"/>
  <c r="H34" i="431"/>
  <c r="I34" i="431" s="1"/>
  <c r="H33" i="431"/>
  <c r="I33" i="431" s="1"/>
  <c r="H32" i="431"/>
  <c r="I32" i="431" s="1"/>
  <c r="H31" i="431"/>
  <c r="I31" i="431" s="1"/>
  <c r="H30" i="431"/>
  <c r="I30" i="431" s="1"/>
  <c r="H29" i="431"/>
  <c r="I29" i="431" s="1"/>
  <c r="H28" i="431"/>
  <c r="I28" i="431" s="1"/>
  <c r="H27" i="431"/>
  <c r="I27" i="431" s="1"/>
  <c r="H26" i="431"/>
  <c r="I26" i="431" s="1"/>
  <c r="H25" i="431"/>
  <c r="I25" i="431" s="1"/>
  <c r="H24" i="431"/>
  <c r="I24" i="431" s="1"/>
  <c r="H23" i="431"/>
  <c r="I23" i="431" s="1"/>
  <c r="H22" i="431"/>
  <c r="I22" i="431" s="1"/>
  <c r="H21" i="431"/>
  <c r="I21" i="431" s="1"/>
  <c r="H20" i="431"/>
  <c r="I20" i="431" s="1"/>
  <c r="H19" i="431"/>
  <c r="I19" i="431" s="1"/>
  <c r="H18" i="431"/>
  <c r="I18" i="431" s="1"/>
  <c r="H17" i="431"/>
  <c r="I17" i="431" s="1"/>
  <c r="H16" i="431"/>
  <c r="I16" i="431" s="1"/>
  <c r="H15" i="431"/>
  <c r="I15" i="431" s="1"/>
  <c r="H14" i="431"/>
  <c r="I14" i="431" s="1"/>
  <c r="H13" i="431"/>
  <c r="I13" i="431" s="1"/>
  <c r="H12" i="431"/>
  <c r="I12" i="431" s="1"/>
  <c r="H11" i="431"/>
  <c r="I11" i="431" s="1"/>
  <c r="H10" i="431"/>
  <c r="I10" i="431" s="1"/>
  <c r="H9" i="431"/>
  <c r="I9" i="431" s="1"/>
  <c r="H8" i="431"/>
  <c r="I8" i="431" s="1"/>
  <c r="H7" i="431"/>
  <c r="I7" i="431" s="1"/>
  <c r="H6" i="431"/>
  <c r="I6" i="431" s="1"/>
  <c r="H5" i="431"/>
  <c r="I5" i="431" s="1"/>
  <c r="H4" i="431"/>
  <c r="I4" i="431" s="1"/>
  <c r="H3" i="431"/>
  <c r="I3" i="431" s="1"/>
  <c r="H95" i="430" l="1"/>
  <c r="I95" i="430" s="1"/>
  <c r="H94" i="430"/>
  <c r="I94" i="430" s="1"/>
  <c r="H93" i="430"/>
  <c r="I93" i="430" s="1"/>
  <c r="H92" i="430"/>
  <c r="I92" i="430" s="1"/>
  <c r="H91" i="430"/>
  <c r="I91" i="430" s="1"/>
  <c r="H90" i="430"/>
  <c r="I90" i="430" s="1"/>
  <c r="H89" i="430"/>
  <c r="I89" i="430" s="1"/>
  <c r="H88" i="430"/>
  <c r="I88" i="430" s="1"/>
  <c r="H87" i="430"/>
  <c r="I87" i="430" s="1"/>
  <c r="H86" i="430"/>
  <c r="I86" i="430" s="1"/>
  <c r="H85" i="430"/>
  <c r="I85" i="430" s="1"/>
  <c r="H84" i="430"/>
  <c r="I84" i="430" s="1"/>
  <c r="H83" i="430"/>
  <c r="I83" i="430" s="1"/>
  <c r="H82" i="430"/>
  <c r="I82" i="430" s="1"/>
  <c r="H81" i="430"/>
  <c r="I81" i="430" s="1"/>
  <c r="H80" i="430"/>
  <c r="I80" i="430" s="1"/>
  <c r="H79" i="430"/>
  <c r="I79" i="430" s="1"/>
  <c r="H78" i="430"/>
  <c r="I78" i="430" s="1"/>
  <c r="H77" i="430"/>
  <c r="I77" i="430" s="1"/>
  <c r="H76" i="430"/>
  <c r="I76" i="430" s="1"/>
  <c r="H75" i="430"/>
  <c r="I75" i="430" s="1"/>
  <c r="H74" i="430"/>
  <c r="I74" i="430" s="1"/>
  <c r="H73" i="430"/>
  <c r="I73" i="430" s="1"/>
  <c r="H72" i="430"/>
  <c r="I72" i="430" s="1"/>
  <c r="H71" i="430"/>
  <c r="I71" i="430" s="1"/>
  <c r="H70" i="430"/>
  <c r="I70" i="430" s="1"/>
  <c r="H69" i="430"/>
  <c r="I69" i="430" s="1"/>
  <c r="H68" i="430"/>
  <c r="I68" i="430" s="1"/>
  <c r="H67" i="430"/>
  <c r="I67" i="430" s="1"/>
  <c r="H66" i="430"/>
  <c r="I66" i="430" s="1"/>
  <c r="H65" i="430"/>
  <c r="I65" i="430" s="1"/>
  <c r="H64" i="430"/>
  <c r="I64" i="430" s="1"/>
  <c r="H63" i="430"/>
  <c r="I63" i="430" s="1"/>
  <c r="H62" i="430"/>
  <c r="I62" i="430" s="1"/>
  <c r="H61" i="430"/>
  <c r="I61" i="430" s="1"/>
  <c r="H60" i="430"/>
  <c r="I60" i="430" s="1"/>
  <c r="H59" i="430"/>
  <c r="I59" i="430" s="1"/>
  <c r="H58" i="430"/>
  <c r="I58" i="430" s="1"/>
  <c r="H57" i="430"/>
  <c r="I57" i="430" s="1"/>
  <c r="H56" i="430"/>
  <c r="I56" i="430" s="1"/>
  <c r="H55" i="430"/>
  <c r="I55" i="430" s="1"/>
  <c r="H54" i="430"/>
  <c r="I54" i="430" s="1"/>
  <c r="H53" i="430"/>
  <c r="I53" i="430" s="1"/>
  <c r="H52" i="430"/>
  <c r="I52" i="430" s="1"/>
  <c r="H51" i="430"/>
  <c r="I51" i="430" s="1"/>
  <c r="H50" i="430"/>
  <c r="I50" i="430" s="1"/>
  <c r="H49" i="430"/>
  <c r="I49" i="430" s="1"/>
  <c r="H48" i="430"/>
  <c r="I48" i="430" s="1"/>
  <c r="H47" i="430"/>
  <c r="I47" i="430" s="1"/>
  <c r="H46" i="430"/>
  <c r="I46" i="430" s="1"/>
  <c r="H45" i="430"/>
  <c r="I45" i="430" s="1"/>
  <c r="H44" i="430"/>
  <c r="I44" i="430" s="1"/>
  <c r="H43" i="430"/>
  <c r="I43" i="430" s="1"/>
  <c r="H42" i="430"/>
  <c r="I42" i="430" s="1"/>
  <c r="H41" i="430"/>
  <c r="I41" i="430" s="1"/>
  <c r="H40" i="430"/>
  <c r="I40" i="430" s="1"/>
  <c r="H39" i="430"/>
  <c r="I39" i="430" s="1"/>
  <c r="H38" i="430"/>
  <c r="I38" i="430" s="1"/>
  <c r="H37" i="430"/>
  <c r="I37" i="430" s="1"/>
  <c r="H36" i="430"/>
  <c r="I36" i="430" s="1"/>
  <c r="H35" i="430"/>
  <c r="I35" i="430" s="1"/>
  <c r="H34" i="430"/>
  <c r="I34" i="430" s="1"/>
  <c r="H33" i="430"/>
  <c r="I33" i="430" s="1"/>
  <c r="H32" i="430"/>
  <c r="I32" i="430" s="1"/>
  <c r="H31" i="430"/>
  <c r="I31" i="430" s="1"/>
  <c r="H30" i="430"/>
  <c r="I30" i="430" s="1"/>
  <c r="H29" i="430"/>
  <c r="I29" i="430" s="1"/>
  <c r="H28" i="430"/>
  <c r="I28" i="430" s="1"/>
  <c r="H27" i="430"/>
  <c r="I27" i="430" s="1"/>
  <c r="H26" i="430"/>
  <c r="I26" i="430" s="1"/>
  <c r="H25" i="430"/>
  <c r="I25" i="430" s="1"/>
  <c r="H24" i="430"/>
  <c r="I24" i="430" s="1"/>
  <c r="H23" i="430"/>
  <c r="I23" i="430" s="1"/>
  <c r="H22" i="430"/>
  <c r="I22" i="430" s="1"/>
  <c r="H21" i="430"/>
  <c r="I21" i="430" s="1"/>
  <c r="H20" i="430"/>
  <c r="I20" i="430" s="1"/>
  <c r="H19" i="430"/>
  <c r="I19" i="430" s="1"/>
  <c r="H18" i="430"/>
  <c r="I18" i="430" s="1"/>
  <c r="H17" i="430"/>
  <c r="I17" i="430" s="1"/>
  <c r="H16" i="430"/>
  <c r="I16" i="430" s="1"/>
  <c r="H15" i="430"/>
  <c r="I15" i="430" s="1"/>
  <c r="H14" i="430"/>
  <c r="I14" i="430" s="1"/>
  <c r="H13" i="430"/>
  <c r="I13" i="430" s="1"/>
  <c r="H12" i="430"/>
  <c r="I12" i="430" s="1"/>
  <c r="H11" i="430"/>
  <c r="I11" i="430" s="1"/>
  <c r="H10" i="430"/>
  <c r="I10" i="430" s="1"/>
  <c r="H9" i="430"/>
  <c r="I9" i="430" s="1"/>
  <c r="H8" i="430"/>
  <c r="I8" i="430" s="1"/>
  <c r="H7" i="430"/>
  <c r="I7" i="430" s="1"/>
  <c r="H6" i="430"/>
  <c r="I6" i="430" s="1"/>
  <c r="H5" i="430"/>
  <c r="I5" i="430" s="1"/>
  <c r="H4" i="430"/>
  <c r="I4" i="430" s="1"/>
  <c r="H3" i="430"/>
  <c r="I3" i="430" s="1"/>
  <c r="H95" i="429" l="1"/>
  <c r="I95" i="429" s="1"/>
  <c r="H94" i="429"/>
  <c r="I94" i="429" s="1"/>
  <c r="H93" i="429"/>
  <c r="I93" i="429" s="1"/>
  <c r="H92" i="429"/>
  <c r="I92" i="429" s="1"/>
  <c r="H91" i="429"/>
  <c r="I91" i="429" s="1"/>
  <c r="H90" i="429"/>
  <c r="I90" i="429" s="1"/>
  <c r="H89" i="429"/>
  <c r="I89" i="429" s="1"/>
  <c r="H88" i="429"/>
  <c r="I88" i="429" s="1"/>
  <c r="H87" i="429"/>
  <c r="I87" i="429" s="1"/>
  <c r="H86" i="429"/>
  <c r="I86" i="429" s="1"/>
  <c r="H85" i="429"/>
  <c r="I85" i="429" s="1"/>
  <c r="H84" i="429"/>
  <c r="I84" i="429" s="1"/>
  <c r="H83" i="429"/>
  <c r="I83" i="429" s="1"/>
  <c r="H82" i="429"/>
  <c r="I82" i="429" s="1"/>
  <c r="H81" i="429"/>
  <c r="I81" i="429" s="1"/>
  <c r="H80" i="429"/>
  <c r="I80" i="429" s="1"/>
  <c r="H79" i="429"/>
  <c r="I79" i="429" s="1"/>
  <c r="H78" i="429"/>
  <c r="I78" i="429" s="1"/>
  <c r="H77" i="429"/>
  <c r="I77" i="429" s="1"/>
  <c r="H76" i="429"/>
  <c r="I76" i="429" s="1"/>
  <c r="H75" i="429"/>
  <c r="I75" i="429" s="1"/>
  <c r="H74" i="429"/>
  <c r="I74" i="429" s="1"/>
  <c r="H73" i="429"/>
  <c r="I73" i="429" s="1"/>
  <c r="H72" i="429"/>
  <c r="I72" i="429" s="1"/>
  <c r="H71" i="429"/>
  <c r="I71" i="429" s="1"/>
  <c r="H70" i="429"/>
  <c r="I70" i="429" s="1"/>
  <c r="H69" i="429"/>
  <c r="I69" i="429" s="1"/>
  <c r="H68" i="429"/>
  <c r="I68" i="429" s="1"/>
  <c r="H67" i="429"/>
  <c r="I67" i="429" s="1"/>
  <c r="H66" i="429"/>
  <c r="I66" i="429" s="1"/>
  <c r="H65" i="429"/>
  <c r="I65" i="429" s="1"/>
  <c r="H64" i="429"/>
  <c r="I64" i="429" s="1"/>
  <c r="H63" i="429"/>
  <c r="I63" i="429" s="1"/>
  <c r="H62" i="429"/>
  <c r="I62" i="429" s="1"/>
  <c r="H61" i="429"/>
  <c r="I61" i="429" s="1"/>
  <c r="H60" i="429"/>
  <c r="I60" i="429" s="1"/>
  <c r="H59" i="429"/>
  <c r="I59" i="429" s="1"/>
  <c r="H58" i="429"/>
  <c r="I58" i="429" s="1"/>
  <c r="H57" i="429"/>
  <c r="I57" i="429" s="1"/>
  <c r="H56" i="429"/>
  <c r="I56" i="429" s="1"/>
  <c r="H55" i="429"/>
  <c r="I55" i="429" s="1"/>
  <c r="H54" i="429"/>
  <c r="I54" i="429" s="1"/>
  <c r="H53" i="429"/>
  <c r="I53" i="429" s="1"/>
  <c r="H52" i="429"/>
  <c r="I52" i="429" s="1"/>
  <c r="H51" i="429"/>
  <c r="I51" i="429" s="1"/>
  <c r="H50" i="429"/>
  <c r="I50" i="429" s="1"/>
  <c r="H49" i="429"/>
  <c r="I49" i="429" s="1"/>
  <c r="H48" i="429"/>
  <c r="I48" i="429" s="1"/>
  <c r="H47" i="429"/>
  <c r="I47" i="429" s="1"/>
  <c r="H46" i="429"/>
  <c r="I46" i="429" s="1"/>
  <c r="H45" i="429"/>
  <c r="I45" i="429" s="1"/>
  <c r="H44" i="429"/>
  <c r="I44" i="429" s="1"/>
  <c r="H43" i="429"/>
  <c r="I43" i="429" s="1"/>
  <c r="H42" i="429"/>
  <c r="I42" i="429" s="1"/>
  <c r="H41" i="429"/>
  <c r="I41" i="429" s="1"/>
  <c r="H40" i="429"/>
  <c r="I40" i="429" s="1"/>
  <c r="H39" i="429"/>
  <c r="I39" i="429" s="1"/>
  <c r="H38" i="429"/>
  <c r="I38" i="429" s="1"/>
  <c r="H37" i="429"/>
  <c r="I37" i="429" s="1"/>
  <c r="H36" i="429"/>
  <c r="I36" i="429" s="1"/>
  <c r="H35" i="429"/>
  <c r="I35" i="429" s="1"/>
  <c r="H34" i="429"/>
  <c r="I34" i="429" s="1"/>
  <c r="H33" i="429"/>
  <c r="I33" i="429" s="1"/>
  <c r="H32" i="429"/>
  <c r="I32" i="429" s="1"/>
  <c r="H31" i="429"/>
  <c r="I31" i="429" s="1"/>
  <c r="H30" i="429"/>
  <c r="I30" i="429" s="1"/>
  <c r="H29" i="429"/>
  <c r="I29" i="429" s="1"/>
  <c r="H28" i="429"/>
  <c r="I28" i="429" s="1"/>
  <c r="H27" i="429"/>
  <c r="I27" i="429" s="1"/>
  <c r="H26" i="429"/>
  <c r="I26" i="429" s="1"/>
  <c r="H25" i="429"/>
  <c r="I25" i="429" s="1"/>
  <c r="H24" i="429"/>
  <c r="I24" i="429" s="1"/>
  <c r="H23" i="429"/>
  <c r="I23" i="429" s="1"/>
  <c r="H22" i="429"/>
  <c r="I22" i="429" s="1"/>
  <c r="H21" i="429"/>
  <c r="I21" i="429" s="1"/>
  <c r="H20" i="429"/>
  <c r="I20" i="429" s="1"/>
  <c r="H19" i="429"/>
  <c r="I19" i="429" s="1"/>
  <c r="H18" i="429"/>
  <c r="I18" i="429" s="1"/>
  <c r="H17" i="429"/>
  <c r="I17" i="429" s="1"/>
  <c r="H16" i="429"/>
  <c r="I16" i="429" s="1"/>
  <c r="H15" i="429"/>
  <c r="I15" i="429" s="1"/>
  <c r="H14" i="429"/>
  <c r="I14" i="429" s="1"/>
  <c r="H13" i="429"/>
  <c r="I13" i="429" s="1"/>
  <c r="H12" i="429"/>
  <c r="I12" i="429" s="1"/>
  <c r="H11" i="429"/>
  <c r="I11" i="429" s="1"/>
  <c r="H10" i="429"/>
  <c r="I10" i="429" s="1"/>
  <c r="H9" i="429"/>
  <c r="I9" i="429" s="1"/>
  <c r="H8" i="429"/>
  <c r="I8" i="429" s="1"/>
  <c r="H7" i="429"/>
  <c r="I7" i="429" s="1"/>
  <c r="H6" i="429"/>
  <c r="I6" i="429" s="1"/>
  <c r="H5" i="429"/>
  <c r="I5" i="429" s="1"/>
  <c r="H4" i="429"/>
  <c r="I4" i="429" s="1"/>
  <c r="H3" i="429"/>
  <c r="I3" i="429" s="1"/>
  <c r="H18" i="428"/>
  <c r="I18" i="428" s="1"/>
  <c r="H112" i="428"/>
  <c r="I112" i="428" s="1"/>
  <c r="H111" i="428"/>
  <c r="I111" i="428" s="1"/>
  <c r="H110" i="428"/>
  <c r="I110" i="428" s="1"/>
  <c r="H109" i="428"/>
  <c r="I109" i="428" s="1"/>
  <c r="H108" i="428"/>
  <c r="I108" i="428" s="1"/>
  <c r="H107" i="428"/>
  <c r="I107" i="428" s="1"/>
  <c r="H106" i="428"/>
  <c r="I106" i="428" s="1"/>
  <c r="H105" i="428"/>
  <c r="I105" i="428" s="1"/>
  <c r="H104" i="428"/>
  <c r="I104" i="428" s="1"/>
  <c r="H103" i="428"/>
  <c r="I103" i="428" s="1"/>
  <c r="H102" i="428"/>
  <c r="I102" i="428" s="1"/>
  <c r="H101" i="428"/>
  <c r="I101" i="428" s="1"/>
  <c r="H100" i="428"/>
  <c r="I100" i="428" s="1"/>
  <c r="H99" i="428"/>
  <c r="I99" i="428" s="1"/>
  <c r="H98" i="428"/>
  <c r="I98" i="428" s="1"/>
  <c r="H97" i="428"/>
  <c r="I97" i="428" s="1"/>
  <c r="H96" i="428"/>
  <c r="I96" i="428" s="1"/>
  <c r="H95" i="428"/>
  <c r="I95" i="428" s="1"/>
  <c r="H94" i="428"/>
  <c r="I94" i="428" s="1"/>
  <c r="H93" i="428"/>
  <c r="I93" i="428" s="1"/>
  <c r="H92" i="428"/>
  <c r="I92" i="428" s="1"/>
  <c r="H91" i="428"/>
  <c r="I91" i="428" s="1"/>
  <c r="H90" i="428"/>
  <c r="I90" i="428" s="1"/>
  <c r="H89" i="428"/>
  <c r="I89" i="428" s="1"/>
  <c r="H88" i="428"/>
  <c r="I88" i="428" s="1"/>
  <c r="H87" i="428"/>
  <c r="I87" i="428" s="1"/>
  <c r="H86" i="428"/>
  <c r="I86" i="428" s="1"/>
  <c r="H85" i="428"/>
  <c r="I85" i="428" s="1"/>
  <c r="H84" i="428"/>
  <c r="I84" i="428" s="1"/>
  <c r="H83" i="428"/>
  <c r="I83" i="428" s="1"/>
  <c r="H82" i="428"/>
  <c r="I82" i="428" s="1"/>
  <c r="H81" i="428"/>
  <c r="I81" i="428" s="1"/>
  <c r="H80" i="428"/>
  <c r="I80" i="428" s="1"/>
  <c r="H79" i="428"/>
  <c r="I79" i="428" s="1"/>
  <c r="H78" i="428"/>
  <c r="I78" i="428" s="1"/>
  <c r="H77" i="428"/>
  <c r="I77" i="428" s="1"/>
  <c r="H76" i="428"/>
  <c r="I76" i="428" s="1"/>
  <c r="H75" i="428"/>
  <c r="I75" i="428" s="1"/>
  <c r="H74" i="428"/>
  <c r="I74" i="428" s="1"/>
  <c r="H73" i="428"/>
  <c r="I73" i="428" s="1"/>
  <c r="H72" i="428"/>
  <c r="I72" i="428" s="1"/>
  <c r="H71" i="428"/>
  <c r="I71" i="428" s="1"/>
  <c r="H70" i="428"/>
  <c r="I70" i="428" s="1"/>
  <c r="H69" i="428"/>
  <c r="I69" i="428" s="1"/>
  <c r="H68" i="428"/>
  <c r="I68" i="428" s="1"/>
  <c r="H67" i="428"/>
  <c r="I67" i="428" s="1"/>
  <c r="H66" i="428"/>
  <c r="I66" i="428" s="1"/>
  <c r="H65" i="428"/>
  <c r="I65" i="428" s="1"/>
  <c r="H64" i="428"/>
  <c r="I64" i="428" s="1"/>
  <c r="H63" i="428"/>
  <c r="I63" i="428" s="1"/>
  <c r="H62" i="428"/>
  <c r="I62" i="428" s="1"/>
  <c r="H61" i="428"/>
  <c r="I61" i="428" s="1"/>
  <c r="H60" i="428"/>
  <c r="I60" i="428" s="1"/>
  <c r="H59" i="428"/>
  <c r="I59" i="428" s="1"/>
  <c r="H58" i="428"/>
  <c r="I58" i="428" s="1"/>
  <c r="H57" i="428"/>
  <c r="I57" i="428" s="1"/>
  <c r="H56" i="428"/>
  <c r="I56" i="428" s="1"/>
  <c r="H55" i="428"/>
  <c r="I55" i="428" s="1"/>
  <c r="H54" i="428"/>
  <c r="I54" i="428" s="1"/>
  <c r="H53" i="428"/>
  <c r="I53" i="428" s="1"/>
  <c r="H52" i="428"/>
  <c r="I52" i="428" s="1"/>
  <c r="H51" i="428"/>
  <c r="I51" i="428" s="1"/>
  <c r="H50" i="428"/>
  <c r="I50" i="428" s="1"/>
  <c r="H49" i="428"/>
  <c r="I49" i="428" s="1"/>
  <c r="H48" i="428"/>
  <c r="I48" i="428" s="1"/>
  <c r="H47" i="428"/>
  <c r="I47" i="428" s="1"/>
  <c r="H46" i="428"/>
  <c r="I46" i="428" s="1"/>
  <c r="H45" i="428"/>
  <c r="I45" i="428" s="1"/>
  <c r="H44" i="428"/>
  <c r="I44" i="428" s="1"/>
  <c r="H43" i="428"/>
  <c r="I43" i="428" s="1"/>
  <c r="H42" i="428"/>
  <c r="I42" i="428" s="1"/>
  <c r="H41" i="428"/>
  <c r="I41" i="428" s="1"/>
  <c r="H40" i="428"/>
  <c r="I40" i="428" s="1"/>
  <c r="H39" i="428"/>
  <c r="I39" i="428" s="1"/>
  <c r="H38" i="428"/>
  <c r="I38" i="428" s="1"/>
  <c r="H37" i="428"/>
  <c r="I37" i="428" s="1"/>
  <c r="H36" i="428"/>
  <c r="I36" i="428" s="1"/>
  <c r="H35" i="428"/>
  <c r="I35" i="428" s="1"/>
  <c r="H34" i="428"/>
  <c r="I34" i="428" s="1"/>
  <c r="H33" i="428"/>
  <c r="I33" i="428" s="1"/>
  <c r="H32" i="428"/>
  <c r="I32" i="428" s="1"/>
  <c r="H31" i="428"/>
  <c r="I31" i="428" s="1"/>
  <c r="H30" i="428"/>
  <c r="I30" i="428" s="1"/>
  <c r="H29" i="428"/>
  <c r="I29" i="428" s="1"/>
  <c r="H28" i="428"/>
  <c r="I28" i="428" s="1"/>
  <c r="H27" i="428"/>
  <c r="I27" i="428" s="1"/>
  <c r="H26" i="428"/>
  <c r="I26" i="428" s="1"/>
  <c r="H25" i="428"/>
  <c r="I25" i="428" s="1"/>
  <c r="H24" i="428"/>
  <c r="I24" i="428" s="1"/>
  <c r="H23" i="428"/>
  <c r="I23" i="428" s="1"/>
  <c r="H22" i="428"/>
  <c r="I22" i="428" s="1"/>
  <c r="H21" i="428"/>
  <c r="I21" i="428" s="1"/>
  <c r="H20" i="428"/>
  <c r="I20" i="428" s="1"/>
  <c r="H19" i="428"/>
  <c r="I19" i="428" s="1"/>
  <c r="H17" i="428"/>
  <c r="I17" i="428" s="1"/>
  <c r="H16" i="428"/>
  <c r="I16" i="428" s="1"/>
  <c r="H15" i="428"/>
  <c r="I15" i="428" s="1"/>
  <c r="H14" i="428"/>
  <c r="I14" i="428" s="1"/>
  <c r="H13" i="428"/>
  <c r="I13" i="428" s="1"/>
  <c r="H12" i="428"/>
  <c r="I12" i="428" s="1"/>
  <c r="H11" i="428"/>
  <c r="I11" i="428" s="1"/>
  <c r="H10" i="428"/>
  <c r="I10" i="428" s="1"/>
  <c r="H9" i="428"/>
  <c r="I9" i="428" s="1"/>
  <c r="H8" i="428"/>
  <c r="I8" i="428" s="1"/>
  <c r="H7" i="428"/>
  <c r="I7" i="428" s="1"/>
  <c r="H6" i="428"/>
  <c r="I6" i="428" s="1"/>
  <c r="H5" i="428"/>
  <c r="I5" i="428" s="1"/>
  <c r="H4" i="428"/>
  <c r="I4" i="428" s="1"/>
  <c r="H3" i="428"/>
  <c r="I3" i="428" s="1"/>
  <c r="I33" i="286" l="1"/>
  <c r="I29" i="286"/>
  <c r="I25" i="286"/>
  <c r="I21" i="286"/>
  <c r="I17" i="286"/>
  <c r="I13" i="286"/>
  <c r="I9" i="286"/>
  <c r="I33" i="285"/>
  <c r="I29" i="285"/>
  <c r="I25" i="285"/>
  <c r="I21" i="285"/>
  <c r="I17" i="285"/>
  <c r="I13" i="285"/>
  <c r="I9" i="285"/>
  <c r="I33" i="284"/>
  <c r="I29" i="284"/>
  <c r="I25" i="284"/>
  <c r="I21" i="284"/>
  <c r="I17" i="284"/>
  <c r="I13" i="284"/>
  <c r="I9" i="284"/>
  <c r="I33" i="283"/>
  <c r="I29" i="283"/>
  <c r="I25" i="283"/>
  <c r="I21" i="283"/>
  <c r="I17" i="283"/>
  <c r="I13" i="283"/>
  <c r="I9" i="283"/>
  <c r="I33" i="281"/>
  <c r="I29" i="281"/>
  <c r="I25" i="281"/>
  <c r="I21" i="281"/>
  <c r="I17" i="281"/>
  <c r="I13" i="281"/>
  <c r="I9" i="281"/>
</calcChain>
</file>

<file path=xl/sharedStrings.xml><?xml version="1.0" encoding="utf-8"?>
<sst xmlns="http://schemas.openxmlformats.org/spreadsheetml/2006/main" count="40187" uniqueCount="6811">
  <si>
    <t>P/O#</t>
  </si>
  <si>
    <t>Q'ty</t>
  </si>
  <si>
    <t>Invoice#</t>
  </si>
  <si>
    <t>C/R</t>
  </si>
  <si>
    <t>ETD</t>
  </si>
  <si>
    <t>ETA</t>
  </si>
  <si>
    <t>Remark</t>
  </si>
  <si>
    <t>Request</t>
    <phoneticPr fontId="1"/>
  </si>
  <si>
    <t xml:space="preserve">Sample </t>
    <phoneticPr fontId="1"/>
  </si>
  <si>
    <t>No</t>
    <phoneticPr fontId="1"/>
  </si>
  <si>
    <t>Issued Date</t>
    <phoneticPr fontId="1"/>
  </si>
  <si>
    <t>Item</t>
    <phoneticPr fontId="1"/>
  </si>
  <si>
    <t>Container Type</t>
    <phoneticPr fontId="1"/>
  </si>
  <si>
    <t>HCL</t>
    <phoneticPr fontId="1"/>
  </si>
  <si>
    <t>AM1</t>
    <phoneticPr fontId="1"/>
  </si>
  <si>
    <t>Drum</t>
  </si>
  <si>
    <t>Palette</t>
  </si>
  <si>
    <t xml:space="preserve">[Hydrochloric Acid for TSMC] </t>
  </si>
  <si>
    <t>P</t>
    <phoneticPr fontId="1"/>
  </si>
  <si>
    <t>①</t>
    <phoneticPr fontId="1"/>
  </si>
  <si>
    <t>[Nitric Acid (Drum)</t>
  </si>
  <si>
    <t>太洋新技</t>
    <rPh sb="0" eb="2">
      <t>タイヨウ</t>
    </rPh>
    <rPh sb="2" eb="3">
      <t>シン</t>
    </rPh>
    <rPh sb="3" eb="4">
      <t>ワザ</t>
    </rPh>
    <phoneticPr fontId="1"/>
  </si>
  <si>
    <t>硝酸</t>
    <rPh sb="0" eb="2">
      <t>ショウサン</t>
    </rPh>
    <phoneticPr fontId="1"/>
  </si>
  <si>
    <t>WN7E5</t>
    <phoneticPr fontId="1"/>
  </si>
  <si>
    <t>D2US</t>
    <phoneticPr fontId="1"/>
  </si>
  <si>
    <t>UMC</t>
    <phoneticPr fontId="1"/>
  </si>
  <si>
    <t>D2UMC</t>
    <phoneticPr fontId="1"/>
  </si>
  <si>
    <t>⑨</t>
    <phoneticPr fontId="1"/>
  </si>
  <si>
    <r>
      <t>[</t>
    </r>
    <r>
      <rPr>
        <sz val="10"/>
        <color theme="1"/>
        <rFont val="ＭＳ Ｐゴシック"/>
        <family val="3"/>
        <charset val="128"/>
      </rPr>
      <t>Ｆ</t>
    </r>
    <r>
      <rPr>
        <sz val="10"/>
        <color theme="1"/>
        <rFont val="Verdana"/>
        <family val="2"/>
      </rPr>
      <t>-MIX *240kg packing*]</t>
    </r>
    <phoneticPr fontId="1"/>
  </si>
  <si>
    <t>F混酸</t>
    <rPh sb="1" eb="3">
      <t>コンサン</t>
    </rPh>
    <phoneticPr fontId="1"/>
  </si>
  <si>
    <t>WMAE3</t>
    <phoneticPr fontId="1"/>
  </si>
  <si>
    <t>D2TYS</t>
    <phoneticPr fontId="1"/>
  </si>
  <si>
    <t>③</t>
    <phoneticPr fontId="1"/>
  </si>
  <si>
    <t xml:space="preserve">[Hydrochloric Acid for UMC] </t>
  </si>
  <si>
    <t>塩酸</t>
    <rPh sb="0" eb="2">
      <t>エンサン</t>
    </rPh>
    <phoneticPr fontId="1"/>
  </si>
  <si>
    <t>WHCE4</t>
    <phoneticPr fontId="1"/>
  </si>
  <si>
    <t>D3US</t>
    <phoneticPr fontId="1"/>
  </si>
  <si>
    <t>⑩</t>
    <phoneticPr fontId="1"/>
  </si>
  <si>
    <t>[AM1/20L]</t>
  </si>
  <si>
    <t>AM1・MC1</t>
  </si>
  <si>
    <t>WAM1</t>
    <phoneticPr fontId="1"/>
  </si>
  <si>
    <t>20UM</t>
    <phoneticPr fontId="1"/>
  </si>
  <si>
    <t>P8</t>
    <phoneticPr fontId="1"/>
  </si>
  <si>
    <t>⑤</t>
    <phoneticPr fontId="1"/>
  </si>
  <si>
    <t xml:space="preserve">[Hydrochloric Acid for KINIK *20kg Packing*] </t>
  </si>
  <si>
    <t>UMC(KINIK)</t>
    <phoneticPr fontId="1"/>
  </si>
  <si>
    <t>②</t>
    <phoneticPr fontId="1"/>
  </si>
  <si>
    <t>TSMC</t>
    <phoneticPr fontId="1"/>
  </si>
  <si>
    <t>D3TSM</t>
    <phoneticPr fontId="1"/>
  </si>
  <si>
    <t>④</t>
    <phoneticPr fontId="1"/>
  </si>
  <si>
    <t xml:space="preserve">[Hydrochloric Acid for PTC] </t>
    <phoneticPr fontId="1"/>
  </si>
  <si>
    <t>PTC</t>
    <phoneticPr fontId="1"/>
  </si>
  <si>
    <t>D3PSC</t>
    <phoneticPr fontId="1"/>
  </si>
  <si>
    <t>⑦</t>
    <phoneticPr fontId="1"/>
  </si>
  <si>
    <t xml:space="preserve">[P-MIX *25kg packing*] </t>
  </si>
  <si>
    <t>P混酸</t>
    <rPh sb="1" eb="3">
      <t>コンサン</t>
    </rPh>
    <phoneticPr fontId="1"/>
  </si>
  <si>
    <t>WPME3</t>
    <phoneticPr fontId="1"/>
  </si>
  <si>
    <t>25PSC</t>
    <phoneticPr fontId="1"/>
  </si>
  <si>
    <t>⑧</t>
    <phoneticPr fontId="1"/>
  </si>
  <si>
    <t xml:space="preserve">[P-MIX *300kg packing*] </t>
    <phoneticPr fontId="1"/>
  </si>
  <si>
    <t>VISC</t>
    <phoneticPr fontId="1"/>
  </si>
  <si>
    <t>WPME3</t>
    <phoneticPr fontId="1"/>
  </si>
  <si>
    <t>D3VISC</t>
    <phoneticPr fontId="1"/>
  </si>
  <si>
    <t>HNO3 -- 160DM</t>
    <phoneticPr fontId="1"/>
  </si>
  <si>
    <t>How to use new shipping advice form</t>
    <phoneticPr fontId="1"/>
  </si>
  <si>
    <t>TYSは『Latest informationｼｰﾄ』の青くﾏｰｸされた箇所のみ入力してください。
C～K及びQ～R列</t>
    <rPh sb="28" eb="29">
      <t>アオ</t>
    </rPh>
    <rPh sb="36" eb="38">
      <t>カショ</t>
    </rPh>
    <rPh sb="40" eb="42">
      <t>ニュウリョク</t>
    </rPh>
    <rPh sb="53" eb="54">
      <t>オヨ</t>
    </rPh>
    <rPh sb="58" eb="59">
      <t>レツ</t>
    </rPh>
    <phoneticPr fontId="1"/>
  </si>
  <si>
    <t>Please fill the information in column which is marked in blue or blue letter on "Latest information sheet".
Column:C-K &amp; Q-R.</t>
    <phoneticPr fontId="1"/>
  </si>
  <si>
    <t>MCCからの回答は赤くﾏｰｸされた箇所に入力します。
L～P列</t>
    <rPh sb="6" eb="8">
      <t>カイトウ</t>
    </rPh>
    <rPh sb="9" eb="10">
      <t>アカ</t>
    </rPh>
    <rPh sb="17" eb="19">
      <t>カショ</t>
    </rPh>
    <rPh sb="20" eb="22">
      <t>ニュウリョク</t>
    </rPh>
    <rPh sb="30" eb="31">
      <t>レツ</t>
    </rPh>
    <phoneticPr fontId="1"/>
  </si>
  <si>
    <t>MCC fill the information in column which is marked in red or red letter.
Column:L～P.</t>
    <phoneticPr fontId="1"/>
  </si>
  <si>
    <t>新規は薬品毎に行を挿入して入力し、黄色にﾏｰｸしてください。</t>
    <rPh sb="0" eb="2">
      <t>シンキ</t>
    </rPh>
    <rPh sb="3" eb="5">
      <t>ヤクヒン</t>
    </rPh>
    <rPh sb="5" eb="6">
      <t>ゴト</t>
    </rPh>
    <rPh sb="7" eb="8">
      <t>ギョウ</t>
    </rPh>
    <rPh sb="9" eb="11">
      <t>ソウニュウ</t>
    </rPh>
    <rPh sb="13" eb="15">
      <t>ニュウリョク</t>
    </rPh>
    <rPh sb="17" eb="19">
      <t>キイロ</t>
    </rPh>
    <phoneticPr fontId="1"/>
  </si>
  <si>
    <t>For new orders, please insert new line every chemical and marked in yellow.</t>
  </si>
  <si>
    <t>新規及び変更箇所は黄色にﾏｰｸしてください。</t>
    <rPh sb="0" eb="2">
      <t>シンキ</t>
    </rPh>
    <rPh sb="2" eb="3">
      <t>オヨ</t>
    </rPh>
    <rPh sb="4" eb="6">
      <t>ヘンコウ</t>
    </rPh>
    <rPh sb="6" eb="8">
      <t>カショ</t>
    </rPh>
    <rPh sb="9" eb="11">
      <t>キイロ</t>
    </rPh>
    <phoneticPr fontId="1"/>
  </si>
  <si>
    <t>For revised information, please mark in yellow.</t>
    <phoneticPr fontId="1"/>
  </si>
  <si>
    <t>変更箇所に取消線を引かないでください。</t>
    <rPh sb="0" eb="2">
      <t>ヘンコウ</t>
    </rPh>
    <rPh sb="2" eb="4">
      <t>カショ</t>
    </rPh>
    <rPh sb="5" eb="7">
      <t>トリケシ</t>
    </rPh>
    <rPh sb="7" eb="8">
      <t>セン</t>
    </rPh>
    <rPh sb="9" eb="10">
      <t>ヒ</t>
    </rPh>
    <phoneticPr fontId="1"/>
  </si>
  <si>
    <t>Please do not use strikethrough.</t>
    <phoneticPr fontId="1"/>
  </si>
  <si>
    <t>過去数回分の履歴はMCCが別のｼｰﾄに保存します。</t>
    <rPh sb="0" eb="2">
      <t>カコ</t>
    </rPh>
    <rPh sb="2" eb="5">
      <t>スウカイブン</t>
    </rPh>
    <rPh sb="6" eb="8">
      <t>リレキ</t>
    </rPh>
    <rPh sb="13" eb="14">
      <t>ベツ</t>
    </rPh>
    <rPh sb="19" eb="21">
      <t>ホゾン</t>
    </rPh>
    <phoneticPr fontId="1"/>
  </si>
  <si>
    <t>MCC add past information sheet.</t>
    <phoneticPr fontId="1"/>
  </si>
  <si>
    <t>95% POLY ETCHANT</t>
  </si>
  <si>
    <t xml:space="preserve">[Nitric Acid for PTC] </t>
  </si>
  <si>
    <t>HNO3 -- 80DM</t>
  </si>
  <si>
    <t>Coment</t>
    <phoneticPr fontId="1"/>
  </si>
  <si>
    <t xml:space="preserve">[Hydrochloric Acid for PTC] </t>
  </si>
  <si>
    <t>WITH QUALIFIED SAMPLE(EACH LOT)</t>
  </si>
  <si>
    <t>[Ｆ-MIX *240kg packing*]</t>
  </si>
  <si>
    <t>HCL</t>
  </si>
  <si>
    <t>LOT</t>
    <phoneticPr fontId="1"/>
  </si>
  <si>
    <t>[MC1]</t>
    <phoneticPr fontId="1"/>
  </si>
  <si>
    <t>MC1</t>
    <phoneticPr fontId="1"/>
  </si>
  <si>
    <t>[AM1/190L]</t>
  </si>
  <si>
    <t>WITH QUALIFIED SAMPLE</t>
  </si>
  <si>
    <t>7</t>
  </si>
  <si>
    <t>HNO3 -- 40DM</t>
    <phoneticPr fontId="1"/>
  </si>
  <si>
    <t>No</t>
    <phoneticPr fontId="1"/>
  </si>
  <si>
    <t>Issued Date</t>
    <phoneticPr fontId="1"/>
  </si>
  <si>
    <t>Item</t>
    <phoneticPr fontId="1"/>
  </si>
  <si>
    <t>Container Type</t>
    <phoneticPr fontId="1"/>
  </si>
  <si>
    <t xml:space="preserve">Sample </t>
    <phoneticPr fontId="1"/>
  </si>
  <si>
    <t xml:space="preserve">I/V  </t>
    <phoneticPr fontId="18"/>
  </si>
  <si>
    <t>:</t>
    <phoneticPr fontId="18"/>
  </si>
  <si>
    <t/>
  </si>
  <si>
    <t>BOOK#</t>
    <phoneticPr fontId="18"/>
  </si>
  <si>
    <t>USER</t>
    <phoneticPr fontId="18"/>
  </si>
  <si>
    <t>CHEMICAL(製造元）</t>
    <rPh sb="9" eb="11">
      <t>セイゾウ</t>
    </rPh>
    <rPh sb="11" eb="12">
      <t>モト</t>
    </rPh>
    <phoneticPr fontId="18"/>
  </si>
  <si>
    <t>lot（指定）</t>
    <rPh sb="4" eb="6">
      <t>シテイ</t>
    </rPh>
    <phoneticPr fontId="18"/>
  </si>
  <si>
    <t xml:space="preserve">*                 </t>
    <phoneticPr fontId="18"/>
  </si>
  <si>
    <t>SA</t>
    <phoneticPr fontId="18"/>
  </si>
  <si>
    <t>×</t>
    <phoneticPr fontId="1"/>
  </si>
  <si>
    <t>充填依頼</t>
    <rPh sb="0" eb="2">
      <t>ジュウテン</t>
    </rPh>
    <rPh sb="2" eb="4">
      <t>イライ</t>
    </rPh>
    <phoneticPr fontId="1"/>
  </si>
  <si>
    <t>BOOK依頼</t>
    <rPh sb="4" eb="6">
      <t>イライ</t>
    </rPh>
    <phoneticPr fontId="1"/>
  </si>
  <si>
    <t>SAMPLE</t>
    <phoneticPr fontId="18"/>
  </si>
  <si>
    <t>PO#</t>
    <phoneticPr fontId="18"/>
  </si>
  <si>
    <t>P</t>
    <phoneticPr fontId="18"/>
  </si>
  <si>
    <t>C/R</t>
    <phoneticPr fontId="18"/>
  </si>
  <si>
    <t>温度計</t>
    <rPh sb="0" eb="3">
      <t>オンドケイ</t>
    </rPh>
    <phoneticPr fontId="18"/>
  </si>
  <si>
    <t>ETD</t>
    <phoneticPr fontId="18"/>
  </si>
  <si>
    <t>ｺﾝﾃﾅ№</t>
    <phoneticPr fontId="18"/>
  </si>
  <si>
    <t>ETA</t>
    <phoneticPr fontId="18"/>
  </si>
  <si>
    <t>VSL</t>
    <phoneticPr fontId="18"/>
  </si>
  <si>
    <t>BOOKING＃</t>
    <phoneticPr fontId="18"/>
  </si>
  <si>
    <t>Container</t>
    <phoneticPr fontId="18"/>
  </si>
  <si>
    <t>20×</t>
    <phoneticPr fontId="18"/>
  </si>
  <si>
    <t>40×</t>
    <phoneticPr fontId="18"/>
  </si>
  <si>
    <t>Dry</t>
    <phoneticPr fontId="18"/>
  </si>
  <si>
    <t>Reefer</t>
    <phoneticPr fontId="18"/>
  </si>
  <si>
    <t>P</t>
    <phoneticPr fontId="1"/>
  </si>
  <si>
    <t>①</t>
    <phoneticPr fontId="1"/>
  </si>
  <si>
    <t xml:space="preserve">[Nitric Acid for PTC] </t>
    <phoneticPr fontId="1"/>
  </si>
  <si>
    <t>PTC</t>
    <phoneticPr fontId="1"/>
  </si>
  <si>
    <t>WN7E5</t>
    <phoneticPr fontId="1"/>
  </si>
  <si>
    <t>D2US</t>
    <phoneticPr fontId="1"/>
  </si>
  <si>
    <t>[Nitric Acid for UMC]</t>
    <phoneticPr fontId="1"/>
  </si>
  <si>
    <t>UMC</t>
    <phoneticPr fontId="1"/>
  </si>
  <si>
    <t>D2UMC</t>
    <phoneticPr fontId="1"/>
  </si>
  <si>
    <t>⑨</t>
    <phoneticPr fontId="1"/>
  </si>
  <si>
    <t>I4c</t>
    <phoneticPr fontId="1"/>
  </si>
  <si>
    <t>INTELUSA</t>
    <phoneticPr fontId="1"/>
  </si>
  <si>
    <t>I4C</t>
    <phoneticPr fontId="1"/>
  </si>
  <si>
    <t>WSD4</t>
    <phoneticPr fontId="1"/>
  </si>
  <si>
    <t>D9IN</t>
    <phoneticPr fontId="1"/>
  </si>
  <si>
    <t>③</t>
    <phoneticPr fontId="1"/>
  </si>
  <si>
    <t>BG1</t>
    <phoneticPr fontId="1"/>
  </si>
  <si>
    <t>D9INBG1</t>
    <phoneticPr fontId="1"/>
  </si>
  <si>
    <t>⑩</t>
    <phoneticPr fontId="1"/>
  </si>
  <si>
    <t>WAM1</t>
    <phoneticPr fontId="1"/>
  </si>
  <si>
    <t>20UM</t>
    <phoneticPr fontId="1"/>
  </si>
  <si>
    <t>P8</t>
    <phoneticPr fontId="1"/>
  </si>
  <si>
    <t>⑤</t>
    <phoneticPr fontId="1"/>
  </si>
  <si>
    <t>UMC(KINIK)</t>
    <phoneticPr fontId="1"/>
  </si>
  <si>
    <t>WHCE4</t>
    <phoneticPr fontId="1"/>
  </si>
  <si>
    <t>②</t>
    <phoneticPr fontId="1"/>
  </si>
  <si>
    <t>TSMC</t>
    <phoneticPr fontId="1"/>
  </si>
  <si>
    <t>D3TSM</t>
    <phoneticPr fontId="1"/>
  </si>
  <si>
    <t>④</t>
    <phoneticPr fontId="1"/>
  </si>
  <si>
    <t xml:space="preserve">[Hydrochloric Acid for PTC] </t>
    <phoneticPr fontId="1"/>
  </si>
  <si>
    <t>D3PSC</t>
    <phoneticPr fontId="1"/>
  </si>
  <si>
    <t>⑦</t>
    <phoneticPr fontId="1"/>
  </si>
  <si>
    <t>WPME3</t>
    <phoneticPr fontId="1"/>
  </si>
  <si>
    <t>25PSC</t>
    <phoneticPr fontId="1"/>
  </si>
  <si>
    <t>⑧</t>
    <phoneticPr fontId="1"/>
  </si>
  <si>
    <t xml:space="preserve">[P-MIX *300kg packing*] </t>
    <phoneticPr fontId="1"/>
  </si>
  <si>
    <t>VISC</t>
    <phoneticPr fontId="1"/>
  </si>
  <si>
    <t>WPME3</t>
    <phoneticPr fontId="1"/>
  </si>
  <si>
    <t>D3VISC</t>
    <phoneticPr fontId="1"/>
  </si>
  <si>
    <t xml:space="preserve">[Hydrochloric Acid for SSMC] </t>
    <phoneticPr fontId="1"/>
  </si>
  <si>
    <t xml:space="preserve">[Hydrochloric Acid for SAMSUNG] </t>
    <phoneticPr fontId="1"/>
  </si>
  <si>
    <t xml:space="preserve">I/V  </t>
    <phoneticPr fontId="18"/>
  </si>
  <si>
    <t>:</t>
    <phoneticPr fontId="18"/>
  </si>
  <si>
    <t>BOOK#</t>
    <phoneticPr fontId="18"/>
  </si>
  <si>
    <t>USER</t>
    <phoneticPr fontId="18"/>
  </si>
  <si>
    <t xml:space="preserve">*                 </t>
    <phoneticPr fontId="18"/>
  </si>
  <si>
    <t>SA</t>
    <phoneticPr fontId="18"/>
  </si>
  <si>
    <t>×</t>
    <phoneticPr fontId="1"/>
  </si>
  <si>
    <t>SAMPLE</t>
    <phoneticPr fontId="18"/>
  </si>
  <si>
    <t>PO#</t>
    <phoneticPr fontId="18"/>
  </si>
  <si>
    <t>P</t>
    <phoneticPr fontId="18"/>
  </si>
  <si>
    <t>C/R</t>
    <phoneticPr fontId="18"/>
  </si>
  <si>
    <t>ETD</t>
    <phoneticPr fontId="18"/>
  </si>
  <si>
    <t>ｺﾝﾃﾅ№</t>
    <phoneticPr fontId="18"/>
  </si>
  <si>
    <t>ETA</t>
    <phoneticPr fontId="18"/>
  </si>
  <si>
    <t>VSL</t>
    <phoneticPr fontId="18"/>
  </si>
  <si>
    <t>BOOKING＃</t>
    <phoneticPr fontId="18"/>
  </si>
  <si>
    <t>Container</t>
    <phoneticPr fontId="18"/>
  </si>
  <si>
    <t>20×</t>
    <phoneticPr fontId="18"/>
  </si>
  <si>
    <t>40×</t>
    <phoneticPr fontId="18"/>
  </si>
  <si>
    <t>Dry</t>
    <phoneticPr fontId="18"/>
  </si>
  <si>
    <t>Reefer</t>
    <phoneticPr fontId="18"/>
  </si>
  <si>
    <t xml:space="preserve">I/V  </t>
    <phoneticPr fontId="18"/>
  </si>
  <si>
    <t>:</t>
    <phoneticPr fontId="18"/>
  </si>
  <si>
    <t>BOOK#</t>
    <phoneticPr fontId="18"/>
  </si>
  <si>
    <t>USER</t>
    <phoneticPr fontId="18"/>
  </si>
  <si>
    <t xml:space="preserve">*                 </t>
    <phoneticPr fontId="18"/>
  </si>
  <si>
    <t>SA</t>
    <phoneticPr fontId="18"/>
  </si>
  <si>
    <t>×</t>
    <phoneticPr fontId="1"/>
  </si>
  <si>
    <t>SAMPLE</t>
    <phoneticPr fontId="18"/>
  </si>
  <si>
    <t>PO#</t>
    <phoneticPr fontId="18"/>
  </si>
  <si>
    <t>P</t>
    <phoneticPr fontId="18"/>
  </si>
  <si>
    <t>C/R</t>
    <phoneticPr fontId="18"/>
  </si>
  <si>
    <t>ETD</t>
    <phoneticPr fontId="18"/>
  </si>
  <si>
    <t>ｺﾝﾃﾅ№</t>
    <phoneticPr fontId="18"/>
  </si>
  <si>
    <t>ETA</t>
    <phoneticPr fontId="18"/>
  </si>
  <si>
    <t>VSL</t>
    <phoneticPr fontId="18"/>
  </si>
  <si>
    <t>BOOKING＃</t>
    <phoneticPr fontId="18"/>
  </si>
  <si>
    <t>Container</t>
    <phoneticPr fontId="18"/>
  </si>
  <si>
    <t>20×</t>
    <phoneticPr fontId="18"/>
  </si>
  <si>
    <t>40×</t>
    <phoneticPr fontId="18"/>
  </si>
  <si>
    <t>Dry</t>
    <phoneticPr fontId="18"/>
  </si>
  <si>
    <t>Reefer</t>
    <phoneticPr fontId="18"/>
  </si>
  <si>
    <t>3</t>
    <phoneticPr fontId="1"/>
  </si>
  <si>
    <t>9</t>
  </si>
  <si>
    <t>1</t>
    <phoneticPr fontId="1"/>
  </si>
  <si>
    <t>[Si-E]</t>
  </si>
  <si>
    <t>FOR PSI</t>
  </si>
  <si>
    <t>10</t>
  </si>
  <si>
    <t>HCL</t>
    <phoneticPr fontId="1"/>
  </si>
  <si>
    <t>AM1</t>
    <phoneticPr fontId="1"/>
  </si>
  <si>
    <t>[Si-C]</t>
    <phoneticPr fontId="1"/>
  </si>
  <si>
    <t>ロット緩和ありがとうございます</t>
    <rPh sb="3" eb="5">
      <t>カンワ</t>
    </rPh>
    <phoneticPr fontId="1"/>
  </si>
  <si>
    <t>HNO3 -- 160DM</t>
    <phoneticPr fontId="1"/>
  </si>
  <si>
    <t>SI-E</t>
  </si>
  <si>
    <t>LOT</t>
    <phoneticPr fontId="1"/>
  </si>
  <si>
    <t xml:space="preserve">[Nitric Acid for UMC] </t>
  </si>
  <si>
    <t>116</t>
  </si>
  <si>
    <t>[Hydrochloric Acid for KINIK *20kg Packing*]</t>
    <phoneticPr fontId="1"/>
  </si>
  <si>
    <t>[MCX-2005 *200kg Packing*]</t>
    <phoneticPr fontId="1"/>
  </si>
  <si>
    <t>14</t>
  </si>
  <si>
    <t>15</t>
  </si>
  <si>
    <t>16</t>
  </si>
  <si>
    <t>12</t>
    <phoneticPr fontId="1"/>
  </si>
  <si>
    <t>SI-C</t>
    <phoneticPr fontId="1"/>
  </si>
  <si>
    <t>数量変更</t>
    <rPh sb="0" eb="2">
      <t>スウリョウ</t>
    </rPh>
    <rPh sb="2" eb="4">
      <t>ヘンコウ</t>
    </rPh>
    <phoneticPr fontId="1"/>
  </si>
  <si>
    <t>169</t>
  </si>
  <si>
    <t>010708100024</t>
  </si>
  <si>
    <t>118</t>
  </si>
  <si>
    <t>17</t>
  </si>
  <si>
    <t>4</t>
  </si>
  <si>
    <t>5</t>
  </si>
  <si>
    <t>MCX-2005</t>
  </si>
  <si>
    <t>010708150017</t>
    <phoneticPr fontId="1"/>
  </si>
  <si>
    <t>[MCX-2005 *200kg Packing*]</t>
  </si>
  <si>
    <t>2018/11/23 After 製造(Must)</t>
    <phoneticPr fontId="1"/>
  </si>
  <si>
    <t>HNO3 -- 120DM</t>
    <phoneticPr fontId="1"/>
  </si>
  <si>
    <t>802</t>
  </si>
  <si>
    <t>010709120011</t>
    <phoneticPr fontId="1"/>
  </si>
  <si>
    <t>2018/11/29 After製造(Must) FOR PTC</t>
    <phoneticPr fontId="1"/>
  </si>
  <si>
    <t>119</t>
  </si>
  <si>
    <t>804</t>
  </si>
  <si>
    <t>805</t>
  </si>
  <si>
    <t>2018/12/12 After製造(Must) FOR UMC ※need with analysis report</t>
    <phoneticPr fontId="1"/>
  </si>
  <si>
    <t>806</t>
  </si>
  <si>
    <t>2018/12/13 After製造(Must) FOR PTC</t>
    <phoneticPr fontId="1"/>
  </si>
  <si>
    <t>807</t>
  </si>
  <si>
    <t>2018/12/19 After製造(Must) FOR UMC ※need with analysis report</t>
    <phoneticPr fontId="1"/>
  </si>
  <si>
    <t>808</t>
  </si>
  <si>
    <t>2018/12/20 After製造(Must) FOR PTC</t>
    <phoneticPr fontId="1"/>
  </si>
  <si>
    <t>809</t>
  </si>
  <si>
    <t>172</t>
  </si>
  <si>
    <t>2018/12/10 After 製造(Must) ※Need analysis report</t>
    <phoneticPr fontId="1"/>
  </si>
  <si>
    <t>150</t>
  </si>
  <si>
    <t>120</t>
  </si>
  <si>
    <t>010710090002</t>
  </si>
  <si>
    <t>010710090003</t>
  </si>
  <si>
    <t>010710090004</t>
  </si>
  <si>
    <t>010710090005</t>
  </si>
  <si>
    <t>010710090006</t>
  </si>
  <si>
    <t>010710090007</t>
  </si>
  <si>
    <t>1/8</t>
    <phoneticPr fontId="1"/>
  </si>
  <si>
    <t>414-HNO3981</t>
    <phoneticPr fontId="1"/>
  </si>
  <si>
    <t>414-UM1790</t>
  </si>
  <si>
    <t>2018/12/12 After製造(Must) FOR PTC</t>
    <phoneticPr fontId="1"/>
  </si>
  <si>
    <t>010710090011</t>
  </si>
  <si>
    <t>173</t>
  </si>
  <si>
    <t>010710090012</t>
  </si>
  <si>
    <t>010710090008</t>
  </si>
  <si>
    <t>010710090009</t>
  </si>
  <si>
    <t>13</t>
    <phoneticPr fontId="1"/>
  </si>
  <si>
    <t>414-HNO3979</t>
  </si>
  <si>
    <t>414-UM1792</t>
  </si>
  <si>
    <t>807(2)</t>
    <phoneticPr fontId="1"/>
  </si>
  <si>
    <t>010710150012</t>
    <phoneticPr fontId="1"/>
  </si>
  <si>
    <t>151</t>
  </si>
  <si>
    <t>2018/12/19, After 製造 (Must)</t>
    <phoneticPr fontId="1"/>
  </si>
  <si>
    <t>414-HNO3980</t>
  </si>
  <si>
    <t>1/9-10</t>
  </si>
  <si>
    <t>1/16-17</t>
  </si>
  <si>
    <t>1/22</t>
    <phoneticPr fontId="1"/>
  </si>
  <si>
    <t>18</t>
  </si>
  <si>
    <t>2018/11/22 After 製造(Must)</t>
    <phoneticPr fontId="1"/>
  </si>
  <si>
    <t>1/16-17</t>
    <phoneticPr fontId="1"/>
  </si>
  <si>
    <t>010710230010</t>
    <phoneticPr fontId="1"/>
  </si>
  <si>
    <t>010710230008</t>
    <phoneticPr fontId="1"/>
  </si>
  <si>
    <t>414-AM175</t>
    <phoneticPr fontId="1"/>
  </si>
  <si>
    <t>010711060008</t>
  </si>
  <si>
    <t xml:space="preserve">    </t>
    <phoneticPr fontId="1"/>
  </si>
  <si>
    <t>No</t>
    <phoneticPr fontId="1"/>
  </si>
  <si>
    <t>Issued Date</t>
    <phoneticPr fontId="1"/>
  </si>
  <si>
    <t>Item</t>
    <phoneticPr fontId="1"/>
  </si>
  <si>
    <t>Request</t>
    <phoneticPr fontId="1"/>
  </si>
  <si>
    <t>HNO3 -- 40DM</t>
    <phoneticPr fontId="1"/>
  </si>
  <si>
    <t>2018/12/19 After製造(Must) FOR UMC ※need with analysis report</t>
    <phoneticPr fontId="1"/>
  </si>
  <si>
    <t>2019/01/10 After製造(Must) FOR UMC ※need with analysis report</t>
    <phoneticPr fontId="1"/>
  </si>
  <si>
    <t>2019/01/10 After製造(Must) FOR PTC</t>
    <phoneticPr fontId="1"/>
  </si>
  <si>
    <t>810</t>
  </si>
  <si>
    <t>010711160004</t>
  </si>
  <si>
    <t>2019/01/17 After製造(Must) FOR PTC</t>
    <phoneticPr fontId="1"/>
  </si>
  <si>
    <t>811</t>
  </si>
  <si>
    <t>010711160005</t>
  </si>
  <si>
    <t>812</t>
  </si>
  <si>
    <t>010711160006</t>
  </si>
  <si>
    <t>2019/01/24 After製造(Must) FOR PTC</t>
    <phoneticPr fontId="1"/>
  </si>
  <si>
    <t>813</t>
  </si>
  <si>
    <t>010711160007</t>
  </si>
  <si>
    <t>814</t>
  </si>
  <si>
    <t>010711160008</t>
  </si>
  <si>
    <t>2019/02/03 After製造(Must) FOR PTC</t>
    <phoneticPr fontId="1"/>
  </si>
  <si>
    <t>HCL</t>
    <phoneticPr fontId="1"/>
  </si>
  <si>
    <t>010710230010</t>
    <phoneticPr fontId="1"/>
  </si>
  <si>
    <t>152</t>
  </si>
  <si>
    <t>010711160015</t>
  </si>
  <si>
    <t>153</t>
  </si>
  <si>
    <t>010711160016</t>
  </si>
  <si>
    <t>2019/03/01 After 製造(Must)</t>
    <phoneticPr fontId="1"/>
  </si>
  <si>
    <t>121</t>
  </si>
  <si>
    <t>010711160009</t>
  </si>
  <si>
    <t>2019/01/17, After 製造 (Must)</t>
    <phoneticPr fontId="1"/>
  </si>
  <si>
    <t>122</t>
  </si>
  <si>
    <t>010711160010</t>
  </si>
  <si>
    <t>2019/02/18, After 製造 (Must)</t>
    <phoneticPr fontId="1"/>
  </si>
  <si>
    <t>AM1</t>
    <phoneticPr fontId="1"/>
  </si>
  <si>
    <t>010711160011</t>
  </si>
  <si>
    <t>2018/12/24 After 製造(Must)</t>
    <phoneticPr fontId="1"/>
  </si>
  <si>
    <t>010710230009</t>
    <phoneticPr fontId="1"/>
  </si>
  <si>
    <t>19</t>
  </si>
  <si>
    <t>010711160012</t>
  </si>
  <si>
    <t>2018/12/23 After 製造(Must)</t>
    <phoneticPr fontId="1"/>
  </si>
  <si>
    <t>010711160013</t>
  </si>
  <si>
    <t>117</t>
    <phoneticPr fontId="1"/>
  </si>
  <si>
    <t>010711160014</t>
  </si>
  <si>
    <t>2/5</t>
    <phoneticPr fontId="1"/>
  </si>
  <si>
    <t>414-HNO3981</t>
    <phoneticPr fontId="1"/>
  </si>
  <si>
    <t>2/12</t>
    <phoneticPr fontId="1"/>
  </si>
  <si>
    <t>414-HNO3982</t>
    <phoneticPr fontId="1"/>
  </si>
  <si>
    <t>2/19</t>
    <phoneticPr fontId="1"/>
  </si>
  <si>
    <t>414-HNO3983</t>
    <phoneticPr fontId="1"/>
  </si>
  <si>
    <t>414-HNO3984</t>
    <phoneticPr fontId="1"/>
  </si>
  <si>
    <t>3/27-28</t>
    <phoneticPr fontId="1"/>
  </si>
  <si>
    <t>2/13-14</t>
    <phoneticPr fontId="1"/>
  </si>
  <si>
    <t>3/13-14</t>
    <phoneticPr fontId="1"/>
  </si>
  <si>
    <t>2/20-21</t>
    <phoneticPr fontId="1"/>
  </si>
  <si>
    <t>414-AM176</t>
    <phoneticPr fontId="1"/>
  </si>
  <si>
    <t>2019/01/21 After 製造(Must)</t>
    <phoneticPr fontId="1"/>
  </si>
  <si>
    <t>ロット緩和お願いします</t>
    <rPh sb="3" eb="5">
      <t>カンワ</t>
    </rPh>
    <rPh sb="6" eb="7">
      <t>ネガ</t>
    </rPh>
    <phoneticPr fontId="1"/>
  </si>
  <si>
    <t>納期御調整お願いします</t>
    <rPh sb="0" eb="2">
      <t>ノウキ</t>
    </rPh>
    <rPh sb="2" eb="5">
      <t>ゴチョウセイ</t>
    </rPh>
    <rPh sb="6" eb="7">
      <t>ネガ</t>
    </rPh>
    <phoneticPr fontId="1"/>
  </si>
  <si>
    <t>414-HNO3985</t>
    <phoneticPr fontId="1"/>
  </si>
  <si>
    <t>620</t>
  </si>
  <si>
    <t>HNO3 -- 80DM</t>
    <phoneticPr fontId="1"/>
  </si>
  <si>
    <t>2019/01/10 After製造(Must) FOR UMC ※need with analysis report</t>
    <phoneticPr fontId="1"/>
  </si>
  <si>
    <t>2019/01/10 After製造(Must) FOR PTC</t>
    <phoneticPr fontId="1"/>
  </si>
  <si>
    <t>2019/01/17 After製造(Must) FOR PTC</t>
    <phoneticPr fontId="1"/>
  </si>
  <si>
    <t>2019/01/22 After製造(Must) FOR UMC ※need with analysis report</t>
    <phoneticPr fontId="1"/>
  </si>
  <si>
    <t>2019/01/24 After製造(Must) FOR PTC</t>
    <phoneticPr fontId="1"/>
  </si>
  <si>
    <t>2019/01/15 After 製造(Must) SPEC FOR NON-N20</t>
    <phoneticPr fontId="1"/>
  </si>
  <si>
    <t>621</t>
  </si>
  <si>
    <t>2019/02/28 After 製造(Must) SPEC FOR NON-N20</t>
    <phoneticPr fontId="1"/>
  </si>
  <si>
    <t>2019/02/14 After 製造(Must) ※Need analysis report</t>
    <phoneticPr fontId="1"/>
  </si>
  <si>
    <t>Y23(40)</t>
    <phoneticPr fontId="1"/>
  </si>
  <si>
    <t>414-UM1799</t>
    <phoneticPr fontId="1"/>
  </si>
  <si>
    <t>2018/11/23 After 製造(Must) ※Need analysis report</t>
    <phoneticPr fontId="1"/>
  </si>
  <si>
    <t>414-UM1800</t>
    <phoneticPr fontId="1"/>
  </si>
  <si>
    <t>150(2)</t>
    <phoneticPr fontId="1"/>
  </si>
  <si>
    <t>Y19(40)Y22(40)</t>
    <phoneticPr fontId="1"/>
  </si>
  <si>
    <t>分納ありがとうございます</t>
    <rPh sb="0" eb="2">
      <t>ブンノウ</t>
    </rPh>
    <phoneticPr fontId="1"/>
  </si>
  <si>
    <t>Z10.Z17.Z18</t>
    <phoneticPr fontId="1"/>
  </si>
  <si>
    <t>Z15</t>
    <phoneticPr fontId="1"/>
  </si>
  <si>
    <t>2019/02/03 After製造(Must) FOR PTC</t>
    <phoneticPr fontId="1"/>
  </si>
  <si>
    <t>815</t>
  </si>
  <si>
    <t>010712120022</t>
  </si>
  <si>
    <t>2019/02/18 After製造(Must) FOR PTC</t>
    <phoneticPr fontId="1"/>
  </si>
  <si>
    <t>816</t>
  </si>
  <si>
    <t>010712120023</t>
  </si>
  <si>
    <t>2019/02/26 After製造(Must) FOR UMC ※need with analysis report</t>
    <phoneticPr fontId="1"/>
  </si>
  <si>
    <t>817</t>
  </si>
  <si>
    <t>010712120024</t>
  </si>
  <si>
    <t>2019/02/25 After製造(Must) FOR PTC</t>
    <phoneticPr fontId="1"/>
  </si>
  <si>
    <t>010712120026</t>
  </si>
  <si>
    <t>010712120027</t>
  </si>
  <si>
    <t>Y23(40)</t>
    <phoneticPr fontId="1"/>
  </si>
  <si>
    <t>010712120025</t>
  </si>
  <si>
    <t>2/18以降</t>
    <phoneticPr fontId="1"/>
  </si>
  <si>
    <t>414-HNO3986</t>
    <phoneticPr fontId="1"/>
  </si>
  <si>
    <t>414-HNO3987</t>
    <phoneticPr fontId="1"/>
  </si>
  <si>
    <t>Y22(40)Z10(40)</t>
    <phoneticPr fontId="1"/>
  </si>
  <si>
    <t>緩和しないでください</t>
    <phoneticPr fontId="1"/>
  </si>
  <si>
    <t>1/16以降</t>
    <phoneticPr fontId="1"/>
  </si>
  <si>
    <t>A03(80)</t>
    <phoneticPr fontId="1"/>
  </si>
  <si>
    <t>Z25.A05</t>
    <phoneticPr fontId="1"/>
  </si>
  <si>
    <t>分納</t>
    <rPh sb="0" eb="2">
      <t>ブンノウ</t>
    </rPh>
    <phoneticPr fontId="1"/>
  </si>
  <si>
    <t>807(3)</t>
    <phoneticPr fontId="1"/>
  </si>
  <si>
    <t>Z20</t>
    <phoneticPr fontId="1"/>
  </si>
  <si>
    <t>Z21(36)Z22(40)Z24(4)</t>
    <phoneticPr fontId="1"/>
  </si>
  <si>
    <t>7(2)</t>
    <phoneticPr fontId="1"/>
  </si>
  <si>
    <t>3/20-21</t>
    <phoneticPr fontId="1"/>
  </si>
  <si>
    <t>414-AM178</t>
    <phoneticPr fontId="1"/>
  </si>
  <si>
    <t>414-AM179</t>
    <phoneticPr fontId="1"/>
  </si>
  <si>
    <t>4/3-4</t>
    <phoneticPr fontId="1"/>
  </si>
  <si>
    <t>13(2)</t>
    <phoneticPr fontId="1"/>
  </si>
  <si>
    <t>4/10-11</t>
    <phoneticPr fontId="1"/>
  </si>
  <si>
    <t>414-AM181</t>
    <phoneticPr fontId="1"/>
  </si>
  <si>
    <t>414-AM182</t>
    <phoneticPr fontId="1"/>
  </si>
  <si>
    <t>118(2)</t>
    <phoneticPr fontId="1"/>
  </si>
  <si>
    <t>Coment</t>
    <phoneticPr fontId="1"/>
  </si>
  <si>
    <t>1/15</t>
    <phoneticPr fontId="1"/>
  </si>
  <si>
    <t>414-HNO3979</t>
    <phoneticPr fontId="1"/>
  </si>
  <si>
    <t>414-HNO3980</t>
    <phoneticPr fontId="1"/>
  </si>
  <si>
    <t>010710230008</t>
    <phoneticPr fontId="1"/>
  </si>
  <si>
    <t>保留</t>
    <phoneticPr fontId="1"/>
  </si>
  <si>
    <t>010801030018</t>
    <phoneticPr fontId="1"/>
  </si>
  <si>
    <t>010801070023</t>
    <phoneticPr fontId="1"/>
  </si>
  <si>
    <t>414-AM182</t>
  </si>
  <si>
    <t>納期変更</t>
    <rPh sb="0" eb="2">
      <t>ノウキ</t>
    </rPh>
    <rPh sb="2" eb="4">
      <t>ヘンコウ</t>
    </rPh>
    <phoneticPr fontId="1"/>
  </si>
  <si>
    <t>414-HNO3981</t>
  </si>
  <si>
    <t>2019/02/18 After製造(Must) FOR UMC ※need with analysis report</t>
    <phoneticPr fontId="1"/>
  </si>
  <si>
    <t>818</t>
  </si>
  <si>
    <t>819</t>
  </si>
  <si>
    <t>820</t>
  </si>
  <si>
    <t>2019/03/21 After製造(Must) FOR PTC</t>
    <phoneticPr fontId="1"/>
  </si>
  <si>
    <t>821</t>
  </si>
  <si>
    <t>2019/03/28 After製造(Must) FOR UMC ※need with analysis report</t>
    <phoneticPr fontId="1"/>
  </si>
  <si>
    <t>622</t>
  </si>
  <si>
    <t>2019/01/17, After 製造 (Must)</t>
    <phoneticPr fontId="1"/>
  </si>
  <si>
    <t>2019/02/18, After 製造 (Must)</t>
    <phoneticPr fontId="1"/>
  </si>
  <si>
    <t>123</t>
  </si>
  <si>
    <t>20</t>
  </si>
  <si>
    <t>3/18以降</t>
    <phoneticPr fontId="1"/>
  </si>
  <si>
    <t>010801170004</t>
  </si>
  <si>
    <t>010801170005</t>
  </si>
  <si>
    <t>010801070025</t>
  </si>
  <si>
    <t>4/3-4</t>
    <phoneticPr fontId="1"/>
  </si>
  <si>
    <t>4/10-11</t>
    <phoneticPr fontId="1"/>
  </si>
  <si>
    <t>4/9</t>
    <phoneticPr fontId="1"/>
  </si>
  <si>
    <t>3/5</t>
    <phoneticPr fontId="1"/>
  </si>
  <si>
    <t>4/16</t>
    <phoneticPr fontId="1"/>
  </si>
  <si>
    <t>4/23</t>
    <phoneticPr fontId="1"/>
  </si>
  <si>
    <t>414-HNO3989</t>
    <phoneticPr fontId="1"/>
  </si>
  <si>
    <t>414-HNO3990</t>
    <phoneticPr fontId="1"/>
  </si>
  <si>
    <t>414-HNO3991</t>
    <phoneticPr fontId="1"/>
  </si>
  <si>
    <t>4/17-18</t>
    <phoneticPr fontId="1"/>
  </si>
  <si>
    <t>414-UM1802</t>
    <phoneticPr fontId="1"/>
  </si>
  <si>
    <t>4/24-25</t>
    <phoneticPr fontId="1"/>
  </si>
  <si>
    <t>414-UM1803</t>
  </si>
  <si>
    <t>414-UM1804</t>
    <phoneticPr fontId="1"/>
  </si>
  <si>
    <t>Container Type</t>
    <phoneticPr fontId="1"/>
  </si>
  <si>
    <t>010710230008</t>
    <phoneticPr fontId="1"/>
  </si>
  <si>
    <t>2019/02/18 After製造(Must) FOR UMC ※need with analysis report</t>
    <phoneticPr fontId="1"/>
  </si>
  <si>
    <t>010801210006</t>
  </si>
  <si>
    <t>2019/03/20 After製造(Must) FOR UMC ※need with analysis report</t>
    <phoneticPr fontId="1"/>
  </si>
  <si>
    <t>010801210007</t>
  </si>
  <si>
    <t>414-HNO3989</t>
    <phoneticPr fontId="1"/>
  </si>
  <si>
    <t>010801210008</t>
  </si>
  <si>
    <t>2019/03/21 After製造(Must) FOR PTC</t>
    <phoneticPr fontId="1"/>
  </si>
  <si>
    <t>010801210009</t>
  </si>
  <si>
    <t>414-HNO3991</t>
    <phoneticPr fontId="1"/>
  </si>
  <si>
    <t>4/23</t>
    <phoneticPr fontId="1"/>
  </si>
  <si>
    <t>822</t>
  </si>
  <si>
    <t>2019/03/13 After製造(Must) FOR PTC</t>
    <phoneticPr fontId="1"/>
  </si>
  <si>
    <t>414-UM1802</t>
    <phoneticPr fontId="1"/>
  </si>
  <si>
    <t>4/17-18</t>
    <phoneticPr fontId="1"/>
  </si>
  <si>
    <t>2019/03/28 After 製造(Must) SPEC FOR NON-N20</t>
    <phoneticPr fontId="1"/>
  </si>
  <si>
    <t>保留</t>
    <phoneticPr fontId="1"/>
  </si>
  <si>
    <t>4/24-25</t>
    <phoneticPr fontId="1"/>
  </si>
  <si>
    <t>2019/03/13 After 製造(Must)</t>
    <phoneticPr fontId="1"/>
  </si>
  <si>
    <t>010801210010</t>
  </si>
  <si>
    <t>010801210011</t>
  </si>
  <si>
    <t>010801210012</t>
  </si>
  <si>
    <t>3/18以降</t>
    <phoneticPr fontId="1"/>
  </si>
  <si>
    <t>010801210013</t>
  </si>
  <si>
    <t>010801210014</t>
  </si>
  <si>
    <t>414-UM1806</t>
    <phoneticPr fontId="1"/>
  </si>
  <si>
    <t>118(3)</t>
    <phoneticPr fontId="1"/>
  </si>
  <si>
    <t>118(4)</t>
    <phoneticPr fontId="1"/>
  </si>
  <si>
    <t>追加</t>
    <rPh sb="0" eb="2">
      <t>ツイカ</t>
    </rPh>
    <phoneticPr fontId="1"/>
  </si>
  <si>
    <t>414-UM1804</t>
  </si>
  <si>
    <t>414-AM184</t>
    <phoneticPr fontId="1"/>
  </si>
  <si>
    <t>2019/03/28 After製造(Must) FOR UMC ※need with analysis report</t>
    <phoneticPr fontId="1"/>
  </si>
  <si>
    <t>010801280004</t>
  </si>
  <si>
    <t>414-UM1804</t>
    <phoneticPr fontId="1"/>
  </si>
  <si>
    <t>010801310002</t>
    <phoneticPr fontId="1"/>
  </si>
  <si>
    <t>2/18以降</t>
  </si>
  <si>
    <t>010801280005</t>
  </si>
  <si>
    <t>010801280006</t>
  </si>
  <si>
    <t>010801070023</t>
    <phoneticPr fontId="1"/>
  </si>
  <si>
    <t>14</t>
    <phoneticPr fontId="1"/>
  </si>
  <si>
    <t>010801280007</t>
    <phoneticPr fontId="1"/>
  </si>
  <si>
    <t>2019/03/13 After 製造(Must)</t>
    <phoneticPr fontId="1"/>
  </si>
  <si>
    <t>2019/02/15 After 製造(Must)</t>
    <phoneticPr fontId="1"/>
  </si>
  <si>
    <t>010801030018</t>
    <phoneticPr fontId="1"/>
  </si>
  <si>
    <t>2019/03/15,After 製造(Must)FOR RST</t>
    <phoneticPr fontId="1"/>
  </si>
  <si>
    <t>4/10-11</t>
    <phoneticPr fontId="1"/>
  </si>
  <si>
    <t>A30</t>
    <phoneticPr fontId="1"/>
  </si>
  <si>
    <t>[MC1]</t>
    <phoneticPr fontId="1"/>
  </si>
  <si>
    <t>MC1</t>
    <phoneticPr fontId="1"/>
  </si>
  <si>
    <t>122（２）</t>
    <phoneticPr fontId="1"/>
  </si>
  <si>
    <t>414-UM1807</t>
    <phoneticPr fontId="1"/>
  </si>
  <si>
    <t>414-UM1808</t>
    <phoneticPr fontId="1"/>
  </si>
  <si>
    <t>414-UM1802</t>
  </si>
  <si>
    <t>A23</t>
    <phoneticPr fontId="1"/>
  </si>
  <si>
    <t>Z07.Z14</t>
    <phoneticPr fontId="1"/>
  </si>
  <si>
    <t>B06.B07</t>
    <phoneticPr fontId="1"/>
  </si>
  <si>
    <t>LOT</t>
    <phoneticPr fontId="1"/>
  </si>
  <si>
    <t>HNO3 -- 40DM</t>
    <phoneticPr fontId="1"/>
  </si>
  <si>
    <t>HNO3 -- 120DM</t>
    <phoneticPr fontId="1"/>
  </si>
  <si>
    <t>2018/12/19 After製造(Must) FOR UMC ※need with analysis report</t>
    <phoneticPr fontId="1"/>
  </si>
  <si>
    <t>2/12</t>
    <phoneticPr fontId="1"/>
  </si>
  <si>
    <t>2/19</t>
    <phoneticPr fontId="1"/>
  </si>
  <si>
    <t>2019/03/13 After製造(Must) FOR PTC</t>
    <phoneticPr fontId="1"/>
  </si>
  <si>
    <t>010801280007</t>
    <phoneticPr fontId="1"/>
  </si>
  <si>
    <t>2019/04/12 After 製造(Must)</t>
    <phoneticPr fontId="1"/>
  </si>
  <si>
    <t>2019/03/22 After 製造(Must)</t>
    <phoneticPr fontId="1"/>
  </si>
  <si>
    <t xml:space="preserve">[Hydrochloric Acid for SEHT] </t>
    <phoneticPr fontId="1"/>
  </si>
  <si>
    <t>2019/02/28, After 製造 (Must)</t>
    <phoneticPr fontId="1"/>
  </si>
  <si>
    <t>124</t>
  </si>
  <si>
    <t>125</t>
  </si>
  <si>
    <t>A30</t>
    <phoneticPr fontId="1"/>
  </si>
  <si>
    <t>2019/02/15 After 製造(Must)</t>
    <phoneticPr fontId="1"/>
  </si>
  <si>
    <t>21</t>
  </si>
  <si>
    <t>414-UM1807</t>
    <phoneticPr fontId="1"/>
  </si>
  <si>
    <t>010802140007</t>
  </si>
  <si>
    <t>010802140008</t>
  </si>
  <si>
    <t xml:space="preserve">Sample </t>
    <phoneticPr fontId="1"/>
  </si>
  <si>
    <t>414-HNO3984</t>
    <phoneticPr fontId="1"/>
  </si>
  <si>
    <t>3/5</t>
    <phoneticPr fontId="1"/>
  </si>
  <si>
    <t>2019/03/20 After製造(Must) FOR UMC ※need with analysis report</t>
    <phoneticPr fontId="1"/>
  </si>
  <si>
    <t>HCL</t>
    <phoneticPr fontId="1"/>
  </si>
  <si>
    <t>2/13-14</t>
    <phoneticPr fontId="1"/>
  </si>
  <si>
    <t>2019/01/15 After 製造(Must) SPEC FOR NON-N20</t>
    <phoneticPr fontId="1"/>
  </si>
  <si>
    <t>414-UM1806</t>
    <phoneticPr fontId="1"/>
  </si>
  <si>
    <t>3/20-21</t>
    <phoneticPr fontId="1"/>
  </si>
  <si>
    <t>2019/02/28 After 製造(Must) SPEC FOR NON-N20</t>
    <phoneticPr fontId="1"/>
  </si>
  <si>
    <t>010801280007</t>
    <phoneticPr fontId="1"/>
  </si>
  <si>
    <t>414-UM1802</t>
    <phoneticPr fontId="1"/>
  </si>
  <si>
    <t>4/17-18</t>
    <phoneticPr fontId="1"/>
  </si>
  <si>
    <t>2019/03/28 After 製造(Must) SPEC FOR NON-N20</t>
    <phoneticPr fontId="1"/>
  </si>
  <si>
    <t>414-UM1799</t>
    <phoneticPr fontId="1"/>
  </si>
  <si>
    <t>2/20-21</t>
    <phoneticPr fontId="1"/>
  </si>
  <si>
    <t>Y23(40)</t>
    <phoneticPr fontId="1"/>
  </si>
  <si>
    <t>2018/11/23 After 製造(Must) ※Need analysis report</t>
    <phoneticPr fontId="1"/>
  </si>
  <si>
    <t>保留</t>
    <phoneticPr fontId="1"/>
  </si>
  <si>
    <t>2019/02/14 After 製造(Must) ※Need analysis report</t>
    <phoneticPr fontId="1"/>
  </si>
  <si>
    <t>2019/04/12 After 製造(Must)</t>
    <phoneticPr fontId="1"/>
  </si>
  <si>
    <t>A03(80)</t>
    <phoneticPr fontId="1"/>
  </si>
  <si>
    <t>2019/01/21 After 製造(Must)</t>
    <phoneticPr fontId="1"/>
  </si>
  <si>
    <t>4/10-11</t>
    <phoneticPr fontId="1"/>
  </si>
  <si>
    <t>2019/03/22 After 製造(Must)</t>
    <phoneticPr fontId="1"/>
  </si>
  <si>
    <t>緩和しないでください</t>
    <phoneticPr fontId="1"/>
  </si>
  <si>
    <t xml:space="preserve">[Hydrochloric Acid for SEHT] </t>
    <phoneticPr fontId="1"/>
  </si>
  <si>
    <t>1</t>
    <phoneticPr fontId="1"/>
  </si>
  <si>
    <t>[Hydrochloric Acid for KINIK *20kg Packing*]</t>
    <phoneticPr fontId="1"/>
  </si>
  <si>
    <t>414-UM1807</t>
    <phoneticPr fontId="1"/>
  </si>
  <si>
    <t>122（２）</t>
    <phoneticPr fontId="1"/>
  </si>
  <si>
    <t>3/13-14</t>
    <phoneticPr fontId="1"/>
  </si>
  <si>
    <t>414-UM1804</t>
    <phoneticPr fontId="1"/>
  </si>
  <si>
    <t>2019/02/28, After 製造 (Must)</t>
    <phoneticPr fontId="1"/>
  </si>
  <si>
    <t>5/10-11</t>
    <phoneticPr fontId="1"/>
  </si>
  <si>
    <t>414-UM1809</t>
    <phoneticPr fontId="1"/>
  </si>
  <si>
    <t>414-UM1808</t>
  </si>
  <si>
    <t>414-UM1810</t>
    <phoneticPr fontId="1"/>
  </si>
  <si>
    <t>414-AM184</t>
  </si>
  <si>
    <t>414-TYS001A</t>
    <phoneticPr fontId="1"/>
  </si>
  <si>
    <t>414-UM1811</t>
    <phoneticPr fontId="1"/>
  </si>
  <si>
    <t>3/8-9</t>
  </si>
  <si>
    <t>3/8-9</t>
    <phoneticPr fontId="1"/>
  </si>
  <si>
    <t>823</t>
  </si>
  <si>
    <t>010802190006</t>
  </si>
  <si>
    <t>2019/04/05 After製造(Must) FOR PTC</t>
    <phoneticPr fontId="1"/>
  </si>
  <si>
    <t>824</t>
  </si>
  <si>
    <t>010802190007</t>
  </si>
  <si>
    <t>2019/04/12 After製造(Must) FOR PTC</t>
    <phoneticPr fontId="1"/>
  </si>
  <si>
    <t>825</t>
  </si>
  <si>
    <t>010802190008</t>
  </si>
  <si>
    <t>2019/04/20 After製造(Must) FOR PTC</t>
    <phoneticPr fontId="1"/>
  </si>
  <si>
    <t>826</t>
  </si>
  <si>
    <t>010802190009</t>
  </si>
  <si>
    <t>623</t>
  </si>
  <si>
    <t>010802190015</t>
  </si>
  <si>
    <t>010802210026</t>
    <phoneticPr fontId="1"/>
  </si>
  <si>
    <t>010802190010</t>
  </si>
  <si>
    <t>2019/03/22, After 製造 (Must)</t>
    <phoneticPr fontId="1"/>
  </si>
  <si>
    <t>126</t>
  </si>
  <si>
    <t>010802190011</t>
  </si>
  <si>
    <t>010802190012</t>
  </si>
  <si>
    <t>22</t>
  </si>
  <si>
    <t>010802190013</t>
  </si>
  <si>
    <t>010802190014</t>
  </si>
  <si>
    <t>4/22以降</t>
    <phoneticPr fontId="1"/>
  </si>
  <si>
    <t>010802210027</t>
  </si>
  <si>
    <t>3/1-2</t>
    <phoneticPr fontId="1"/>
  </si>
  <si>
    <t>17(2)</t>
    <phoneticPr fontId="1"/>
  </si>
  <si>
    <t>4/3-4</t>
    <phoneticPr fontId="1"/>
  </si>
  <si>
    <t>15</t>
    <phoneticPr fontId="1"/>
  </si>
  <si>
    <t>010802190016</t>
  </si>
  <si>
    <t>5/22-23</t>
    <phoneticPr fontId="1"/>
  </si>
  <si>
    <t>5/8-9</t>
    <phoneticPr fontId="1"/>
  </si>
  <si>
    <t>5/17-18</t>
    <phoneticPr fontId="1"/>
  </si>
  <si>
    <t>414-HNO3991</t>
  </si>
  <si>
    <t>414-HNO3992</t>
  </si>
  <si>
    <t>414-HNO3992</t>
    <phoneticPr fontId="1"/>
  </si>
  <si>
    <t>414-UM1809</t>
  </si>
  <si>
    <t>414-AM185</t>
    <phoneticPr fontId="1"/>
  </si>
  <si>
    <t>414-UM1813</t>
    <phoneticPr fontId="1"/>
  </si>
  <si>
    <t>414-UM1810</t>
  </si>
  <si>
    <t>納期繰り上げ 抜港により本線変更</t>
    <rPh sb="0" eb="2">
      <t>ノウキ</t>
    </rPh>
    <rPh sb="2" eb="3">
      <t>ク</t>
    </rPh>
    <rPh sb="4" eb="5">
      <t>ア</t>
    </rPh>
    <rPh sb="7" eb="8">
      <t>ヌ</t>
    </rPh>
    <rPh sb="8" eb="9">
      <t>ミナト</t>
    </rPh>
    <rPh sb="12" eb="14">
      <t>ホンセン</t>
    </rPh>
    <rPh sb="14" eb="16">
      <t>ヘンコウ</t>
    </rPh>
    <phoneticPr fontId="1"/>
  </si>
  <si>
    <t>納期繰り上げ　抜港により本線変更</t>
    <rPh sb="0" eb="2">
      <t>ノウキ</t>
    </rPh>
    <rPh sb="2" eb="3">
      <t>ク</t>
    </rPh>
    <rPh sb="4" eb="5">
      <t>ア</t>
    </rPh>
    <phoneticPr fontId="1"/>
  </si>
  <si>
    <t>抜港により本線変更</t>
    <phoneticPr fontId="1"/>
  </si>
  <si>
    <t>小名浜3/4 黒崎3/8着</t>
    <rPh sb="0" eb="2">
      <t>オナ</t>
    </rPh>
    <rPh sb="2" eb="3">
      <t>ハマ</t>
    </rPh>
    <rPh sb="7" eb="9">
      <t>クロサキ</t>
    </rPh>
    <rPh sb="12" eb="13">
      <t>チャク</t>
    </rPh>
    <phoneticPr fontId="1"/>
  </si>
  <si>
    <t>小名浜3/15黒崎3/20着</t>
    <rPh sb="0" eb="2">
      <t>オナ</t>
    </rPh>
    <rPh sb="2" eb="3">
      <t>ハマ</t>
    </rPh>
    <rPh sb="7" eb="9">
      <t>クロサキ</t>
    </rPh>
    <rPh sb="13" eb="14">
      <t>チャク</t>
    </rPh>
    <phoneticPr fontId="1"/>
  </si>
  <si>
    <t>小名浜2/25 黒崎2/28着</t>
    <rPh sb="0" eb="2">
      <t>オナ</t>
    </rPh>
    <rPh sb="2" eb="3">
      <t>ハマ</t>
    </rPh>
    <rPh sb="8" eb="10">
      <t>クロサキ</t>
    </rPh>
    <rPh sb="14" eb="15">
      <t>チャク</t>
    </rPh>
    <phoneticPr fontId="1"/>
  </si>
  <si>
    <t>小名浜2/22 黒崎2/26着</t>
    <rPh sb="0" eb="2">
      <t>オナ</t>
    </rPh>
    <rPh sb="2" eb="3">
      <t>ハマ</t>
    </rPh>
    <rPh sb="8" eb="10">
      <t>クロサキ</t>
    </rPh>
    <rPh sb="14" eb="15">
      <t>チャク</t>
    </rPh>
    <phoneticPr fontId="1"/>
  </si>
  <si>
    <t>2019/05/02 After製造(Must) FOR PTC</t>
    <phoneticPr fontId="1"/>
  </si>
  <si>
    <t>819(2)</t>
    <phoneticPr fontId="1"/>
  </si>
  <si>
    <t>2019/05/01 After製造(Must) FOR UMC ※need with analysis report</t>
    <phoneticPr fontId="1"/>
  </si>
  <si>
    <t>4/9</t>
    <phoneticPr fontId="1"/>
  </si>
  <si>
    <t>2/13-14</t>
    <phoneticPr fontId="1"/>
  </si>
  <si>
    <t>3/20-21</t>
    <phoneticPr fontId="1"/>
  </si>
  <si>
    <t>010710230010</t>
    <phoneticPr fontId="1"/>
  </si>
  <si>
    <t>414-UM1809</t>
    <phoneticPr fontId="1"/>
  </si>
  <si>
    <t>5/10-11</t>
    <phoneticPr fontId="1"/>
  </si>
  <si>
    <t>2019/04/12 After 製造(Must)</t>
    <phoneticPr fontId="1"/>
  </si>
  <si>
    <t>A03(80)</t>
    <phoneticPr fontId="1"/>
  </si>
  <si>
    <t>2019/03/22 After 製造(Must)</t>
    <phoneticPr fontId="1"/>
  </si>
  <si>
    <t>414-UM1807</t>
    <phoneticPr fontId="1"/>
  </si>
  <si>
    <t>1/16以降</t>
    <phoneticPr fontId="1"/>
  </si>
  <si>
    <t>118(2)</t>
    <phoneticPr fontId="1"/>
  </si>
  <si>
    <t>414-TYS001A</t>
    <phoneticPr fontId="1"/>
  </si>
  <si>
    <t>010802250014</t>
    <phoneticPr fontId="1"/>
  </si>
  <si>
    <t>010802250017</t>
    <phoneticPr fontId="1"/>
  </si>
  <si>
    <t>3</t>
    <phoneticPr fontId="1"/>
  </si>
  <si>
    <t>010802250013</t>
    <phoneticPr fontId="1"/>
  </si>
  <si>
    <t>5/28</t>
  </si>
  <si>
    <t>5/28</t>
    <phoneticPr fontId="1"/>
  </si>
  <si>
    <t>414-HNO3989</t>
  </si>
  <si>
    <t>5/21</t>
    <phoneticPr fontId="1"/>
  </si>
  <si>
    <t>010802250015</t>
  </si>
  <si>
    <t>小名浜4/22 黒崎4/26着</t>
    <rPh sb="0" eb="2">
      <t>オナ</t>
    </rPh>
    <rPh sb="2" eb="3">
      <t>ハマ</t>
    </rPh>
    <rPh sb="8" eb="10">
      <t>クロサキ</t>
    </rPh>
    <rPh sb="14" eb="15">
      <t>チャク</t>
    </rPh>
    <phoneticPr fontId="1"/>
  </si>
  <si>
    <t>小名浜3/25 黒崎3/29着</t>
    <rPh sb="0" eb="2">
      <t>オナ</t>
    </rPh>
    <rPh sb="2" eb="3">
      <t>ハマ</t>
    </rPh>
    <rPh sb="8" eb="10">
      <t>クロサキ</t>
    </rPh>
    <rPh sb="14" eb="15">
      <t>チャク</t>
    </rPh>
    <phoneticPr fontId="1"/>
  </si>
  <si>
    <t>小名浜4/8 黒崎4/12着</t>
    <rPh sb="0" eb="2">
      <t>オナ</t>
    </rPh>
    <rPh sb="2" eb="3">
      <t>ハマ</t>
    </rPh>
    <rPh sb="7" eb="9">
      <t>クロサキ</t>
    </rPh>
    <rPh sb="13" eb="14">
      <t>チャク</t>
    </rPh>
    <phoneticPr fontId="1"/>
  </si>
  <si>
    <t>414-UM1814</t>
    <phoneticPr fontId="1"/>
  </si>
  <si>
    <t>分納  抜港により本線変更</t>
    <rPh sb="0" eb="2">
      <t>ブンノウ</t>
    </rPh>
    <phoneticPr fontId="1"/>
  </si>
  <si>
    <t>4/10-11</t>
  </si>
  <si>
    <t>19(2)</t>
    <phoneticPr fontId="1"/>
  </si>
  <si>
    <t>20(2)</t>
    <phoneticPr fontId="1"/>
  </si>
  <si>
    <t>3/19</t>
  </si>
  <si>
    <t>18(2)</t>
    <phoneticPr fontId="1"/>
  </si>
  <si>
    <t>AIR 緊急出荷 B09.B15</t>
    <rPh sb="4" eb="6">
      <t>キンキュウ</t>
    </rPh>
    <rPh sb="6" eb="8">
      <t>シュッカ</t>
    </rPh>
    <phoneticPr fontId="1"/>
  </si>
  <si>
    <t>B15.B20</t>
    <phoneticPr fontId="1"/>
  </si>
  <si>
    <t>B22</t>
    <phoneticPr fontId="1"/>
  </si>
  <si>
    <t>B25.B26</t>
    <phoneticPr fontId="1"/>
  </si>
  <si>
    <t>未定</t>
    <rPh sb="0" eb="2">
      <t>ミテイ</t>
    </rPh>
    <phoneticPr fontId="1"/>
  </si>
  <si>
    <t>B21</t>
    <phoneticPr fontId="1"/>
  </si>
  <si>
    <t>追加 B21</t>
    <rPh sb="0" eb="2">
      <t>ツイカ</t>
    </rPh>
    <phoneticPr fontId="1"/>
  </si>
  <si>
    <t>B21.C12</t>
    <phoneticPr fontId="1"/>
  </si>
  <si>
    <t>C28</t>
    <phoneticPr fontId="1"/>
  </si>
  <si>
    <t>119(2)</t>
    <phoneticPr fontId="1"/>
  </si>
  <si>
    <t>4/24-25</t>
    <phoneticPr fontId="1"/>
  </si>
  <si>
    <t>D13</t>
    <phoneticPr fontId="1"/>
  </si>
  <si>
    <t>D25</t>
    <phoneticPr fontId="1"/>
  </si>
  <si>
    <t>No</t>
    <phoneticPr fontId="1"/>
  </si>
  <si>
    <t>Issued Date</t>
    <phoneticPr fontId="1"/>
  </si>
  <si>
    <t>Request</t>
    <phoneticPr fontId="1"/>
  </si>
  <si>
    <t>LOT</t>
    <phoneticPr fontId="1"/>
  </si>
  <si>
    <t xml:space="preserve">Sample </t>
    <phoneticPr fontId="1"/>
  </si>
  <si>
    <t>Coment</t>
    <phoneticPr fontId="1"/>
  </si>
  <si>
    <t>807(3)</t>
    <phoneticPr fontId="1"/>
  </si>
  <si>
    <t>807(2)</t>
    <phoneticPr fontId="1"/>
  </si>
  <si>
    <t>2019/01/17 After製造(Must) FOR PTC</t>
    <phoneticPr fontId="1"/>
  </si>
  <si>
    <t>2019/01/22 After製造(Must) FOR UMC ※need with analysis report</t>
    <phoneticPr fontId="1"/>
  </si>
  <si>
    <t>414-HNO3987</t>
    <phoneticPr fontId="1"/>
  </si>
  <si>
    <t>2019/02/25 After製造(Must) FOR PTC</t>
    <phoneticPr fontId="1"/>
  </si>
  <si>
    <t>4/16</t>
    <phoneticPr fontId="1"/>
  </si>
  <si>
    <t>5/28</t>
    <phoneticPr fontId="1"/>
  </si>
  <si>
    <t>2019/05/02 After製造(Must) FOR PTC</t>
    <phoneticPr fontId="1"/>
  </si>
  <si>
    <t>819(2)</t>
    <phoneticPr fontId="1"/>
  </si>
  <si>
    <t>2019/05/01 After製造(Must) FOR UMC ※need with analysis report</t>
    <phoneticPr fontId="1"/>
  </si>
  <si>
    <t>2019/03/28 After製造(Must) FOR UMC ※need with analysis report</t>
    <phoneticPr fontId="1"/>
  </si>
  <si>
    <t>2019/04/05 After製造(Must) FOR PTC</t>
    <phoneticPr fontId="1"/>
  </si>
  <si>
    <t>414-HNO3992</t>
    <phoneticPr fontId="1"/>
  </si>
  <si>
    <t>2019/04/20 After製造(Must) FOR PTC</t>
    <phoneticPr fontId="1"/>
  </si>
  <si>
    <t>827</t>
  </si>
  <si>
    <t>010803080024</t>
  </si>
  <si>
    <t>2019/05/09 After製造(Must) FOR PTC</t>
    <phoneticPr fontId="1"/>
  </si>
  <si>
    <t>828</t>
  </si>
  <si>
    <t>010803080025</t>
  </si>
  <si>
    <t>2019/05/16 After製造(Must) FOR UMC ※need with analysis report</t>
    <phoneticPr fontId="1"/>
  </si>
  <si>
    <t>829</t>
  </si>
  <si>
    <t>010803080026</t>
  </si>
  <si>
    <t>2019/05/23 After製造(Must) FOR PTC</t>
    <phoneticPr fontId="1"/>
  </si>
  <si>
    <t>624</t>
  </si>
  <si>
    <t>010803080031</t>
  </si>
  <si>
    <t>2018/11/23 After 製造(Must) ※Need analysis report</t>
    <phoneticPr fontId="1"/>
  </si>
  <si>
    <t>414-UM1809</t>
    <phoneticPr fontId="1"/>
  </si>
  <si>
    <t>5/10-11</t>
    <phoneticPr fontId="1"/>
  </si>
  <si>
    <t>緩和しないでください</t>
    <phoneticPr fontId="1"/>
  </si>
  <si>
    <t>154</t>
    <phoneticPr fontId="1"/>
  </si>
  <si>
    <t>010803080030</t>
  </si>
  <si>
    <t>155</t>
  </si>
  <si>
    <t>010803080032</t>
  </si>
  <si>
    <t xml:space="preserve">[Hydrochloric Acid for MMT] </t>
    <phoneticPr fontId="1"/>
  </si>
  <si>
    <t>010803080029</t>
  </si>
  <si>
    <t>GN DRUM, SAMPLE</t>
    <phoneticPr fontId="1"/>
  </si>
  <si>
    <t xml:space="preserve">[Hydrochloric Acid for SEHT] </t>
    <phoneticPr fontId="1"/>
  </si>
  <si>
    <t>3/13-14</t>
    <phoneticPr fontId="1"/>
  </si>
  <si>
    <t>414-UM1814</t>
    <phoneticPr fontId="1"/>
  </si>
  <si>
    <t>010802250012</t>
  </si>
  <si>
    <t>414-UM1810</t>
    <phoneticPr fontId="1"/>
  </si>
  <si>
    <t>4/3-4</t>
    <phoneticPr fontId="1"/>
  </si>
  <si>
    <t>127</t>
  </si>
  <si>
    <t>010803080027</t>
  </si>
  <si>
    <t>4/24-25</t>
    <phoneticPr fontId="1"/>
  </si>
  <si>
    <t>414-AM185</t>
    <phoneticPr fontId="1"/>
  </si>
  <si>
    <t>5/8-9</t>
    <phoneticPr fontId="1"/>
  </si>
  <si>
    <t>117</t>
    <phoneticPr fontId="1"/>
  </si>
  <si>
    <t>010801030018</t>
    <phoneticPr fontId="1"/>
  </si>
  <si>
    <t>B21.C12</t>
    <phoneticPr fontId="1"/>
  </si>
  <si>
    <t>2/18以降</t>
    <phoneticPr fontId="1"/>
  </si>
  <si>
    <t>010803080040</t>
  </si>
  <si>
    <t>119(2)</t>
    <phoneticPr fontId="1"/>
  </si>
  <si>
    <t>414-UM1813</t>
    <phoneticPr fontId="1"/>
  </si>
  <si>
    <t>5/17-18</t>
    <phoneticPr fontId="1"/>
  </si>
  <si>
    <t>4/22以降</t>
    <phoneticPr fontId="1"/>
  </si>
  <si>
    <t>010803080028</t>
  </si>
  <si>
    <t>5/16以降</t>
    <phoneticPr fontId="1"/>
  </si>
  <si>
    <t>414-UM1811</t>
    <phoneticPr fontId="1"/>
  </si>
  <si>
    <t>3/1-2</t>
    <phoneticPr fontId="1"/>
  </si>
  <si>
    <t>B22</t>
    <phoneticPr fontId="1"/>
  </si>
  <si>
    <t>抜港により本線変更</t>
    <phoneticPr fontId="1"/>
  </si>
  <si>
    <t>414-UM1808</t>
    <phoneticPr fontId="1"/>
  </si>
  <si>
    <t>17(2)</t>
    <phoneticPr fontId="1"/>
  </si>
  <si>
    <t>19(2)</t>
    <phoneticPr fontId="1"/>
  </si>
  <si>
    <t>010802250017</t>
    <phoneticPr fontId="1"/>
  </si>
  <si>
    <t>20(2)</t>
    <phoneticPr fontId="1"/>
  </si>
  <si>
    <t>21</t>
    <phoneticPr fontId="1"/>
  </si>
  <si>
    <t>010803080033</t>
  </si>
  <si>
    <t>[Si-C]</t>
    <phoneticPr fontId="1"/>
  </si>
  <si>
    <t>SI-C</t>
    <phoneticPr fontId="1"/>
  </si>
  <si>
    <t>010802250013</t>
    <phoneticPr fontId="1"/>
  </si>
  <si>
    <t>[Si-C]</t>
    <phoneticPr fontId="1"/>
  </si>
  <si>
    <t>010803080034</t>
  </si>
  <si>
    <t>[MCX-2005 *200kg Packing*]</t>
    <phoneticPr fontId="1"/>
  </si>
  <si>
    <t>010708150017</t>
    <phoneticPr fontId="1"/>
  </si>
  <si>
    <t>010708150017</t>
    <phoneticPr fontId="1"/>
  </si>
  <si>
    <t>414-AM178</t>
    <phoneticPr fontId="1"/>
  </si>
  <si>
    <t>010803080035</t>
  </si>
  <si>
    <t>010803080036</t>
  </si>
  <si>
    <t>414-HNO3986</t>
    <phoneticPr fontId="1"/>
  </si>
  <si>
    <t>3/26</t>
    <phoneticPr fontId="1"/>
  </si>
  <si>
    <t>B26</t>
    <phoneticPr fontId="1"/>
  </si>
  <si>
    <t>B18.19.20.21.22.23</t>
    <phoneticPr fontId="1"/>
  </si>
  <si>
    <t>B25.27.28.C01.02</t>
    <phoneticPr fontId="1"/>
  </si>
  <si>
    <t>5/14</t>
    <phoneticPr fontId="1"/>
  </si>
  <si>
    <t>414-HNO3993</t>
    <phoneticPr fontId="1"/>
  </si>
  <si>
    <t>6/4</t>
    <phoneticPr fontId="1"/>
  </si>
  <si>
    <t>6/11</t>
    <phoneticPr fontId="1"/>
  </si>
  <si>
    <t>6/18</t>
    <phoneticPr fontId="1"/>
  </si>
  <si>
    <t>414-HNO3994</t>
    <phoneticPr fontId="1"/>
  </si>
  <si>
    <t>414-HNO3995</t>
    <phoneticPr fontId="1"/>
  </si>
  <si>
    <t>414-HNO3996</t>
    <phoneticPr fontId="1"/>
  </si>
  <si>
    <t>6/19-20</t>
    <phoneticPr fontId="1"/>
  </si>
  <si>
    <t>414-UM1815</t>
  </si>
  <si>
    <t>5/29-30</t>
    <phoneticPr fontId="1"/>
  </si>
  <si>
    <t>414-UM1816</t>
    <phoneticPr fontId="1"/>
  </si>
  <si>
    <t>6/5-6</t>
    <phoneticPr fontId="1"/>
  </si>
  <si>
    <t>6/12-13</t>
    <phoneticPr fontId="1"/>
  </si>
  <si>
    <t>414-UM1818</t>
    <phoneticPr fontId="1"/>
  </si>
  <si>
    <t>小名浜5/7 黒崎5/13着</t>
    <rPh sb="0" eb="2">
      <t>オナ</t>
    </rPh>
    <rPh sb="2" eb="3">
      <t>ハマ</t>
    </rPh>
    <rPh sb="7" eb="9">
      <t>クロサキ</t>
    </rPh>
    <rPh sb="13" eb="14">
      <t>チャク</t>
    </rPh>
    <phoneticPr fontId="1"/>
  </si>
  <si>
    <t>5/10-11</t>
  </si>
  <si>
    <t>414-UM1813</t>
  </si>
  <si>
    <t>5/17-18</t>
  </si>
  <si>
    <t>6/9.</t>
    <phoneticPr fontId="1"/>
  </si>
  <si>
    <t>6/26-27</t>
    <phoneticPr fontId="1"/>
  </si>
  <si>
    <t>414-AM186</t>
    <phoneticPr fontId="1"/>
  </si>
  <si>
    <t>414-AM187</t>
    <phoneticPr fontId="1"/>
  </si>
  <si>
    <t>Item</t>
    <phoneticPr fontId="1"/>
  </si>
  <si>
    <t>Container Type</t>
    <phoneticPr fontId="1"/>
  </si>
  <si>
    <t>Coment</t>
    <phoneticPr fontId="1"/>
  </si>
  <si>
    <t>414-HNO3990</t>
    <phoneticPr fontId="1"/>
  </si>
  <si>
    <t>819(2)</t>
    <phoneticPr fontId="1"/>
  </si>
  <si>
    <t>2019/04/12 After製造(Must) FOR PTC</t>
    <phoneticPr fontId="1"/>
  </si>
  <si>
    <t>825(2)</t>
    <phoneticPr fontId="1"/>
  </si>
  <si>
    <t>2019/04/13 After製造(Must) FOR PTC</t>
    <phoneticPr fontId="1"/>
  </si>
  <si>
    <t>2019/04/13 After製造(Must) FOR UMC ※need with analysis report</t>
    <phoneticPr fontId="1"/>
  </si>
  <si>
    <t>5/22-23</t>
    <phoneticPr fontId="1"/>
  </si>
  <si>
    <t>2019/03/22, After 製造 (Must)</t>
    <phoneticPr fontId="1"/>
  </si>
  <si>
    <t>2019/04/22, After 製造 (Must)</t>
    <phoneticPr fontId="1"/>
  </si>
  <si>
    <t>2019/05/15, After 製造 (Must)</t>
    <phoneticPr fontId="1"/>
  </si>
  <si>
    <t>A23</t>
    <phoneticPr fontId="1"/>
  </si>
  <si>
    <t>2019/03/01 After 製造(Must)</t>
    <phoneticPr fontId="1"/>
  </si>
  <si>
    <t>118(2)</t>
    <phoneticPr fontId="1"/>
  </si>
  <si>
    <t>D13</t>
    <phoneticPr fontId="1"/>
  </si>
  <si>
    <t>6/12-13</t>
    <phoneticPr fontId="1"/>
  </si>
  <si>
    <t>3/20-21</t>
    <phoneticPr fontId="1"/>
  </si>
  <si>
    <t>4/3-4</t>
    <phoneticPr fontId="1"/>
  </si>
  <si>
    <t>13(2)</t>
    <phoneticPr fontId="1"/>
  </si>
  <si>
    <t>414-AM185</t>
    <phoneticPr fontId="1"/>
  </si>
  <si>
    <t>6/26-27</t>
    <phoneticPr fontId="1"/>
  </si>
  <si>
    <t>414-HNO3997</t>
    <phoneticPr fontId="1"/>
  </si>
  <si>
    <t>414-HNO3993</t>
  </si>
  <si>
    <t>5/14</t>
  </si>
  <si>
    <t>414-UM1812</t>
  </si>
  <si>
    <t>5/22-23</t>
  </si>
  <si>
    <t>414-UM1818</t>
  </si>
  <si>
    <t>6/12-13</t>
  </si>
  <si>
    <t>HNO3 -- 160DM</t>
    <phoneticPr fontId="1"/>
  </si>
  <si>
    <t>2019/02/18 After製造(Must) FOR PTC</t>
    <phoneticPr fontId="1"/>
  </si>
  <si>
    <t>2019/02/26 After製造(Must) FOR UMC ※need with analysis report</t>
    <phoneticPr fontId="1"/>
  </si>
  <si>
    <t>414-HNO3990</t>
    <phoneticPr fontId="1"/>
  </si>
  <si>
    <t>4/16</t>
    <phoneticPr fontId="1"/>
  </si>
  <si>
    <t>2019/05/02 After製造(Must) FOR PTC</t>
    <phoneticPr fontId="1"/>
  </si>
  <si>
    <t>414-HNO3991</t>
    <phoneticPr fontId="1"/>
  </si>
  <si>
    <t>2019/03/13 After製造(Must) FOR PTC</t>
    <phoneticPr fontId="1"/>
  </si>
  <si>
    <t>414-HNO3992</t>
    <phoneticPr fontId="1"/>
  </si>
  <si>
    <t>5/21</t>
    <phoneticPr fontId="1"/>
  </si>
  <si>
    <t>825(2)</t>
    <phoneticPr fontId="1"/>
  </si>
  <si>
    <t>2019/04/13 After製造(Must) FOR PTC</t>
    <phoneticPr fontId="1"/>
  </si>
  <si>
    <t>2019/04/13 After製造(Must) FOR UMC ※need with analysis report</t>
    <phoneticPr fontId="1"/>
  </si>
  <si>
    <t>6/4</t>
    <phoneticPr fontId="1"/>
  </si>
  <si>
    <t>2019/05/09 After製造(Must) FOR PTC</t>
    <phoneticPr fontId="1"/>
  </si>
  <si>
    <t>2019/05/23 After製造(Must) FOR PTC</t>
    <phoneticPr fontId="1"/>
  </si>
  <si>
    <t>2019/05/14 After 製造(Must) SPEC FOR NON-N20</t>
    <phoneticPr fontId="1"/>
  </si>
  <si>
    <t>2019/06/20 After 製造(Must) SPEC FOR NON-N20</t>
    <phoneticPr fontId="1"/>
  </si>
  <si>
    <t>5/29-30</t>
    <phoneticPr fontId="1"/>
  </si>
  <si>
    <t>GN DRUM, SAMPLE</t>
    <phoneticPr fontId="1"/>
  </si>
  <si>
    <t>2019/02/28, After 製造 (Must)</t>
    <phoneticPr fontId="1"/>
  </si>
  <si>
    <t>2019/04/22, After 製造 (Must)</t>
    <phoneticPr fontId="1"/>
  </si>
  <si>
    <t>[Si-C]</t>
    <phoneticPr fontId="1"/>
  </si>
  <si>
    <t>2019/03/15,After 製造(Must)FOR RST</t>
    <phoneticPr fontId="1"/>
  </si>
  <si>
    <t>010803210011</t>
  </si>
  <si>
    <t>414-AM185</t>
    <phoneticPr fontId="1"/>
  </si>
  <si>
    <t>4/9</t>
    <phoneticPr fontId="1"/>
  </si>
  <si>
    <t>7/17-18</t>
    <phoneticPr fontId="1"/>
  </si>
  <si>
    <t>414-UM1819</t>
    <phoneticPr fontId="1"/>
  </si>
  <si>
    <t>414-AM188</t>
    <phoneticPr fontId="1"/>
  </si>
  <si>
    <t>C30(28)D02(28)</t>
    <phoneticPr fontId="1"/>
  </si>
  <si>
    <t>2019/04/05 After製造(Must) FOR PTC</t>
    <phoneticPr fontId="1"/>
  </si>
  <si>
    <t>2019/04/12 After製造(Must) FOR PTC</t>
    <phoneticPr fontId="1"/>
  </si>
  <si>
    <t>414-HNO3992</t>
    <phoneticPr fontId="1"/>
  </si>
  <si>
    <t>5/21</t>
    <phoneticPr fontId="1"/>
  </si>
  <si>
    <t>2019/04/13 After製造(Must) FOR PTC</t>
    <phoneticPr fontId="1"/>
  </si>
  <si>
    <t>2019/05/16 After製造(Must) FOR UMC ※need with analysis report</t>
    <phoneticPr fontId="1"/>
  </si>
  <si>
    <t>2019/05/14 After 製造(Must) SPEC FOR NON-N20</t>
    <phoneticPr fontId="1"/>
  </si>
  <si>
    <t>7/17-18</t>
    <phoneticPr fontId="1"/>
  </si>
  <si>
    <t>2019/06/20 After 製造(Must) SPEC FOR NON-N20</t>
    <phoneticPr fontId="1"/>
  </si>
  <si>
    <t>154</t>
    <phoneticPr fontId="1"/>
  </si>
  <si>
    <t>2019/05/08 After 製造(Must)</t>
    <phoneticPr fontId="1"/>
  </si>
  <si>
    <t>2019/05/29 After 製造(Must)</t>
    <phoneticPr fontId="1"/>
  </si>
  <si>
    <t>156</t>
  </si>
  <si>
    <t xml:space="preserve">[Hydrochloric Acid for MMT] </t>
    <phoneticPr fontId="1"/>
  </si>
  <si>
    <t>010802210026</t>
    <phoneticPr fontId="1"/>
  </si>
  <si>
    <t>2019/04/22, After 製造 (Must)</t>
    <phoneticPr fontId="1"/>
  </si>
  <si>
    <t>2019/05/15, After 製造 (Must)</t>
    <phoneticPr fontId="1"/>
  </si>
  <si>
    <t>414-AM185</t>
    <phoneticPr fontId="1"/>
  </si>
  <si>
    <t>5/8-9</t>
    <phoneticPr fontId="1"/>
  </si>
  <si>
    <t>2019/03/13 After 製造(Must)</t>
    <phoneticPr fontId="1"/>
  </si>
  <si>
    <t>1/9-10</t>
    <phoneticPr fontId="1"/>
  </si>
  <si>
    <t>12/12以降</t>
    <phoneticPr fontId="1"/>
  </si>
  <si>
    <t>116(2)</t>
    <phoneticPr fontId="1"/>
  </si>
  <si>
    <t>117</t>
    <phoneticPr fontId="1"/>
  </si>
  <si>
    <t>2/13-14</t>
    <phoneticPr fontId="1"/>
  </si>
  <si>
    <t>1/16以降</t>
    <phoneticPr fontId="1"/>
  </si>
  <si>
    <t>118(3)</t>
    <phoneticPr fontId="1"/>
  </si>
  <si>
    <t>010801030018</t>
    <phoneticPr fontId="1"/>
  </si>
  <si>
    <t>118(2)</t>
    <phoneticPr fontId="1"/>
  </si>
  <si>
    <t>414-UM1807</t>
    <phoneticPr fontId="1"/>
  </si>
  <si>
    <t>B21</t>
    <phoneticPr fontId="1"/>
  </si>
  <si>
    <t>118(4)</t>
    <phoneticPr fontId="1"/>
  </si>
  <si>
    <t>010801310002</t>
    <phoneticPr fontId="1"/>
  </si>
  <si>
    <t>414-UM1806</t>
    <phoneticPr fontId="1"/>
  </si>
  <si>
    <t>3/20-21</t>
    <phoneticPr fontId="1"/>
  </si>
  <si>
    <t>B21.C12</t>
    <phoneticPr fontId="1"/>
  </si>
  <si>
    <t>2/18以降</t>
    <phoneticPr fontId="1"/>
  </si>
  <si>
    <t>C28</t>
    <phoneticPr fontId="1"/>
  </si>
  <si>
    <t>3/18以降</t>
    <phoneticPr fontId="1"/>
  </si>
  <si>
    <t>119(2)</t>
    <phoneticPr fontId="1"/>
  </si>
  <si>
    <t>4/24-25</t>
    <phoneticPr fontId="1"/>
  </si>
  <si>
    <t>D13</t>
    <phoneticPr fontId="1"/>
  </si>
  <si>
    <t>414-UM1813</t>
    <phoneticPr fontId="1"/>
  </si>
  <si>
    <t>5/17-18</t>
    <phoneticPr fontId="1"/>
  </si>
  <si>
    <t>D25</t>
    <phoneticPr fontId="1"/>
  </si>
  <si>
    <t>4/22以降</t>
    <phoneticPr fontId="1"/>
  </si>
  <si>
    <t>414-UM1818</t>
    <phoneticPr fontId="1"/>
  </si>
  <si>
    <t>6/12-13</t>
    <phoneticPr fontId="1"/>
  </si>
  <si>
    <t>5/16以降</t>
    <phoneticPr fontId="1"/>
  </si>
  <si>
    <t>414-UM1799</t>
    <phoneticPr fontId="1"/>
  </si>
  <si>
    <t>2/20-21</t>
    <phoneticPr fontId="1"/>
  </si>
  <si>
    <t>414-TYS001A</t>
    <phoneticPr fontId="1"/>
  </si>
  <si>
    <t>414-UM1811</t>
    <phoneticPr fontId="1"/>
  </si>
  <si>
    <t>3/1-2</t>
    <phoneticPr fontId="1"/>
  </si>
  <si>
    <t>B15.B20</t>
    <phoneticPr fontId="1"/>
  </si>
  <si>
    <t>B22</t>
    <phoneticPr fontId="1"/>
  </si>
  <si>
    <t>抜港により本線変更</t>
    <phoneticPr fontId="1"/>
  </si>
  <si>
    <t>414-UM1808</t>
    <phoneticPr fontId="1"/>
  </si>
  <si>
    <t>3/13-14</t>
    <phoneticPr fontId="1"/>
  </si>
  <si>
    <t>B25.B26</t>
    <phoneticPr fontId="1"/>
  </si>
  <si>
    <t>17(2)</t>
    <phoneticPr fontId="1"/>
  </si>
  <si>
    <t>414-UM1814</t>
    <phoneticPr fontId="1"/>
  </si>
  <si>
    <t>3/27-28</t>
    <phoneticPr fontId="1"/>
  </si>
  <si>
    <t>4/17-18</t>
    <phoneticPr fontId="1"/>
  </si>
  <si>
    <t>18(2)</t>
    <phoneticPr fontId="1"/>
  </si>
  <si>
    <t>010802250014</t>
    <phoneticPr fontId="1"/>
  </si>
  <si>
    <t>4/3-4</t>
    <phoneticPr fontId="1"/>
  </si>
  <si>
    <t>19(2)</t>
    <phoneticPr fontId="1"/>
  </si>
  <si>
    <t>010802250017</t>
    <phoneticPr fontId="1"/>
  </si>
  <si>
    <t>5/10-11</t>
    <phoneticPr fontId="1"/>
  </si>
  <si>
    <t>20(2)</t>
    <phoneticPr fontId="1"/>
  </si>
  <si>
    <t>21</t>
    <phoneticPr fontId="1"/>
  </si>
  <si>
    <t>[Si-C]</t>
    <phoneticPr fontId="1"/>
  </si>
  <si>
    <t>3</t>
    <phoneticPr fontId="1"/>
  </si>
  <si>
    <t>010801070023</t>
    <phoneticPr fontId="1"/>
  </si>
  <si>
    <t>SI-C</t>
    <phoneticPr fontId="1"/>
  </si>
  <si>
    <t>010802250013</t>
    <phoneticPr fontId="1"/>
  </si>
  <si>
    <t>[Si-C]</t>
    <phoneticPr fontId="1"/>
  </si>
  <si>
    <t>SI-C</t>
    <phoneticPr fontId="1"/>
  </si>
  <si>
    <t>[MC1]</t>
    <phoneticPr fontId="1"/>
  </si>
  <si>
    <t>MC1</t>
    <phoneticPr fontId="1"/>
  </si>
  <si>
    <t>414-AM175</t>
    <phoneticPr fontId="1"/>
  </si>
  <si>
    <t>1/16-17</t>
    <phoneticPr fontId="1"/>
  </si>
  <si>
    <t>2018/12/21,After 製造(Must)FOR RST</t>
    <phoneticPr fontId="1"/>
  </si>
  <si>
    <t>4/10-11</t>
    <phoneticPr fontId="1"/>
  </si>
  <si>
    <t>2019/03/15,After 製造(Must)FOR RST</t>
    <phoneticPr fontId="1"/>
  </si>
  <si>
    <t>414-AM188</t>
    <phoneticPr fontId="1"/>
  </si>
  <si>
    <t>5/22-23</t>
    <phoneticPr fontId="1"/>
  </si>
  <si>
    <t>5/15以降</t>
    <phoneticPr fontId="1"/>
  </si>
  <si>
    <t>[MCX-2005 *200kg Packing*]</t>
    <phoneticPr fontId="1"/>
  </si>
  <si>
    <t>010708150017</t>
    <phoneticPr fontId="1"/>
  </si>
  <si>
    <t>414-AM176</t>
    <phoneticPr fontId="1"/>
  </si>
  <si>
    <t>2/20-21</t>
    <phoneticPr fontId="1"/>
  </si>
  <si>
    <t>Z07.Z14</t>
    <phoneticPr fontId="1"/>
  </si>
  <si>
    <t>B06.B07</t>
    <phoneticPr fontId="1"/>
  </si>
  <si>
    <t>7(2)</t>
    <phoneticPr fontId="1"/>
  </si>
  <si>
    <t>414-AM179</t>
    <phoneticPr fontId="1"/>
  </si>
  <si>
    <t>抜港により本線変更</t>
    <phoneticPr fontId="1"/>
  </si>
  <si>
    <t>010709130005</t>
    <phoneticPr fontId="1"/>
  </si>
  <si>
    <t>414-AM174</t>
    <phoneticPr fontId="1"/>
  </si>
  <si>
    <t>1/9-10</t>
    <phoneticPr fontId="1"/>
  </si>
  <si>
    <t>Y02.Y06.Y07.Y29</t>
    <phoneticPr fontId="1"/>
  </si>
  <si>
    <t>9(2)</t>
    <phoneticPr fontId="1"/>
  </si>
  <si>
    <t>Y30</t>
    <phoneticPr fontId="1"/>
  </si>
  <si>
    <t>010709130006</t>
    <phoneticPr fontId="1"/>
  </si>
  <si>
    <t>414-AM172</t>
    <phoneticPr fontId="1"/>
  </si>
  <si>
    <t>1/23-24</t>
    <phoneticPr fontId="1"/>
  </si>
  <si>
    <t>Z04.Z05.Z06</t>
    <phoneticPr fontId="1"/>
  </si>
  <si>
    <t>12</t>
    <phoneticPr fontId="1"/>
  </si>
  <si>
    <t>414-AM178</t>
    <phoneticPr fontId="1"/>
  </si>
  <si>
    <t>3/20-21</t>
    <phoneticPr fontId="1"/>
  </si>
  <si>
    <t>13</t>
    <phoneticPr fontId="1"/>
  </si>
  <si>
    <t>414-AM181</t>
    <phoneticPr fontId="1"/>
  </si>
  <si>
    <t>4/3-4</t>
    <phoneticPr fontId="1"/>
  </si>
  <si>
    <t>13(2)</t>
    <phoneticPr fontId="1"/>
  </si>
  <si>
    <t>414-AM182</t>
    <phoneticPr fontId="1"/>
  </si>
  <si>
    <t>14</t>
    <phoneticPr fontId="1"/>
  </si>
  <si>
    <t>414-AM184</t>
    <phoneticPr fontId="1"/>
  </si>
  <si>
    <t>4/24-25</t>
    <phoneticPr fontId="1"/>
  </si>
  <si>
    <t>15</t>
    <phoneticPr fontId="1"/>
  </si>
  <si>
    <t>414-AM185</t>
    <phoneticPr fontId="1"/>
  </si>
  <si>
    <t>5/8-9</t>
    <phoneticPr fontId="1"/>
  </si>
  <si>
    <t>414-AM186</t>
    <phoneticPr fontId="1"/>
  </si>
  <si>
    <t>6/5-6</t>
    <phoneticPr fontId="1"/>
  </si>
  <si>
    <t>6/9.</t>
    <phoneticPr fontId="1"/>
  </si>
  <si>
    <t>414-AM187</t>
    <phoneticPr fontId="1"/>
  </si>
  <si>
    <t>6/26-27</t>
    <phoneticPr fontId="1"/>
  </si>
  <si>
    <t xml:space="preserve">    </t>
    <phoneticPr fontId="1"/>
  </si>
  <si>
    <t>6/5-6</t>
    <phoneticPr fontId="1"/>
  </si>
  <si>
    <t>6/26-27</t>
    <phoneticPr fontId="1"/>
  </si>
  <si>
    <t>小名浜5/16 黒崎5/23着</t>
    <rPh sb="0" eb="2">
      <t>オナ</t>
    </rPh>
    <rPh sb="2" eb="3">
      <t>ハマ</t>
    </rPh>
    <rPh sb="8" eb="10">
      <t>クロサキ</t>
    </rPh>
    <rPh sb="14" eb="15">
      <t>チャク</t>
    </rPh>
    <phoneticPr fontId="1"/>
  </si>
  <si>
    <t>5/29-30</t>
    <phoneticPr fontId="1"/>
  </si>
  <si>
    <t>6/19-20</t>
    <phoneticPr fontId="1"/>
  </si>
  <si>
    <t>小名浜6/6 黒崎6/13着</t>
    <rPh sb="0" eb="2">
      <t>オナ</t>
    </rPh>
    <rPh sb="2" eb="3">
      <t>ハマ</t>
    </rPh>
    <rPh sb="7" eb="9">
      <t>クロサキ</t>
    </rPh>
    <rPh sb="13" eb="14">
      <t>チャク</t>
    </rPh>
    <phoneticPr fontId="1"/>
  </si>
  <si>
    <t>6/12-13</t>
    <phoneticPr fontId="1"/>
  </si>
  <si>
    <t>414-UM1820</t>
    <phoneticPr fontId="1"/>
  </si>
  <si>
    <t>414-UM1821</t>
    <phoneticPr fontId="1"/>
  </si>
  <si>
    <t>414-UM1822</t>
    <phoneticPr fontId="1"/>
  </si>
  <si>
    <t>414-UM1823</t>
    <phoneticPr fontId="1"/>
  </si>
  <si>
    <t>414-AM188</t>
    <phoneticPr fontId="1"/>
  </si>
  <si>
    <t>積載都合により日程変更</t>
    <rPh sb="0" eb="2">
      <t>セキサイ</t>
    </rPh>
    <rPh sb="2" eb="4">
      <t>ツゴウ</t>
    </rPh>
    <rPh sb="7" eb="9">
      <t>ニッテイ</t>
    </rPh>
    <rPh sb="9" eb="11">
      <t>ヘンコウ</t>
    </rPh>
    <phoneticPr fontId="1"/>
  </si>
  <si>
    <t>D03(28)D04(28)D05(24)</t>
    <phoneticPr fontId="1"/>
  </si>
  <si>
    <t>C21(40)C23(40)</t>
    <phoneticPr fontId="1"/>
  </si>
  <si>
    <t>C26(28)C27(28)C28(24)</t>
    <phoneticPr fontId="1"/>
  </si>
  <si>
    <t>C28(4)C29(28)</t>
    <phoneticPr fontId="1"/>
  </si>
  <si>
    <t>C30(28)D02(28)</t>
    <phoneticPr fontId="1"/>
  </si>
  <si>
    <t>830</t>
  </si>
  <si>
    <t>2019/04/24 After製造(Must) FOR UMC ※need with analysis report</t>
    <phoneticPr fontId="1"/>
  </si>
  <si>
    <t>831</t>
  </si>
  <si>
    <t>2019/05/15 After製造(Must) FOR PTC</t>
    <phoneticPr fontId="1"/>
  </si>
  <si>
    <t>414-UM1819</t>
    <phoneticPr fontId="1"/>
  </si>
  <si>
    <t>7/17-18</t>
    <phoneticPr fontId="1"/>
  </si>
  <si>
    <t>414-UM1820</t>
    <phoneticPr fontId="1"/>
  </si>
  <si>
    <t>2019/05/08 After 製造(Must)</t>
    <phoneticPr fontId="1"/>
  </si>
  <si>
    <t>414-UM1821</t>
    <phoneticPr fontId="1"/>
  </si>
  <si>
    <t>2019/05/29 After 製造(Must)</t>
    <phoneticPr fontId="1"/>
  </si>
  <si>
    <t>HCL</t>
    <phoneticPr fontId="1"/>
  </si>
  <si>
    <t>414-UM1821</t>
    <phoneticPr fontId="1"/>
  </si>
  <si>
    <t>6/26-27</t>
    <phoneticPr fontId="1"/>
  </si>
  <si>
    <t xml:space="preserve">[Hydrochloric Acid for MMT] </t>
    <phoneticPr fontId="1"/>
  </si>
  <si>
    <t>1</t>
    <phoneticPr fontId="1"/>
  </si>
  <si>
    <t>HCL</t>
    <phoneticPr fontId="1"/>
  </si>
  <si>
    <t>GN DRUM, SAMPLE</t>
    <phoneticPr fontId="1"/>
  </si>
  <si>
    <t xml:space="preserve">[Hydrochloric Acid for SEHT] </t>
    <phoneticPr fontId="1"/>
  </si>
  <si>
    <t>1</t>
    <phoneticPr fontId="1"/>
  </si>
  <si>
    <t>010802210026</t>
    <phoneticPr fontId="1"/>
  </si>
  <si>
    <t>HCL</t>
    <phoneticPr fontId="1"/>
  </si>
  <si>
    <t>2019/03/22 After 製造(Must)</t>
    <phoneticPr fontId="1"/>
  </si>
  <si>
    <t>[Hydrochloric Acid for KINIK *20kg Packing*]</t>
    <phoneticPr fontId="1"/>
  </si>
  <si>
    <t>2/13-14</t>
    <phoneticPr fontId="1"/>
  </si>
  <si>
    <t>2019/01/17, After 製造 (Must)</t>
    <phoneticPr fontId="1"/>
  </si>
  <si>
    <t>414-UM1807</t>
    <phoneticPr fontId="1"/>
  </si>
  <si>
    <t>3/8-9</t>
    <phoneticPr fontId="1"/>
  </si>
  <si>
    <t>2019/02/18, After 製造 (Must)</t>
    <phoneticPr fontId="1"/>
  </si>
  <si>
    <t>122（２）</t>
    <phoneticPr fontId="1"/>
  </si>
  <si>
    <t>3/13-14</t>
    <phoneticPr fontId="1"/>
  </si>
  <si>
    <t>414-UM1814</t>
    <phoneticPr fontId="1"/>
  </si>
  <si>
    <t>3/27-28</t>
    <phoneticPr fontId="1"/>
  </si>
  <si>
    <t>2019/02/28, After 製造 (Must)</t>
    <phoneticPr fontId="1"/>
  </si>
  <si>
    <t>414-UM1804</t>
    <phoneticPr fontId="1"/>
  </si>
  <si>
    <t>4/10-11</t>
    <phoneticPr fontId="1"/>
  </si>
  <si>
    <t>414-UM1810</t>
    <phoneticPr fontId="1"/>
  </si>
  <si>
    <t>4/3-4</t>
    <phoneticPr fontId="1"/>
  </si>
  <si>
    <t>4/17-18</t>
    <phoneticPr fontId="1"/>
  </si>
  <si>
    <t>2019/03/22, After 製造 (Must)</t>
    <phoneticPr fontId="1"/>
  </si>
  <si>
    <t>2019/04/22, After 製造 (Must)</t>
    <phoneticPr fontId="1"/>
  </si>
  <si>
    <t>2019/05/22, After 製造 (Must)</t>
    <phoneticPr fontId="1"/>
  </si>
  <si>
    <t>AM1</t>
    <phoneticPr fontId="1"/>
  </si>
  <si>
    <t>414-AM176</t>
    <phoneticPr fontId="1"/>
  </si>
  <si>
    <t>2/20-21</t>
    <phoneticPr fontId="1"/>
  </si>
  <si>
    <t>A23</t>
    <phoneticPr fontId="1"/>
  </si>
  <si>
    <t>2018/12/24 After 製造(Must)</t>
    <phoneticPr fontId="1"/>
  </si>
  <si>
    <t>4/24-25</t>
    <phoneticPr fontId="1"/>
  </si>
  <si>
    <t>2019/04/12 After 製造(Must)</t>
    <phoneticPr fontId="1"/>
  </si>
  <si>
    <t>AM1</t>
    <phoneticPr fontId="1"/>
  </si>
  <si>
    <t>414-AM176</t>
    <phoneticPr fontId="1"/>
  </si>
  <si>
    <t>2/20-21</t>
    <phoneticPr fontId="1"/>
  </si>
  <si>
    <t>A30</t>
    <phoneticPr fontId="1"/>
  </si>
  <si>
    <t>2018/12/23 After 製造(Must)</t>
    <phoneticPr fontId="1"/>
  </si>
  <si>
    <t>AM1</t>
    <phoneticPr fontId="1"/>
  </si>
  <si>
    <t>414-UM1822</t>
    <phoneticPr fontId="1"/>
  </si>
  <si>
    <t>414-UM1823</t>
    <phoneticPr fontId="1"/>
  </si>
  <si>
    <t>[Si-C]</t>
    <phoneticPr fontId="1"/>
  </si>
  <si>
    <t>SI-C</t>
    <phoneticPr fontId="1"/>
  </si>
  <si>
    <t>[MC1]</t>
    <phoneticPr fontId="1"/>
  </si>
  <si>
    <t>MC1</t>
    <phoneticPr fontId="1"/>
  </si>
  <si>
    <t>4/10-11</t>
    <phoneticPr fontId="1"/>
  </si>
  <si>
    <t>2019/03/15,After 製造(Must)FOR RST</t>
    <phoneticPr fontId="1"/>
  </si>
  <si>
    <t>414-AM188</t>
    <phoneticPr fontId="1"/>
  </si>
  <si>
    <t>6/12-13</t>
    <phoneticPr fontId="1"/>
  </si>
  <si>
    <t>5/15以降</t>
    <phoneticPr fontId="1"/>
  </si>
  <si>
    <t>[MCX-2005 *200kg Packing*]</t>
    <phoneticPr fontId="1"/>
  </si>
  <si>
    <t>010708150017</t>
    <phoneticPr fontId="1"/>
  </si>
  <si>
    <t>414-AM176</t>
    <phoneticPr fontId="1"/>
  </si>
  <si>
    <t>2/20-21</t>
    <phoneticPr fontId="1"/>
  </si>
  <si>
    <t>Z07.Z14</t>
    <phoneticPr fontId="1"/>
  </si>
  <si>
    <t>B06.B07</t>
    <phoneticPr fontId="1"/>
  </si>
  <si>
    <t>7(2)</t>
    <phoneticPr fontId="1"/>
  </si>
  <si>
    <t>414-AM179</t>
    <phoneticPr fontId="1"/>
  </si>
  <si>
    <t>抜港により本線変更</t>
    <phoneticPr fontId="1"/>
  </si>
  <si>
    <t>12</t>
    <phoneticPr fontId="1"/>
  </si>
  <si>
    <t>414-AM178</t>
    <phoneticPr fontId="1"/>
  </si>
  <si>
    <t>3/20-21</t>
    <phoneticPr fontId="1"/>
  </si>
  <si>
    <t>13</t>
    <phoneticPr fontId="1"/>
  </si>
  <si>
    <t>414-AM181</t>
    <phoneticPr fontId="1"/>
  </si>
  <si>
    <t>4/3-4</t>
    <phoneticPr fontId="1"/>
  </si>
  <si>
    <t>13(2)</t>
    <phoneticPr fontId="1"/>
  </si>
  <si>
    <t>414-AM182</t>
    <phoneticPr fontId="1"/>
  </si>
  <si>
    <t>14</t>
    <phoneticPr fontId="1"/>
  </si>
  <si>
    <t>414-AM184</t>
    <phoneticPr fontId="1"/>
  </si>
  <si>
    <t>4/24-25</t>
    <phoneticPr fontId="1"/>
  </si>
  <si>
    <t>15</t>
    <phoneticPr fontId="1"/>
  </si>
  <si>
    <t>414-AM185</t>
    <phoneticPr fontId="1"/>
  </si>
  <si>
    <t>5/8-9</t>
    <phoneticPr fontId="1"/>
  </si>
  <si>
    <t>414-AM186</t>
    <phoneticPr fontId="1"/>
  </si>
  <si>
    <t>6/5-6</t>
    <phoneticPr fontId="1"/>
  </si>
  <si>
    <t>6/9.</t>
    <phoneticPr fontId="1"/>
  </si>
  <si>
    <t>414-AM187</t>
    <phoneticPr fontId="1"/>
  </si>
  <si>
    <t>6/26-27</t>
    <phoneticPr fontId="1"/>
  </si>
  <si>
    <t xml:space="preserve">    </t>
    <phoneticPr fontId="1"/>
  </si>
  <si>
    <t>5/21</t>
  </si>
  <si>
    <t>414-HNO3995</t>
  </si>
  <si>
    <t>6/11</t>
  </si>
  <si>
    <t>414-UM1823</t>
  </si>
  <si>
    <t>6/19-20</t>
  </si>
  <si>
    <t>15(2)</t>
    <phoneticPr fontId="1"/>
  </si>
  <si>
    <t>414-AM189</t>
    <phoneticPr fontId="1"/>
  </si>
  <si>
    <t>2/5</t>
    <phoneticPr fontId="1"/>
  </si>
  <si>
    <t>2018/12/19 After製造(Must) FOR UMC ※need with analysis report</t>
    <phoneticPr fontId="1"/>
  </si>
  <si>
    <t>807(2)</t>
    <phoneticPr fontId="1"/>
  </si>
  <si>
    <t>010710230008</t>
    <phoneticPr fontId="1"/>
  </si>
  <si>
    <t>414-HNO3981</t>
    <phoneticPr fontId="1"/>
  </si>
  <si>
    <t>2019/01/10 After製造(Must) FOR UMC ※need with analysis report</t>
    <phoneticPr fontId="1"/>
  </si>
  <si>
    <t>2019/01/10 After製造(Must) FOR PTC</t>
    <phoneticPr fontId="1"/>
  </si>
  <si>
    <t>HNO3 -- 160DM</t>
    <phoneticPr fontId="1"/>
  </si>
  <si>
    <t>414-HNO3982</t>
    <phoneticPr fontId="1"/>
  </si>
  <si>
    <t>2/12</t>
    <phoneticPr fontId="1"/>
  </si>
  <si>
    <t>2019/01/17 After製造(Must) FOR PTC</t>
    <phoneticPr fontId="1"/>
  </si>
  <si>
    <t>HNO3 -- 40DM</t>
    <phoneticPr fontId="1"/>
  </si>
  <si>
    <t>414-HNO3983</t>
    <phoneticPr fontId="1"/>
  </si>
  <si>
    <t>2/19</t>
    <phoneticPr fontId="1"/>
  </si>
  <si>
    <t>2019/01/22 After製造(Must) FOR UMC ※need with analysis report</t>
    <phoneticPr fontId="1"/>
  </si>
  <si>
    <t>HNO3 -- 120DM</t>
    <phoneticPr fontId="1"/>
  </si>
  <si>
    <t>2019/01/24 After製造(Must) FOR PTC</t>
    <phoneticPr fontId="1"/>
  </si>
  <si>
    <t>414-HNO3986</t>
    <phoneticPr fontId="1"/>
  </si>
  <si>
    <t>B26</t>
    <phoneticPr fontId="1"/>
  </si>
  <si>
    <t>2019/02/18 After製造(Must) FOR UMC ※need with analysis report</t>
    <phoneticPr fontId="1"/>
  </si>
  <si>
    <t>414-HNO3984</t>
    <phoneticPr fontId="1"/>
  </si>
  <si>
    <t>3/5</t>
    <phoneticPr fontId="1"/>
  </si>
  <si>
    <t>2019/02/03 After製造(Must) FOR PTC</t>
    <phoneticPr fontId="1"/>
  </si>
  <si>
    <t>B18.19.20.21.22.23</t>
    <phoneticPr fontId="1"/>
  </si>
  <si>
    <t>2019/02/18 After製造(Must) FOR PTC</t>
    <phoneticPr fontId="1"/>
  </si>
  <si>
    <t>414-HNO3997</t>
    <phoneticPr fontId="1"/>
  </si>
  <si>
    <t>4/9</t>
    <phoneticPr fontId="1"/>
  </si>
  <si>
    <t>C30(28)D02(28)</t>
    <phoneticPr fontId="1"/>
  </si>
  <si>
    <t>2019/02/26 After製造(Must) FOR UMC ※need with analysis report</t>
    <phoneticPr fontId="1"/>
  </si>
  <si>
    <t>414-HNO3987</t>
    <phoneticPr fontId="1"/>
  </si>
  <si>
    <t>3/26</t>
    <phoneticPr fontId="1"/>
  </si>
  <si>
    <t>B25.27.28.C01.02</t>
    <phoneticPr fontId="1"/>
  </si>
  <si>
    <t>2019/02/25 After製造(Must) FOR PTC</t>
    <phoneticPr fontId="1"/>
  </si>
  <si>
    <t>414-HNO3990</t>
    <phoneticPr fontId="1"/>
  </si>
  <si>
    <t>4/16</t>
    <phoneticPr fontId="1"/>
  </si>
  <si>
    <t>D03(28)D04(28)D05(24)</t>
    <phoneticPr fontId="1"/>
  </si>
  <si>
    <t>2019/03/20 After製造(Must) FOR UMC ※need with analysis report</t>
    <phoneticPr fontId="1"/>
  </si>
  <si>
    <t>414-HNO3989</t>
    <phoneticPr fontId="1"/>
  </si>
  <si>
    <t>5/28</t>
    <phoneticPr fontId="1"/>
  </si>
  <si>
    <t>2019/05/02 After製造(Must) FOR PTC</t>
    <phoneticPr fontId="1"/>
  </si>
  <si>
    <t>819(2)</t>
    <phoneticPr fontId="1"/>
  </si>
  <si>
    <t>2019/05/01 After製造(Must) FOR UMC ※need with analysis report</t>
    <phoneticPr fontId="1"/>
  </si>
  <si>
    <t>C21(40)C23(40)</t>
    <phoneticPr fontId="1"/>
  </si>
  <si>
    <t>2019/03/21 After製造(Must) FOR PTC</t>
    <phoneticPr fontId="1"/>
  </si>
  <si>
    <t>414-HNO3991</t>
    <phoneticPr fontId="1"/>
  </si>
  <si>
    <t>4/23</t>
    <phoneticPr fontId="1"/>
  </si>
  <si>
    <t>2019/03/28 After製造(Must) FOR UMC ※need with analysis report</t>
    <phoneticPr fontId="1"/>
  </si>
  <si>
    <t>C26(28)C27(28)C28(24)</t>
    <phoneticPr fontId="1"/>
  </si>
  <si>
    <t>2019/03/13 After製造(Must) FOR PTC</t>
    <phoneticPr fontId="1"/>
  </si>
  <si>
    <t>C28(4)C29(28)</t>
    <phoneticPr fontId="1"/>
  </si>
  <si>
    <t>2019/04/05 After製造(Must) FOR PTC</t>
    <phoneticPr fontId="1"/>
  </si>
  <si>
    <t>414-HNO3993</t>
    <phoneticPr fontId="1"/>
  </si>
  <si>
    <t>5/14</t>
    <phoneticPr fontId="1"/>
  </si>
  <si>
    <t>2019/04/12 After製造(Must) FOR PTC</t>
    <phoneticPr fontId="1"/>
  </si>
  <si>
    <t>414-HNO3992</t>
    <phoneticPr fontId="1"/>
  </si>
  <si>
    <t>5/21</t>
    <phoneticPr fontId="1"/>
  </si>
  <si>
    <t>2019/04/20 After製造(Must) FOR PTC</t>
    <phoneticPr fontId="1"/>
  </si>
  <si>
    <t>825(2)</t>
    <phoneticPr fontId="1"/>
  </si>
  <si>
    <t>2019/04/13 After製造(Must) FOR PTC</t>
    <phoneticPr fontId="1"/>
  </si>
  <si>
    <t>2019/04/13 After製造(Must) FOR UMC ※need with analysis report</t>
    <phoneticPr fontId="1"/>
  </si>
  <si>
    <t>414-HNO3994</t>
    <phoneticPr fontId="1"/>
  </si>
  <si>
    <t>6/4</t>
    <phoneticPr fontId="1"/>
  </si>
  <si>
    <t>2019/05/09 After製造(Must) FOR PTC</t>
    <phoneticPr fontId="1"/>
  </si>
  <si>
    <t>414-HNO3995</t>
    <phoneticPr fontId="1"/>
  </si>
  <si>
    <t>6/11</t>
    <phoneticPr fontId="1"/>
  </si>
  <si>
    <t>2019/05/16 After製造(Must) FOR UMC ※need with analysis report</t>
    <phoneticPr fontId="1"/>
  </si>
  <si>
    <t>414-HNO3996</t>
    <phoneticPr fontId="1"/>
  </si>
  <si>
    <t>6/18</t>
    <phoneticPr fontId="1"/>
  </si>
  <si>
    <t>2019/05/23 After製造(Must) FOR PTC</t>
    <phoneticPr fontId="1"/>
  </si>
  <si>
    <t>010804120031</t>
    <phoneticPr fontId="1"/>
  </si>
  <si>
    <t>2019/04/24 After製造(Must) FOR UMC ※need with analysis report</t>
    <phoneticPr fontId="1"/>
  </si>
  <si>
    <t>010804120032</t>
    <phoneticPr fontId="1"/>
  </si>
  <si>
    <t>2019/05/15 After製造(Must) FOR PTC</t>
    <phoneticPr fontId="1"/>
  </si>
  <si>
    <t>832</t>
  </si>
  <si>
    <t>010804120033</t>
  </si>
  <si>
    <t>2019/05/30 After製造(Must) FOR PTC</t>
    <phoneticPr fontId="1"/>
  </si>
  <si>
    <t>833</t>
  </si>
  <si>
    <t>010804120034</t>
  </si>
  <si>
    <t>2019/05/29 After製造(Must) FOR UMC ※need with analysis report</t>
    <phoneticPr fontId="1"/>
  </si>
  <si>
    <t>834</t>
  </si>
  <si>
    <t>010804120035</t>
  </si>
  <si>
    <t>2019/06/06 After製造(Must) FOR PTC</t>
    <phoneticPr fontId="1"/>
  </si>
  <si>
    <t>835</t>
  </si>
  <si>
    <t>010804120036</t>
  </si>
  <si>
    <t>2019/06/13 After製造(Must) FOR PTC</t>
    <phoneticPr fontId="1"/>
  </si>
  <si>
    <t>836</t>
  </si>
  <si>
    <t>010804120037</t>
  </si>
  <si>
    <t>2019/06/20 After製造(Must) FOR PTC</t>
    <phoneticPr fontId="1"/>
  </si>
  <si>
    <t>837</t>
  </si>
  <si>
    <t>010804120038</t>
  </si>
  <si>
    <t>2019/06/19 After製造(Must) FOR UMC ※need with analysis report</t>
    <phoneticPr fontId="1"/>
  </si>
  <si>
    <t>838</t>
  </si>
  <si>
    <t>010804120039</t>
  </si>
  <si>
    <t>2019/06/208 After製造(Must) FOR PTC</t>
    <phoneticPr fontId="1"/>
  </si>
  <si>
    <t>839</t>
  </si>
  <si>
    <t>010804120040</t>
  </si>
  <si>
    <t>2019/06/27 After製造(Must) FOR UMC ※need with analysis report</t>
    <phoneticPr fontId="1"/>
  </si>
  <si>
    <t>128</t>
  </si>
  <si>
    <t>010804120041</t>
  </si>
  <si>
    <t>2019/7/01, After 製造 (Must)</t>
    <phoneticPr fontId="1"/>
  </si>
  <si>
    <t>414-AM176</t>
    <phoneticPr fontId="1"/>
  </si>
  <si>
    <t>2/20-21</t>
    <phoneticPr fontId="1"/>
  </si>
  <si>
    <t>A23</t>
    <phoneticPr fontId="1"/>
  </si>
  <si>
    <t>2018/12/24 After 製造(Must)</t>
    <phoneticPr fontId="1"/>
  </si>
  <si>
    <t>AM1</t>
    <phoneticPr fontId="1"/>
  </si>
  <si>
    <t>4/24-25</t>
    <phoneticPr fontId="1"/>
  </si>
  <si>
    <t>2019/04/12 After 製造(Must)</t>
    <phoneticPr fontId="1"/>
  </si>
  <si>
    <t>010804120042</t>
  </si>
  <si>
    <t>AM1</t>
    <phoneticPr fontId="1"/>
  </si>
  <si>
    <t>2019/06/21 After 製造(Must)</t>
    <phoneticPr fontId="1"/>
  </si>
  <si>
    <t>414-AM176</t>
    <phoneticPr fontId="1"/>
  </si>
  <si>
    <t>2/20-21</t>
    <phoneticPr fontId="1"/>
  </si>
  <si>
    <t>A30</t>
    <phoneticPr fontId="1"/>
  </si>
  <si>
    <t>2018/12/23 After 製造(Must)</t>
    <phoneticPr fontId="1"/>
  </si>
  <si>
    <t>4/10-11</t>
    <phoneticPr fontId="1"/>
  </si>
  <si>
    <t>2019/02/15 After 製造(Must)</t>
    <phoneticPr fontId="1"/>
  </si>
  <si>
    <t>2019/03/01 After 製造(Must)</t>
    <phoneticPr fontId="1"/>
  </si>
  <si>
    <t>414-AM185</t>
    <phoneticPr fontId="1"/>
  </si>
  <si>
    <t>5/8-9</t>
    <phoneticPr fontId="1"/>
  </si>
  <si>
    <t>2019/03/13 After 製造(Must)</t>
    <phoneticPr fontId="1"/>
  </si>
  <si>
    <t>010804120043</t>
  </si>
  <si>
    <t>2019/06/20 After 製造(Must)</t>
    <phoneticPr fontId="1"/>
  </si>
  <si>
    <t>117</t>
    <phoneticPr fontId="1"/>
  </si>
  <si>
    <t>2/13-14</t>
    <phoneticPr fontId="1"/>
  </si>
  <si>
    <t>1/16以降</t>
    <phoneticPr fontId="1"/>
  </si>
  <si>
    <t>118(3)</t>
    <phoneticPr fontId="1"/>
  </si>
  <si>
    <t>010801030018</t>
    <phoneticPr fontId="1"/>
  </si>
  <si>
    <t>118(2)</t>
    <phoneticPr fontId="1"/>
  </si>
  <si>
    <t>414-UM1807</t>
    <phoneticPr fontId="1"/>
  </si>
  <si>
    <t>B21</t>
    <phoneticPr fontId="1"/>
  </si>
  <si>
    <t>118(4)</t>
    <phoneticPr fontId="1"/>
  </si>
  <si>
    <t>010801310002</t>
    <phoneticPr fontId="1"/>
  </si>
  <si>
    <t>414-UM1806</t>
    <phoneticPr fontId="1"/>
  </si>
  <si>
    <t>3/20-21</t>
    <phoneticPr fontId="1"/>
  </si>
  <si>
    <t>B21.C12</t>
    <phoneticPr fontId="1"/>
  </si>
  <si>
    <t>2/18以降</t>
    <phoneticPr fontId="1"/>
  </si>
  <si>
    <t>C28</t>
    <phoneticPr fontId="1"/>
  </si>
  <si>
    <t>3/18以降</t>
    <phoneticPr fontId="1"/>
  </si>
  <si>
    <t>119(2)</t>
    <phoneticPr fontId="1"/>
  </si>
  <si>
    <t>D13</t>
    <phoneticPr fontId="1"/>
  </si>
  <si>
    <t>414-UM1813</t>
    <phoneticPr fontId="1"/>
  </si>
  <si>
    <t>5/17-18</t>
    <phoneticPr fontId="1"/>
  </si>
  <si>
    <t>D25</t>
    <phoneticPr fontId="1"/>
  </si>
  <si>
    <t>4/22以降</t>
    <phoneticPr fontId="1"/>
  </si>
  <si>
    <t>414-UM1818</t>
    <phoneticPr fontId="1"/>
  </si>
  <si>
    <t>6/12-13</t>
    <phoneticPr fontId="1"/>
  </si>
  <si>
    <t>5/16以降</t>
    <phoneticPr fontId="1"/>
  </si>
  <si>
    <t>010804120044</t>
  </si>
  <si>
    <t>6/20以降</t>
    <phoneticPr fontId="1"/>
  </si>
  <si>
    <t>414-UM1799</t>
    <phoneticPr fontId="1"/>
  </si>
  <si>
    <t>414-TYS001A</t>
    <phoneticPr fontId="1"/>
  </si>
  <si>
    <t>414-UM1811</t>
    <phoneticPr fontId="1"/>
  </si>
  <si>
    <t>3/1-2</t>
    <phoneticPr fontId="1"/>
  </si>
  <si>
    <t>B15.B20</t>
    <phoneticPr fontId="1"/>
  </si>
  <si>
    <t>B22</t>
    <phoneticPr fontId="1"/>
  </si>
  <si>
    <t>抜港により本線変更</t>
    <phoneticPr fontId="1"/>
  </si>
  <si>
    <t>414-UM1808</t>
    <phoneticPr fontId="1"/>
  </si>
  <si>
    <t>3/13-14</t>
    <phoneticPr fontId="1"/>
  </si>
  <si>
    <t>B25.B26</t>
    <phoneticPr fontId="1"/>
  </si>
  <si>
    <t>17(2)</t>
    <phoneticPr fontId="1"/>
  </si>
  <si>
    <t>414-UM1814</t>
    <phoneticPr fontId="1"/>
  </si>
  <si>
    <t>3/27-28</t>
    <phoneticPr fontId="1"/>
  </si>
  <si>
    <t>4/17-18</t>
    <phoneticPr fontId="1"/>
  </si>
  <si>
    <t>18(2)</t>
    <phoneticPr fontId="1"/>
  </si>
  <si>
    <t>010802250014</t>
    <phoneticPr fontId="1"/>
  </si>
  <si>
    <t>4/3-4</t>
    <phoneticPr fontId="1"/>
  </si>
  <si>
    <t>19(2)</t>
    <phoneticPr fontId="1"/>
  </si>
  <si>
    <t>010802250017</t>
    <phoneticPr fontId="1"/>
  </si>
  <si>
    <t>5/10-11</t>
    <phoneticPr fontId="1"/>
  </si>
  <si>
    <t>20(2)</t>
    <phoneticPr fontId="1"/>
  </si>
  <si>
    <t>414-UM1822</t>
    <phoneticPr fontId="1"/>
  </si>
  <si>
    <t>5/29-30</t>
    <phoneticPr fontId="1"/>
  </si>
  <si>
    <t>21</t>
    <phoneticPr fontId="1"/>
  </si>
  <si>
    <t>010804120045</t>
  </si>
  <si>
    <t>414-UM1823</t>
    <phoneticPr fontId="1"/>
  </si>
  <si>
    <t>6/19-20</t>
    <phoneticPr fontId="1"/>
  </si>
  <si>
    <t>[Si-C]</t>
    <phoneticPr fontId="1"/>
  </si>
  <si>
    <t>3</t>
    <phoneticPr fontId="1"/>
  </si>
  <si>
    <t>010801070023</t>
    <phoneticPr fontId="1"/>
  </si>
  <si>
    <t>SI-C</t>
    <phoneticPr fontId="1"/>
  </si>
  <si>
    <t>010802250013</t>
    <phoneticPr fontId="1"/>
  </si>
  <si>
    <t>[Si-C]</t>
    <phoneticPr fontId="1"/>
  </si>
  <si>
    <t>SI-C</t>
    <phoneticPr fontId="1"/>
  </si>
  <si>
    <t>[MC1]</t>
    <phoneticPr fontId="1"/>
  </si>
  <si>
    <t>MC1</t>
    <phoneticPr fontId="1"/>
  </si>
  <si>
    <t>4/10-11</t>
    <phoneticPr fontId="1"/>
  </si>
  <si>
    <t>2019/03/15,After 製造(Must)FOR RST</t>
    <phoneticPr fontId="1"/>
  </si>
  <si>
    <t>414-AM188</t>
    <phoneticPr fontId="1"/>
  </si>
  <si>
    <t>6/12-13</t>
    <phoneticPr fontId="1"/>
  </si>
  <si>
    <t>5/15以降</t>
    <phoneticPr fontId="1"/>
  </si>
  <si>
    <t>[MCX-2005 *200kg Packing*]</t>
    <phoneticPr fontId="1"/>
  </si>
  <si>
    <t>010708150017</t>
    <phoneticPr fontId="1"/>
  </si>
  <si>
    <t>414-AM176</t>
    <phoneticPr fontId="1"/>
  </si>
  <si>
    <t>2/20-21</t>
    <phoneticPr fontId="1"/>
  </si>
  <si>
    <t>Z07.Z14</t>
    <phoneticPr fontId="1"/>
  </si>
  <si>
    <t>B06.B07</t>
    <phoneticPr fontId="1"/>
  </si>
  <si>
    <t>7(2)</t>
    <phoneticPr fontId="1"/>
  </si>
  <si>
    <t>414-AM179</t>
    <phoneticPr fontId="1"/>
  </si>
  <si>
    <t>抜港により本線変更</t>
    <phoneticPr fontId="1"/>
  </si>
  <si>
    <t>12</t>
    <phoneticPr fontId="1"/>
  </si>
  <si>
    <t>414-AM178</t>
    <phoneticPr fontId="1"/>
  </si>
  <si>
    <t>3/20-21</t>
    <phoneticPr fontId="1"/>
  </si>
  <si>
    <t>13</t>
    <phoneticPr fontId="1"/>
  </si>
  <si>
    <t>414-AM181</t>
    <phoneticPr fontId="1"/>
  </si>
  <si>
    <t>4/3-4</t>
    <phoneticPr fontId="1"/>
  </si>
  <si>
    <t>13(2)</t>
    <phoneticPr fontId="1"/>
  </si>
  <si>
    <t>414-AM182</t>
    <phoneticPr fontId="1"/>
  </si>
  <si>
    <t>14</t>
    <phoneticPr fontId="1"/>
  </si>
  <si>
    <t>414-AM184</t>
    <phoneticPr fontId="1"/>
  </si>
  <si>
    <t>4/24-25</t>
    <phoneticPr fontId="1"/>
  </si>
  <si>
    <t>15</t>
    <phoneticPr fontId="1"/>
  </si>
  <si>
    <t>414-AM185</t>
    <phoneticPr fontId="1"/>
  </si>
  <si>
    <t>5/8-9</t>
    <phoneticPr fontId="1"/>
  </si>
  <si>
    <t>414-AM186</t>
    <phoneticPr fontId="1"/>
  </si>
  <si>
    <t>6/5-6</t>
    <phoneticPr fontId="1"/>
  </si>
  <si>
    <t>6/9.</t>
    <phoneticPr fontId="1"/>
  </si>
  <si>
    <t>414-AM187</t>
    <phoneticPr fontId="1"/>
  </si>
  <si>
    <t>6/26-27</t>
    <phoneticPr fontId="1"/>
  </si>
  <si>
    <t>010804120046</t>
  </si>
  <si>
    <t>010804120047</t>
  </si>
  <si>
    <t xml:space="preserve">    </t>
    <phoneticPr fontId="1"/>
  </si>
  <si>
    <t>6/25</t>
    <phoneticPr fontId="1"/>
  </si>
  <si>
    <t>7/2</t>
    <phoneticPr fontId="1"/>
  </si>
  <si>
    <t>7/9</t>
    <phoneticPr fontId="1"/>
  </si>
  <si>
    <t>7/16</t>
    <phoneticPr fontId="1"/>
  </si>
  <si>
    <t>7/23</t>
    <phoneticPr fontId="1"/>
  </si>
  <si>
    <t>7/24-25</t>
    <phoneticPr fontId="1"/>
  </si>
  <si>
    <t>7/17-18</t>
    <phoneticPr fontId="1"/>
  </si>
  <si>
    <t>7/10-11</t>
    <phoneticPr fontId="1"/>
  </si>
  <si>
    <t>414-HNO3998</t>
    <phoneticPr fontId="1"/>
  </si>
  <si>
    <t>414-HNO3999</t>
    <phoneticPr fontId="1"/>
  </si>
  <si>
    <t>414-HNO3001</t>
    <phoneticPr fontId="1"/>
  </si>
  <si>
    <t>414-HNO3002</t>
  </si>
  <si>
    <t>414-HNO3002</t>
    <phoneticPr fontId="1"/>
  </si>
  <si>
    <t>414-HNO3003</t>
  </si>
  <si>
    <t>414-HNO3003</t>
    <phoneticPr fontId="1"/>
  </si>
  <si>
    <t>414-UM1824</t>
    <phoneticPr fontId="1"/>
  </si>
  <si>
    <t>414-AM190</t>
    <phoneticPr fontId="1"/>
  </si>
  <si>
    <t>414-AM191</t>
    <phoneticPr fontId="1"/>
  </si>
  <si>
    <t>414-UM1819</t>
  </si>
  <si>
    <t>414-AM192</t>
    <phoneticPr fontId="1"/>
  </si>
  <si>
    <t>151(2)</t>
    <phoneticPr fontId="1"/>
  </si>
  <si>
    <t>分納させてください</t>
    <rPh sb="0" eb="2">
      <t>ブンノウ</t>
    </rPh>
    <phoneticPr fontId="1"/>
  </si>
  <si>
    <t>819(3)</t>
    <phoneticPr fontId="1"/>
  </si>
  <si>
    <t>追加</t>
    <rPh sb="0" eb="2">
      <t>ツイカ</t>
    </rPh>
    <phoneticPr fontId="1"/>
  </si>
  <si>
    <t>827(2)</t>
    <phoneticPr fontId="1"/>
  </si>
  <si>
    <t>23</t>
    <phoneticPr fontId="1"/>
  </si>
  <si>
    <t>C30(28)D02(28)</t>
    <phoneticPr fontId="1"/>
  </si>
  <si>
    <t>D03(28)D04(28)D05(24)</t>
    <phoneticPr fontId="1"/>
  </si>
  <si>
    <t>819(3)</t>
    <phoneticPr fontId="1"/>
  </si>
  <si>
    <t>010804190003</t>
  </si>
  <si>
    <t>819(2)</t>
    <phoneticPr fontId="1"/>
  </si>
  <si>
    <t>HNO3 -- 40DM</t>
    <phoneticPr fontId="1"/>
  </si>
  <si>
    <t>2019/05/01 After製造(Must) FOR UMC ※need with analysis report</t>
    <phoneticPr fontId="1"/>
  </si>
  <si>
    <t>414-HNO3990</t>
    <phoneticPr fontId="1"/>
  </si>
  <si>
    <t>4/16</t>
    <phoneticPr fontId="1"/>
  </si>
  <si>
    <t>C21(40)C23(40)</t>
    <phoneticPr fontId="1"/>
  </si>
  <si>
    <t>2019/03/21 After製造(Must) FOR PTC</t>
    <phoneticPr fontId="1"/>
  </si>
  <si>
    <t>414-HNO3991</t>
    <phoneticPr fontId="1"/>
  </si>
  <si>
    <t>4/23</t>
    <phoneticPr fontId="1"/>
  </si>
  <si>
    <t>2019/03/28 After製造(Must) FOR UMC ※need with analysis report</t>
    <phoneticPr fontId="1"/>
  </si>
  <si>
    <t>C26(28)C27(28)C28(24)</t>
    <phoneticPr fontId="1"/>
  </si>
  <si>
    <t>2019/03/13 After製造(Must) FOR PTC</t>
    <phoneticPr fontId="1"/>
  </si>
  <si>
    <t>C28(4)C29(28)</t>
    <phoneticPr fontId="1"/>
  </si>
  <si>
    <t>2019/04/05 After製造(Must) FOR PTC</t>
    <phoneticPr fontId="1"/>
  </si>
  <si>
    <t>414-HNO3993</t>
    <phoneticPr fontId="1"/>
  </si>
  <si>
    <t>5/14</t>
    <phoneticPr fontId="1"/>
  </si>
  <si>
    <t>2019/04/12 After製造(Must) FOR PTC</t>
    <phoneticPr fontId="1"/>
  </si>
  <si>
    <t>414-HNO3992</t>
    <phoneticPr fontId="1"/>
  </si>
  <si>
    <t>5/21</t>
    <phoneticPr fontId="1"/>
  </si>
  <si>
    <t>2019/04/20 After製造(Must) FOR PTC</t>
    <phoneticPr fontId="1"/>
  </si>
  <si>
    <t>825(2)</t>
    <phoneticPr fontId="1"/>
  </si>
  <si>
    <t>HNO3 -- 40DM</t>
    <phoneticPr fontId="1"/>
  </si>
  <si>
    <t>2019/04/13 After製造(Must) FOR PTC</t>
    <phoneticPr fontId="1"/>
  </si>
  <si>
    <t>2019/04/13 After製造(Must) FOR UMC ※need with analysis report</t>
    <phoneticPr fontId="1"/>
  </si>
  <si>
    <t>414-HNO3994</t>
    <phoneticPr fontId="1"/>
  </si>
  <si>
    <t>6/4</t>
    <phoneticPr fontId="1"/>
  </si>
  <si>
    <t>2019/05/09 After製造(Must) FOR PTC</t>
    <phoneticPr fontId="1"/>
  </si>
  <si>
    <t>827(2)</t>
    <phoneticPr fontId="1"/>
  </si>
  <si>
    <t>010804190004</t>
  </si>
  <si>
    <t>414-HNO3995</t>
    <phoneticPr fontId="1"/>
  </si>
  <si>
    <t>6/11</t>
    <phoneticPr fontId="1"/>
  </si>
  <si>
    <t>2019/05/16 After製造(Must) FOR UMC ※need with analysis report</t>
    <phoneticPr fontId="1"/>
  </si>
  <si>
    <t>414-HNO3996</t>
    <phoneticPr fontId="1"/>
  </si>
  <si>
    <t>6/18</t>
    <phoneticPr fontId="1"/>
  </si>
  <si>
    <t>2019/05/23 After製造(Must) FOR PTC</t>
    <phoneticPr fontId="1"/>
  </si>
  <si>
    <t>010804120031</t>
    <phoneticPr fontId="1"/>
  </si>
  <si>
    <t>2019/04/24 After製造(Must) FOR UMC ※need with analysis report</t>
    <phoneticPr fontId="1"/>
  </si>
  <si>
    <t>010804120032</t>
    <phoneticPr fontId="1"/>
  </si>
  <si>
    <t>2019/05/15 After製造(Must) FOR PTC</t>
    <phoneticPr fontId="1"/>
  </si>
  <si>
    <t>HNO3 -- 160DM</t>
    <phoneticPr fontId="1"/>
  </si>
  <si>
    <t>414-HNO3998</t>
    <phoneticPr fontId="1"/>
  </si>
  <si>
    <t>6/25</t>
    <phoneticPr fontId="1"/>
  </si>
  <si>
    <t>2019/05/30 After製造(Must) FOR PTC</t>
    <phoneticPr fontId="1"/>
  </si>
  <si>
    <t>2019/05/29 After製造(Must) FOR UMC ※need with analysis report</t>
    <phoneticPr fontId="1"/>
  </si>
  <si>
    <t>414-HNO3999</t>
    <phoneticPr fontId="1"/>
  </si>
  <si>
    <t>7/2</t>
    <phoneticPr fontId="1"/>
  </si>
  <si>
    <t>2019/06/06 After製造(Must) FOR PTC</t>
    <phoneticPr fontId="1"/>
  </si>
  <si>
    <t>414-HNO3001</t>
    <phoneticPr fontId="1"/>
  </si>
  <si>
    <t>7/9</t>
    <phoneticPr fontId="1"/>
  </si>
  <si>
    <t>2019/06/13 After製造(Must) FOR PTC</t>
    <phoneticPr fontId="1"/>
  </si>
  <si>
    <t>414-HNO3002</t>
    <phoneticPr fontId="1"/>
  </si>
  <si>
    <t>7/16</t>
    <phoneticPr fontId="1"/>
  </si>
  <si>
    <t>2019/06/20 After製造(Must) FOR PTC</t>
    <phoneticPr fontId="1"/>
  </si>
  <si>
    <t>2019/06/19 After製造(Must) FOR UMC ※need with analysis report</t>
    <phoneticPr fontId="1"/>
  </si>
  <si>
    <t>414-HNO3003</t>
    <phoneticPr fontId="1"/>
  </si>
  <si>
    <t>7/23</t>
    <phoneticPr fontId="1"/>
  </si>
  <si>
    <t>2019/06/208 After製造(Must) FOR PTC</t>
    <phoneticPr fontId="1"/>
  </si>
  <si>
    <t>2019/06/27 After製造(Must) FOR UMC ※need with analysis report</t>
    <phoneticPr fontId="1"/>
  </si>
  <si>
    <t>2/13-14</t>
    <phoneticPr fontId="1"/>
  </si>
  <si>
    <t>2019/01/15 After 製造(Must) SPEC FOR NON-N20</t>
    <phoneticPr fontId="1"/>
  </si>
  <si>
    <t>414-UM1806</t>
    <phoneticPr fontId="1"/>
  </si>
  <si>
    <t>3/20-21</t>
    <phoneticPr fontId="1"/>
  </si>
  <si>
    <t>2019/02/28 After 製造(Must) SPEC FOR NON-N20</t>
    <phoneticPr fontId="1"/>
  </si>
  <si>
    <t>010801280007</t>
    <phoneticPr fontId="1"/>
  </si>
  <si>
    <t>414-UM1802</t>
    <phoneticPr fontId="1"/>
  </si>
  <si>
    <t>4/17-18</t>
    <phoneticPr fontId="1"/>
  </si>
  <si>
    <t>2019/03/28 After 製造(Must) SPEC FOR NON-N20</t>
    <phoneticPr fontId="1"/>
  </si>
  <si>
    <t>6/12-13</t>
    <phoneticPr fontId="1"/>
  </si>
  <si>
    <t>2019/05/14 After 製造(Must) SPEC FOR NON-N20</t>
    <phoneticPr fontId="1"/>
  </si>
  <si>
    <t>HCL</t>
    <phoneticPr fontId="1"/>
  </si>
  <si>
    <t>414-UM1819</t>
    <phoneticPr fontId="1"/>
  </si>
  <si>
    <t>7/17-18</t>
    <phoneticPr fontId="1"/>
  </si>
  <si>
    <t>2019/06/20 After 製造(Must) SPEC FOR NON-N20</t>
    <phoneticPr fontId="1"/>
  </si>
  <si>
    <t>414-UM1799</t>
    <phoneticPr fontId="1"/>
  </si>
  <si>
    <t>2/20-21</t>
    <phoneticPr fontId="1"/>
  </si>
  <si>
    <t>Y23(40)</t>
    <phoneticPr fontId="1"/>
  </si>
  <si>
    <t>2018/11/23 After 製造(Must) ※Need analysis report</t>
    <phoneticPr fontId="1"/>
  </si>
  <si>
    <t>保留</t>
    <phoneticPr fontId="1"/>
  </si>
  <si>
    <t>2019/02/14 After 製造(Must) ※Need analysis report</t>
    <phoneticPr fontId="1"/>
  </si>
  <si>
    <t>010710230010</t>
    <phoneticPr fontId="1"/>
  </si>
  <si>
    <t>414-UM1809</t>
    <phoneticPr fontId="1"/>
  </si>
  <si>
    <t>5/10-11</t>
    <phoneticPr fontId="1"/>
  </si>
  <si>
    <t>2019/04/12 After 製造(Must)</t>
    <phoneticPr fontId="1"/>
  </si>
  <si>
    <t>151(2)</t>
    <phoneticPr fontId="1"/>
  </si>
  <si>
    <t>5/17-18</t>
    <phoneticPr fontId="1"/>
  </si>
  <si>
    <t>A03(80)</t>
    <phoneticPr fontId="1"/>
  </si>
  <si>
    <t>2019/01/21 After 製造(Must)</t>
    <phoneticPr fontId="1"/>
  </si>
  <si>
    <t>4/10-11</t>
    <phoneticPr fontId="1"/>
  </si>
  <si>
    <t>2019/03/22 After 製造(Must)</t>
    <phoneticPr fontId="1"/>
  </si>
  <si>
    <t>緩和しないでください</t>
    <phoneticPr fontId="1"/>
  </si>
  <si>
    <t>154</t>
    <phoneticPr fontId="1"/>
  </si>
  <si>
    <t>414-UM1820</t>
    <phoneticPr fontId="1"/>
  </si>
  <si>
    <t>6/5-6</t>
    <phoneticPr fontId="1"/>
  </si>
  <si>
    <t>2019/05/08 After 製造(Must)</t>
    <phoneticPr fontId="1"/>
  </si>
  <si>
    <t>414-UM1821</t>
    <phoneticPr fontId="1"/>
  </si>
  <si>
    <t>6/26-27</t>
    <phoneticPr fontId="1"/>
  </si>
  <si>
    <t>2019/05/29 After 製造(Must)</t>
    <phoneticPr fontId="1"/>
  </si>
  <si>
    <t>157</t>
  </si>
  <si>
    <t>010804190005</t>
  </si>
  <si>
    <t>2019/06/20 After 製造(Must)</t>
    <phoneticPr fontId="1"/>
  </si>
  <si>
    <t xml:space="preserve">[Hydrochloric Acid for MMT] </t>
    <phoneticPr fontId="1"/>
  </si>
  <si>
    <t>1</t>
    <phoneticPr fontId="1"/>
  </si>
  <si>
    <t>GN DRUM, SAMPLE</t>
    <phoneticPr fontId="1"/>
  </si>
  <si>
    <t xml:space="preserve">[Hydrochloric Acid for SEHT] </t>
    <phoneticPr fontId="1"/>
  </si>
  <si>
    <t>010802210026</t>
    <phoneticPr fontId="1"/>
  </si>
  <si>
    <t>[Hydrochloric Acid for KINIK *20kg Packing*]</t>
    <phoneticPr fontId="1"/>
  </si>
  <si>
    <t>2019/01/17, After 製造 (Must)</t>
    <phoneticPr fontId="1"/>
  </si>
  <si>
    <t>414-UM1807</t>
    <phoneticPr fontId="1"/>
  </si>
  <si>
    <t>3/8-9</t>
    <phoneticPr fontId="1"/>
  </si>
  <si>
    <t>2019/02/18, After 製造 (Must)</t>
    <phoneticPr fontId="1"/>
  </si>
  <si>
    <t>122（２）</t>
    <phoneticPr fontId="1"/>
  </si>
  <si>
    <t>3/13-14</t>
    <phoneticPr fontId="1"/>
  </si>
  <si>
    <t>414-UM1814</t>
    <phoneticPr fontId="1"/>
  </si>
  <si>
    <t>3/27-28</t>
    <phoneticPr fontId="1"/>
  </si>
  <si>
    <t>2019/02/28, After 製造 (Must)</t>
    <phoneticPr fontId="1"/>
  </si>
  <si>
    <t>414-UM1804</t>
    <phoneticPr fontId="1"/>
  </si>
  <si>
    <t>414-UM1810</t>
    <phoneticPr fontId="1"/>
  </si>
  <si>
    <t>4/3-4</t>
    <phoneticPr fontId="1"/>
  </si>
  <si>
    <t>2019/03/22, After 製造 (Must)</t>
    <phoneticPr fontId="1"/>
  </si>
  <si>
    <t>414-UM1813</t>
    <phoneticPr fontId="1"/>
  </si>
  <si>
    <t>2019/04/22, After 製造 (Must)</t>
    <phoneticPr fontId="1"/>
  </si>
  <si>
    <t>2019/05/22, After 製造 (Must)</t>
    <phoneticPr fontId="1"/>
  </si>
  <si>
    <t>414-UM1824</t>
    <phoneticPr fontId="1"/>
  </si>
  <si>
    <t>7/24-25</t>
    <phoneticPr fontId="1"/>
  </si>
  <si>
    <t>2019/7/01, After 製造 (Must)</t>
    <phoneticPr fontId="1"/>
  </si>
  <si>
    <t>AM1</t>
    <phoneticPr fontId="1"/>
  </si>
  <si>
    <t>414-AM176</t>
    <phoneticPr fontId="1"/>
  </si>
  <si>
    <t>A23</t>
    <phoneticPr fontId="1"/>
  </si>
  <si>
    <t>2018/12/24 After 製造(Must)</t>
    <phoneticPr fontId="1"/>
  </si>
  <si>
    <t>4/24-25</t>
    <phoneticPr fontId="1"/>
  </si>
  <si>
    <t>414-AM191</t>
    <phoneticPr fontId="1"/>
  </si>
  <si>
    <t>2019/06/21 After 製造(Must)</t>
    <phoneticPr fontId="1"/>
  </si>
  <si>
    <t>A30</t>
    <phoneticPr fontId="1"/>
  </si>
  <si>
    <t>2018/12/23 After 製造(Must)</t>
    <phoneticPr fontId="1"/>
  </si>
  <si>
    <t>2019/02/15 After 製造(Must)</t>
    <phoneticPr fontId="1"/>
  </si>
  <si>
    <t>2019/03/01 After 製造(Must)</t>
    <phoneticPr fontId="1"/>
  </si>
  <si>
    <t>414-AM185</t>
    <phoneticPr fontId="1"/>
  </si>
  <si>
    <t>5/8-9</t>
    <phoneticPr fontId="1"/>
  </si>
  <si>
    <t>2019/03/13 After 製造(Must)</t>
    <phoneticPr fontId="1"/>
  </si>
  <si>
    <t>23</t>
    <phoneticPr fontId="1"/>
  </si>
  <si>
    <t>117</t>
    <phoneticPr fontId="1"/>
  </si>
  <si>
    <t>1/16以降</t>
    <phoneticPr fontId="1"/>
  </si>
  <si>
    <t>118(3)</t>
    <phoneticPr fontId="1"/>
  </si>
  <si>
    <t>010801030018</t>
    <phoneticPr fontId="1"/>
  </si>
  <si>
    <t>118(2)</t>
    <phoneticPr fontId="1"/>
  </si>
  <si>
    <t>B21</t>
    <phoneticPr fontId="1"/>
  </si>
  <si>
    <t>118(4)</t>
    <phoneticPr fontId="1"/>
  </si>
  <si>
    <t>010801310002</t>
    <phoneticPr fontId="1"/>
  </si>
  <si>
    <t>B21.C12</t>
    <phoneticPr fontId="1"/>
  </si>
  <si>
    <t>2/18以降</t>
    <phoneticPr fontId="1"/>
  </si>
  <si>
    <t>C28</t>
    <phoneticPr fontId="1"/>
  </si>
  <si>
    <t>3/18以降</t>
    <phoneticPr fontId="1"/>
  </si>
  <si>
    <t>119(2)</t>
    <phoneticPr fontId="1"/>
  </si>
  <si>
    <t>D13</t>
    <phoneticPr fontId="1"/>
  </si>
  <si>
    <t>D25</t>
    <phoneticPr fontId="1"/>
  </si>
  <si>
    <t>4/22以降</t>
    <phoneticPr fontId="1"/>
  </si>
  <si>
    <t>414-UM1818</t>
    <phoneticPr fontId="1"/>
  </si>
  <si>
    <t>5/16以降</t>
    <phoneticPr fontId="1"/>
  </si>
  <si>
    <t>6/20以降</t>
    <phoneticPr fontId="1"/>
  </si>
  <si>
    <t>414-TYS001A</t>
    <phoneticPr fontId="1"/>
  </si>
  <si>
    <t>414-UM1811</t>
    <phoneticPr fontId="1"/>
  </si>
  <si>
    <t>3/1-2</t>
    <phoneticPr fontId="1"/>
  </si>
  <si>
    <t>B15.B20</t>
    <phoneticPr fontId="1"/>
  </si>
  <si>
    <t>B22</t>
    <phoneticPr fontId="1"/>
  </si>
  <si>
    <t>抜港により本線変更</t>
    <phoneticPr fontId="1"/>
  </si>
  <si>
    <t>414-UM1808</t>
    <phoneticPr fontId="1"/>
  </si>
  <si>
    <t>B25.B26</t>
    <phoneticPr fontId="1"/>
  </si>
  <si>
    <t>17(2)</t>
    <phoneticPr fontId="1"/>
  </si>
  <si>
    <t>18(2)</t>
    <phoneticPr fontId="1"/>
  </si>
  <si>
    <t>010802250014</t>
    <phoneticPr fontId="1"/>
  </si>
  <si>
    <t>19(2)</t>
    <phoneticPr fontId="1"/>
  </si>
  <si>
    <t>010802250017</t>
    <phoneticPr fontId="1"/>
  </si>
  <si>
    <t>20(2)</t>
    <phoneticPr fontId="1"/>
  </si>
  <si>
    <t>414-UM1822</t>
    <phoneticPr fontId="1"/>
  </si>
  <si>
    <t>5/29-30</t>
    <phoneticPr fontId="1"/>
  </si>
  <si>
    <t>21</t>
    <phoneticPr fontId="1"/>
  </si>
  <si>
    <t>414-UM1823</t>
    <phoneticPr fontId="1"/>
  </si>
  <si>
    <t>6/19-20</t>
    <phoneticPr fontId="1"/>
  </si>
  <si>
    <t>[Si-C]</t>
    <phoneticPr fontId="1"/>
  </si>
  <si>
    <t>3</t>
    <phoneticPr fontId="1"/>
  </si>
  <si>
    <t>010801070023</t>
    <phoneticPr fontId="1"/>
  </si>
  <si>
    <t>SI-C</t>
    <phoneticPr fontId="1"/>
  </si>
  <si>
    <t>010802250013</t>
    <phoneticPr fontId="1"/>
  </si>
  <si>
    <t>[Si-C]</t>
    <phoneticPr fontId="1"/>
  </si>
  <si>
    <t>SI-C</t>
    <phoneticPr fontId="1"/>
  </si>
  <si>
    <t>[MC1]</t>
    <phoneticPr fontId="1"/>
  </si>
  <si>
    <t>MC1</t>
    <phoneticPr fontId="1"/>
  </si>
  <si>
    <t>4/10-11</t>
    <phoneticPr fontId="1"/>
  </si>
  <si>
    <t>2019/03/15,After 製造(Must)FOR RST</t>
    <phoneticPr fontId="1"/>
  </si>
  <si>
    <t>414-AM188</t>
    <phoneticPr fontId="1"/>
  </si>
  <si>
    <t>6/12-13</t>
    <phoneticPr fontId="1"/>
  </si>
  <si>
    <t>5/15以降</t>
    <phoneticPr fontId="1"/>
  </si>
  <si>
    <t>[MCX-2005 *200kg Packing*]</t>
    <phoneticPr fontId="1"/>
  </si>
  <si>
    <t>010708150017</t>
    <phoneticPr fontId="1"/>
  </si>
  <si>
    <t>414-AM176</t>
    <phoneticPr fontId="1"/>
  </si>
  <si>
    <t>2/20-21</t>
    <phoneticPr fontId="1"/>
  </si>
  <si>
    <t>Z07.Z14</t>
    <phoneticPr fontId="1"/>
  </si>
  <si>
    <t>B06.B07</t>
    <phoneticPr fontId="1"/>
  </si>
  <si>
    <t>7(2)</t>
    <phoneticPr fontId="1"/>
  </si>
  <si>
    <t>414-AM179</t>
    <phoneticPr fontId="1"/>
  </si>
  <si>
    <t>抜港により本線変更</t>
    <phoneticPr fontId="1"/>
  </si>
  <si>
    <t>12</t>
    <phoneticPr fontId="1"/>
  </si>
  <si>
    <t>414-AM178</t>
    <phoneticPr fontId="1"/>
  </si>
  <si>
    <t>3/20-21</t>
    <phoneticPr fontId="1"/>
  </si>
  <si>
    <t>13</t>
    <phoneticPr fontId="1"/>
  </si>
  <si>
    <t>414-AM181</t>
    <phoneticPr fontId="1"/>
  </si>
  <si>
    <t>4/3-4</t>
    <phoneticPr fontId="1"/>
  </si>
  <si>
    <t>13(2)</t>
    <phoneticPr fontId="1"/>
  </si>
  <si>
    <t>414-AM182</t>
    <phoneticPr fontId="1"/>
  </si>
  <si>
    <t>14</t>
    <phoneticPr fontId="1"/>
  </si>
  <si>
    <t>414-AM184</t>
    <phoneticPr fontId="1"/>
  </si>
  <si>
    <t>4/24-25</t>
    <phoneticPr fontId="1"/>
  </si>
  <si>
    <t>15</t>
    <phoneticPr fontId="1"/>
  </si>
  <si>
    <t>414-AM185</t>
    <phoneticPr fontId="1"/>
  </si>
  <si>
    <t>5/8-9</t>
    <phoneticPr fontId="1"/>
  </si>
  <si>
    <t>15(2)</t>
    <phoneticPr fontId="1"/>
  </si>
  <si>
    <t>414-AM189</t>
    <phoneticPr fontId="1"/>
  </si>
  <si>
    <t>5/22-23</t>
    <phoneticPr fontId="1"/>
  </si>
  <si>
    <t>414-AM186</t>
    <phoneticPr fontId="1"/>
  </si>
  <si>
    <t>6/5-6</t>
    <phoneticPr fontId="1"/>
  </si>
  <si>
    <t>6/9.</t>
    <phoneticPr fontId="1"/>
  </si>
  <si>
    <t>414-AM187</t>
    <phoneticPr fontId="1"/>
  </si>
  <si>
    <t>6/26-27</t>
    <phoneticPr fontId="1"/>
  </si>
  <si>
    <t>414-AM192</t>
    <phoneticPr fontId="1"/>
  </si>
  <si>
    <t>7/10-11</t>
    <phoneticPr fontId="1"/>
  </si>
  <si>
    <t>414-AM190</t>
    <phoneticPr fontId="1"/>
  </si>
  <si>
    <t>7/24-25</t>
    <phoneticPr fontId="1"/>
  </si>
  <si>
    <t xml:space="preserve">    </t>
    <phoneticPr fontId="1"/>
  </si>
  <si>
    <t>7/17-18</t>
    <phoneticPr fontId="1"/>
  </si>
  <si>
    <t>D22</t>
    <phoneticPr fontId="1"/>
  </si>
  <si>
    <t>D05.D06.D08.D12</t>
    <phoneticPr fontId="1"/>
  </si>
  <si>
    <t>6</t>
  </si>
  <si>
    <t>819(2)</t>
    <phoneticPr fontId="1"/>
  </si>
  <si>
    <t>HNO3 -- 40DM</t>
    <phoneticPr fontId="1"/>
  </si>
  <si>
    <t>2019/05/01 After製造(Must) FOR UMC ※need with analysis report</t>
    <phoneticPr fontId="1"/>
  </si>
  <si>
    <t>414-HNO3990</t>
    <phoneticPr fontId="1"/>
  </si>
  <si>
    <t>4/16</t>
    <phoneticPr fontId="1"/>
  </si>
  <si>
    <t>C21(40)C23(40)</t>
    <phoneticPr fontId="1"/>
  </si>
  <si>
    <t>2019/03/21 After製造(Must) FOR PTC</t>
    <phoneticPr fontId="1"/>
  </si>
  <si>
    <t>414-HNO3991</t>
    <phoneticPr fontId="1"/>
  </si>
  <si>
    <t>4/23</t>
    <phoneticPr fontId="1"/>
  </si>
  <si>
    <t>D05.D06.D08.D12</t>
    <phoneticPr fontId="1"/>
  </si>
  <si>
    <t>2019/03/28 After製造(Must) FOR UMC ※need with analysis report</t>
    <phoneticPr fontId="1"/>
  </si>
  <si>
    <t>C26(28)C27(28)C28(24)</t>
    <phoneticPr fontId="1"/>
  </si>
  <si>
    <t>2019/03/13 After製造(Must) FOR PTC</t>
    <phoneticPr fontId="1"/>
  </si>
  <si>
    <t>C28(4)C29(28)</t>
    <phoneticPr fontId="1"/>
  </si>
  <si>
    <t>2019/04/05 After製造(Must) FOR PTC</t>
    <phoneticPr fontId="1"/>
  </si>
  <si>
    <t>414-HNO3993</t>
    <phoneticPr fontId="1"/>
  </si>
  <si>
    <t>5/14</t>
    <phoneticPr fontId="1"/>
  </si>
  <si>
    <t>2019/04/12 After製造(Must) FOR PTC</t>
    <phoneticPr fontId="1"/>
  </si>
  <si>
    <t>414-HNO3992</t>
    <phoneticPr fontId="1"/>
  </si>
  <si>
    <t>5/21</t>
    <phoneticPr fontId="1"/>
  </si>
  <si>
    <t>2019/04/20 After製造(Must) FOR PTC</t>
    <phoneticPr fontId="1"/>
  </si>
  <si>
    <t>825(2)</t>
    <phoneticPr fontId="1"/>
  </si>
  <si>
    <t>2019/04/13 After製造(Must) FOR PTC</t>
    <phoneticPr fontId="1"/>
  </si>
  <si>
    <t>2019/04/13 After製造(Must) FOR UMC ※need with analysis report</t>
    <phoneticPr fontId="1"/>
  </si>
  <si>
    <t>414-HNO3994</t>
    <phoneticPr fontId="1"/>
  </si>
  <si>
    <t>6/4</t>
    <phoneticPr fontId="1"/>
  </si>
  <si>
    <t>2019/05/09 After製造(Must) FOR PTC</t>
    <phoneticPr fontId="1"/>
  </si>
  <si>
    <t>827(2)</t>
    <phoneticPr fontId="1"/>
  </si>
  <si>
    <t>414-HNO3995</t>
    <phoneticPr fontId="1"/>
  </si>
  <si>
    <t>6/11</t>
    <phoneticPr fontId="1"/>
  </si>
  <si>
    <t>2019/05/16 After製造(Must) FOR UMC ※need with analysis report</t>
    <phoneticPr fontId="1"/>
  </si>
  <si>
    <t>414-HNO3996</t>
    <phoneticPr fontId="1"/>
  </si>
  <si>
    <t>6/18</t>
    <phoneticPr fontId="1"/>
  </si>
  <si>
    <t>2019/05/23 After製造(Must) FOR PTC</t>
    <phoneticPr fontId="1"/>
  </si>
  <si>
    <t>010804120031</t>
    <phoneticPr fontId="1"/>
  </si>
  <si>
    <t>2019/04/24 After製造(Must) FOR PTC</t>
    <phoneticPr fontId="1"/>
  </si>
  <si>
    <t>010804120032</t>
    <phoneticPr fontId="1"/>
  </si>
  <si>
    <t>2019/05/15 After製造(Must) FOR PTC</t>
    <phoneticPr fontId="1"/>
  </si>
  <si>
    <t>HNO3 -- 160DM</t>
    <phoneticPr fontId="1"/>
  </si>
  <si>
    <t>414-HNO3998</t>
    <phoneticPr fontId="1"/>
  </si>
  <si>
    <t>6/25</t>
    <phoneticPr fontId="1"/>
  </si>
  <si>
    <t>2019/05/30 After製造(Must) FOR PTC</t>
    <phoneticPr fontId="1"/>
  </si>
  <si>
    <t>2019/05/29 After製造(Must) FOR UMC ※need with analysis report</t>
    <phoneticPr fontId="1"/>
  </si>
  <si>
    <t>414-HNO3999</t>
    <phoneticPr fontId="1"/>
  </si>
  <si>
    <t>7/2</t>
    <phoneticPr fontId="1"/>
  </si>
  <si>
    <t>2019/06/06 After製造(Must) FOR PTC</t>
    <phoneticPr fontId="1"/>
  </si>
  <si>
    <t>414-HNO3001</t>
    <phoneticPr fontId="1"/>
  </si>
  <si>
    <t>7/9</t>
    <phoneticPr fontId="1"/>
  </si>
  <si>
    <t>2019/06/13 After製造(Must) FOR PTC</t>
    <phoneticPr fontId="1"/>
  </si>
  <si>
    <t>414-HNO3002</t>
    <phoneticPr fontId="1"/>
  </si>
  <si>
    <t>7/16</t>
    <phoneticPr fontId="1"/>
  </si>
  <si>
    <t>2019/06/20 After製造(Must) FOR PTC</t>
    <phoneticPr fontId="1"/>
  </si>
  <si>
    <t>2019/06/19 After製造(Must) FOR UMC ※need with analysis report</t>
    <phoneticPr fontId="1"/>
  </si>
  <si>
    <t>414-HNO3003</t>
    <phoneticPr fontId="1"/>
  </si>
  <si>
    <t>7/23</t>
    <phoneticPr fontId="1"/>
  </si>
  <si>
    <t>2019/06/208 After製造(Must) FOR PTC</t>
    <phoneticPr fontId="1"/>
  </si>
  <si>
    <t>2019/06/27 After製造(Must) FOR UMC ※need with analysis report</t>
    <phoneticPr fontId="1"/>
  </si>
  <si>
    <t>2/13-14</t>
    <phoneticPr fontId="1"/>
  </si>
  <si>
    <t>2019/01/15 After 製造(Must) SPEC FOR NON-N20</t>
    <phoneticPr fontId="1"/>
  </si>
  <si>
    <t>414-UM1806</t>
    <phoneticPr fontId="1"/>
  </si>
  <si>
    <t>3/20-21</t>
    <phoneticPr fontId="1"/>
  </si>
  <si>
    <t>2019/02/28 After 製造(Must) SPEC FOR NON-N20</t>
    <phoneticPr fontId="1"/>
  </si>
  <si>
    <t>010801280007</t>
    <phoneticPr fontId="1"/>
  </si>
  <si>
    <t>414-UM1802</t>
    <phoneticPr fontId="1"/>
  </si>
  <si>
    <t>4/17-18</t>
    <phoneticPr fontId="1"/>
  </si>
  <si>
    <t>2019/03/28 After 製造(Must) SPEC FOR NON-N20</t>
    <phoneticPr fontId="1"/>
  </si>
  <si>
    <t>6/12-13</t>
    <phoneticPr fontId="1"/>
  </si>
  <si>
    <t>2019/05/14 After 製造(Must) SPEC FOR NON-N20</t>
    <phoneticPr fontId="1"/>
  </si>
  <si>
    <t>HCL</t>
    <phoneticPr fontId="1"/>
  </si>
  <si>
    <t>414-UM1819</t>
    <phoneticPr fontId="1"/>
  </si>
  <si>
    <t>7/17-18</t>
    <phoneticPr fontId="1"/>
  </si>
  <si>
    <t>2019/06/11 After 製造(Must) SPEC FOR NON-N20</t>
    <phoneticPr fontId="1"/>
  </si>
  <si>
    <t>414-UM1799</t>
    <phoneticPr fontId="1"/>
  </si>
  <si>
    <t>2/20-21</t>
    <phoneticPr fontId="1"/>
  </si>
  <si>
    <t>Y23(40)</t>
    <phoneticPr fontId="1"/>
  </si>
  <si>
    <t>2018/11/23 After 製造(Must) ※Need analysis report</t>
    <phoneticPr fontId="1"/>
  </si>
  <si>
    <t>010710230010</t>
    <phoneticPr fontId="1"/>
  </si>
  <si>
    <t>414-UM1809</t>
    <phoneticPr fontId="1"/>
  </si>
  <si>
    <t>5/10-11</t>
    <phoneticPr fontId="1"/>
  </si>
  <si>
    <t>D22</t>
    <phoneticPr fontId="1"/>
  </si>
  <si>
    <t>2019/04/12 After 製造(Must)</t>
    <phoneticPr fontId="1"/>
  </si>
  <si>
    <t>151(2)</t>
    <phoneticPr fontId="1"/>
  </si>
  <si>
    <t>5/17-18</t>
    <phoneticPr fontId="1"/>
  </si>
  <si>
    <t>2019/01/21 After 製造(Must)</t>
    <phoneticPr fontId="1"/>
  </si>
  <si>
    <t>4/10-11</t>
    <phoneticPr fontId="1"/>
  </si>
  <si>
    <t>2019/03/22 After 製造(Must)</t>
    <phoneticPr fontId="1"/>
  </si>
  <si>
    <t>緩和しないでください</t>
    <phoneticPr fontId="1"/>
  </si>
  <si>
    <t>154</t>
    <phoneticPr fontId="1"/>
  </si>
  <si>
    <t>414-UM1820</t>
    <phoneticPr fontId="1"/>
  </si>
  <si>
    <t>6/5-6</t>
    <phoneticPr fontId="1"/>
  </si>
  <si>
    <t>2019/05/08 After 製造(Must)</t>
    <phoneticPr fontId="1"/>
  </si>
  <si>
    <t>414-UM1821</t>
    <phoneticPr fontId="1"/>
  </si>
  <si>
    <t>6/26-27</t>
    <phoneticPr fontId="1"/>
  </si>
  <si>
    <t>2019/05/29 After 製造(Must)</t>
    <phoneticPr fontId="1"/>
  </si>
  <si>
    <t>2019/06/20 After 製造(Must)</t>
    <phoneticPr fontId="1"/>
  </si>
  <si>
    <t xml:space="preserve">[Hydrochloric Acid for MMT] </t>
    <phoneticPr fontId="1"/>
  </si>
  <si>
    <t>1</t>
    <phoneticPr fontId="1"/>
  </si>
  <si>
    <t>GN DRUM, SAMPLE</t>
    <phoneticPr fontId="1"/>
  </si>
  <si>
    <t xml:space="preserve">[Hydrochloric Acid for SEHT] </t>
    <phoneticPr fontId="1"/>
  </si>
  <si>
    <t>010802210026</t>
    <phoneticPr fontId="1"/>
  </si>
  <si>
    <t>[Hydrochloric Acid for KINIK *20kg Packing*]</t>
    <phoneticPr fontId="1"/>
  </si>
  <si>
    <t>2019/01/17, After 製造 (Must)</t>
    <phoneticPr fontId="1"/>
  </si>
  <si>
    <t>414-UM1807</t>
    <phoneticPr fontId="1"/>
  </si>
  <si>
    <t>3/8-9</t>
    <phoneticPr fontId="1"/>
  </si>
  <si>
    <t>2019/02/18, After 製造 (Must)</t>
    <phoneticPr fontId="1"/>
  </si>
  <si>
    <t>122（２）</t>
    <phoneticPr fontId="1"/>
  </si>
  <si>
    <t>3/13-14</t>
    <phoneticPr fontId="1"/>
  </si>
  <si>
    <t>414-UM1814</t>
    <phoneticPr fontId="1"/>
  </si>
  <si>
    <t>3/27-28</t>
    <phoneticPr fontId="1"/>
  </si>
  <si>
    <t>2019/02/28, After 製造 (Must)</t>
    <phoneticPr fontId="1"/>
  </si>
  <si>
    <t>414-UM1804</t>
    <phoneticPr fontId="1"/>
  </si>
  <si>
    <t>414-UM1810</t>
    <phoneticPr fontId="1"/>
  </si>
  <si>
    <t>4/3-4</t>
    <phoneticPr fontId="1"/>
  </si>
  <si>
    <t>2019/03/22, After 製造 (Must)</t>
    <phoneticPr fontId="1"/>
  </si>
  <si>
    <t>414-UM1813</t>
    <phoneticPr fontId="1"/>
  </si>
  <si>
    <t>2019/04/22, After 製造 (Must)</t>
    <phoneticPr fontId="1"/>
  </si>
  <si>
    <t>2019/05/22, After 製造 (Must)</t>
    <phoneticPr fontId="1"/>
  </si>
  <si>
    <t>414-UM1824</t>
    <phoneticPr fontId="1"/>
  </si>
  <si>
    <t>7/24-25</t>
    <phoneticPr fontId="1"/>
  </si>
  <si>
    <t>2019/7/01, After 製造 (Must)</t>
    <phoneticPr fontId="1"/>
  </si>
  <si>
    <t>AM1</t>
    <phoneticPr fontId="1"/>
  </si>
  <si>
    <t>414-AM176</t>
    <phoneticPr fontId="1"/>
  </si>
  <si>
    <t>A23</t>
    <phoneticPr fontId="1"/>
  </si>
  <si>
    <t>2018/12/24 After 製造(Must)</t>
    <phoneticPr fontId="1"/>
  </si>
  <si>
    <t>4/10-11</t>
    <phoneticPr fontId="1"/>
  </si>
  <si>
    <t>2019/02/15 After 製造(Must)</t>
    <phoneticPr fontId="1"/>
  </si>
  <si>
    <t>AM1</t>
    <phoneticPr fontId="1"/>
  </si>
  <si>
    <t>4/24-25</t>
    <phoneticPr fontId="1"/>
  </si>
  <si>
    <t>2019/03/01 After 製造(Must)</t>
    <phoneticPr fontId="1"/>
  </si>
  <si>
    <t>AM1</t>
    <phoneticPr fontId="1"/>
  </si>
  <si>
    <t>414-AM185</t>
    <phoneticPr fontId="1"/>
  </si>
  <si>
    <t>5/8-9</t>
    <phoneticPr fontId="1"/>
  </si>
  <si>
    <t>2019/03/13 After 製造(Must)</t>
    <phoneticPr fontId="1"/>
  </si>
  <si>
    <t>23</t>
    <phoneticPr fontId="1"/>
  </si>
  <si>
    <t>414-AM191</t>
    <phoneticPr fontId="1"/>
  </si>
  <si>
    <t>7/17-18</t>
    <phoneticPr fontId="1"/>
  </si>
  <si>
    <t>2019/06/20 After 製造(Must)</t>
    <phoneticPr fontId="1"/>
  </si>
  <si>
    <t>117</t>
    <phoneticPr fontId="1"/>
  </si>
  <si>
    <t>2/13-14</t>
    <phoneticPr fontId="1"/>
  </si>
  <si>
    <t>1/16以降</t>
    <phoneticPr fontId="1"/>
  </si>
  <si>
    <t>118(3)</t>
    <phoneticPr fontId="1"/>
  </si>
  <si>
    <t>010801030018</t>
    <phoneticPr fontId="1"/>
  </si>
  <si>
    <t>118(2)</t>
    <phoneticPr fontId="1"/>
  </si>
  <si>
    <t>414-UM1807</t>
    <phoneticPr fontId="1"/>
  </si>
  <si>
    <t>B21</t>
    <phoneticPr fontId="1"/>
  </si>
  <si>
    <t>118(4)</t>
    <phoneticPr fontId="1"/>
  </si>
  <si>
    <t>010801310002</t>
    <phoneticPr fontId="1"/>
  </si>
  <si>
    <t>414-UM1806</t>
    <phoneticPr fontId="1"/>
  </si>
  <si>
    <t>3/20-21</t>
    <phoneticPr fontId="1"/>
  </si>
  <si>
    <t>B21.C12</t>
    <phoneticPr fontId="1"/>
  </si>
  <si>
    <t>2/18以降</t>
    <phoneticPr fontId="1"/>
  </si>
  <si>
    <t>C28</t>
    <phoneticPr fontId="1"/>
  </si>
  <si>
    <t>3/18以降</t>
    <phoneticPr fontId="1"/>
  </si>
  <si>
    <t>119(2)</t>
    <phoneticPr fontId="1"/>
  </si>
  <si>
    <t>D13</t>
    <phoneticPr fontId="1"/>
  </si>
  <si>
    <t>414-UM1813</t>
    <phoneticPr fontId="1"/>
  </si>
  <si>
    <t>5/17-18</t>
    <phoneticPr fontId="1"/>
  </si>
  <si>
    <t>D25</t>
    <phoneticPr fontId="1"/>
  </si>
  <si>
    <t>4/22以降</t>
    <phoneticPr fontId="1"/>
  </si>
  <si>
    <t>414-UM1818</t>
    <phoneticPr fontId="1"/>
  </si>
  <si>
    <t>6/12-13</t>
    <phoneticPr fontId="1"/>
  </si>
  <si>
    <t>5/16以降</t>
    <phoneticPr fontId="1"/>
  </si>
  <si>
    <t>6/20以降</t>
    <phoneticPr fontId="1"/>
  </si>
  <si>
    <t>414-UM1799</t>
    <phoneticPr fontId="1"/>
  </si>
  <si>
    <t>2/20-21</t>
    <phoneticPr fontId="1"/>
  </si>
  <si>
    <t>414-TYS001A</t>
    <phoneticPr fontId="1"/>
  </si>
  <si>
    <t>414-UM1811</t>
    <phoneticPr fontId="1"/>
  </si>
  <si>
    <t>3/1-2</t>
    <phoneticPr fontId="1"/>
  </si>
  <si>
    <t>B15.B20</t>
    <phoneticPr fontId="1"/>
  </si>
  <si>
    <t>B22</t>
    <phoneticPr fontId="1"/>
  </si>
  <si>
    <t>抜港により本線変更</t>
    <phoneticPr fontId="1"/>
  </si>
  <si>
    <t>414-UM1808</t>
    <phoneticPr fontId="1"/>
  </si>
  <si>
    <t>3/13-14</t>
    <phoneticPr fontId="1"/>
  </si>
  <si>
    <t>B25.B26</t>
    <phoneticPr fontId="1"/>
  </si>
  <si>
    <t>17(2)</t>
    <phoneticPr fontId="1"/>
  </si>
  <si>
    <t>414-UM1814</t>
    <phoneticPr fontId="1"/>
  </si>
  <si>
    <t>3/27-28</t>
    <phoneticPr fontId="1"/>
  </si>
  <si>
    <t>4/17-18</t>
    <phoneticPr fontId="1"/>
  </si>
  <si>
    <t>18(2)</t>
    <phoneticPr fontId="1"/>
  </si>
  <si>
    <t>010802250014</t>
    <phoneticPr fontId="1"/>
  </si>
  <si>
    <t>4/3-4</t>
    <phoneticPr fontId="1"/>
  </si>
  <si>
    <t>19(2)</t>
    <phoneticPr fontId="1"/>
  </si>
  <si>
    <t>010802250017</t>
    <phoneticPr fontId="1"/>
  </si>
  <si>
    <t>5/10-11</t>
    <phoneticPr fontId="1"/>
  </si>
  <si>
    <t>20(2)</t>
    <phoneticPr fontId="1"/>
  </si>
  <si>
    <t>414-UM1822</t>
    <phoneticPr fontId="1"/>
  </si>
  <si>
    <t>5/29-30</t>
    <phoneticPr fontId="1"/>
  </si>
  <si>
    <t>21</t>
    <phoneticPr fontId="1"/>
  </si>
  <si>
    <t>414-UM1823</t>
    <phoneticPr fontId="1"/>
  </si>
  <si>
    <t>6/19-20</t>
    <phoneticPr fontId="1"/>
  </si>
  <si>
    <t>[Si-C]</t>
    <phoneticPr fontId="1"/>
  </si>
  <si>
    <t>3</t>
    <phoneticPr fontId="1"/>
  </si>
  <si>
    <t>010801070023</t>
    <phoneticPr fontId="1"/>
  </si>
  <si>
    <t>SI-C</t>
    <phoneticPr fontId="1"/>
  </si>
  <si>
    <t>010802250013</t>
    <phoneticPr fontId="1"/>
  </si>
  <si>
    <t>[Si-C]</t>
    <phoneticPr fontId="1"/>
  </si>
  <si>
    <t>SI-C</t>
    <phoneticPr fontId="1"/>
  </si>
  <si>
    <t>[MC1]</t>
    <phoneticPr fontId="1"/>
  </si>
  <si>
    <t>MC1</t>
    <phoneticPr fontId="1"/>
  </si>
  <si>
    <t>4/10-11</t>
    <phoneticPr fontId="1"/>
  </si>
  <si>
    <t>2019/03/15,After 製造(Must)FOR RST</t>
    <phoneticPr fontId="1"/>
  </si>
  <si>
    <t>414-AM188</t>
    <phoneticPr fontId="1"/>
  </si>
  <si>
    <t>6/12-13</t>
    <phoneticPr fontId="1"/>
  </si>
  <si>
    <t>5/15以降</t>
    <phoneticPr fontId="1"/>
  </si>
  <si>
    <t>[MCX-2005 *200kg Packing*]</t>
    <phoneticPr fontId="1"/>
  </si>
  <si>
    <t>010708150017</t>
    <phoneticPr fontId="1"/>
  </si>
  <si>
    <t>414-AM176</t>
    <phoneticPr fontId="1"/>
  </si>
  <si>
    <t>2/20-21</t>
    <phoneticPr fontId="1"/>
  </si>
  <si>
    <t>Z07.Z14</t>
    <phoneticPr fontId="1"/>
  </si>
  <si>
    <t>B06.B07</t>
    <phoneticPr fontId="1"/>
  </si>
  <si>
    <t>7(2)</t>
    <phoneticPr fontId="1"/>
  </si>
  <si>
    <t>414-AM179</t>
    <phoneticPr fontId="1"/>
  </si>
  <si>
    <t>抜港により本線変更</t>
    <phoneticPr fontId="1"/>
  </si>
  <si>
    <t>12</t>
    <phoneticPr fontId="1"/>
  </si>
  <si>
    <t>414-AM178</t>
    <phoneticPr fontId="1"/>
  </si>
  <si>
    <t>3/20-21</t>
    <phoneticPr fontId="1"/>
  </si>
  <si>
    <t>13</t>
    <phoneticPr fontId="1"/>
  </si>
  <si>
    <t>414-AM181</t>
    <phoneticPr fontId="1"/>
  </si>
  <si>
    <t>4/3-4</t>
    <phoneticPr fontId="1"/>
  </si>
  <si>
    <t>13(2)</t>
    <phoneticPr fontId="1"/>
  </si>
  <si>
    <t>414-AM182</t>
    <phoneticPr fontId="1"/>
  </si>
  <si>
    <t>14</t>
    <phoneticPr fontId="1"/>
  </si>
  <si>
    <t>414-AM184</t>
    <phoneticPr fontId="1"/>
  </si>
  <si>
    <t>4/24-25</t>
    <phoneticPr fontId="1"/>
  </si>
  <si>
    <t>15</t>
    <phoneticPr fontId="1"/>
  </si>
  <si>
    <t>414-AM185</t>
    <phoneticPr fontId="1"/>
  </si>
  <si>
    <t>5/8-9</t>
    <phoneticPr fontId="1"/>
  </si>
  <si>
    <t>15(2)</t>
    <phoneticPr fontId="1"/>
  </si>
  <si>
    <t>414-AM189</t>
    <phoneticPr fontId="1"/>
  </si>
  <si>
    <t>5/22-23</t>
    <phoneticPr fontId="1"/>
  </si>
  <si>
    <t>414-AM186</t>
    <phoneticPr fontId="1"/>
  </si>
  <si>
    <t>6/5-6</t>
    <phoneticPr fontId="1"/>
  </si>
  <si>
    <t>6/9.</t>
    <phoneticPr fontId="1"/>
  </si>
  <si>
    <t>414-AM187</t>
    <phoneticPr fontId="1"/>
  </si>
  <si>
    <t>6/26-27</t>
    <phoneticPr fontId="1"/>
  </si>
  <si>
    <t>414-AM192</t>
    <phoneticPr fontId="1"/>
  </si>
  <si>
    <t>7/10-11</t>
    <phoneticPr fontId="1"/>
  </si>
  <si>
    <t>414-AM190</t>
    <phoneticPr fontId="1"/>
  </si>
  <si>
    <t>7/24-25</t>
    <phoneticPr fontId="1"/>
  </si>
  <si>
    <t xml:space="preserve">    </t>
    <phoneticPr fontId="1"/>
  </si>
  <si>
    <t>小名浜5/31 黒崎6/6着</t>
    <rPh sb="0" eb="2">
      <t>オナ</t>
    </rPh>
    <rPh sb="2" eb="3">
      <t>ハマ</t>
    </rPh>
    <rPh sb="8" eb="10">
      <t>クロサキ</t>
    </rPh>
    <rPh sb="13" eb="14">
      <t>チャク</t>
    </rPh>
    <phoneticPr fontId="1"/>
  </si>
  <si>
    <t>D17(8)D18(8)D23(40)D24(24)</t>
    <phoneticPr fontId="1"/>
  </si>
  <si>
    <t>D24(8)D25(32)</t>
    <phoneticPr fontId="1"/>
  </si>
  <si>
    <t>D12(4)D13(24)D19(12)</t>
    <phoneticPr fontId="1"/>
  </si>
  <si>
    <t>D25(8)D26(8)</t>
    <phoneticPr fontId="1"/>
  </si>
  <si>
    <t>UMCとしてD19(8)D20(20)</t>
    <phoneticPr fontId="1"/>
  </si>
  <si>
    <t>830(2)</t>
    <phoneticPr fontId="1"/>
  </si>
  <si>
    <t xml:space="preserve">[Nitric Acid for UMC] </t>
    <phoneticPr fontId="1"/>
  </si>
  <si>
    <t>銘柄変更　D26(20)D27(28)</t>
    <rPh sb="0" eb="2">
      <t>メイガラ</t>
    </rPh>
    <rPh sb="2" eb="4">
      <t>ヘンコウ</t>
    </rPh>
    <phoneticPr fontId="1"/>
  </si>
  <si>
    <t>D29(24)E03(16)</t>
    <phoneticPr fontId="1"/>
  </si>
  <si>
    <t>E03(8)E04(24)</t>
    <phoneticPr fontId="1"/>
  </si>
  <si>
    <r>
      <t>1</t>
    </r>
    <r>
      <rPr>
        <sz val="16"/>
        <color rgb="FF000000"/>
        <rFont val="メイリオ"/>
        <family val="3"/>
        <charset val="128"/>
      </rPr>
      <t>）</t>
    </r>
    <r>
      <rPr>
        <sz val="16"/>
        <color rgb="FF000000"/>
        <rFont val="Calibri"/>
        <family val="2"/>
      </rPr>
      <t>D29, E03, E04</t>
    </r>
    <r>
      <rPr>
        <sz val="16"/>
        <color rgb="FF000000"/>
        <rFont val="メイリオ"/>
        <family val="3"/>
        <charset val="128"/>
      </rPr>
      <t>を</t>
    </r>
    <r>
      <rPr>
        <sz val="16"/>
        <color rgb="FF000000"/>
        <rFont val="Calibri"/>
        <family val="2"/>
      </rPr>
      <t>PTC</t>
    </r>
    <r>
      <rPr>
        <sz val="16"/>
        <color rgb="FF000000"/>
        <rFont val="メイリオ"/>
        <family val="3"/>
        <charset val="128"/>
      </rPr>
      <t>向けに変更しても良いですか？</t>
    </r>
  </si>
  <si>
    <r>
      <t>2</t>
    </r>
    <r>
      <rPr>
        <sz val="16"/>
        <color rgb="FF000000"/>
        <rFont val="メイリオ"/>
        <family val="3"/>
        <charset val="128"/>
      </rPr>
      <t>）</t>
    </r>
    <r>
      <rPr>
        <sz val="16"/>
        <color rgb="FF000000"/>
        <rFont val="Calibri"/>
        <family val="2"/>
      </rPr>
      <t>5/20</t>
    </r>
    <r>
      <rPr>
        <sz val="16"/>
        <color rgb="FF000000"/>
        <rFont val="メイリオ"/>
        <family val="3"/>
        <charset val="128"/>
      </rPr>
      <t>出荷に、</t>
    </r>
    <r>
      <rPr>
        <sz val="16"/>
        <color rgb="FF000000"/>
        <rFont val="Calibri"/>
        <family val="2"/>
      </rPr>
      <t>UMC</t>
    </r>
    <r>
      <rPr>
        <sz val="16"/>
        <color rgb="FF000000"/>
        <rFont val="メイリオ"/>
        <family val="3"/>
        <charset val="128"/>
      </rPr>
      <t>向け分は残りの</t>
    </r>
    <r>
      <rPr>
        <sz val="16"/>
        <color rgb="FF000000"/>
        <rFont val="Calibri"/>
        <family val="2"/>
      </rPr>
      <t>56</t>
    </r>
    <r>
      <rPr>
        <sz val="16"/>
        <color rgb="FF000000"/>
        <rFont val="メイリオ"/>
        <family val="3"/>
        <charset val="128"/>
      </rPr>
      <t>本だけで良いので、</t>
    </r>
    <r>
      <rPr>
        <sz val="16"/>
        <color rgb="FF000000"/>
        <rFont val="Calibri"/>
        <family val="2"/>
      </rPr>
      <t>24</t>
    </r>
    <r>
      <rPr>
        <sz val="16"/>
        <color rgb="FF000000"/>
        <rFont val="メイリオ"/>
        <family val="3"/>
        <charset val="128"/>
      </rPr>
      <t>本の</t>
    </r>
    <r>
      <rPr>
        <sz val="16"/>
        <color rgb="FF000000"/>
        <rFont val="Calibri"/>
        <family val="2"/>
      </rPr>
      <t>PTC</t>
    </r>
    <r>
      <rPr>
        <sz val="16"/>
        <color rgb="FF000000"/>
        <rFont val="メイリオ"/>
        <family val="3"/>
        <charset val="128"/>
      </rPr>
      <t>向け分を一緒に積載できますか？</t>
    </r>
  </si>
  <si>
    <r>
      <t>3</t>
    </r>
    <r>
      <rPr>
        <sz val="16"/>
        <color rgb="FF000000"/>
        <rFont val="メイリオ"/>
        <family val="3"/>
        <charset val="128"/>
      </rPr>
      <t>）</t>
    </r>
    <r>
      <rPr>
        <sz val="16"/>
        <color rgb="FF000000"/>
        <rFont val="Calibri"/>
        <family val="2"/>
      </rPr>
      <t>5/27</t>
    </r>
    <r>
      <rPr>
        <sz val="16"/>
        <color rgb="FF000000"/>
        <rFont val="メイリオ"/>
        <family val="3"/>
        <charset val="128"/>
      </rPr>
      <t>出荷に、計</t>
    </r>
    <r>
      <rPr>
        <sz val="16"/>
        <color rgb="FF000000"/>
        <rFont val="Calibri"/>
        <family val="2"/>
      </rPr>
      <t>160</t>
    </r>
    <r>
      <rPr>
        <sz val="16"/>
        <color rgb="FF000000"/>
        <rFont val="メイリオ"/>
        <family val="3"/>
        <charset val="128"/>
      </rPr>
      <t>本を</t>
    </r>
    <r>
      <rPr>
        <sz val="16"/>
        <color rgb="FF000000"/>
        <rFont val="Calibri"/>
        <family val="2"/>
      </rPr>
      <t>PTC</t>
    </r>
    <r>
      <rPr>
        <sz val="16"/>
        <color rgb="FF000000"/>
        <rFont val="メイリオ"/>
        <family val="3"/>
        <charset val="128"/>
      </rPr>
      <t>向け分にしても良いですか？</t>
    </r>
  </si>
  <si>
    <t>D19(8)D20(20)D27(28)</t>
    <phoneticPr fontId="1"/>
  </si>
  <si>
    <t>品名略号</t>
  </si>
  <si>
    <t>ロット</t>
  </si>
  <si>
    <t>グレード１</t>
  </si>
  <si>
    <t>検定区分</t>
  </si>
  <si>
    <t>数量</t>
    <phoneticPr fontId="33" type="noConversion"/>
  </si>
  <si>
    <t>個数</t>
    <phoneticPr fontId="33" type="noConversion"/>
  </si>
  <si>
    <t>出荷</t>
    <rPh sb="0" eb="2">
      <t>ｼｭｯｶ</t>
    </rPh>
    <phoneticPr fontId="33" type="noConversion"/>
  </si>
  <si>
    <r>
      <t>U</t>
    </r>
    <r>
      <rPr>
        <sz val="10"/>
        <rFont val="Arial"/>
        <family val="2"/>
      </rPr>
      <t xml:space="preserve">MC </t>
    </r>
    <phoneticPr fontId="33" type="noConversion"/>
  </si>
  <si>
    <t>N79D12</t>
  </si>
  <si>
    <t>D2UMC</t>
  </si>
  <si>
    <t>合格</t>
    <rPh sb="0" eb="2">
      <t>ｺﾞｳｶｸ</t>
    </rPh>
    <phoneticPr fontId="33" type="noConversion"/>
  </si>
  <si>
    <t>N79D13</t>
  </si>
  <si>
    <t>N79D19</t>
  </si>
  <si>
    <r>
      <t>5/13</t>
    </r>
    <r>
      <rPr>
        <sz val="10"/>
        <rFont val="Arial"/>
        <family val="2"/>
      </rPr>
      <t>(12)</t>
    </r>
    <phoneticPr fontId="33" type="noConversion"/>
  </si>
  <si>
    <r>
      <t>5</t>
    </r>
    <r>
      <rPr>
        <sz val="10"/>
        <rFont val="Arial"/>
        <family val="2"/>
      </rPr>
      <t>/20(</t>
    </r>
    <r>
      <rPr>
        <sz val="11"/>
        <color theme="1"/>
        <rFont val="新細明體"/>
        <family val="2"/>
        <charset val="128"/>
        <scheme val="minor"/>
      </rPr>
      <t>8</t>
    </r>
    <r>
      <rPr>
        <sz val="10"/>
        <rFont val="Arial"/>
        <family val="2"/>
      </rPr>
      <t>)</t>
    </r>
    <phoneticPr fontId="33" type="noConversion"/>
  </si>
  <si>
    <t>N79D20</t>
  </si>
  <si>
    <t>N79D27</t>
  </si>
  <si>
    <t>PTC</t>
    <phoneticPr fontId="33" type="noConversion"/>
  </si>
  <si>
    <t>N79D17</t>
  </si>
  <si>
    <t>D2US</t>
  </si>
  <si>
    <t>N79D18</t>
  </si>
  <si>
    <t>N79D23</t>
  </si>
  <si>
    <t>N79D24</t>
  </si>
  <si>
    <t>N79D25</t>
  </si>
  <si>
    <t>5/13(32)</t>
    <phoneticPr fontId="33" type="noConversion"/>
  </si>
  <si>
    <t>PTCへ</t>
    <phoneticPr fontId="33" type="noConversion"/>
  </si>
  <si>
    <t>N79D26</t>
  </si>
  <si>
    <t>未</t>
    <rPh sb="0" eb="1">
      <t>ﾐ</t>
    </rPh>
    <phoneticPr fontId="33" type="noConversion"/>
  </si>
  <si>
    <t>PTC</t>
    <phoneticPr fontId="33" type="noConversion"/>
  </si>
  <si>
    <t>PTCへ</t>
    <phoneticPr fontId="33" type="noConversion"/>
  </si>
  <si>
    <t>N79D29</t>
  </si>
  <si>
    <t>N79E03</t>
  </si>
  <si>
    <t>N79E04</t>
  </si>
  <si>
    <t>D25(8)D26(28)D29(24)E03(20)</t>
    <phoneticPr fontId="1"/>
  </si>
  <si>
    <t>E03(4)E04(20)</t>
    <phoneticPr fontId="1"/>
  </si>
  <si>
    <t>E04(4)</t>
    <phoneticPr fontId="1"/>
  </si>
  <si>
    <t>5/20(20)</t>
    <phoneticPr fontId="1"/>
  </si>
  <si>
    <t>5/27(4)</t>
    <phoneticPr fontId="1"/>
  </si>
  <si>
    <t>7/10-11</t>
    <phoneticPr fontId="1"/>
  </si>
  <si>
    <t>414-UM1825</t>
    <phoneticPr fontId="1"/>
  </si>
  <si>
    <t>No</t>
    <phoneticPr fontId="1"/>
  </si>
  <si>
    <t>Item</t>
    <phoneticPr fontId="1"/>
  </si>
  <si>
    <t>Container Type</t>
    <phoneticPr fontId="1"/>
  </si>
  <si>
    <t>Request</t>
    <phoneticPr fontId="1"/>
  </si>
  <si>
    <t>LOT</t>
    <phoneticPr fontId="1"/>
  </si>
  <si>
    <t xml:space="preserve">Sample </t>
    <phoneticPr fontId="1"/>
  </si>
  <si>
    <t>Coment</t>
    <phoneticPr fontId="1"/>
  </si>
  <si>
    <t>414-HNO3986</t>
    <phoneticPr fontId="1"/>
  </si>
  <si>
    <t>B26</t>
    <phoneticPr fontId="1"/>
  </si>
  <si>
    <t>2019/02/18 After製造(Must) FOR UMC ※need with analysis report</t>
    <phoneticPr fontId="1"/>
  </si>
  <si>
    <t>414-HNO3984</t>
    <phoneticPr fontId="1"/>
  </si>
  <si>
    <t>3/5</t>
    <phoneticPr fontId="1"/>
  </si>
  <si>
    <t>2019/02/03 After製造(Must) FOR PTC</t>
    <phoneticPr fontId="1"/>
  </si>
  <si>
    <t>B18.19.20.21.22.23</t>
    <phoneticPr fontId="1"/>
  </si>
  <si>
    <t>2019/02/18 After製造(Must) FOR PTC</t>
    <phoneticPr fontId="1"/>
  </si>
  <si>
    <t>HNO3 -- 40DM</t>
    <phoneticPr fontId="1"/>
  </si>
  <si>
    <t>414-HNO3997</t>
    <phoneticPr fontId="1"/>
  </si>
  <si>
    <t>4/9</t>
    <phoneticPr fontId="1"/>
  </si>
  <si>
    <t>C30(28)D02(28)</t>
    <phoneticPr fontId="1"/>
  </si>
  <si>
    <t>2019/02/26 After製造(Must) FOR UMC ※need with analysis report</t>
    <phoneticPr fontId="1"/>
  </si>
  <si>
    <t>HNO3 -- 120DM</t>
    <phoneticPr fontId="1"/>
  </si>
  <si>
    <t>414-HNO3987</t>
    <phoneticPr fontId="1"/>
  </si>
  <si>
    <t>3/26</t>
    <phoneticPr fontId="1"/>
  </si>
  <si>
    <t>B25.27.28.C01.02</t>
    <phoneticPr fontId="1"/>
  </si>
  <si>
    <t>2019/02/25 After製造(Must) FOR PTC</t>
    <phoneticPr fontId="1"/>
  </si>
  <si>
    <t>414-HNO3990</t>
    <phoneticPr fontId="1"/>
  </si>
  <si>
    <t>4/16</t>
    <phoneticPr fontId="1"/>
  </si>
  <si>
    <t>D03(28)D04(28)D05(24)</t>
    <phoneticPr fontId="1"/>
  </si>
  <si>
    <t>2019/03/20 After製造(Must) FOR UMC ※need with analysis report</t>
    <phoneticPr fontId="1"/>
  </si>
  <si>
    <t>414-HNO3989</t>
    <phoneticPr fontId="1"/>
  </si>
  <si>
    <t>5/28</t>
    <phoneticPr fontId="1"/>
  </si>
  <si>
    <t>E04(4)</t>
    <phoneticPr fontId="1"/>
  </si>
  <si>
    <t>2019/05/02 After製造(Must) FOR PTC</t>
    <phoneticPr fontId="1"/>
  </si>
  <si>
    <t>819(3)</t>
    <phoneticPr fontId="1"/>
  </si>
  <si>
    <t>819(2)</t>
    <phoneticPr fontId="1"/>
  </si>
  <si>
    <t>HNO3 -- 40DM</t>
    <phoneticPr fontId="1"/>
  </si>
  <si>
    <t>2019/05/01 After製造(Must) FOR UMC ※need with analysis report</t>
    <phoneticPr fontId="1"/>
  </si>
  <si>
    <t>414-HNO3990</t>
    <phoneticPr fontId="1"/>
  </si>
  <si>
    <t>4/16</t>
    <phoneticPr fontId="1"/>
  </si>
  <si>
    <t>C21(40)C23(40)</t>
    <phoneticPr fontId="1"/>
  </si>
  <si>
    <t>2019/03/21 After製造(Must) FOR PTC</t>
    <phoneticPr fontId="1"/>
  </si>
  <si>
    <t>414-HNO3991</t>
    <phoneticPr fontId="1"/>
  </si>
  <si>
    <t>4/23</t>
    <phoneticPr fontId="1"/>
  </si>
  <si>
    <t>D05.D06.D08.D12</t>
    <phoneticPr fontId="1"/>
  </si>
  <si>
    <t>2019/03/28 After製造(Must) FOR UMC ※need with analysis report</t>
    <phoneticPr fontId="1"/>
  </si>
  <si>
    <t>C26(28)C27(28)C28(24)</t>
    <phoneticPr fontId="1"/>
  </si>
  <si>
    <t>2019/03/13 After製造(Must) FOR PTC</t>
    <phoneticPr fontId="1"/>
  </si>
  <si>
    <t>C28(4)C29(28)</t>
    <phoneticPr fontId="1"/>
  </si>
  <si>
    <t>2019/04/05 After製造(Must) FOR PTC</t>
    <phoneticPr fontId="1"/>
  </si>
  <si>
    <t>414-HNO3993</t>
    <phoneticPr fontId="1"/>
  </si>
  <si>
    <t>5/14</t>
    <phoneticPr fontId="1"/>
  </si>
  <si>
    <t>D17(8)D18(8)D23(40)D24(24)</t>
    <phoneticPr fontId="1"/>
  </si>
  <si>
    <t>2019/04/12 After製造(Must) FOR PTC</t>
    <phoneticPr fontId="1"/>
  </si>
  <si>
    <t>825(2)</t>
    <phoneticPr fontId="1"/>
  </si>
  <si>
    <t>D24(8)D25(32)</t>
    <phoneticPr fontId="1"/>
  </si>
  <si>
    <t>2019/04/13 After製造(Must) FOR PTC</t>
    <phoneticPr fontId="1"/>
  </si>
  <si>
    <t>D12(4)D13(24)D19(12)</t>
    <phoneticPr fontId="1"/>
  </si>
  <si>
    <t>2019/04/13 After製造(Must) FOR UMC ※need with analysis report</t>
    <phoneticPr fontId="1"/>
  </si>
  <si>
    <t>414-HNO3992</t>
    <phoneticPr fontId="1"/>
  </si>
  <si>
    <t>5/21</t>
    <phoneticPr fontId="1"/>
  </si>
  <si>
    <t>D25(8)D26(28)D29(24)E03(20)</t>
    <phoneticPr fontId="1"/>
  </si>
  <si>
    <t>2019/04/20 After製造(Must) FOR PTC</t>
    <phoneticPr fontId="1"/>
  </si>
  <si>
    <t>414-HNO3994</t>
    <phoneticPr fontId="1"/>
  </si>
  <si>
    <t>6/4</t>
    <phoneticPr fontId="1"/>
  </si>
  <si>
    <t>2019/05/09 After製造(Must) FOR PTC</t>
    <phoneticPr fontId="1"/>
  </si>
  <si>
    <t>827(2)</t>
    <phoneticPr fontId="1"/>
  </si>
  <si>
    <t>414-HNO3995</t>
    <phoneticPr fontId="1"/>
  </si>
  <si>
    <t>6/11</t>
    <phoneticPr fontId="1"/>
  </si>
  <si>
    <t>E03(8)E04(24)</t>
    <phoneticPr fontId="1"/>
  </si>
  <si>
    <t>2019/05/16 After製造(Must) FOR UMC ※need with analysis report</t>
    <phoneticPr fontId="1"/>
  </si>
  <si>
    <t>414-HNO3996</t>
    <phoneticPr fontId="1"/>
  </si>
  <si>
    <t>6/18</t>
    <phoneticPr fontId="1"/>
  </si>
  <si>
    <t>2019/05/23 After製造(Must) FOR PTC</t>
    <phoneticPr fontId="1"/>
  </si>
  <si>
    <t>830(2)</t>
    <phoneticPr fontId="1"/>
  </si>
  <si>
    <t>010804120031</t>
    <phoneticPr fontId="1"/>
  </si>
  <si>
    <t>E03(4)E04(20)</t>
    <phoneticPr fontId="1"/>
  </si>
  <si>
    <t>2019/04/24 After製造(Must) FOR PTC</t>
    <phoneticPr fontId="1"/>
  </si>
  <si>
    <t xml:space="preserve">[Nitric Acid for UMC] </t>
    <phoneticPr fontId="1"/>
  </si>
  <si>
    <t>D19(8)D20(20)D27(28)</t>
    <phoneticPr fontId="1"/>
  </si>
  <si>
    <t>010804120032</t>
    <phoneticPr fontId="1"/>
  </si>
  <si>
    <t>2019/05/15 After製造(Must) FOR PTC</t>
    <phoneticPr fontId="1"/>
  </si>
  <si>
    <t>HNO3 -- 160DM</t>
    <phoneticPr fontId="1"/>
  </si>
  <si>
    <t>414-HNO3998</t>
    <phoneticPr fontId="1"/>
  </si>
  <si>
    <t>6/25</t>
    <phoneticPr fontId="1"/>
  </si>
  <si>
    <t>414-HNO3999</t>
    <phoneticPr fontId="1"/>
  </si>
  <si>
    <t>7/2</t>
    <phoneticPr fontId="1"/>
  </si>
  <si>
    <t>414-HNO3001</t>
    <phoneticPr fontId="1"/>
  </si>
  <si>
    <t>7/9</t>
    <phoneticPr fontId="1"/>
  </si>
  <si>
    <t>2019/06/13 After製造(Must) FOR PTC</t>
    <phoneticPr fontId="1"/>
  </si>
  <si>
    <t>414-HNO3002</t>
    <phoneticPr fontId="1"/>
  </si>
  <si>
    <t>7/16</t>
    <phoneticPr fontId="1"/>
  </si>
  <si>
    <t>2019/06/20 After製造(Must) FOR PTC</t>
    <phoneticPr fontId="1"/>
  </si>
  <si>
    <t>2019/06/19 After製造(Must) FOR UMC ※need with analysis report</t>
    <phoneticPr fontId="1"/>
  </si>
  <si>
    <t>414-HNO3003</t>
    <phoneticPr fontId="1"/>
  </si>
  <si>
    <t>7/23</t>
    <phoneticPr fontId="1"/>
  </si>
  <si>
    <t>2019/06/208 After製造(Must) FOR PTC</t>
    <phoneticPr fontId="1"/>
  </si>
  <si>
    <t>2019/06/27 After製造(Must) FOR UMC ※need with analysis report</t>
    <phoneticPr fontId="1"/>
  </si>
  <si>
    <t>414-UM1806</t>
    <phoneticPr fontId="1"/>
  </si>
  <si>
    <t>3/20-21</t>
    <phoneticPr fontId="1"/>
  </si>
  <si>
    <t>2019/02/28 After 製造(Must) SPEC FOR NON-N20</t>
    <phoneticPr fontId="1"/>
  </si>
  <si>
    <t>010801280007</t>
    <phoneticPr fontId="1"/>
  </si>
  <si>
    <t>414-UM1802</t>
    <phoneticPr fontId="1"/>
  </si>
  <si>
    <t>4/17-18</t>
    <phoneticPr fontId="1"/>
  </si>
  <si>
    <t>2019/03/28 After 製造(Must) SPEC FOR NON-N20</t>
    <phoneticPr fontId="1"/>
  </si>
  <si>
    <t>6/12-13</t>
    <phoneticPr fontId="1"/>
  </si>
  <si>
    <t>2019/05/14 After 製造(Must) SPEC FOR NON-N20</t>
    <phoneticPr fontId="1"/>
  </si>
  <si>
    <t>HCL</t>
    <phoneticPr fontId="1"/>
  </si>
  <si>
    <t>414-UM1825</t>
    <phoneticPr fontId="1"/>
  </si>
  <si>
    <t>7/10-11</t>
    <phoneticPr fontId="1"/>
  </si>
  <si>
    <t>2019/06/11 After 製造(Must) SPEC FOR NON-N20</t>
    <phoneticPr fontId="1"/>
  </si>
  <si>
    <t>010710230010</t>
    <phoneticPr fontId="1"/>
  </si>
  <si>
    <t>414-UM1809</t>
    <phoneticPr fontId="1"/>
  </si>
  <si>
    <t>5/10-11</t>
    <phoneticPr fontId="1"/>
  </si>
  <si>
    <t>D22</t>
    <phoneticPr fontId="1"/>
  </si>
  <si>
    <t>2019/04/12 After 製造(Must)</t>
    <phoneticPr fontId="1"/>
  </si>
  <si>
    <t>151(2)</t>
    <phoneticPr fontId="1"/>
  </si>
  <si>
    <t>5/17-18</t>
    <phoneticPr fontId="1"/>
  </si>
  <si>
    <t>4/10-11</t>
    <phoneticPr fontId="1"/>
  </si>
  <si>
    <t>2019/03/22 After 製造(Must)</t>
    <phoneticPr fontId="1"/>
  </si>
  <si>
    <t>緩和しないでください</t>
    <phoneticPr fontId="1"/>
  </si>
  <si>
    <t>154</t>
    <phoneticPr fontId="1"/>
  </si>
  <si>
    <t>2019/05/08 After 製造(Must)</t>
    <phoneticPr fontId="1"/>
  </si>
  <si>
    <t>414-UM1821</t>
    <phoneticPr fontId="1"/>
  </si>
  <si>
    <t>6/26-27</t>
    <phoneticPr fontId="1"/>
  </si>
  <si>
    <t>2019/05/22 After 製造(Must)</t>
    <phoneticPr fontId="1"/>
  </si>
  <si>
    <t>010804290011</t>
  </si>
  <si>
    <t>2019/05/29 After 製造(Must)</t>
    <phoneticPr fontId="1"/>
  </si>
  <si>
    <t>7/17-18</t>
    <phoneticPr fontId="1"/>
  </si>
  <si>
    <t>2019/06/06 After 製造(Must)</t>
    <phoneticPr fontId="1"/>
  </si>
  <si>
    <t xml:space="preserve">[Hydrochloric Acid for MMT] </t>
    <phoneticPr fontId="1"/>
  </si>
  <si>
    <t>1</t>
    <phoneticPr fontId="1"/>
  </si>
  <si>
    <t>GN DRUM, SAMPLE</t>
    <phoneticPr fontId="1"/>
  </si>
  <si>
    <t xml:space="preserve">[Hydrochloric Acid for SEHT] </t>
    <phoneticPr fontId="1"/>
  </si>
  <si>
    <t>010802210026</t>
    <phoneticPr fontId="1"/>
  </si>
  <si>
    <t>[Hydrochloric Acid for KINIK *20kg Packing*]</t>
    <phoneticPr fontId="1"/>
  </si>
  <si>
    <t>414-UM1807</t>
    <phoneticPr fontId="1"/>
  </si>
  <si>
    <t>3/8-9</t>
    <phoneticPr fontId="1"/>
  </si>
  <si>
    <t>2019/02/18, After 製造 (Must)</t>
    <phoneticPr fontId="1"/>
  </si>
  <si>
    <t>122（２）</t>
    <phoneticPr fontId="1"/>
  </si>
  <si>
    <t>3/13-14</t>
    <phoneticPr fontId="1"/>
  </si>
  <si>
    <t>414-UM1814</t>
    <phoneticPr fontId="1"/>
  </si>
  <si>
    <t>3/27-28</t>
    <phoneticPr fontId="1"/>
  </si>
  <si>
    <t>2019/02/28, After 製造 (Must)</t>
    <phoneticPr fontId="1"/>
  </si>
  <si>
    <t>414-UM1804</t>
    <phoneticPr fontId="1"/>
  </si>
  <si>
    <t>414-UM1810</t>
    <phoneticPr fontId="1"/>
  </si>
  <si>
    <t>4/3-4</t>
    <phoneticPr fontId="1"/>
  </si>
  <si>
    <t>2019/03/22, After 製造 (Must)</t>
    <phoneticPr fontId="1"/>
  </si>
  <si>
    <t>414-UM1813</t>
    <phoneticPr fontId="1"/>
  </si>
  <si>
    <t>2019/04/22, After 製造 (Must)</t>
    <phoneticPr fontId="1"/>
  </si>
  <si>
    <t>2019/05/22, After 製造 (Must)</t>
    <phoneticPr fontId="1"/>
  </si>
  <si>
    <t>414-UM1824</t>
    <phoneticPr fontId="1"/>
  </si>
  <si>
    <t>7/24-25</t>
    <phoneticPr fontId="1"/>
  </si>
  <si>
    <t>2019/06/19, After 製造 (Must)</t>
    <phoneticPr fontId="1"/>
  </si>
  <si>
    <t>AM1</t>
    <phoneticPr fontId="1"/>
  </si>
  <si>
    <t>4/24-25</t>
    <phoneticPr fontId="1"/>
  </si>
  <si>
    <t>414-AM191</t>
    <phoneticPr fontId="1"/>
  </si>
  <si>
    <t>7/17-18</t>
    <phoneticPr fontId="1"/>
  </si>
  <si>
    <t>2019/06/21 After 製造(Must)</t>
    <phoneticPr fontId="1"/>
  </si>
  <si>
    <t>AM1</t>
    <phoneticPr fontId="1"/>
  </si>
  <si>
    <t>4/10-11</t>
    <phoneticPr fontId="1"/>
  </si>
  <si>
    <t>2019/02/15 After 製造(Must)</t>
    <phoneticPr fontId="1"/>
  </si>
  <si>
    <t>4/24-25</t>
    <phoneticPr fontId="1"/>
  </si>
  <si>
    <t>2019/03/01 After 製造(Must)</t>
    <phoneticPr fontId="1"/>
  </si>
  <si>
    <t>414-AM185</t>
    <phoneticPr fontId="1"/>
  </si>
  <si>
    <t>5/8-9</t>
    <phoneticPr fontId="1"/>
  </si>
  <si>
    <t>2019/03/13 After 製造(Must)</t>
    <phoneticPr fontId="1"/>
  </si>
  <si>
    <t>23</t>
    <phoneticPr fontId="1"/>
  </si>
  <si>
    <t>2019/06/20 After 製造(Must)</t>
    <phoneticPr fontId="1"/>
  </si>
  <si>
    <t>118(2)</t>
    <phoneticPr fontId="1"/>
  </si>
  <si>
    <t>010801030018</t>
    <phoneticPr fontId="1"/>
  </si>
  <si>
    <t>414-UM1807</t>
    <phoneticPr fontId="1"/>
  </si>
  <si>
    <t>B21</t>
    <phoneticPr fontId="1"/>
  </si>
  <si>
    <t>1/16以降</t>
    <phoneticPr fontId="1"/>
  </si>
  <si>
    <t>118(4)</t>
    <phoneticPr fontId="1"/>
  </si>
  <si>
    <t>010801310002</t>
    <phoneticPr fontId="1"/>
  </si>
  <si>
    <t>414-UM1806</t>
    <phoneticPr fontId="1"/>
  </si>
  <si>
    <t>3/20-21</t>
    <phoneticPr fontId="1"/>
  </si>
  <si>
    <t>B21.C12</t>
    <phoneticPr fontId="1"/>
  </si>
  <si>
    <t>2/18以降</t>
    <phoneticPr fontId="1"/>
  </si>
  <si>
    <t>C28</t>
    <phoneticPr fontId="1"/>
  </si>
  <si>
    <t>3/18以降</t>
    <phoneticPr fontId="1"/>
  </si>
  <si>
    <t>119(2)</t>
    <phoneticPr fontId="1"/>
  </si>
  <si>
    <t>D13</t>
    <phoneticPr fontId="1"/>
  </si>
  <si>
    <t>414-UM1813</t>
    <phoneticPr fontId="1"/>
  </si>
  <si>
    <t>5/17-18</t>
    <phoneticPr fontId="1"/>
  </si>
  <si>
    <t>D25</t>
    <phoneticPr fontId="1"/>
  </si>
  <si>
    <t>4/22以降</t>
    <phoneticPr fontId="1"/>
  </si>
  <si>
    <t>414-UM1818</t>
    <phoneticPr fontId="1"/>
  </si>
  <si>
    <t>6/12-13</t>
    <phoneticPr fontId="1"/>
  </si>
  <si>
    <t>5/16以降</t>
    <phoneticPr fontId="1"/>
  </si>
  <si>
    <t>6/28以降</t>
    <phoneticPr fontId="1"/>
  </si>
  <si>
    <t>414-TYS001A</t>
    <phoneticPr fontId="1"/>
  </si>
  <si>
    <t>B22</t>
    <phoneticPr fontId="1"/>
  </si>
  <si>
    <t>抜港により本線変更</t>
    <phoneticPr fontId="1"/>
  </si>
  <si>
    <t>414-UM1808</t>
    <phoneticPr fontId="1"/>
  </si>
  <si>
    <t>3/13-14</t>
    <phoneticPr fontId="1"/>
  </si>
  <si>
    <t>B25.B26</t>
    <phoneticPr fontId="1"/>
  </si>
  <si>
    <t>17(2)</t>
    <phoneticPr fontId="1"/>
  </si>
  <si>
    <t>414-UM1814</t>
    <phoneticPr fontId="1"/>
  </si>
  <si>
    <t>3/27-28</t>
    <phoneticPr fontId="1"/>
  </si>
  <si>
    <t>4/17-18</t>
    <phoneticPr fontId="1"/>
  </si>
  <si>
    <t>18(2)</t>
    <phoneticPr fontId="1"/>
  </si>
  <si>
    <t>010802250014</t>
    <phoneticPr fontId="1"/>
  </si>
  <si>
    <t>4/3-4</t>
    <phoneticPr fontId="1"/>
  </si>
  <si>
    <t>19(2)</t>
    <phoneticPr fontId="1"/>
  </si>
  <si>
    <t>010802250017</t>
    <phoneticPr fontId="1"/>
  </si>
  <si>
    <t>5/10-11</t>
    <phoneticPr fontId="1"/>
  </si>
  <si>
    <t>20(2)</t>
    <phoneticPr fontId="1"/>
  </si>
  <si>
    <t>414-UM1822</t>
    <phoneticPr fontId="1"/>
  </si>
  <si>
    <t>5/29-30</t>
    <phoneticPr fontId="1"/>
  </si>
  <si>
    <t>21</t>
    <phoneticPr fontId="1"/>
  </si>
  <si>
    <t>414-UM1823</t>
    <phoneticPr fontId="1"/>
  </si>
  <si>
    <t>6/19-20</t>
    <phoneticPr fontId="1"/>
  </si>
  <si>
    <t>23</t>
  </si>
  <si>
    <t>24</t>
  </si>
  <si>
    <t>[Si-C]</t>
    <phoneticPr fontId="1"/>
  </si>
  <si>
    <t>010802250013</t>
    <phoneticPr fontId="1"/>
  </si>
  <si>
    <t>SI-C</t>
    <phoneticPr fontId="1"/>
  </si>
  <si>
    <t>[Si-C]</t>
    <phoneticPr fontId="1"/>
  </si>
  <si>
    <t>SI-C</t>
    <phoneticPr fontId="1"/>
  </si>
  <si>
    <t>010804290012</t>
    <phoneticPr fontId="1"/>
  </si>
  <si>
    <t>6/12-13</t>
    <phoneticPr fontId="1"/>
  </si>
  <si>
    <t>010805020003</t>
    <phoneticPr fontId="1"/>
  </si>
  <si>
    <t>8</t>
  </si>
  <si>
    <t>010805020004</t>
    <phoneticPr fontId="1"/>
  </si>
  <si>
    <t>[MC1]</t>
    <phoneticPr fontId="1"/>
  </si>
  <si>
    <t>MC1</t>
    <phoneticPr fontId="1"/>
  </si>
  <si>
    <t>4/10-11</t>
    <phoneticPr fontId="1"/>
  </si>
  <si>
    <t>2019/03/15,After 製造(Must)FOR RST</t>
    <phoneticPr fontId="1"/>
  </si>
  <si>
    <t>414-AM188</t>
    <phoneticPr fontId="1"/>
  </si>
  <si>
    <t>5/15以降</t>
    <phoneticPr fontId="1"/>
  </si>
  <si>
    <t>[MCX-2005 *200kg Packing*]</t>
    <phoneticPr fontId="1"/>
  </si>
  <si>
    <t>7(2)</t>
    <phoneticPr fontId="1"/>
  </si>
  <si>
    <t>010708150017</t>
    <phoneticPr fontId="1"/>
  </si>
  <si>
    <t>414-AM179</t>
    <phoneticPr fontId="1"/>
  </si>
  <si>
    <t>抜港により本線変更</t>
    <phoneticPr fontId="1"/>
  </si>
  <si>
    <t>12</t>
    <phoneticPr fontId="1"/>
  </si>
  <si>
    <t>414-AM178</t>
    <phoneticPr fontId="1"/>
  </si>
  <si>
    <t>3/20-21</t>
    <phoneticPr fontId="1"/>
  </si>
  <si>
    <t>13</t>
    <phoneticPr fontId="1"/>
  </si>
  <si>
    <t>414-AM181</t>
    <phoneticPr fontId="1"/>
  </si>
  <si>
    <t>4/3-4</t>
    <phoneticPr fontId="1"/>
  </si>
  <si>
    <t>13(2)</t>
    <phoneticPr fontId="1"/>
  </si>
  <si>
    <t>414-AM182</t>
    <phoneticPr fontId="1"/>
  </si>
  <si>
    <t>14</t>
    <phoneticPr fontId="1"/>
  </si>
  <si>
    <t>414-AM184</t>
    <phoneticPr fontId="1"/>
  </si>
  <si>
    <t>4/24-25</t>
    <phoneticPr fontId="1"/>
  </si>
  <si>
    <t>15</t>
    <phoneticPr fontId="1"/>
  </si>
  <si>
    <t>414-AM185</t>
    <phoneticPr fontId="1"/>
  </si>
  <si>
    <t>5/8-9</t>
    <phoneticPr fontId="1"/>
  </si>
  <si>
    <t>15(2)</t>
    <phoneticPr fontId="1"/>
  </si>
  <si>
    <t>414-AM189</t>
    <phoneticPr fontId="1"/>
  </si>
  <si>
    <t>5/22-23</t>
    <phoneticPr fontId="1"/>
  </si>
  <si>
    <t>414-AM186</t>
    <phoneticPr fontId="1"/>
  </si>
  <si>
    <t>6/5-6</t>
    <phoneticPr fontId="1"/>
  </si>
  <si>
    <t>6/9.</t>
    <phoneticPr fontId="1"/>
  </si>
  <si>
    <t>414-AM187</t>
    <phoneticPr fontId="1"/>
  </si>
  <si>
    <t>6/26-27</t>
    <phoneticPr fontId="1"/>
  </si>
  <si>
    <t>414-AM192</t>
    <phoneticPr fontId="1"/>
  </si>
  <si>
    <t>7/10-11</t>
    <phoneticPr fontId="1"/>
  </si>
  <si>
    <t>414-AM190</t>
    <phoneticPr fontId="1"/>
  </si>
  <si>
    <t>7/24-25</t>
    <phoneticPr fontId="1"/>
  </si>
  <si>
    <t>数量</t>
    <phoneticPr fontId="33" type="noConversion"/>
  </si>
  <si>
    <t>個数</t>
    <phoneticPr fontId="33" type="noConversion"/>
  </si>
  <si>
    <r>
      <t>U</t>
    </r>
    <r>
      <rPr>
        <sz val="10"/>
        <rFont val="Arial"/>
        <family val="2"/>
      </rPr>
      <t xml:space="preserve">MC </t>
    </r>
    <phoneticPr fontId="33" type="noConversion"/>
  </si>
  <si>
    <r>
      <t>5/13</t>
    </r>
    <r>
      <rPr>
        <sz val="10"/>
        <rFont val="Arial"/>
        <family val="2"/>
      </rPr>
      <t>(12)</t>
    </r>
    <phoneticPr fontId="33" type="noConversion"/>
  </si>
  <si>
    <r>
      <t>5</t>
    </r>
    <r>
      <rPr>
        <sz val="10"/>
        <rFont val="Arial"/>
        <family val="2"/>
      </rPr>
      <t>/20(</t>
    </r>
    <r>
      <rPr>
        <sz val="11"/>
        <color theme="1"/>
        <rFont val="新細明體"/>
        <family val="2"/>
        <charset val="128"/>
        <scheme val="minor"/>
      </rPr>
      <t>8</t>
    </r>
    <r>
      <rPr>
        <sz val="10"/>
        <rFont val="Arial"/>
        <family val="2"/>
      </rPr>
      <t>)</t>
    </r>
    <phoneticPr fontId="33" type="noConversion"/>
  </si>
  <si>
    <t>PTC</t>
    <phoneticPr fontId="33" type="noConversion"/>
  </si>
  <si>
    <t>5/13(32)</t>
    <phoneticPr fontId="33" type="noConversion"/>
  </si>
  <si>
    <t>PTCへ</t>
    <phoneticPr fontId="33" type="noConversion"/>
  </si>
  <si>
    <t>PTC</t>
    <phoneticPr fontId="33" type="noConversion"/>
  </si>
  <si>
    <t>PTCへ</t>
    <phoneticPr fontId="33" type="noConversion"/>
  </si>
  <si>
    <t>5/20(20)</t>
    <phoneticPr fontId="1"/>
  </si>
  <si>
    <t>5/27(4)</t>
    <phoneticPr fontId="1"/>
  </si>
  <si>
    <t>2019/05/17 After製造(Must) FOR UMC ※need with analysis report</t>
    <phoneticPr fontId="1"/>
  </si>
  <si>
    <t>ロット緩和願います（定修に向けて）</t>
    <rPh sb="3" eb="5">
      <t>カンワ</t>
    </rPh>
    <rPh sb="5" eb="6">
      <t>ネガ</t>
    </rPh>
    <rPh sb="10" eb="12">
      <t>テイシュウ</t>
    </rPh>
    <rPh sb="13" eb="14">
      <t>ム</t>
    </rPh>
    <phoneticPr fontId="1"/>
  </si>
  <si>
    <t>2019/05/25 After製造(Must) FOR PTC</t>
    <phoneticPr fontId="1"/>
  </si>
  <si>
    <t>2019/06/01 After製造(Must) FOR PTC</t>
    <phoneticPr fontId="1"/>
  </si>
  <si>
    <t>7/3-4</t>
    <phoneticPr fontId="1"/>
  </si>
  <si>
    <t>7/24-25</t>
    <phoneticPr fontId="1"/>
  </si>
  <si>
    <t>7/19-20</t>
    <phoneticPr fontId="1"/>
  </si>
  <si>
    <t>414-UM1826</t>
  </si>
  <si>
    <t>414-UM1826</t>
    <phoneticPr fontId="1"/>
  </si>
  <si>
    <t>小名浜6/20 黒崎6/27着</t>
    <rPh sb="0" eb="2">
      <t>オナ</t>
    </rPh>
    <rPh sb="2" eb="3">
      <t>ハマ</t>
    </rPh>
    <rPh sb="8" eb="10">
      <t>クロサキ</t>
    </rPh>
    <rPh sb="14" eb="15">
      <t>チャク</t>
    </rPh>
    <phoneticPr fontId="1"/>
  </si>
  <si>
    <t>414-UM1824</t>
  </si>
  <si>
    <t>小名浜7/5 黒崎7/12着</t>
    <rPh sb="0" eb="2">
      <t>オナ</t>
    </rPh>
    <rPh sb="2" eb="3">
      <t>ハマ</t>
    </rPh>
    <rPh sb="7" eb="9">
      <t>クロサキ</t>
    </rPh>
    <rPh sb="13" eb="14">
      <t>チャク</t>
    </rPh>
    <phoneticPr fontId="1"/>
  </si>
  <si>
    <t>6/26-27</t>
    <phoneticPr fontId="1"/>
  </si>
  <si>
    <t>414-UM1821</t>
  </si>
  <si>
    <t>小名浜6/13 黒崎6/20着</t>
    <rPh sb="0" eb="2">
      <t>オナ</t>
    </rPh>
    <rPh sb="2" eb="3">
      <t>ハマ</t>
    </rPh>
    <rPh sb="8" eb="10">
      <t>クロサキ</t>
    </rPh>
    <rPh sb="14" eb="15">
      <t>チャク</t>
    </rPh>
    <phoneticPr fontId="1"/>
  </si>
  <si>
    <t>小名浜7/11 黒崎7/18着</t>
    <rPh sb="0" eb="2">
      <t>オナ</t>
    </rPh>
    <rPh sb="2" eb="3">
      <t>ハマ</t>
    </rPh>
    <rPh sb="8" eb="10">
      <t>クロサキ</t>
    </rPh>
    <rPh sb="14" eb="15">
      <t>チャク</t>
    </rPh>
    <phoneticPr fontId="1"/>
  </si>
  <si>
    <t>E04(4)E06(36)</t>
    <phoneticPr fontId="1"/>
  </si>
  <si>
    <t>E06(4)E07(36)</t>
    <phoneticPr fontId="1"/>
  </si>
  <si>
    <t>E07(4)E08(40)E09(36)</t>
    <phoneticPr fontId="1"/>
  </si>
  <si>
    <t>154(2)</t>
    <phoneticPr fontId="1"/>
  </si>
  <si>
    <t>6/5-6</t>
    <phoneticPr fontId="1"/>
  </si>
  <si>
    <t>2019/05/11 After 製造(Must)</t>
    <phoneticPr fontId="1"/>
  </si>
  <si>
    <t>414-UM1820</t>
    <phoneticPr fontId="1"/>
  </si>
  <si>
    <t>[Si-C]</t>
    <phoneticPr fontId="1"/>
  </si>
  <si>
    <t>No</t>
    <phoneticPr fontId="1"/>
  </si>
  <si>
    <t>Issued Date</t>
    <phoneticPr fontId="1"/>
  </si>
  <si>
    <t>Item</t>
    <phoneticPr fontId="1"/>
  </si>
  <si>
    <t>Container Type</t>
    <phoneticPr fontId="1"/>
  </si>
  <si>
    <t>Request</t>
    <phoneticPr fontId="1"/>
  </si>
  <si>
    <t>LOT</t>
    <phoneticPr fontId="1"/>
  </si>
  <si>
    <t xml:space="preserve">Sample </t>
    <phoneticPr fontId="1"/>
  </si>
  <si>
    <t>Coment</t>
    <phoneticPr fontId="1"/>
  </si>
  <si>
    <t>414-HNO3986</t>
    <phoneticPr fontId="1"/>
  </si>
  <si>
    <t>B26</t>
    <phoneticPr fontId="1"/>
  </si>
  <si>
    <t>2019/02/18 After製造(Must) FOR UMC ※need with analysis report</t>
    <phoneticPr fontId="1"/>
  </si>
  <si>
    <t>414-HNO3984</t>
    <phoneticPr fontId="1"/>
  </si>
  <si>
    <t>3/5</t>
    <phoneticPr fontId="1"/>
  </si>
  <si>
    <t>2019/02/03 After製造(Must) FOR PTC</t>
    <phoneticPr fontId="1"/>
  </si>
  <si>
    <t>B18.19.20.21.22.23</t>
    <phoneticPr fontId="1"/>
  </si>
  <si>
    <t>2019/02/18 After製造(Must) FOR PTC</t>
    <phoneticPr fontId="1"/>
  </si>
  <si>
    <t>HNO3 -- 40DM</t>
    <phoneticPr fontId="1"/>
  </si>
  <si>
    <t>414-HNO3997</t>
    <phoneticPr fontId="1"/>
  </si>
  <si>
    <t>4/9</t>
    <phoneticPr fontId="1"/>
  </si>
  <si>
    <t>C30(28)D02(28)</t>
    <phoneticPr fontId="1"/>
  </si>
  <si>
    <t>2019/02/26 After製造(Must) FOR UMC ※need with analysis report</t>
    <phoneticPr fontId="1"/>
  </si>
  <si>
    <t>HNO3 -- 120DM</t>
    <phoneticPr fontId="1"/>
  </si>
  <si>
    <t>414-HNO3987</t>
    <phoneticPr fontId="1"/>
  </si>
  <si>
    <t>3/26</t>
    <phoneticPr fontId="1"/>
  </si>
  <si>
    <t>B25.27.28.C01.02</t>
    <phoneticPr fontId="1"/>
  </si>
  <si>
    <t>2019/02/25 After製造(Must) FOR PTC</t>
    <phoneticPr fontId="1"/>
  </si>
  <si>
    <t>414-HNO3990</t>
    <phoneticPr fontId="1"/>
  </si>
  <si>
    <t>4/16</t>
    <phoneticPr fontId="1"/>
  </si>
  <si>
    <t>D03(28)D04(28)D05(24)</t>
    <phoneticPr fontId="1"/>
  </si>
  <si>
    <t>2019/03/20 After製造(Must) FOR UMC ※need with analysis report</t>
    <phoneticPr fontId="1"/>
  </si>
  <si>
    <t>HNO3 -- 40DM</t>
    <phoneticPr fontId="1"/>
  </si>
  <si>
    <t>414-HNO3989</t>
    <phoneticPr fontId="1"/>
  </si>
  <si>
    <t>5/28</t>
    <phoneticPr fontId="1"/>
  </si>
  <si>
    <t>E04(4)E06(36)</t>
    <phoneticPr fontId="1"/>
  </si>
  <si>
    <t>2019/05/02 After製造(Must) FOR PTC</t>
    <phoneticPr fontId="1"/>
  </si>
  <si>
    <t>819(2)</t>
    <phoneticPr fontId="1"/>
  </si>
  <si>
    <t>E06(4)E07(36)</t>
    <phoneticPr fontId="1"/>
  </si>
  <si>
    <t>2019/05/01 After製造(Must) FOR UMC ※need with analysis report</t>
    <phoneticPr fontId="1"/>
  </si>
  <si>
    <t>819(3)</t>
    <phoneticPr fontId="1"/>
  </si>
  <si>
    <t>E07(4)E08(40)E09(36)</t>
    <phoneticPr fontId="1"/>
  </si>
  <si>
    <t>414-HNO3990</t>
    <phoneticPr fontId="1"/>
  </si>
  <si>
    <t>4/16</t>
    <phoneticPr fontId="1"/>
  </si>
  <si>
    <t>C21(40)C23(40)</t>
    <phoneticPr fontId="1"/>
  </si>
  <si>
    <t>2019/03/21 After製造(Must) FOR PTC</t>
    <phoneticPr fontId="1"/>
  </si>
  <si>
    <t>414-HNO3991</t>
    <phoneticPr fontId="1"/>
  </si>
  <si>
    <t>4/23</t>
    <phoneticPr fontId="1"/>
  </si>
  <si>
    <t>D05.D06.D08.D12</t>
    <phoneticPr fontId="1"/>
  </si>
  <si>
    <t>2019/03/28 After製造(Must) FOR UMC ※need with analysis report</t>
    <phoneticPr fontId="1"/>
  </si>
  <si>
    <t>C26(28)C27(28)C28(24)</t>
    <phoneticPr fontId="1"/>
  </si>
  <si>
    <t>2019/03/13 After製造(Must) FOR PTC</t>
    <phoneticPr fontId="1"/>
  </si>
  <si>
    <t>C28(4)C29(28)</t>
    <phoneticPr fontId="1"/>
  </si>
  <si>
    <t>2019/04/05 After製造(Must) FOR PTC</t>
    <phoneticPr fontId="1"/>
  </si>
  <si>
    <t>414-HNO3993</t>
    <phoneticPr fontId="1"/>
  </si>
  <si>
    <t>5/14</t>
    <phoneticPr fontId="1"/>
  </si>
  <si>
    <t>D17(8)D18(8)D23(40)D24(24)</t>
    <phoneticPr fontId="1"/>
  </si>
  <si>
    <t>2019/04/12 After製造(Must) FOR PTC</t>
    <phoneticPr fontId="1"/>
  </si>
  <si>
    <t>825(2)</t>
    <phoneticPr fontId="1"/>
  </si>
  <si>
    <t>HNO3 -- 40DM</t>
    <phoneticPr fontId="1"/>
  </si>
  <si>
    <t>D24(8)D25(32)</t>
    <phoneticPr fontId="1"/>
  </si>
  <si>
    <t>2019/04/13 After製造(Must) FOR PTC</t>
    <phoneticPr fontId="1"/>
  </si>
  <si>
    <t>D12(4)D13(24)D19(12)</t>
    <phoneticPr fontId="1"/>
  </si>
  <si>
    <t>2019/04/13 After製造(Must) FOR UMC ※need with analysis report</t>
    <phoneticPr fontId="1"/>
  </si>
  <si>
    <t>414-HNO3992</t>
    <phoneticPr fontId="1"/>
  </si>
  <si>
    <t>5/21</t>
    <phoneticPr fontId="1"/>
  </si>
  <si>
    <t>D25(8)D26(28)D29(24)E03(20)</t>
    <phoneticPr fontId="1"/>
  </si>
  <si>
    <t>2019/04/20 After製造(Must) FOR PTC</t>
    <phoneticPr fontId="1"/>
  </si>
  <si>
    <t>414-HNO3994</t>
    <phoneticPr fontId="1"/>
  </si>
  <si>
    <t>6/4</t>
    <phoneticPr fontId="1"/>
  </si>
  <si>
    <t>2019/05/09 After製造(Must) FOR PTC</t>
    <phoneticPr fontId="1"/>
  </si>
  <si>
    <t>827(2)</t>
    <phoneticPr fontId="1"/>
  </si>
  <si>
    <t>414-HNO3994</t>
    <phoneticPr fontId="1"/>
  </si>
  <si>
    <t>6/4</t>
    <phoneticPr fontId="1"/>
  </si>
  <si>
    <t>2019/05/09 After製造(Must) FOR PTC</t>
    <phoneticPr fontId="1"/>
  </si>
  <si>
    <t>414-HNO3995</t>
    <phoneticPr fontId="1"/>
  </si>
  <si>
    <t>6/11</t>
    <phoneticPr fontId="1"/>
  </si>
  <si>
    <t>E03(8)E04(24)</t>
    <phoneticPr fontId="1"/>
  </si>
  <si>
    <t>2019/05/16 After製造(Must) FOR UMC ※need with analysis report</t>
    <phoneticPr fontId="1"/>
  </si>
  <si>
    <t>414-HNO3996</t>
    <phoneticPr fontId="1"/>
  </si>
  <si>
    <t>6/18</t>
    <phoneticPr fontId="1"/>
  </si>
  <si>
    <t>2019/05/23 After製造(Must) FOR PTC</t>
    <phoneticPr fontId="1"/>
  </si>
  <si>
    <t>830(2)</t>
    <phoneticPr fontId="1"/>
  </si>
  <si>
    <t>010804120031</t>
    <phoneticPr fontId="1"/>
  </si>
  <si>
    <t>E03(4)E04(20)</t>
    <phoneticPr fontId="1"/>
  </si>
  <si>
    <t>2019/04/24 After製造(Must) FOR PTC</t>
    <phoneticPr fontId="1"/>
  </si>
  <si>
    <t xml:space="preserve">[Nitric Acid for UMC] </t>
    <phoneticPr fontId="1"/>
  </si>
  <si>
    <t>010804120031</t>
    <phoneticPr fontId="1"/>
  </si>
  <si>
    <t>D19(8)D20(20)D27(28)</t>
    <phoneticPr fontId="1"/>
  </si>
  <si>
    <t>2019/04/24 After製造(Must) FOR PTC</t>
    <phoneticPr fontId="1"/>
  </si>
  <si>
    <t>010804120032</t>
    <phoneticPr fontId="1"/>
  </si>
  <si>
    <t>2019/05/15 After製造(Must) FOR PTC</t>
    <phoneticPr fontId="1"/>
  </si>
  <si>
    <t>HNO3 -- 160DM</t>
    <phoneticPr fontId="1"/>
  </si>
  <si>
    <t>414-HNO3998</t>
    <phoneticPr fontId="1"/>
  </si>
  <si>
    <t>6/25</t>
    <phoneticPr fontId="1"/>
  </si>
  <si>
    <t>2019/05/25 After製造(Must) FOR PTC</t>
    <phoneticPr fontId="1"/>
  </si>
  <si>
    <t>2019/05/17 After製造(Must) FOR UMC ※need with analysis report</t>
    <phoneticPr fontId="1"/>
  </si>
  <si>
    <t>414-HNO3999</t>
    <phoneticPr fontId="1"/>
  </si>
  <si>
    <t>7/2</t>
    <phoneticPr fontId="1"/>
  </si>
  <si>
    <t>2019/06/01 After製造(Must) FOR PTC</t>
    <phoneticPr fontId="1"/>
  </si>
  <si>
    <t>414-HNO3001</t>
    <phoneticPr fontId="1"/>
  </si>
  <si>
    <t>7/9</t>
    <phoneticPr fontId="1"/>
  </si>
  <si>
    <t>2019/06/13 After製造(Must) FOR PTC</t>
    <phoneticPr fontId="1"/>
  </si>
  <si>
    <t>414-HNO3002</t>
    <phoneticPr fontId="1"/>
  </si>
  <si>
    <t>7/16</t>
    <phoneticPr fontId="1"/>
  </si>
  <si>
    <t>2019/06/20 After製造(Must) FOR PTC</t>
    <phoneticPr fontId="1"/>
  </si>
  <si>
    <t>2019/06/19 After製造(Must) FOR UMC ※need with analysis report</t>
    <phoneticPr fontId="1"/>
  </si>
  <si>
    <t>HNO3 -- 40DM</t>
    <phoneticPr fontId="1"/>
  </si>
  <si>
    <t>414-HNO3003</t>
    <phoneticPr fontId="1"/>
  </si>
  <si>
    <t>7/23</t>
    <phoneticPr fontId="1"/>
  </si>
  <si>
    <t>2019/06/28 After製造(Must) FOR PTC</t>
    <phoneticPr fontId="1"/>
  </si>
  <si>
    <t>2019/06/27 After製造(Must) FOR UMC ※need with analysis report</t>
    <phoneticPr fontId="1"/>
  </si>
  <si>
    <t>840</t>
  </si>
  <si>
    <t>010805160001</t>
  </si>
  <si>
    <t>2019/07/10 After製造(Must) FOR PTC</t>
    <phoneticPr fontId="1"/>
  </si>
  <si>
    <t>841</t>
  </si>
  <si>
    <t>010805160002</t>
  </si>
  <si>
    <t>2019/07/17 After製造(Must) FOR PTC</t>
    <phoneticPr fontId="1"/>
  </si>
  <si>
    <t>842</t>
  </si>
  <si>
    <t>010805160003</t>
  </si>
  <si>
    <t>2019/07/17 After製造(Must) FOR UMC ※need with analysis report</t>
    <phoneticPr fontId="1"/>
  </si>
  <si>
    <t>843</t>
  </si>
  <si>
    <t>010805160004</t>
  </si>
  <si>
    <t>2019/08/01 After製造(Must) FOR PTC</t>
    <phoneticPr fontId="1"/>
  </si>
  <si>
    <t>414-UM1806</t>
    <phoneticPr fontId="1"/>
  </si>
  <si>
    <t>3/20-21</t>
    <phoneticPr fontId="1"/>
  </si>
  <si>
    <t>2019/02/28 After 製造(Must) SPEC FOR NON-N20</t>
    <phoneticPr fontId="1"/>
  </si>
  <si>
    <t>010801280007</t>
    <phoneticPr fontId="1"/>
  </si>
  <si>
    <t>414-UM1802</t>
    <phoneticPr fontId="1"/>
  </si>
  <si>
    <t>4/17-18</t>
    <phoneticPr fontId="1"/>
  </si>
  <si>
    <t>2019/03/28 After 製造(Must) SPEC FOR NON-N20</t>
    <phoneticPr fontId="1"/>
  </si>
  <si>
    <t>414-UM1820</t>
    <phoneticPr fontId="1"/>
  </si>
  <si>
    <t>6/5-6</t>
    <phoneticPr fontId="1"/>
  </si>
  <si>
    <t>2019/05/14 After 製造(Must) SPEC FOR NON-N20</t>
    <phoneticPr fontId="1"/>
  </si>
  <si>
    <t>HCL</t>
    <phoneticPr fontId="1"/>
  </si>
  <si>
    <t>414-UM1825</t>
    <phoneticPr fontId="1"/>
  </si>
  <si>
    <t>7/10-11</t>
    <phoneticPr fontId="1"/>
  </si>
  <si>
    <t>2019/06/11 After 製造(Must) SPEC FOR NON-N20</t>
    <phoneticPr fontId="1"/>
  </si>
  <si>
    <t>625</t>
  </si>
  <si>
    <t>010805160008</t>
  </si>
  <si>
    <t>HCL</t>
    <phoneticPr fontId="1"/>
  </si>
  <si>
    <t>2019/07/17 After 製造(Must) SPEC FOR NON-N20</t>
    <phoneticPr fontId="1"/>
  </si>
  <si>
    <t>010710230010</t>
    <phoneticPr fontId="1"/>
  </si>
  <si>
    <t>414-UM1809</t>
    <phoneticPr fontId="1"/>
  </si>
  <si>
    <t>5/10-11</t>
    <phoneticPr fontId="1"/>
  </si>
  <si>
    <t>D22</t>
    <phoneticPr fontId="1"/>
  </si>
  <si>
    <t>2019/04/12 After 製造(Must)</t>
    <phoneticPr fontId="1"/>
  </si>
  <si>
    <t>151(2)</t>
    <phoneticPr fontId="1"/>
  </si>
  <si>
    <t>010710230010</t>
    <phoneticPr fontId="1"/>
  </si>
  <si>
    <t>5/17-18</t>
    <phoneticPr fontId="1"/>
  </si>
  <si>
    <t>4/10-11</t>
    <phoneticPr fontId="1"/>
  </si>
  <si>
    <t>2019/03/22 After 製造(Must)</t>
    <phoneticPr fontId="1"/>
  </si>
  <si>
    <t>緩和しないでください</t>
    <phoneticPr fontId="1"/>
  </si>
  <si>
    <t>154</t>
    <phoneticPr fontId="1"/>
  </si>
  <si>
    <t>414-UM1822</t>
    <phoneticPr fontId="1"/>
  </si>
  <si>
    <t>5/29-30</t>
    <phoneticPr fontId="1"/>
  </si>
  <si>
    <t>2019/05/08 After 製造(Must)</t>
    <phoneticPr fontId="1"/>
  </si>
  <si>
    <t>154(2)</t>
    <phoneticPr fontId="1"/>
  </si>
  <si>
    <t>2019/05/11 After 製造(Must)</t>
    <phoneticPr fontId="1"/>
  </si>
  <si>
    <t>7/3-4</t>
    <phoneticPr fontId="1"/>
  </si>
  <si>
    <t>2019/06/06 After 製造(Must)</t>
    <phoneticPr fontId="1"/>
  </si>
  <si>
    <t>158</t>
  </si>
  <si>
    <t>010805160007</t>
  </si>
  <si>
    <t>2019/07/03 After 製造(Must)</t>
    <phoneticPr fontId="1"/>
  </si>
  <si>
    <t>159</t>
  </si>
  <si>
    <t>010805160009</t>
  </si>
  <si>
    <t>2019/07/25 After 製造(Must)</t>
    <phoneticPr fontId="1"/>
  </si>
  <si>
    <t xml:space="preserve">[Hydrochloric Acid for MMT] </t>
    <phoneticPr fontId="1"/>
  </si>
  <si>
    <t>1</t>
    <phoneticPr fontId="1"/>
  </si>
  <si>
    <t>GN DRUM, SAMPLE</t>
    <phoneticPr fontId="1"/>
  </si>
  <si>
    <t xml:space="preserve">[Hydrochloric Acid for SEHT] </t>
    <phoneticPr fontId="1"/>
  </si>
  <si>
    <t>010802210026</t>
    <phoneticPr fontId="1"/>
  </si>
  <si>
    <t>2</t>
  </si>
  <si>
    <t>010805160010</t>
  </si>
  <si>
    <t>2019/07/26 After 製造(Must)</t>
    <phoneticPr fontId="1"/>
  </si>
  <si>
    <t>[Hydrochloric Acid for KINIK *20kg Packing*]</t>
    <phoneticPr fontId="1"/>
  </si>
  <si>
    <t>414-UM1807</t>
    <phoneticPr fontId="1"/>
  </si>
  <si>
    <t>3/8-9</t>
    <phoneticPr fontId="1"/>
  </si>
  <si>
    <t>2019/02/18, After 製造 (Must)</t>
    <phoneticPr fontId="1"/>
  </si>
  <si>
    <t>122（２）</t>
    <phoneticPr fontId="1"/>
  </si>
  <si>
    <t>3/13-14</t>
    <phoneticPr fontId="1"/>
  </si>
  <si>
    <t>414-UM1814</t>
    <phoneticPr fontId="1"/>
  </si>
  <si>
    <t>3/27-28</t>
    <phoneticPr fontId="1"/>
  </si>
  <si>
    <t>2019/02/28, After 製造 (Must)</t>
    <phoneticPr fontId="1"/>
  </si>
  <si>
    <t>414-UM1804</t>
    <phoneticPr fontId="1"/>
  </si>
  <si>
    <t>414-UM1810</t>
    <phoneticPr fontId="1"/>
  </si>
  <si>
    <t>4/3-4</t>
    <phoneticPr fontId="1"/>
  </si>
  <si>
    <t>2019/03/22, After 製造 (Must)</t>
    <phoneticPr fontId="1"/>
  </si>
  <si>
    <t>414-UM1813</t>
    <phoneticPr fontId="1"/>
  </si>
  <si>
    <t>2019/04/22, After 製造 (Must)</t>
    <phoneticPr fontId="1"/>
  </si>
  <si>
    <t>2019/05/22, After 製造 (Must)</t>
    <phoneticPr fontId="1"/>
  </si>
  <si>
    <t>[Hydrochloric Acid for KINIK *20kg Packing*]</t>
    <phoneticPr fontId="1"/>
  </si>
  <si>
    <t>HCL</t>
    <phoneticPr fontId="1"/>
  </si>
  <si>
    <t>414-UM1824</t>
    <phoneticPr fontId="1"/>
  </si>
  <si>
    <t>7/19-20</t>
    <phoneticPr fontId="1"/>
  </si>
  <si>
    <t>2019/06/19, After 製造 (Must)</t>
    <phoneticPr fontId="1"/>
  </si>
  <si>
    <t>129</t>
  </si>
  <si>
    <t>010805160005</t>
  </si>
  <si>
    <t>2019/07/03, After 製造 (Must)</t>
    <phoneticPr fontId="1"/>
  </si>
  <si>
    <t>130</t>
  </si>
  <si>
    <t>2019/07/24, After 製造 (Must)</t>
    <phoneticPr fontId="1"/>
  </si>
  <si>
    <t>AM1</t>
    <phoneticPr fontId="1"/>
  </si>
  <si>
    <t>4/24-25</t>
    <phoneticPr fontId="1"/>
  </si>
  <si>
    <t>2019/04/12 After 製造(Must)</t>
    <phoneticPr fontId="1"/>
  </si>
  <si>
    <t>AM1</t>
    <phoneticPr fontId="1"/>
  </si>
  <si>
    <t>414-AM191</t>
    <phoneticPr fontId="1"/>
  </si>
  <si>
    <t>7/17-18</t>
    <phoneticPr fontId="1"/>
  </si>
  <si>
    <t>2019/06/21 After 製造(Must)</t>
    <phoneticPr fontId="1"/>
  </si>
  <si>
    <t>4/10-11</t>
    <phoneticPr fontId="1"/>
  </si>
  <si>
    <t>2019/02/15 After 製造(Must)</t>
    <phoneticPr fontId="1"/>
  </si>
  <si>
    <t>2019/03/01 After 製造(Must)</t>
    <phoneticPr fontId="1"/>
  </si>
  <si>
    <t>414-AM185</t>
    <phoneticPr fontId="1"/>
  </si>
  <si>
    <t>5/8-9</t>
    <phoneticPr fontId="1"/>
  </si>
  <si>
    <t>2019/03/13 After 製造(Must)</t>
    <phoneticPr fontId="1"/>
  </si>
  <si>
    <t>23</t>
    <phoneticPr fontId="1"/>
  </si>
  <si>
    <t>414-AM191</t>
    <phoneticPr fontId="1"/>
  </si>
  <si>
    <t>2019/06/20 After 製造(Must)</t>
    <phoneticPr fontId="1"/>
  </si>
  <si>
    <t>25</t>
  </si>
  <si>
    <t>010805160006</t>
  </si>
  <si>
    <t>2019/06/26 After 製造(Must)</t>
    <phoneticPr fontId="1"/>
  </si>
  <si>
    <t>118(2)</t>
    <phoneticPr fontId="1"/>
  </si>
  <si>
    <t>010801030018</t>
    <phoneticPr fontId="1"/>
  </si>
  <si>
    <t>414-UM1807</t>
    <phoneticPr fontId="1"/>
  </si>
  <si>
    <t>B21</t>
    <phoneticPr fontId="1"/>
  </si>
  <si>
    <t>1/16以降</t>
    <phoneticPr fontId="1"/>
  </si>
  <si>
    <t>118(4)</t>
    <phoneticPr fontId="1"/>
  </si>
  <si>
    <t>010801310002</t>
    <phoneticPr fontId="1"/>
  </si>
  <si>
    <t>414-UM1806</t>
    <phoneticPr fontId="1"/>
  </si>
  <si>
    <t>3/20-21</t>
    <phoneticPr fontId="1"/>
  </si>
  <si>
    <t>B21.C12</t>
    <phoneticPr fontId="1"/>
  </si>
  <si>
    <t>2/18以降</t>
    <phoneticPr fontId="1"/>
  </si>
  <si>
    <t>C28</t>
    <phoneticPr fontId="1"/>
  </si>
  <si>
    <t>3/18以降</t>
    <phoneticPr fontId="1"/>
  </si>
  <si>
    <t>119(2)</t>
    <phoneticPr fontId="1"/>
  </si>
  <si>
    <t>D13</t>
    <phoneticPr fontId="1"/>
  </si>
  <si>
    <t>414-UM1813</t>
    <phoneticPr fontId="1"/>
  </si>
  <si>
    <t>5/17-18</t>
    <phoneticPr fontId="1"/>
  </si>
  <si>
    <t>D25</t>
    <phoneticPr fontId="1"/>
  </si>
  <si>
    <t>4/22以降</t>
    <phoneticPr fontId="1"/>
  </si>
  <si>
    <t>5/16以降</t>
    <phoneticPr fontId="1"/>
  </si>
  <si>
    <t>414-UM1826</t>
    <phoneticPr fontId="1"/>
  </si>
  <si>
    <t>7/24-25</t>
    <phoneticPr fontId="1"/>
  </si>
  <si>
    <t>6/28以降</t>
    <phoneticPr fontId="1"/>
  </si>
  <si>
    <t>414-TYS001A</t>
    <phoneticPr fontId="1"/>
  </si>
  <si>
    <t>B22</t>
    <phoneticPr fontId="1"/>
  </si>
  <si>
    <t>抜港により本線変更</t>
    <phoneticPr fontId="1"/>
  </si>
  <si>
    <t>414-UM1808</t>
    <phoneticPr fontId="1"/>
  </si>
  <si>
    <t>3/13-14</t>
    <phoneticPr fontId="1"/>
  </si>
  <si>
    <t>B25.B26</t>
    <phoneticPr fontId="1"/>
  </si>
  <si>
    <t>17(2)</t>
    <phoneticPr fontId="1"/>
  </si>
  <si>
    <t>414-UM1814</t>
    <phoneticPr fontId="1"/>
  </si>
  <si>
    <t>3/27-28</t>
    <phoneticPr fontId="1"/>
  </si>
  <si>
    <t>4/17-18</t>
    <phoneticPr fontId="1"/>
  </si>
  <si>
    <t>18(2)</t>
    <phoneticPr fontId="1"/>
  </si>
  <si>
    <t>010802250014</t>
    <phoneticPr fontId="1"/>
  </si>
  <si>
    <t>4/3-4</t>
    <phoneticPr fontId="1"/>
  </si>
  <si>
    <t>19(2)</t>
    <phoneticPr fontId="1"/>
  </si>
  <si>
    <t>010802250017</t>
    <phoneticPr fontId="1"/>
  </si>
  <si>
    <t>5/10-11</t>
    <phoneticPr fontId="1"/>
  </si>
  <si>
    <t>20(2)</t>
    <phoneticPr fontId="1"/>
  </si>
  <si>
    <t>414-UM1822</t>
    <phoneticPr fontId="1"/>
  </si>
  <si>
    <t>5/29-30</t>
    <phoneticPr fontId="1"/>
  </si>
  <si>
    <t>21</t>
    <phoneticPr fontId="1"/>
  </si>
  <si>
    <t>414-UM1823</t>
    <phoneticPr fontId="1"/>
  </si>
  <si>
    <t>6/19-20</t>
    <phoneticPr fontId="1"/>
  </si>
  <si>
    <t>010805160011</t>
  </si>
  <si>
    <t>7/3-4</t>
    <phoneticPr fontId="1"/>
  </si>
  <si>
    <t>010805160012</t>
  </si>
  <si>
    <t>010805160013</t>
  </si>
  <si>
    <t>26</t>
  </si>
  <si>
    <t>010805160014</t>
  </si>
  <si>
    <t>[Si-C]</t>
    <phoneticPr fontId="1"/>
  </si>
  <si>
    <t>010802250013</t>
    <phoneticPr fontId="1"/>
  </si>
  <si>
    <t>SI-C</t>
    <phoneticPr fontId="1"/>
  </si>
  <si>
    <t>[Si-C]</t>
    <phoneticPr fontId="1"/>
  </si>
  <si>
    <t>SI-C</t>
    <phoneticPr fontId="1"/>
  </si>
  <si>
    <t>010804290012</t>
    <phoneticPr fontId="1"/>
  </si>
  <si>
    <t>6/12-13</t>
    <phoneticPr fontId="1"/>
  </si>
  <si>
    <t>010805020003</t>
    <phoneticPr fontId="1"/>
  </si>
  <si>
    <t>6/26-27</t>
    <phoneticPr fontId="1"/>
  </si>
  <si>
    <t>010805020004</t>
    <phoneticPr fontId="1"/>
  </si>
  <si>
    <t>7/24-25</t>
    <phoneticPr fontId="1"/>
  </si>
  <si>
    <t>010805160015</t>
    <phoneticPr fontId="1"/>
  </si>
  <si>
    <t>010805160016</t>
    <phoneticPr fontId="1"/>
  </si>
  <si>
    <t>[MC1]</t>
    <phoneticPr fontId="1"/>
  </si>
  <si>
    <t>MC1</t>
    <phoneticPr fontId="1"/>
  </si>
  <si>
    <t>4/10-11</t>
    <phoneticPr fontId="1"/>
  </si>
  <si>
    <t>2019/03/15,After 製造(Must)FOR RST</t>
    <phoneticPr fontId="1"/>
  </si>
  <si>
    <t>414-AM188</t>
    <phoneticPr fontId="1"/>
  </si>
  <si>
    <t>5/15以降</t>
    <phoneticPr fontId="1"/>
  </si>
  <si>
    <t>[MCX-2005 *200kg Packing*]</t>
    <phoneticPr fontId="1"/>
  </si>
  <si>
    <t>7(2)</t>
    <phoneticPr fontId="1"/>
  </si>
  <si>
    <t>010708150017</t>
    <phoneticPr fontId="1"/>
  </si>
  <si>
    <t>414-AM179</t>
    <phoneticPr fontId="1"/>
  </si>
  <si>
    <t>抜港により本線変更</t>
    <phoneticPr fontId="1"/>
  </si>
  <si>
    <t>12</t>
    <phoneticPr fontId="1"/>
  </si>
  <si>
    <t>414-AM178</t>
    <phoneticPr fontId="1"/>
  </si>
  <si>
    <t>3/20-21</t>
    <phoneticPr fontId="1"/>
  </si>
  <si>
    <t>13</t>
    <phoneticPr fontId="1"/>
  </si>
  <si>
    <t>414-AM181</t>
    <phoneticPr fontId="1"/>
  </si>
  <si>
    <t>4/3-4</t>
    <phoneticPr fontId="1"/>
  </si>
  <si>
    <t>13(2)</t>
    <phoneticPr fontId="1"/>
  </si>
  <si>
    <t>414-AM182</t>
    <phoneticPr fontId="1"/>
  </si>
  <si>
    <t>14</t>
    <phoneticPr fontId="1"/>
  </si>
  <si>
    <t>414-AM184</t>
    <phoneticPr fontId="1"/>
  </si>
  <si>
    <t>4/24-25</t>
    <phoneticPr fontId="1"/>
  </si>
  <si>
    <t>15</t>
    <phoneticPr fontId="1"/>
  </si>
  <si>
    <t>414-AM185</t>
    <phoneticPr fontId="1"/>
  </si>
  <si>
    <t>5/8-9</t>
    <phoneticPr fontId="1"/>
  </si>
  <si>
    <t>15(2)</t>
    <phoneticPr fontId="1"/>
  </si>
  <si>
    <t>414-AM189</t>
    <phoneticPr fontId="1"/>
  </si>
  <si>
    <t>5/22-23</t>
    <phoneticPr fontId="1"/>
  </si>
  <si>
    <t>414-AM186</t>
    <phoneticPr fontId="1"/>
  </si>
  <si>
    <t>6/5-6</t>
    <phoneticPr fontId="1"/>
  </si>
  <si>
    <t>6/9.</t>
    <phoneticPr fontId="1"/>
  </si>
  <si>
    <t>414-AM187</t>
    <phoneticPr fontId="1"/>
  </si>
  <si>
    <t>414-AM192</t>
    <phoneticPr fontId="1"/>
  </si>
  <si>
    <t>7/10-11</t>
    <phoneticPr fontId="1"/>
  </si>
  <si>
    <t>414-AM190</t>
    <phoneticPr fontId="1"/>
  </si>
  <si>
    <t>010805160017</t>
    <phoneticPr fontId="1"/>
  </si>
  <si>
    <t>数量</t>
    <phoneticPr fontId="33" type="noConversion"/>
  </si>
  <si>
    <t>個数</t>
    <phoneticPr fontId="33" type="noConversion"/>
  </si>
  <si>
    <r>
      <t>U</t>
    </r>
    <r>
      <rPr>
        <sz val="10"/>
        <rFont val="Arial"/>
        <family val="2"/>
      </rPr>
      <t xml:space="preserve">MC </t>
    </r>
    <phoneticPr fontId="33" type="noConversion"/>
  </si>
  <si>
    <r>
      <t>5/13</t>
    </r>
    <r>
      <rPr>
        <sz val="10"/>
        <rFont val="Arial"/>
        <family val="2"/>
      </rPr>
      <t>(12)</t>
    </r>
    <phoneticPr fontId="33" type="noConversion"/>
  </si>
  <si>
    <r>
      <t>5</t>
    </r>
    <r>
      <rPr>
        <sz val="10"/>
        <rFont val="Arial"/>
        <family val="2"/>
      </rPr>
      <t>/20(</t>
    </r>
    <r>
      <rPr>
        <sz val="11"/>
        <color theme="1"/>
        <rFont val="新細明體"/>
        <family val="2"/>
        <charset val="128"/>
        <scheme val="minor"/>
      </rPr>
      <t>8</t>
    </r>
    <r>
      <rPr>
        <sz val="10"/>
        <rFont val="Arial"/>
        <family val="2"/>
      </rPr>
      <t>)</t>
    </r>
    <phoneticPr fontId="33" type="noConversion"/>
  </si>
  <si>
    <t>PTC</t>
    <phoneticPr fontId="33" type="noConversion"/>
  </si>
  <si>
    <t>5/13(32)</t>
    <phoneticPr fontId="33" type="noConversion"/>
  </si>
  <si>
    <t>PTCへ</t>
    <phoneticPr fontId="33" type="noConversion"/>
  </si>
  <si>
    <t>PTC</t>
    <phoneticPr fontId="33" type="noConversion"/>
  </si>
  <si>
    <t>PTCへ</t>
    <phoneticPr fontId="33" type="noConversion"/>
  </si>
  <si>
    <t>5/20(20)</t>
    <phoneticPr fontId="1"/>
  </si>
  <si>
    <t>5/27(4)</t>
    <phoneticPr fontId="1"/>
  </si>
  <si>
    <t>8/6</t>
    <phoneticPr fontId="1"/>
  </si>
  <si>
    <t>8/27</t>
    <phoneticPr fontId="1"/>
  </si>
  <si>
    <t>8/9</t>
  </si>
  <si>
    <t>8/9</t>
    <phoneticPr fontId="1"/>
  </si>
  <si>
    <t>7/31-8/1</t>
    <phoneticPr fontId="1"/>
  </si>
  <si>
    <t>8/21-22</t>
  </si>
  <si>
    <t>8/21-22</t>
    <phoneticPr fontId="1"/>
  </si>
  <si>
    <t>7/17-18</t>
    <phoneticPr fontId="1"/>
  </si>
  <si>
    <t>8/9-10</t>
    <phoneticPr fontId="1"/>
  </si>
  <si>
    <t>8/21-22</t>
    <phoneticPr fontId="1"/>
  </si>
  <si>
    <t>414-HNO3004</t>
    <phoneticPr fontId="1"/>
  </si>
  <si>
    <t>414-HNO3005</t>
    <phoneticPr fontId="1"/>
  </si>
  <si>
    <t>414-UM1827</t>
  </si>
  <si>
    <t>414-UM1827</t>
    <phoneticPr fontId="1"/>
  </si>
  <si>
    <t>小名浜7/29 黒崎8/5着</t>
    <rPh sb="0" eb="2">
      <t>オナ</t>
    </rPh>
    <rPh sb="2" eb="3">
      <t>ハマ</t>
    </rPh>
    <rPh sb="8" eb="10">
      <t>クロサキ</t>
    </rPh>
    <rPh sb="13" eb="14">
      <t>チャク</t>
    </rPh>
    <phoneticPr fontId="1"/>
  </si>
  <si>
    <t>414-UM1828</t>
    <phoneticPr fontId="1"/>
  </si>
  <si>
    <t>414-UM1829</t>
  </si>
  <si>
    <t>414-UM1829</t>
    <phoneticPr fontId="1"/>
  </si>
  <si>
    <t>414-AM191</t>
  </si>
  <si>
    <t>414-AM193</t>
    <phoneticPr fontId="1"/>
  </si>
  <si>
    <t>414-AM193</t>
    <phoneticPr fontId="1"/>
  </si>
  <si>
    <t>[MC1]</t>
  </si>
  <si>
    <t>17</t>
    <phoneticPr fontId="1"/>
  </si>
  <si>
    <t>MC1</t>
  </si>
  <si>
    <t>小名浜8/2 黒崎8/9着</t>
    <rPh sb="0" eb="2">
      <t>オナ</t>
    </rPh>
    <rPh sb="2" eb="3">
      <t>ハマ</t>
    </rPh>
    <rPh sb="7" eb="9">
      <t>クロサキ</t>
    </rPh>
    <rPh sb="12" eb="13">
      <t>チャク</t>
    </rPh>
    <phoneticPr fontId="1"/>
  </si>
  <si>
    <t>010805160013</t>
    <phoneticPr fontId="1"/>
  </si>
  <si>
    <t>010805160015</t>
    <phoneticPr fontId="1"/>
  </si>
  <si>
    <t>010805160014</t>
    <phoneticPr fontId="1"/>
  </si>
  <si>
    <t>414-UM1828</t>
    <phoneticPr fontId="1"/>
  </si>
  <si>
    <t>漏えい</t>
    <rPh sb="0" eb="1">
      <t>ロウ</t>
    </rPh>
    <phoneticPr fontId="1"/>
  </si>
  <si>
    <t>2019/06/06, After 製造 (Must)</t>
    <phoneticPr fontId="1"/>
  </si>
  <si>
    <t>128(2)</t>
    <phoneticPr fontId="1"/>
  </si>
  <si>
    <t>7/26以降</t>
    <phoneticPr fontId="1"/>
  </si>
  <si>
    <t>10月までに
保留</t>
    <phoneticPr fontId="1"/>
  </si>
  <si>
    <t>27</t>
  </si>
  <si>
    <t>28</t>
  </si>
  <si>
    <t>29</t>
  </si>
  <si>
    <t>‘</t>
    <phoneticPr fontId="1"/>
  </si>
  <si>
    <t>11</t>
  </si>
  <si>
    <t>010805240018</t>
    <phoneticPr fontId="1"/>
  </si>
  <si>
    <t>FOR IST</t>
    <phoneticPr fontId="1"/>
  </si>
  <si>
    <t>010805210005</t>
    <phoneticPr fontId="1"/>
  </si>
  <si>
    <t>010805200003</t>
    <phoneticPr fontId="1"/>
  </si>
  <si>
    <t>010805200002</t>
    <phoneticPr fontId="1"/>
  </si>
  <si>
    <t>2019/06/06 After 製造(Must) SPEC FOR NON-N20</t>
    <phoneticPr fontId="1"/>
  </si>
  <si>
    <t>414-AM188</t>
  </si>
  <si>
    <t>日程変更ありがとうございました</t>
    <rPh sb="0" eb="2">
      <t>ニッテイ</t>
    </rPh>
    <rPh sb="2" eb="4">
      <t>ヘンコウ</t>
    </rPh>
    <phoneticPr fontId="1"/>
  </si>
  <si>
    <t>7/3-4</t>
  </si>
  <si>
    <t>一時保留</t>
    <rPh sb="0" eb="2">
      <t>イチジ</t>
    </rPh>
    <rPh sb="2" eb="4">
      <t>ホリュウ</t>
    </rPh>
    <phoneticPr fontId="1"/>
  </si>
  <si>
    <t>FOR PSI</t>
    <phoneticPr fontId="1"/>
  </si>
  <si>
    <t>無償SAMPLE SICと混載
小名浜6/6 黒崎6/13着</t>
    <rPh sb="0" eb="2">
      <t>ムショウ</t>
    </rPh>
    <rPh sb="13" eb="15">
      <t>コンサイ</t>
    </rPh>
    <phoneticPr fontId="1"/>
  </si>
  <si>
    <t>無償SAMPLE SIEと混載
小名浜6/6 黒崎6/13着</t>
    <rPh sb="0" eb="2">
      <t>ムショウ</t>
    </rPh>
    <rPh sb="13" eb="15">
      <t>コンサイ</t>
    </rPh>
    <phoneticPr fontId="1"/>
  </si>
  <si>
    <t>10月納期</t>
    <rPh sb="2" eb="3">
      <t>ガツ</t>
    </rPh>
    <rPh sb="3" eb="5">
      <t>ノウキ</t>
    </rPh>
    <phoneticPr fontId="1"/>
  </si>
  <si>
    <t>9/18-19</t>
    <phoneticPr fontId="1"/>
  </si>
  <si>
    <t>8/30-31</t>
    <phoneticPr fontId="1"/>
  </si>
  <si>
    <r>
      <rPr>
        <strike/>
        <sz val="12"/>
        <color rgb="FF0070C0"/>
        <rFont val="新細明體"/>
        <family val="3"/>
        <charset val="128"/>
        <scheme val="minor"/>
      </rPr>
      <t>小名浜7/11 黒崎7/18着</t>
    </r>
    <r>
      <rPr>
        <sz val="12"/>
        <color rgb="FF0070C0"/>
        <rFont val="新細明體"/>
        <family val="3"/>
        <charset val="128"/>
        <scheme val="minor"/>
      </rPr>
      <t xml:space="preserve">
小名浜8/19 黒崎8/26着</t>
    </r>
    <rPh sb="0" eb="2">
      <t>オナ</t>
    </rPh>
    <rPh sb="2" eb="3">
      <t>ハマ</t>
    </rPh>
    <rPh sb="8" eb="10">
      <t>クロサキ</t>
    </rPh>
    <rPh sb="14" eb="15">
      <t>チャク</t>
    </rPh>
    <phoneticPr fontId="1"/>
  </si>
  <si>
    <r>
      <rPr>
        <strike/>
        <sz val="12"/>
        <color rgb="FF0070C0"/>
        <rFont val="新細明體"/>
        <family val="3"/>
        <charset val="128"/>
        <scheme val="minor"/>
      </rPr>
      <t>小名浜7/29 黒崎8/5着</t>
    </r>
    <r>
      <rPr>
        <sz val="12"/>
        <color rgb="FF0070C0"/>
        <rFont val="新細明體"/>
        <family val="3"/>
        <charset val="128"/>
        <scheme val="minor"/>
      </rPr>
      <t xml:space="preserve">
小名浜9/4 黒崎9/11着</t>
    </r>
    <rPh sb="0" eb="2">
      <t>オナ</t>
    </rPh>
    <rPh sb="2" eb="3">
      <t>ハマ</t>
    </rPh>
    <rPh sb="8" eb="10">
      <t>クロサキ</t>
    </rPh>
    <rPh sb="13" eb="14">
      <t>チャク</t>
    </rPh>
    <phoneticPr fontId="1"/>
  </si>
  <si>
    <t>SI-C</t>
    <phoneticPr fontId="1"/>
  </si>
  <si>
    <t>7/24-25</t>
  </si>
  <si>
    <t>414-UM1831</t>
    <phoneticPr fontId="1"/>
  </si>
  <si>
    <t>414-UM1832</t>
    <phoneticPr fontId="1"/>
  </si>
  <si>
    <t>414-HNO3997</t>
    <phoneticPr fontId="1"/>
  </si>
  <si>
    <t>4/9</t>
    <phoneticPr fontId="1"/>
  </si>
  <si>
    <t>C30(28)D02(28)</t>
    <phoneticPr fontId="1"/>
  </si>
  <si>
    <t>D03(28)D04(28)D05(24)</t>
    <phoneticPr fontId="1"/>
  </si>
  <si>
    <t>E04(4)E06(36)</t>
    <phoneticPr fontId="1"/>
  </si>
  <si>
    <t>E06(4)E07(36)</t>
    <phoneticPr fontId="1"/>
  </si>
  <si>
    <t>819(3)</t>
    <phoneticPr fontId="1"/>
  </si>
  <si>
    <t>E07(4)E08(40)E09(36)</t>
    <phoneticPr fontId="1"/>
  </si>
  <si>
    <t>414-HNO3990</t>
    <phoneticPr fontId="1"/>
  </si>
  <si>
    <t>4/16</t>
    <phoneticPr fontId="1"/>
  </si>
  <si>
    <t>C21(40)C23(40)</t>
    <phoneticPr fontId="1"/>
  </si>
  <si>
    <t>2019/03/21 After製造(Must) FOR PTC</t>
    <phoneticPr fontId="1"/>
  </si>
  <si>
    <t>414-HNO3991</t>
    <phoneticPr fontId="1"/>
  </si>
  <si>
    <t>4/23</t>
    <phoneticPr fontId="1"/>
  </si>
  <si>
    <t>D05.D06.D08.D12</t>
    <phoneticPr fontId="1"/>
  </si>
  <si>
    <t>2019/03/28 After製造(Must) FOR UMC ※need with analysis report</t>
    <phoneticPr fontId="1"/>
  </si>
  <si>
    <t>C26(28)C27(28)C28(24)</t>
    <phoneticPr fontId="1"/>
  </si>
  <si>
    <t>2019/03/13 After製造(Must) FOR PTC</t>
    <phoneticPr fontId="1"/>
  </si>
  <si>
    <t>C28(4)C29(28)</t>
    <phoneticPr fontId="1"/>
  </si>
  <si>
    <t>2019/04/05 After製造(Must) FOR PTC</t>
    <phoneticPr fontId="1"/>
  </si>
  <si>
    <t>414-HNO3993</t>
    <phoneticPr fontId="1"/>
  </si>
  <si>
    <t>5/14</t>
    <phoneticPr fontId="1"/>
  </si>
  <si>
    <t>D17(8)D18(8)D23(40)D24(24)</t>
    <phoneticPr fontId="1"/>
  </si>
  <si>
    <t>2019/04/12 After製造(Must) FOR PTC</t>
    <phoneticPr fontId="1"/>
  </si>
  <si>
    <t>825(2)</t>
    <phoneticPr fontId="1"/>
  </si>
  <si>
    <t>HNO3 -- 40DM</t>
    <phoneticPr fontId="1"/>
  </si>
  <si>
    <t>D24(8)D25(32)</t>
    <phoneticPr fontId="1"/>
  </si>
  <si>
    <t>2019/04/13 After製造(Must) FOR PTC</t>
    <phoneticPr fontId="1"/>
  </si>
  <si>
    <t>D12(4)D13(24)D19(12)</t>
    <phoneticPr fontId="1"/>
  </si>
  <si>
    <t>2019/04/13 After製造(Must) FOR UMC ※need with analysis report</t>
    <phoneticPr fontId="1"/>
  </si>
  <si>
    <t>414-HNO3992</t>
    <phoneticPr fontId="1"/>
  </si>
  <si>
    <t>5/21</t>
    <phoneticPr fontId="1"/>
  </si>
  <si>
    <t>D25(8)D26(28)D29(24)E03(20)</t>
    <phoneticPr fontId="1"/>
  </si>
  <si>
    <t>2019/04/20 After製造(Must) FOR PTC</t>
    <phoneticPr fontId="1"/>
  </si>
  <si>
    <t>414-HNO3994</t>
    <phoneticPr fontId="1"/>
  </si>
  <si>
    <t>6/4</t>
    <phoneticPr fontId="1"/>
  </si>
  <si>
    <t>2019/05/09 After製造(Must) FOR PTC</t>
    <phoneticPr fontId="1"/>
  </si>
  <si>
    <t>827(2)</t>
    <phoneticPr fontId="1"/>
  </si>
  <si>
    <t>414-HNO3995</t>
    <phoneticPr fontId="1"/>
  </si>
  <si>
    <t>6/11</t>
    <phoneticPr fontId="1"/>
  </si>
  <si>
    <t>E03(8)E04(24)</t>
    <phoneticPr fontId="1"/>
  </si>
  <si>
    <t>2019/05/16 After製造(Must) FOR UMC ※need with analysis report</t>
    <phoneticPr fontId="1"/>
  </si>
  <si>
    <t>414-HNO3996</t>
    <phoneticPr fontId="1"/>
  </si>
  <si>
    <t>6/18</t>
    <phoneticPr fontId="1"/>
  </si>
  <si>
    <t>2019/05/23 After製造(Must) FOR PTC</t>
    <phoneticPr fontId="1"/>
  </si>
  <si>
    <t>830(2)</t>
    <phoneticPr fontId="1"/>
  </si>
  <si>
    <t>010804120031</t>
    <phoneticPr fontId="1"/>
  </si>
  <si>
    <t>E03(4)E04(20)</t>
    <phoneticPr fontId="1"/>
  </si>
  <si>
    <t>2019/04/24 After製造(Must) FOR PTC</t>
    <phoneticPr fontId="1"/>
  </si>
  <si>
    <t xml:space="preserve">[Nitric Acid for UMC] </t>
    <phoneticPr fontId="1"/>
  </si>
  <si>
    <t>D19(8)D20(20)D27(28)</t>
    <phoneticPr fontId="1"/>
  </si>
  <si>
    <t>010804120032</t>
    <phoneticPr fontId="1"/>
  </si>
  <si>
    <t>2019/05/15 After製造(Must) FOR PTC</t>
    <phoneticPr fontId="1"/>
  </si>
  <si>
    <t>HNO3 -- 160DM</t>
    <phoneticPr fontId="1"/>
  </si>
  <si>
    <t>414-HNO3998</t>
    <phoneticPr fontId="1"/>
  </si>
  <si>
    <t>6/25</t>
    <phoneticPr fontId="1"/>
  </si>
  <si>
    <t>2019/05/25 After製造(Must) FOR PTC</t>
    <phoneticPr fontId="1"/>
  </si>
  <si>
    <t>2019/05/17 After製造(Must) FOR UMC ※need with analysis report</t>
    <phoneticPr fontId="1"/>
  </si>
  <si>
    <t>414-HNO3999</t>
    <phoneticPr fontId="1"/>
  </si>
  <si>
    <t>7/2</t>
    <phoneticPr fontId="1"/>
  </si>
  <si>
    <t>2019/06/01 After製造(Must) FOR PTC</t>
    <phoneticPr fontId="1"/>
  </si>
  <si>
    <t>414-HNO3001</t>
    <phoneticPr fontId="1"/>
  </si>
  <si>
    <t>7/9</t>
    <phoneticPr fontId="1"/>
  </si>
  <si>
    <t>414-HNO3002</t>
    <phoneticPr fontId="1"/>
  </si>
  <si>
    <t>7/16</t>
    <phoneticPr fontId="1"/>
  </si>
  <si>
    <t>2019/06/19 After製造(Must) FOR UMC ※need with analysis report</t>
    <phoneticPr fontId="1"/>
  </si>
  <si>
    <t>414-HNO3003</t>
    <phoneticPr fontId="1"/>
  </si>
  <si>
    <t>7/23</t>
    <phoneticPr fontId="1"/>
  </si>
  <si>
    <t>2019/06/28 After製造(Must) FOR PTC</t>
    <phoneticPr fontId="1"/>
  </si>
  <si>
    <t>2019/06/27 After製造(Must) FOR UMC ※need with analysis report</t>
    <phoneticPr fontId="1"/>
  </si>
  <si>
    <t>414-HNO3004</t>
    <phoneticPr fontId="1"/>
  </si>
  <si>
    <t>8/6</t>
    <phoneticPr fontId="1"/>
  </si>
  <si>
    <t>2019/07/10 After製造(Must) FOR PTC</t>
    <phoneticPr fontId="1"/>
  </si>
  <si>
    <t>2019/07/17 After製造(Must) FOR PTC</t>
    <phoneticPr fontId="1"/>
  </si>
  <si>
    <t>2019/07/17 After製造(Must) FOR UMC ※need with analysis report</t>
    <phoneticPr fontId="1"/>
  </si>
  <si>
    <t>414-HNO3005</t>
    <phoneticPr fontId="1"/>
  </si>
  <si>
    <t>8/27</t>
    <phoneticPr fontId="1"/>
  </si>
  <si>
    <t>2019/08/01 After製造(Must) FOR PTC</t>
    <phoneticPr fontId="1"/>
  </si>
  <si>
    <t>010801280007</t>
    <phoneticPr fontId="1"/>
  </si>
  <si>
    <t>414-UM1802</t>
    <phoneticPr fontId="1"/>
  </si>
  <si>
    <t>4/17-18</t>
    <phoneticPr fontId="1"/>
  </si>
  <si>
    <t>2019/03/28 After 製造(Must) SPEC FOR NON-N20</t>
    <phoneticPr fontId="1"/>
  </si>
  <si>
    <t>414-UM1820</t>
    <phoneticPr fontId="1"/>
  </si>
  <si>
    <t>6/5-6</t>
    <phoneticPr fontId="1"/>
  </si>
  <si>
    <t>2019/05/14 After 製造(Must) SPEC FOR NON-N20</t>
    <phoneticPr fontId="1"/>
  </si>
  <si>
    <t>HCL</t>
    <phoneticPr fontId="1"/>
  </si>
  <si>
    <t>2019/06/06 After 製造(Must) SPEC FOR NON-N20</t>
    <phoneticPr fontId="1"/>
  </si>
  <si>
    <t>010805300018</t>
  </si>
  <si>
    <t>414-UM1827</t>
    <phoneticPr fontId="1"/>
  </si>
  <si>
    <t>2019/07/17 After 製造(Must) SPEC FOR NON-N20</t>
    <phoneticPr fontId="1"/>
  </si>
  <si>
    <t>010710230010</t>
    <phoneticPr fontId="1"/>
  </si>
  <si>
    <t>414-UM1809</t>
    <phoneticPr fontId="1"/>
  </si>
  <si>
    <t>5/10-11</t>
    <phoneticPr fontId="1"/>
  </si>
  <si>
    <t>D22</t>
    <phoneticPr fontId="1"/>
  </si>
  <si>
    <t>2019/04/12 After 製造(Must)</t>
    <phoneticPr fontId="1"/>
  </si>
  <si>
    <t>151(2)</t>
    <phoneticPr fontId="1"/>
  </si>
  <si>
    <t>5/17-18</t>
    <phoneticPr fontId="1"/>
  </si>
  <si>
    <t>4/10-11</t>
    <phoneticPr fontId="1"/>
  </si>
  <si>
    <t>2019/03/22 After 製造(Must)</t>
    <phoneticPr fontId="1"/>
  </si>
  <si>
    <t>緩和しないでください</t>
    <phoneticPr fontId="1"/>
  </si>
  <si>
    <t>154</t>
    <phoneticPr fontId="1"/>
  </si>
  <si>
    <t>414-UM1822</t>
    <phoneticPr fontId="1"/>
  </si>
  <si>
    <t>5/29-30</t>
    <phoneticPr fontId="1"/>
  </si>
  <si>
    <t>2019/05/08 After 製造(Must)</t>
    <phoneticPr fontId="1"/>
  </si>
  <si>
    <t>154(2)</t>
    <phoneticPr fontId="1"/>
  </si>
  <si>
    <t>010805200003</t>
    <phoneticPr fontId="1"/>
  </si>
  <si>
    <t>2019/05/11 After 製造(Must)</t>
    <phoneticPr fontId="1"/>
  </si>
  <si>
    <t>7/3-4</t>
    <phoneticPr fontId="1"/>
  </si>
  <si>
    <t>2019/06/06 After 製造(Must)</t>
    <phoneticPr fontId="1"/>
  </si>
  <si>
    <t>2019/06/28 After 製造(Must)</t>
    <phoneticPr fontId="1"/>
  </si>
  <si>
    <t>414-UM1829</t>
    <phoneticPr fontId="1"/>
  </si>
  <si>
    <t>8/21-22</t>
    <phoneticPr fontId="1"/>
  </si>
  <si>
    <t>2019/07/25 After 製造(Must)</t>
    <phoneticPr fontId="1"/>
  </si>
  <si>
    <t xml:space="preserve">[Hydrochloric Acid for MMT] </t>
    <phoneticPr fontId="1"/>
  </si>
  <si>
    <t>1</t>
    <phoneticPr fontId="1"/>
  </si>
  <si>
    <t>GN DRUM, SAMPLE</t>
    <phoneticPr fontId="1"/>
  </si>
  <si>
    <t xml:space="preserve">[Hydrochloric Acid for SEHT] </t>
    <phoneticPr fontId="1"/>
  </si>
  <si>
    <t>010802210026</t>
    <phoneticPr fontId="1"/>
  </si>
  <si>
    <t>2019/07/26 After 製造(Must)</t>
    <phoneticPr fontId="1"/>
  </si>
  <si>
    <t>[Hydrochloric Acid for KINIK *20kg Packing*]</t>
    <phoneticPr fontId="1"/>
  </si>
  <si>
    <t>HCL</t>
    <phoneticPr fontId="1"/>
  </si>
  <si>
    <t>2019/02/28, After 製造 (Must)</t>
    <phoneticPr fontId="1"/>
  </si>
  <si>
    <t>4/10-11</t>
    <phoneticPr fontId="1"/>
  </si>
  <si>
    <t>4/3-4</t>
    <phoneticPr fontId="1"/>
  </si>
  <si>
    <t>4/17-18</t>
    <phoneticPr fontId="1"/>
  </si>
  <si>
    <t>2019/03/22, After 製造 (Must)</t>
    <phoneticPr fontId="1"/>
  </si>
  <si>
    <t>5/17-18</t>
    <phoneticPr fontId="1"/>
  </si>
  <si>
    <t>2019/04/22, After 製造 (Must)</t>
    <phoneticPr fontId="1"/>
  </si>
  <si>
    <t>2019/05/22, After 製造 (Must)</t>
    <phoneticPr fontId="1"/>
  </si>
  <si>
    <t>2019/06/06, After 製造 (Must)</t>
    <phoneticPr fontId="1"/>
  </si>
  <si>
    <t>128(2)</t>
    <phoneticPr fontId="1"/>
  </si>
  <si>
    <t>010805300016</t>
  </si>
  <si>
    <t>2019/06/27, After 製造 (Must)</t>
    <phoneticPr fontId="1"/>
  </si>
  <si>
    <t>010805210005</t>
    <phoneticPr fontId="1"/>
  </si>
  <si>
    <t>2019/07/17, After 製造 (Must)</t>
    <phoneticPr fontId="1"/>
  </si>
  <si>
    <t>AM1</t>
    <phoneticPr fontId="1"/>
  </si>
  <si>
    <t>4/24-25</t>
    <phoneticPr fontId="1"/>
  </si>
  <si>
    <t>AM1</t>
    <phoneticPr fontId="1"/>
  </si>
  <si>
    <t>2019/08/01 After 製造(Must)</t>
    <phoneticPr fontId="1"/>
  </si>
  <si>
    <t>8/21-22</t>
    <phoneticPr fontId="1"/>
  </si>
  <si>
    <t>5/16以降</t>
    <phoneticPr fontId="1"/>
  </si>
  <si>
    <t>6/28以降</t>
    <phoneticPr fontId="1"/>
  </si>
  <si>
    <t>010805300017</t>
  </si>
  <si>
    <t>18(2)</t>
    <phoneticPr fontId="1"/>
  </si>
  <si>
    <t>010802250014</t>
    <phoneticPr fontId="1"/>
  </si>
  <si>
    <t>19(2)</t>
    <phoneticPr fontId="1"/>
  </si>
  <si>
    <t>FOR PSI</t>
    <phoneticPr fontId="1"/>
  </si>
  <si>
    <t>414-UM1822</t>
    <phoneticPr fontId="1"/>
  </si>
  <si>
    <t>414-UM1823</t>
    <phoneticPr fontId="1"/>
  </si>
  <si>
    <t>7/3-4</t>
    <phoneticPr fontId="1"/>
  </si>
  <si>
    <t>010805300019</t>
  </si>
  <si>
    <t>010805300020</t>
  </si>
  <si>
    <t>[Si-C]</t>
    <phoneticPr fontId="1"/>
  </si>
  <si>
    <t>SI-C</t>
    <phoneticPr fontId="1"/>
  </si>
  <si>
    <t>010804290012</t>
    <phoneticPr fontId="1"/>
  </si>
  <si>
    <t>6/12-13</t>
    <phoneticPr fontId="1"/>
  </si>
  <si>
    <t>010805020003</t>
    <phoneticPr fontId="1"/>
  </si>
  <si>
    <t>7/3-4</t>
    <phoneticPr fontId="1"/>
  </si>
  <si>
    <t>010805020004</t>
    <phoneticPr fontId="1"/>
  </si>
  <si>
    <t>414-UM1831</t>
    <phoneticPr fontId="1"/>
  </si>
  <si>
    <t>8/30-31</t>
    <phoneticPr fontId="1"/>
  </si>
  <si>
    <t>010805160015</t>
    <phoneticPr fontId="1"/>
  </si>
  <si>
    <t>414-UM1832</t>
    <phoneticPr fontId="1"/>
  </si>
  <si>
    <t>9/18-19</t>
    <phoneticPr fontId="1"/>
  </si>
  <si>
    <t>010805160016</t>
    <phoneticPr fontId="1"/>
  </si>
  <si>
    <t>‘</t>
    <phoneticPr fontId="1"/>
  </si>
  <si>
    <t>[MC1]</t>
    <phoneticPr fontId="1"/>
  </si>
  <si>
    <t>MC1</t>
    <phoneticPr fontId="1"/>
  </si>
  <si>
    <t>4/10-11</t>
    <phoneticPr fontId="1"/>
  </si>
  <si>
    <t>2019/03/15,After 製造(Must)FOR RST</t>
    <phoneticPr fontId="1"/>
  </si>
  <si>
    <t>414-AM188</t>
    <phoneticPr fontId="1"/>
  </si>
  <si>
    <t>5/15以降</t>
    <phoneticPr fontId="1"/>
  </si>
  <si>
    <t>17</t>
    <phoneticPr fontId="1"/>
  </si>
  <si>
    <t>010805160017</t>
    <phoneticPr fontId="1"/>
  </si>
  <si>
    <t>414-AM193</t>
    <phoneticPr fontId="1"/>
  </si>
  <si>
    <t>8/21-22</t>
    <phoneticPr fontId="1"/>
  </si>
  <si>
    <t>13</t>
    <phoneticPr fontId="1"/>
  </si>
  <si>
    <t>414-AM181</t>
    <phoneticPr fontId="1"/>
  </si>
  <si>
    <t>4/3-4</t>
    <phoneticPr fontId="1"/>
  </si>
  <si>
    <t>13(2)</t>
    <phoneticPr fontId="1"/>
  </si>
  <si>
    <t>414-AM182</t>
    <phoneticPr fontId="1"/>
  </si>
  <si>
    <t>14</t>
    <phoneticPr fontId="1"/>
  </si>
  <si>
    <t>414-AM184</t>
    <phoneticPr fontId="1"/>
  </si>
  <si>
    <t>4/24-25</t>
    <phoneticPr fontId="1"/>
  </si>
  <si>
    <t>15</t>
    <phoneticPr fontId="1"/>
  </si>
  <si>
    <t>414-AM185</t>
    <phoneticPr fontId="1"/>
  </si>
  <si>
    <t>5/8-9</t>
    <phoneticPr fontId="1"/>
  </si>
  <si>
    <t>15(2)</t>
    <phoneticPr fontId="1"/>
  </si>
  <si>
    <t>414-AM189</t>
    <phoneticPr fontId="1"/>
  </si>
  <si>
    <t>5/22-23</t>
    <phoneticPr fontId="1"/>
  </si>
  <si>
    <t>414-AM187</t>
    <phoneticPr fontId="1"/>
  </si>
  <si>
    <t>6/26-27</t>
    <phoneticPr fontId="1"/>
  </si>
  <si>
    <t>414-AM192</t>
    <phoneticPr fontId="1"/>
  </si>
  <si>
    <t>7/10-11</t>
    <phoneticPr fontId="1"/>
  </si>
  <si>
    <t>414-AM190</t>
    <phoneticPr fontId="1"/>
  </si>
  <si>
    <t>7/24-25</t>
    <phoneticPr fontId="1"/>
  </si>
  <si>
    <t>数量</t>
    <phoneticPr fontId="33" type="noConversion"/>
  </si>
  <si>
    <t>個数</t>
    <phoneticPr fontId="33" type="noConversion"/>
  </si>
  <si>
    <r>
      <t>U</t>
    </r>
    <r>
      <rPr>
        <sz val="10"/>
        <rFont val="Arial"/>
        <family val="2"/>
      </rPr>
      <t xml:space="preserve">MC </t>
    </r>
    <phoneticPr fontId="33" type="noConversion"/>
  </si>
  <si>
    <r>
      <t>5/13</t>
    </r>
    <r>
      <rPr>
        <sz val="10"/>
        <rFont val="Arial"/>
        <family val="2"/>
      </rPr>
      <t>(12)</t>
    </r>
    <phoneticPr fontId="33" type="noConversion"/>
  </si>
  <si>
    <r>
      <t>5</t>
    </r>
    <r>
      <rPr>
        <sz val="10"/>
        <rFont val="Arial"/>
        <family val="2"/>
      </rPr>
      <t>/20(</t>
    </r>
    <r>
      <rPr>
        <sz val="11"/>
        <color theme="1"/>
        <rFont val="新細明體"/>
        <family val="2"/>
        <charset val="128"/>
        <scheme val="minor"/>
      </rPr>
      <t>8</t>
    </r>
    <r>
      <rPr>
        <sz val="10"/>
        <rFont val="Arial"/>
        <family val="2"/>
      </rPr>
      <t>)</t>
    </r>
    <phoneticPr fontId="33" type="noConversion"/>
  </si>
  <si>
    <t>PTC</t>
    <phoneticPr fontId="33" type="noConversion"/>
  </si>
  <si>
    <t>5/13(32)</t>
    <phoneticPr fontId="33" type="noConversion"/>
  </si>
  <si>
    <t>PTCへ</t>
    <phoneticPr fontId="33" type="noConversion"/>
  </si>
  <si>
    <t>PTC</t>
    <phoneticPr fontId="33" type="noConversion"/>
  </si>
  <si>
    <t>PTCへ</t>
    <phoneticPr fontId="33" type="noConversion"/>
  </si>
  <si>
    <t>5/20(20)</t>
    <phoneticPr fontId="1"/>
  </si>
  <si>
    <t>5/27(4)</t>
    <phoneticPr fontId="1"/>
  </si>
  <si>
    <t>小名浜7/25 黒崎8/1着</t>
    <rPh sb="0" eb="2">
      <t>オナ</t>
    </rPh>
    <rPh sb="2" eb="3">
      <t>ハマ</t>
    </rPh>
    <rPh sb="8" eb="10">
      <t>クロサキ</t>
    </rPh>
    <rPh sb="13" eb="14">
      <t>チャク</t>
    </rPh>
    <phoneticPr fontId="1"/>
  </si>
  <si>
    <t>8/7-8</t>
    <phoneticPr fontId="1"/>
  </si>
  <si>
    <t>お盆対応のため</t>
    <rPh sb="1" eb="2">
      <t>ボン</t>
    </rPh>
    <rPh sb="2" eb="4">
      <t>タイオウ</t>
    </rPh>
    <phoneticPr fontId="1"/>
  </si>
  <si>
    <t>9/20-21</t>
    <phoneticPr fontId="1"/>
  </si>
  <si>
    <t>414-AM194</t>
    <phoneticPr fontId="1"/>
  </si>
  <si>
    <t>2019/06/4 After製造(Must) FOR PTC</t>
    <phoneticPr fontId="1"/>
  </si>
  <si>
    <t>2019/06/7 After製造(Must) FOR PTC</t>
    <phoneticPr fontId="1"/>
  </si>
  <si>
    <t>625(2)</t>
    <phoneticPr fontId="1"/>
  </si>
  <si>
    <t>No</t>
    <phoneticPr fontId="1"/>
  </si>
  <si>
    <t>Issued Date</t>
    <phoneticPr fontId="1"/>
  </si>
  <si>
    <t>Item</t>
    <phoneticPr fontId="1"/>
  </si>
  <si>
    <t>Container Type</t>
    <phoneticPr fontId="1"/>
  </si>
  <si>
    <t>Request</t>
    <phoneticPr fontId="1"/>
  </si>
  <si>
    <t>LOT</t>
    <phoneticPr fontId="1"/>
  </si>
  <si>
    <t xml:space="preserve">Sample </t>
    <phoneticPr fontId="1"/>
  </si>
  <si>
    <t>Coment</t>
    <phoneticPr fontId="1"/>
  </si>
  <si>
    <t>HNO3 -- 40DM</t>
    <phoneticPr fontId="1"/>
  </si>
  <si>
    <t>414-HNO3997</t>
    <phoneticPr fontId="1"/>
  </si>
  <si>
    <t>4/9</t>
    <phoneticPr fontId="1"/>
  </si>
  <si>
    <t>C30(28)D02(28)</t>
    <phoneticPr fontId="1"/>
  </si>
  <si>
    <t>2019/02/26 After製造(Must) FOR UMC ※need with analysis report</t>
    <phoneticPr fontId="1"/>
  </si>
  <si>
    <t>414-HNO3990</t>
    <phoneticPr fontId="1"/>
  </si>
  <si>
    <t>4/16</t>
    <phoneticPr fontId="1"/>
  </si>
  <si>
    <t>D03(28)D04(28)D05(24)</t>
    <phoneticPr fontId="1"/>
  </si>
  <si>
    <t>2019/03/20 After製造(Must) FOR UMC ※need with analysis report</t>
    <phoneticPr fontId="1"/>
  </si>
  <si>
    <t>414-HNO3989</t>
    <phoneticPr fontId="1"/>
  </si>
  <si>
    <t>5/28</t>
    <phoneticPr fontId="1"/>
  </si>
  <si>
    <t>E04(4)E06(36)</t>
    <phoneticPr fontId="1"/>
  </si>
  <si>
    <t>2019/05/02 After製造(Must) FOR PTC</t>
    <phoneticPr fontId="1"/>
  </si>
  <si>
    <t>819(2)</t>
    <phoneticPr fontId="1"/>
  </si>
  <si>
    <t>E06(4)E07(36)</t>
    <phoneticPr fontId="1"/>
  </si>
  <si>
    <t>2019/05/01 After製造(Must) FOR UMC ※need with analysis report</t>
    <phoneticPr fontId="1"/>
  </si>
  <si>
    <t>819(3)</t>
    <phoneticPr fontId="1"/>
  </si>
  <si>
    <t>HNO3 -- 40DM</t>
    <phoneticPr fontId="1"/>
  </si>
  <si>
    <t>414-HNO3989</t>
    <phoneticPr fontId="1"/>
  </si>
  <si>
    <t>5/28</t>
    <phoneticPr fontId="1"/>
  </si>
  <si>
    <t>E07(4)E08(40)E09(36)</t>
    <phoneticPr fontId="1"/>
  </si>
  <si>
    <t>2019/05/02 After製造(Must) FOR PTC</t>
    <phoneticPr fontId="1"/>
  </si>
  <si>
    <t>414-HNO3990</t>
    <phoneticPr fontId="1"/>
  </si>
  <si>
    <t>4/16</t>
    <phoneticPr fontId="1"/>
  </si>
  <si>
    <t>C21(40)C23(40)</t>
    <phoneticPr fontId="1"/>
  </si>
  <si>
    <t>2019/03/21 After製造(Must) FOR PTC</t>
    <phoneticPr fontId="1"/>
  </si>
  <si>
    <t>414-HNO3991</t>
    <phoneticPr fontId="1"/>
  </si>
  <si>
    <t>4/23</t>
    <phoneticPr fontId="1"/>
  </si>
  <si>
    <t>D05.D06.D08.D12</t>
    <phoneticPr fontId="1"/>
  </si>
  <si>
    <t>2019/03/28 After製造(Must) FOR UMC ※need with analysis report</t>
    <phoneticPr fontId="1"/>
  </si>
  <si>
    <t>C26(28)C27(28)C28(24)</t>
    <phoneticPr fontId="1"/>
  </si>
  <si>
    <t>2019/03/13 After製造(Must) FOR PTC</t>
    <phoneticPr fontId="1"/>
  </si>
  <si>
    <t>C28(4)C29(28)</t>
    <phoneticPr fontId="1"/>
  </si>
  <si>
    <t>2019/04/05 After製造(Must) FOR PTC</t>
    <phoneticPr fontId="1"/>
  </si>
  <si>
    <t>414-HNO3993</t>
    <phoneticPr fontId="1"/>
  </si>
  <si>
    <t>5/14</t>
    <phoneticPr fontId="1"/>
  </si>
  <si>
    <t>D17(8)D18(8)D23(40)D24(24)</t>
    <phoneticPr fontId="1"/>
  </si>
  <si>
    <t>2019/04/12 After製造(Must) FOR PTC</t>
    <phoneticPr fontId="1"/>
  </si>
  <si>
    <t>825(2)</t>
    <phoneticPr fontId="1"/>
  </si>
  <si>
    <t>HNO3 -- 40DM</t>
    <phoneticPr fontId="1"/>
  </si>
  <si>
    <t>D24(8)D25(32)</t>
    <phoneticPr fontId="1"/>
  </si>
  <si>
    <t>2019/04/13 After製造(Must) FOR PTC</t>
    <phoneticPr fontId="1"/>
  </si>
  <si>
    <t>D12(4)D13(24)D19(12)</t>
    <phoneticPr fontId="1"/>
  </si>
  <si>
    <t>2019/04/13 After製造(Must) FOR UMC ※need with analysis report</t>
    <phoneticPr fontId="1"/>
  </si>
  <si>
    <t>414-HNO3992</t>
    <phoneticPr fontId="1"/>
  </si>
  <si>
    <t>5/21</t>
    <phoneticPr fontId="1"/>
  </si>
  <si>
    <t>D25(8)D26(28)D29(24)E03(20)</t>
    <phoneticPr fontId="1"/>
  </si>
  <si>
    <t>2019/04/20 After製造(Must) FOR PTC</t>
    <phoneticPr fontId="1"/>
  </si>
  <si>
    <t>414-HNO3994</t>
    <phoneticPr fontId="1"/>
  </si>
  <si>
    <t>6/4</t>
    <phoneticPr fontId="1"/>
  </si>
  <si>
    <t>2019/05/09 After製造(Must) FOR PTC</t>
    <phoneticPr fontId="1"/>
  </si>
  <si>
    <t>827(2)</t>
    <phoneticPr fontId="1"/>
  </si>
  <si>
    <t>414-HNO3995</t>
    <phoneticPr fontId="1"/>
  </si>
  <si>
    <t>6/11</t>
    <phoneticPr fontId="1"/>
  </si>
  <si>
    <t>E03(8)E04(24)</t>
    <phoneticPr fontId="1"/>
  </si>
  <si>
    <t>2019/05/16 After製造(Must) FOR UMC ※need with analysis report</t>
    <phoneticPr fontId="1"/>
  </si>
  <si>
    <t>414-HNO3996</t>
    <phoneticPr fontId="1"/>
  </si>
  <si>
    <t>6/18</t>
    <phoneticPr fontId="1"/>
  </si>
  <si>
    <t>2019/05/23 After製造(Must) FOR PTC</t>
    <phoneticPr fontId="1"/>
  </si>
  <si>
    <t>830(2)</t>
    <phoneticPr fontId="1"/>
  </si>
  <si>
    <t>010804120031</t>
    <phoneticPr fontId="1"/>
  </si>
  <si>
    <t>E03(4)E04(20)</t>
    <phoneticPr fontId="1"/>
  </si>
  <si>
    <t>2019/04/24 After製造(Must) FOR PTC</t>
    <phoneticPr fontId="1"/>
  </si>
  <si>
    <t xml:space="preserve">[Nitric Acid for UMC] </t>
    <phoneticPr fontId="1"/>
  </si>
  <si>
    <t>010804120031</t>
    <phoneticPr fontId="1"/>
  </si>
  <si>
    <t>D19(8)D20(20)D27(28)</t>
    <phoneticPr fontId="1"/>
  </si>
  <si>
    <t>010804120032</t>
    <phoneticPr fontId="1"/>
  </si>
  <si>
    <t>2019/05/15 After製造(Must) FOR PTC</t>
    <phoneticPr fontId="1"/>
  </si>
  <si>
    <t>HNO3 -- 160DM</t>
    <phoneticPr fontId="1"/>
  </si>
  <si>
    <t>414-HNO3998</t>
    <phoneticPr fontId="1"/>
  </si>
  <si>
    <t>6/25</t>
    <phoneticPr fontId="1"/>
  </si>
  <si>
    <t>2019/05/25 After製造(Must) FOR PTC</t>
    <phoneticPr fontId="1"/>
  </si>
  <si>
    <t>2019/05/17 After製造(Must) FOR UMC ※need with analysis report</t>
    <phoneticPr fontId="1"/>
  </si>
  <si>
    <t>414-HNO3999</t>
    <phoneticPr fontId="1"/>
  </si>
  <si>
    <t>7/2</t>
    <phoneticPr fontId="1"/>
  </si>
  <si>
    <t>2019/06/01 After製造(Must) FOR PTC</t>
    <phoneticPr fontId="1"/>
  </si>
  <si>
    <t>414-HNO3001</t>
    <phoneticPr fontId="1"/>
  </si>
  <si>
    <t>7/9</t>
    <phoneticPr fontId="1"/>
  </si>
  <si>
    <t>2019/06/4 After製造(Must) FOR PTC</t>
    <phoneticPr fontId="1"/>
  </si>
  <si>
    <t>414-HNO3002</t>
    <phoneticPr fontId="1"/>
  </si>
  <si>
    <t>7/16</t>
    <phoneticPr fontId="1"/>
  </si>
  <si>
    <t>2019/06/7 After製造(Must) FOR PTC</t>
    <phoneticPr fontId="1"/>
  </si>
  <si>
    <t>2019/06/19 After製造(Must) FOR UMC ※need with analysis report</t>
    <phoneticPr fontId="1"/>
  </si>
  <si>
    <t>414-HNO3003</t>
    <phoneticPr fontId="1"/>
  </si>
  <si>
    <t>7/23</t>
    <phoneticPr fontId="1"/>
  </si>
  <si>
    <t>2019/06/28 After製造(Must) FOR PTC</t>
    <phoneticPr fontId="1"/>
  </si>
  <si>
    <t>2019/06/27 After製造(Must) FOR UMC ※need with analysis report</t>
    <phoneticPr fontId="1"/>
  </si>
  <si>
    <t>414-HNO3004</t>
    <phoneticPr fontId="1"/>
  </si>
  <si>
    <t>8/6</t>
    <phoneticPr fontId="1"/>
  </si>
  <si>
    <t>2019/07/10 After製造(Must) FOR PTC</t>
    <phoneticPr fontId="1"/>
  </si>
  <si>
    <t>2019/07/17 After製造(Must) FOR PTC</t>
    <phoneticPr fontId="1"/>
  </si>
  <si>
    <t>2019/07/17 After製造(Must) FOR UMC ※need with analysis report</t>
    <phoneticPr fontId="1"/>
  </si>
  <si>
    <t>414-HNO3005</t>
    <phoneticPr fontId="1"/>
  </si>
  <si>
    <t>8/27</t>
    <phoneticPr fontId="1"/>
  </si>
  <si>
    <t>2019/08/01 After製造(Must) FOR PTC</t>
    <phoneticPr fontId="1"/>
  </si>
  <si>
    <t>010801280007</t>
    <phoneticPr fontId="1"/>
  </si>
  <si>
    <t>414-UM1802</t>
    <phoneticPr fontId="1"/>
  </si>
  <si>
    <t>4/17-18</t>
    <phoneticPr fontId="1"/>
  </si>
  <si>
    <t>2019/03/28 After 製造(Must) SPEC FOR NON-N20</t>
    <phoneticPr fontId="1"/>
  </si>
  <si>
    <t>414-UM1820</t>
    <phoneticPr fontId="1"/>
  </si>
  <si>
    <t>6/5-6</t>
    <phoneticPr fontId="1"/>
  </si>
  <si>
    <t>2019/05/14 After 製造(Must) SPEC FOR NON-N20</t>
    <phoneticPr fontId="1"/>
  </si>
  <si>
    <t>HCL</t>
    <phoneticPr fontId="1"/>
  </si>
  <si>
    <t>2019/06/06 After 製造(Must) SPEC FOR NON-N20</t>
    <phoneticPr fontId="1"/>
  </si>
  <si>
    <t>625(2)</t>
    <phoneticPr fontId="1"/>
  </si>
  <si>
    <t>414-UM1827</t>
    <phoneticPr fontId="1"/>
  </si>
  <si>
    <t>8/7-8</t>
    <phoneticPr fontId="1"/>
  </si>
  <si>
    <t>2019/07/17 After 製造(Must) SPEC FOR NON-N20</t>
    <phoneticPr fontId="1"/>
  </si>
  <si>
    <t>010710230010</t>
    <phoneticPr fontId="1"/>
  </si>
  <si>
    <t>414-UM1809</t>
    <phoneticPr fontId="1"/>
  </si>
  <si>
    <t>5/10-11</t>
    <phoneticPr fontId="1"/>
  </si>
  <si>
    <t>D22</t>
    <phoneticPr fontId="1"/>
  </si>
  <si>
    <t>2019/04/12 After 製造(Must)</t>
    <phoneticPr fontId="1"/>
  </si>
  <si>
    <t>151(2)</t>
    <phoneticPr fontId="1"/>
  </si>
  <si>
    <t>5/17-18</t>
    <phoneticPr fontId="1"/>
  </si>
  <si>
    <t>4/10-11</t>
    <phoneticPr fontId="1"/>
  </si>
  <si>
    <t>2019/03/22 After 製造(Must)</t>
    <phoneticPr fontId="1"/>
  </si>
  <si>
    <t>緩和しないでください</t>
    <phoneticPr fontId="1"/>
  </si>
  <si>
    <t>154</t>
    <phoneticPr fontId="1"/>
  </si>
  <si>
    <t>414-UM1822</t>
    <phoneticPr fontId="1"/>
  </si>
  <si>
    <t>5/29-30</t>
    <phoneticPr fontId="1"/>
  </si>
  <si>
    <t>2019/05/08 After 製造(Must)</t>
    <phoneticPr fontId="1"/>
  </si>
  <si>
    <t>154(2)</t>
    <phoneticPr fontId="1"/>
  </si>
  <si>
    <t>010805200003</t>
    <phoneticPr fontId="1"/>
  </si>
  <si>
    <t>2019/05/11 After 製造(Must)</t>
    <phoneticPr fontId="1"/>
  </si>
  <si>
    <t>7/3-4</t>
    <phoneticPr fontId="1"/>
  </si>
  <si>
    <t>2019/06/06 After 製造(Must)</t>
    <phoneticPr fontId="1"/>
  </si>
  <si>
    <t>2019/06/28 After 製造(Must)</t>
    <phoneticPr fontId="1"/>
  </si>
  <si>
    <t>414-UM1829</t>
    <phoneticPr fontId="1"/>
  </si>
  <si>
    <t>8/21-22</t>
    <phoneticPr fontId="1"/>
  </si>
  <si>
    <t>2019/07/25 After 製造(Must)</t>
    <phoneticPr fontId="1"/>
  </si>
  <si>
    <t xml:space="preserve">[Hydrochloric Acid for MMT] </t>
    <phoneticPr fontId="1"/>
  </si>
  <si>
    <t>1</t>
    <phoneticPr fontId="1"/>
  </si>
  <si>
    <t>GN DRUM, SAMPLE</t>
    <phoneticPr fontId="1"/>
  </si>
  <si>
    <t xml:space="preserve">[Hydrochloric Acid for SEHT] </t>
    <phoneticPr fontId="1"/>
  </si>
  <si>
    <t>010802210026</t>
    <phoneticPr fontId="1"/>
  </si>
  <si>
    <t>2019/07/26 After 製造(Must)</t>
    <phoneticPr fontId="1"/>
  </si>
  <si>
    <t>[Hydrochloric Acid for KINIK *20kg Packing*]</t>
    <phoneticPr fontId="1"/>
  </si>
  <si>
    <t>2019/02/28, After 製造 (Must)</t>
    <phoneticPr fontId="1"/>
  </si>
  <si>
    <t>4/3-4</t>
    <phoneticPr fontId="1"/>
  </si>
  <si>
    <t>2019/03/22, After 製造 (Must)</t>
    <phoneticPr fontId="1"/>
  </si>
  <si>
    <t>2019/04/22, After 製造 (Must)</t>
    <phoneticPr fontId="1"/>
  </si>
  <si>
    <t>2019/05/22, After 製造 (Must)</t>
    <phoneticPr fontId="1"/>
  </si>
  <si>
    <t>2019/06/06, After 製造 (Must)</t>
    <phoneticPr fontId="1"/>
  </si>
  <si>
    <t>128(2)</t>
    <phoneticPr fontId="1"/>
  </si>
  <si>
    <t>2019/06/27, After 製造 (Must)</t>
    <phoneticPr fontId="1"/>
  </si>
  <si>
    <t>010805210005</t>
    <phoneticPr fontId="1"/>
  </si>
  <si>
    <t>2019/07/17, After 製造 (Must)</t>
    <phoneticPr fontId="1"/>
  </si>
  <si>
    <t>AM1</t>
    <phoneticPr fontId="1"/>
  </si>
  <si>
    <t>4/24-25</t>
    <phoneticPr fontId="1"/>
  </si>
  <si>
    <t>414-AM194</t>
    <phoneticPr fontId="1"/>
  </si>
  <si>
    <t>9/20-21</t>
    <phoneticPr fontId="1"/>
  </si>
  <si>
    <t>2019/08/01 After 製造(Must)</t>
    <phoneticPr fontId="1"/>
  </si>
  <si>
    <t>2019/02/15 After 製造(Must)</t>
    <phoneticPr fontId="1"/>
  </si>
  <si>
    <t>2019/03/01 After 製造(Must)</t>
    <phoneticPr fontId="1"/>
  </si>
  <si>
    <t>414-AM185</t>
    <phoneticPr fontId="1"/>
  </si>
  <si>
    <t>5/8-9</t>
    <phoneticPr fontId="1"/>
  </si>
  <si>
    <t>2019/03/13 After 製造(Must)</t>
    <phoneticPr fontId="1"/>
  </si>
  <si>
    <t>23</t>
    <phoneticPr fontId="1"/>
  </si>
  <si>
    <t>414-AM191</t>
    <phoneticPr fontId="1"/>
  </si>
  <si>
    <t>7/17-18</t>
    <phoneticPr fontId="1"/>
  </si>
  <si>
    <t>2019/06/20 After 製造(Must)</t>
    <phoneticPr fontId="1"/>
  </si>
  <si>
    <t>010805200002</t>
    <phoneticPr fontId="1"/>
  </si>
  <si>
    <t>414-AM193</t>
    <phoneticPr fontId="1"/>
  </si>
  <si>
    <t>2019/06/26 After 製造(Must)</t>
    <phoneticPr fontId="1"/>
  </si>
  <si>
    <t>C28</t>
    <phoneticPr fontId="1"/>
  </si>
  <si>
    <t>3/18以降</t>
    <phoneticPr fontId="1"/>
  </si>
  <si>
    <t>119(2)</t>
    <phoneticPr fontId="1"/>
  </si>
  <si>
    <t>D13</t>
    <phoneticPr fontId="1"/>
  </si>
  <si>
    <t>414-UM1813</t>
    <phoneticPr fontId="1"/>
  </si>
  <si>
    <t>D25</t>
    <phoneticPr fontId="1"/>
  </si>
  <si>
    <t>4/22以降</t>
    <phoneticPr fontId="1"/>
  </si>
  <si>
    <t>5/16以降</t>
    <phoneticPr fontId="1"/>
  </si>
  <si>
    <t>414-UM1826</t>
    <phoneticPr fontId="1"/>
  </si>
  <si>
    <t>7/24-25</t>
    <phoneticPr fontId="1"/>
  </si>
  <si>
    <t>6/28以降</t>
    <phoneticPr fontId="1"/>
  </si>
  <si>
    <t>7/26以降</t>
    <phoneticPr fontId="1"/>
  </si>
  <si>
    <t>414-TYS001A</t>
    <phoneticPr fontId="1"/>
  </si>
  <si>
    <t>18(2)</t>
    <phoneticPr fontId="1"/>
  </si>
  <si>
    <t>010802250014</t>
    <phoneticPr fontId="1"/>
  </si>
  <si>
    <t>19(2)</t>
    <phoneticPr fontId="1"/>
  </si>
  <si>
    <t>010805240018</t>
    <phoneticPr fontId="1"/>
  </si>
  <si>
    <t>FOR PSI</t>
    <phoneticPr fontId="1"/>
  </si>
  <si>
    <t>[Si-C]</t>
    <phoneticPr fontId="1"/>
  </si>
  <si>
    <t>SI-C</t>
    <phoneticPr fontId="1"/>
  </si>
  <si>
    <t>010802250017</t>
    <phoneticPr fontId="1"/>
  </si>
  <si>
    <t>20(2)</t>
    <phoneticPr fontId="1"/>
  </si>
  <si>
    <t>21</t>
    <phoneticPr fontId="1"/>
  </si>
  <si>
    <t>414-UM1823</t>
    <phoneticPr fontId="1"/>
  </si>
  <si>
    <t>6/19-20</t>
    <phoneticPr fontId="1"/>
  </si>
  <si>
    <t>010805160013</t>
    <phoneticPr fontId="1"/>
  </si>
  <si>
    <t>010805160014</t>
    <phoneticPr fontId="1"/>
  </si>
  <si>
    <t>010804290012</t>
    <phoneticPr fontId="1"/>
  </si>
  <si>
    <t>6/12-13</t>
    <phoneticPr fontId="1"/>
  </si>
  <si>
    <t>010805020003</t>
    <phoneticPr fontId="1"/>
  </si>
  <si>
    <t>010805020004</t>
    <phoneticPr fontId="1"/>
  </si>
  <si>
    <t>414-UM1831</t>
    <phoneticPr fontId="1"/>
  </si>
  <si>
    <t>8/30-31</t>
    <phoneticPr fontId="1"/>
  </si>
  <si>
    <t>010805160015</t>
    <phoneticPr fontId="1"/>
  </si>
  <si>
    <t>414-UM1832</t>
    <phoneticPr fontId="1"/>
  </si>
  <si>
    <t>9/18-19</t>
    <phoneticPr fontId="1"/>
  </si>
  <si>
    <t>010805160016</t>
    <phoneticPr fontId="1"/>
  </si>
  <si>
    <t>‘</t>
    <phoneticPr fontId="1"/>
  </si>
  <si>
    <t>[MC1]</t>
    <phoneticPr fontId="1"/>
  </si>
  <si>
    <t>MC1</t>
    <phoneticPr fontId="1"/>
  </si>
  <si>
    <t>2019/03/15,After 製造(Must)FOR RST</t>
    <phoneticPr fontId="1"/>
  </si>
  <si>
    <t>414-AM188</t>
    <phoneticPr fontId="1"/>
  </si>
  <si>
    <t>5/15以降</t>
    <phoneticPr fontId="1"/>
  </si>
  <si>
    <t>17</t>
    <phoneticPr fontId="1"/>
  </si>
  <si>
    <t>010805160017</t>
    <phoneticPr fontId="1"/>
  </si>
  <si>
    <t>13</t>
    <phoneticPr fontId="1"/>
  </si>
  <si>
    <t>414-AM181</t>
    <phoneticPr fontId="1"/>
  </si>
  <si>
    <t>13(2)</t>
    <phoneticPr fontId="1"/>
  </si>
  <si>
    <t>414-AM182</t>
    <phoneticPr fontId="1"/>
  </si>
  <si>
    <t>14</t>
    <phoneticPr fontId="1"/>
  </si>
  <si>
    <t>414-AM184</t>
    <phoneticPr fontId="1"/>
  </si>
  <si>
    <t>15</t>
    <phoneticPr fontId="1"/>
  </si>
  <si>
    <t>15(2)</t>
    <phoneticPr fontId="1"/>
  </si>
  <si>
    <t>414-AM189</t>
    <phoneticPr fontId="1"/>
  </si>
  <si>
    <t>5/22-23</t>
    <phoneticPr fontId="1"/>
  </si>
  <si>
    <t>414-AM187</t>
    <phoneticPr fontId="1"/>
  </si>
  <si>
    <t>6/26-27</t>
    <phoneticPr fontId="1"/>
  </si>
  <si>
    <t>414-AM192</t>
    <phoneticPr fontId="1"/>
  </si>
  <si>
    <t>7/10-11</t>
    <phoneticPr fontId="1"/>
  </si>
  <si>
    <t>414-AM190</t>
    <phoneticPr fontId="1"/>
  </si>
  <si>
    <t>数量</t>
    <phoneticPr fontId="33" type="noConversion"/>
  </si>
  <si>
    <t>個数</t>
    <phoneticPr fontId="33" type="noConversion"/>
  </si>
  <si>
    <r>
      <t>U</t>
    </r>
    <r>
      <rPr>
        <sz val="10"/>
        <rFont val="Arial"/>
        <family val="2"/>
      </rPr>
      <t xml:space="preserve">MC </t>
    </r>
    <phoneticPr fontId="33" type="noConversion"/>
  </si>
  <si>
    <r>
      <t>5/13</t>
    </r>
    <r>
      <rPr>
        <sz val="10"/>
        <rFont val="Arial"/>
        <family val="2"/>
      </rPr>
      <t>(12)</t>
    </r>
    <phoneticPr fontId="33" type="noConversion"/>
  </si>
  <si>
    <r>
      <t>5</t>
    </r>
    <r>
      <rPr>
        <sz val="10"/>
        <rFont val="Arial"/>
        <family val="2"/>
      </rPr>
      <t>/20(</t>
    </r>
    <r>
      <rPr>
        <sz val="11"/>
        <color theme="1"/>
        <rFont val="新細明體"/>
        <family val="2"/>
        <charset val="128"/>
        <scheme val="minor"/>
      </rPr>
      <t>8</t>
    </r>
    <r>
      <rPr>
        <sz val="10"/>
        <rFont val="Arial"/>
        <family val="2"/>
      </rPr>
      <t>)</t>
    </r>
    <phoneticPr fontId="33" type="noConversion"/>
  </si>
  <si>
    <t>PTC</t>
    <phoneticPr fontId="33" type="noConversion"/>
  </si>
  <si>
    <t>5/13(32)</t>
    <phoneticPr fontId="33" type="noConversion"/>
  </si>
  <si>
    <t>PTCへ</t>
    <phoneticPr fontId="33" type="noConversion"/>
  </si>
  <si>
    <t>PTC</t>
    <phoneticPr fontId="33" type="noConversion"/>
  </si>
  <si>
    <t>PTCへ</t>
    <phoneticPr fontId="33" type="noConversion"/>
  </si>
  <si>
    <t>5/20(20)</t>
    <phoneticPr fontId="1"/>
  </si>
  <si>
    <t>5/27(4)</t>
    <phoneticPr fontId="1"/>
  </si>
  <si>
    <t>414-HNO3997</t>
    <phoneticPr fontId="1"/>
  </si>
  <si>
    <t>4/9</t>
    <phoneticPr fontId="1"/>
  </si>
  <si>
    <t>C30(28)D02(28)</t>
    <phoneticPr fontId="1"/>
  </si>
  <si>
    <t>2019/02/26 After製造(Must) FOR UMC ※need with analysis report</t>
    <phoneticPr fontId="1"/>
  </si>
  <si>
    <t>414-HNO3990</t>
    <phoneticPr fontId="1"/>
  </si>
  <si>
    <t>4/16</t>
    <phoneticPr fontId="1"/>
  </si>
  <si>
    <t>D03(28)D04(28)D05(24)</t>
    <phoneticPr fontId="1"/>
  </si>
  <si>
    <t>2019/03/20 After製造(Must) FOR UMC ※need with analysis report</t>
    <phoneticPr fontId="1"/>
  </si>
  <si>
    <t>HNO3 -- 40DM</t>
    <phoneticPr fontId="1"/>
  </si>
  <si>
    <t>414-HNO3989</t>
    <phoneticPr fontId="1"/>
  </si>
  <si>
    <t>5/28</t>
    <phoneticPr fontId="1"/>
  </si>
  <si>
    <t>E04(4)E06(36)</t>
    <phoneticPr fontId="1"/>
  </si>
  <si>
    <t>2019/05/02 After製造(Must) FOR PTC</t>
    <phoneticPr fontId="1"/>
  </si>
  <si>
    <t>819(2)</t>
    <phoneticPr fontId="1"/>
  </si>
  <si>
    <t>414-HNO3990</t>
    <phoneticPr fontId="1"/>
  </si>
  <si>
    <t>4/16</t>
    <phoneticPr fontId="1"/>
  </si>
  <si>
    <t>C21(40)C23(40)</t>
    <phoneticPr fontId="1"/>
  </si>
  <si>
    <t>2019/03/21 After製造(Must) FOR PTC</t>
    <phoneticPr fontId="1"/>
  </si>
  <si>
    <t>414-HNO3991</t>
    <phoneticPr fontId="1"/>
  </si>
  <si>
    <t>4/23</t>
    <phoneticPr fontId="1"/>
  </si>
  <si>
    <t>D05.D06.D08.D12</t>
    <phoneticPr fontId="1"/>
  </si>
  <si>
    <t>2019/03/28 After製造(Must) FOR UMC ※need with analysis report</t>
    <phoneticPr fontId="1"/>
  </si>
  <si>
    <t>C26(28)C27(28)C28(24)</t>
    <phoneticPr fontId="1"/>
  </si>
  <si>
    <t>2019/03/13 After製造(Must) FOR PTC</t>
    <phoneticPr fontId="1"/>
  </si>
  <si>
    <t>C28(4)C29(28)</t>
    <phoneticPr fontId="1"/>
  </si>
  <si>
    <t>2019/04/05 After製造(Must) FOR PTC</t>
    <phoneticPr fontId="1"/>
  </si>
  <si>
    <t>414-HNO3993</t>
    <phoneticPr fontId="1"/>
  </si>
  <si>
    <t>5/14</t>
    <phoneticPr fontId="1"/>
  </si>
  <si>
    <t>D17(8)D18(8)D23(40)D24(24)</t>
    <phoneticPr fontId="1"/>
  </si>
  <si>
    <t>2019/04/12 After製造(Must) FOR PTC</t>
    <phoneticPr fontId="1"/>
  </si>
  <si>
    <t>825(2)</t>
    <phoneticPr fontId="1"/>
  </si>
  <si>
    <t>HNO3 -- 40DM</t>
    <phoneticPr fontId="1"/>
  </si>
  <si>
    <t>D24(8)D25(32)</t>
    <phoneticPr fontId="1"/>
  </si>
  <si>
    <t>2019/04/13 After製造(Must) FOR PTC</t>
    <phoneticPr fontId="1"/>
  </si>
  <si>
    <t>D12(4)D13(24)D19(12)</t>
    <phoneticPr fontId="1"/>
  </si>
  <si>
    <t>2019/04/13 After製造(Must) FOR UMC ※need with analysis report</t>
    <phoneticPr fontId="1"/>
  </si>
  <si>
    <t>414-HNO3992</t>
    <phoneticPr fontId="1"/>
  </si>
  <si>
    <t>5/21</t>
    <phoneticPr fontId="1"/>
  </si>
  <si>
    <t>D25(8)D26(28)D29(24)E03(20)</t>
    <phoneticPr fontId="1"/>
  </si>
  <si>
    <t>2019/04/20 After製造(Must) FOR PTC</t>
    <phoneticPr fontId="1"/>
  </si>
  <si>
    <t>414-HNO3994</t>
    <phoneticPr fontId="1"/>
  </si>
  <si>
    <t>6/4</t>
    <phoneticPr fontId="1"/>
  </si>
  <si>
    <t>2019/05/09 After製造(Must) FOR PTC</t>
    <phoneticPr fontId="1"/>
  </si>
  <si>
    <t>827(2)</t>
    <phoneticPr fontId="1"/>
  </si>
  <si>
    <t>414-HNO3995</t>
    <phoneticPr fontId="1"/>
  </si>
  <si>
    <t>6/11</t>
    <phoneticPr fontId="1"/>
  </si>
  <si>
    <t>E03(8)E04(24)</t>
    <phoneticPr fontId="1"/>
  </si>
  <si>
    <t>2019/05/16 After製造(Must) FOR UMC ※need with analysis report</t>
    <phoneticPr fontId="1"/>
  </si>
  <si>
    <t>414-HNO3996</t>
    <phoneticPr fontId="1"/>
  </si>
  <si>
    <t>6/18</t>
    <phoneticPr fontId="1"/>
  </si>
  <si>
    <t>2019/05/23 After製造(Must) FOR PTC</t>
    <phoneticPr fontId="1"/>
  </si>
  <si>
    <t>830(2)</t>
    <phoneticPr fontId="1"/>
  </si>
  <si>
    <t>010804120031</t>
    <phoneticPr fontId="1"/>
  </si>
  <si>
    <t>E03(4)E04(20)</t>
    <phoneticPr fontId="1"/>
  </si>
  <si>
    <t>2019/04/24 After製造(Must) FOR PTC</t>
    <phoneticPr fontId="1"/>
  </si>
  <si>
    <t xml:space="preserve">[Nitric Acid for UMC] </t>
    <phoneticPr fontId="1"/>
  </si>
  <si>
    <t>D19(8)D20(20)D27(28)</t>
    <phoneticPr fontId="1"/>
  </si>
  <si>
    <t>010804120032</t>
    <phoneticPr fontId="1"/>
  </si>
  <si>
    <t>2019/05/15 After製造(Must) FOR PTC</t>
    <phoneticPr fontId="1"/>
  </si>
  <si>
    <t>HNO3 -- 160DM</t>
    <phoneticPr fontId="1"/>
  </si>
  <si>
    <t>414-HNO3998</t>
    <phoneticPr fontId="1"/>
  </si>
  <si>
    <t>6/25</t>
    <phoneticPr fontId="1"/>
  </si>
  <si>
    <t>2019/05/25 After製造(Must) FOR PTC</t>
    <phoneticPr fontId="1"/>
  </si>
  <si>
    <t>2019/05/17 After製造(Must) FOR UMC ※need with analysis report</t>
    <phoneticPr fontId="1"/>
  </si>
  <si>
    <t>414-HNO3999</t>
    <phoneticPr fontId="1"/>
  </si>
  <si>
    <t>7/2</t>
    <phoneticPr fontId="1"/>
  </si>
  <si>
    <t>2019/06/01 After製造(Must) FOR PTC</t>
    <phoneticPr fontId="1"/>
  </si>
  <si>
    <t>414-HNO3001</t>
    <phoneticPr fontId="1"/>
  </si>
  <si>
    <t>7/9</t>
    <phoneticPr fontId="1"/>
  </si>
  <si>
    <t>2019/06/4 After製造(Must) FOR PTC</t>
    <phoneticPr fontId="1"/>
  </si>
  <si>
    <t>414-HNO3002</t>
    <phoneticPr fontId="1"/>
  </si>
  <si>
    <t>7/16</t>
    <phoneticPr fontId="1"/>
  </si>
  <si>
    <t>2019/06/7 After製造(Must) FOR PTC</t>
    <phoneticPr fontId="1"/>
  </si>
  <si>
    <t>2019/06/19 After製造(Must) FOR UMC ※need with analysis report</t>
    <phoneticPr fontId="1"/>
  </si>
  <si>
    <t>414-HNO3003</t>
    <phoneticPr fontId="1"/>
  </si>
  <si>
    <t>7/23</t>
    <phoneticPr fontId="1"/>
  </si>
  <si>
    <t>2019/06/28 After製造(Must) FOR PTC</t>
    <phoneticPr fontId="1"/>
  </si>
  <si>
    <t>2019/06/27 After製造(Must) FOR UMC ※need with analysis report</t>
    <phoneticPr fontId="1"/>
  </si>
  <si>
    <t>414-HNO3004</t>
    <phoneticPr fontId="1"/>
  </si>
  <si>
    <t>8/6</t>
    <phoneticPr fontId="1"/>
  </si>
  <si>
    <t>2019/07/10 After製造(Must) FOR PTC</t>
    <phoneticPr fontId="1"/>
  </si>
  <si>
    <t>2019/07/17 After製造(Must) FOR PTC</t>
    <phoneticPr fontId="1"/>
  </si>
  <si>
    <t>2019/07/17 After製造(Must) FOR UMC ※need with analysis report</t>
    <phoneticPr fontId="1"/>
  </si>
  <si>
    <t>414-HNO3005</t>
    <phoneticPr fontId="1"/>
  </si>
  <si>
    <t>8/27</t>
    <phoneticPr fontId="1"/>
  </si>
  <si>
    <t>2019/08/01 After製造(Must) FOR PTC</t>
    <phoneticPr fontId="1"/>
  </si>
  <si>
    <t>010801280007</t>
    <phoneticPr fontId="1"/>
  </si>
  <si>
    <t>414-UM1802</t>
    <phoneticPr fontId="1"/>
  </si>
  <si>
    <t>4/17-18</t>
    <phoneticPr fontId="1"/>
  </si>
  <si>
    <t>2019/03/28 After 製造(Must) SPEC FOR NON-N20</t>
    <phoneticPr fontId="1"/>
  </si>
  <si>
    <t>414-UM1820</t>
    <phoneticPr fontId="1"/>
  </si>
  <si>
    <t>6/5-6</t>
    <phoneticPr fontId="1"/>
  </si>
  <si>
    <t>2019/05/14 After 製造(Must) SPEC FOR NON-N20</t>
    <phoneticPr fontId="1"/>
  </si>
  <si>
    <t>HCL</t>
    <phoneticPr fontId="1"/>
  </si>
  <si>
    <t>2019/06/06 After 製造(Must) SPEC FOR NON-N20</t>
    <phoneticPr fontId="1"/>
  </si>
  <si>
    <t>625(2)</t>
    <phoneticPr fontId="1"/>
  </si>
  <si>
    <t>414-UM1827</t>
    <phoneticPr fontId="1"/>
  </si>
  <si>
    <t>8/7-8</t>
    <phoneticPr fontId="1"/>
  </si>
  <si>
    <t>2019/07/17 After 製造(Must) SPEC FOR NON-N20</t>
    <phoneticPr fontId="1"/>
  </si>
  <si>
    <t>010710230010</t>
    <phoneticPr fontId="1"/>
  </si>
  <si>
    <t>414-UM1809</t>
    <phoneticPr fontId="1"/>
  </si>
  <si>
    <t>5/10-11</t>
    <phoneticPr fontId="1"/>
  </si>
  <si>
    <t>D22</t>
    <phoneticPr fontId="1"/>
  </si>
  <si>
    <t>2019/04/12 After 製造(Must)</t>
    <phoneticPr fontId="1"/>
  </si>
  <si>
    <t>151(2)</t>
    <phoneticPr fontId="1"/>
  </si>
  <si>
    <t>5/17-18</t>
    <phoneticPr fontId="1"/>
  </si>
  <si>
    <t>4/10-11</t>
    <phoneticPr fontId="1"/>
  </si>
  <si>
    <t>2019/03/22 After 製造(Must)</t>
    <phoneticPr fontId="1"/>
  </si>
  <si>
    <t>緩和しないでください</t>
    <phoneticPr fontId="1"/>
  </si>
  <si>
    <t>154</t>
    <phoneticPr fontId="1"/>
  </si>
  <si>
    <t>414-UM1822</t>
    <phoneticPr fontId="1"/>
  </si>
  <si>
    <t>5/29-30</t>
    <phoneticPr fontId="1"/>
  </si>
  <si>
    <t>2019/05/08 After 製造(Must)</t>
    <phoneticPr fontId="1"/>
  </si>
  <si>
    <t>154(2)</t>
    <phoneticPr fontId="1"/>
  </si>
  <si>
    <t>010805200003</t>
    <phoneticPr fontId="1"/>
  </si>
  <si>
    <t>2019/05/11 After 製造(Must)</t>
    <phoneticPr fontId="1"/>
  </si>
  <si>
    <t>2019/06/06 After 製造(Must)</t>
    <phoneticPr fontId="1"/>
  </si>
  <si>
    <t>2019/06/28 After 製造(Must)</t>
    <phoneticPr fontId="1"/>
  </si>
  <si>
    <t>2019/07/25 After 製造(Must)</t>
    <phoneticPr fontId="1"/>
  </si>
  <si>
    <t xml:space="preserve">[Hydrochloric Acid for MMT] </t>
    <phoneticPr fontId="1"/>
  </si>
  <si>
    <t>1</t>
    <phoneticPr fontId="1"/>
  </si>
  <si>
    <t>GN DRUM, SAMPLE</t>
    <phoneticPr fontId="1"/>
  </si>
  <si>
    <t xml:space="preserve">[Hydrochloric Acid for SEHT] </t>
    <phoneticPr fontId="1"/>
  </si>
  <si>
    <t>010802210026</t>
    <phoneticPr fontId="1"/>
  </si>
  <si>
    <t>2019/08/07 After 製造(Must)</t>
    <phoneticPr fontId="1"/>
  </si>
  <si>
    <t>[Hydrochloric Acid for KINIK *20kg Packing*]</t>
    <phoneticPr fontId="1"/>
  </si>
  <si>
    <t>2019/02/28, After 製造 (Must)</t>
    <phoneticPr fontId="1"/>
  </si>
  <si>
    <t>4/3-4</t>
    <phoneticPr fontId="1"/>
  </si>
  <si>
    <t>2019/03/22, After 製造 (Must)</t>
    <phoneticPr fontId="1"/>
  </si>
  <si>
    <t>2019/04/22, After 製造 (Must)</t>
    <phoneticPr fontId="1"/>
  </si>
  <si>
    <t>2019/05/22, After 製造 (Must)</t>
    <phoneticPr fontId="1"/>
  </si>
  <si>
    <t>2019/06/06, After 製造 (Must)</t>
    <phoneticPr fontId="1"/>
  </si>
  <si>
    <t>128(2)</t>
    <phoneticPr fontId="1"/>
  </si>
  <si>
    <t>2019/06/27, After 製造 (Must)</t>
    <phoneticPr fontId="1"/>
  </si>
  <si>
    <t>010805210005</t>
    <phoneticPr fontId="1"/>
  </si>
  <si>
    <t>2019/07/17, After 製造 (Must)</t>
    <phoneticPr fontId="1"/>
  </si>
  <si>
    <t>AM1</t>
    <phoneticPr fontId="1"/>
  </si>
  <si>
    <t>4/24-25</t>
    <phoneticPr fontId="1"/>
  </si>
  <si>
    <t>414-AM194</t>
    <phoneticPr fontId="1"/>
  </si>
  <si>
    <t>9/20-21</t>
    <phoneticPr fontId="1"/>
  </si>
  <si>
    <t>2019/08/01 After 製造(Must)</t>
    <phoneticPr fontId="1"/>
  </si>
  <si>
    <t>AM1</t>
    <phoneticPr fontId="1"/>
  </si>
  <si>
    <t>4/10-11</t>
    <phoneticPr fontId="1"/>
  </si>
  <si>
    <t>2019/02/15 After 製造(Must)</t>
    <phoneticPr fontId="1"/>
  </si>
  <si>
    <t>AM1</t>
    <phoneticPr fontId="1"/>
  </si>
  <si>
    <t>4/24-25</t>
    <phoneticPr fontId="1"/>
  </si>
  <si>
    <t>2019/03/01 After 製造(Must)</t>
    <phoneticPr fontId="1"/>
  </si>
  <si>
    <t>414-AM185</t>
    <phoneticPr fontId="1"/>
  </si>
  <si>
    <t>5/8-9</t>
    <phoneticPr fontId="1"/>
  </si>
  <si>
    <t>2019/03/13 After 製造(Must)</t>
    <phoneticPr fontId="1"/>
  </si>
  <si>
    <t>23</t>
    <phoneticPr fontId="1"/>
  </si>
  <si>
    <t>2019/06/20 After 製造(Must)</t>
    <phoneticPr fontId="1"/>
  </si>
  <si>
    <t>010805200002</t>
    <phoneticPr fontId="1"/>
  </si>
  <si>
    <t>414-AM193</t>
    <phoneticPr fontId="1"/>
  </si>
  <si>
    <t>8/21-22</t>
    <phoneticPr fontId="1"/>
  </si>
  <si>
    <t>2019/06/26 After 製造(Must)</t>
    <phoneticPr fontId="1"/>
  </si>
  <si>
    <t>C28</t>
    <phoneticPr fontId="1"/>
  </si>
  <si>
    <t>3/18以降</t>
    <phoneticPr fontId="1"/>
  </si>
  <si>
    <t>119(2)</t>
    <phoneticPr fontId="1"/>
  </si>
  <si>
    <t>D13</t>
    <phoneticPr fontId="1"/>
  </si>
  <si>
    <t>414-UM1813</t>
    <phoneticPr fontId="1"/>
  </si>
  <si>
    <t>5/17-18</t>
    <phoneticPr fontId="1"/>
  </si>
  <si>
    <t>D25</t>
    <phoneticPr fontId="1"/>
  </si>
  <si>
    <t>4/22以降</t>
    <phoneticPr fontId="1"/>
  </si>
  <si>
    <t>5/16以降</t>
    <phoneticPr fontId="1"/>
  </si>
  <si>
    <t>414-UM1826</t>
    <phoneticPr fontId="1"/>
  </si>
  <si>
    <t>7/24-25</t>
    <phoneticPr fontId="1"/>
  </si>
  <si>
    <t>6/28以降</t>
    <phoneticPr fontId="1"/>
  </si>
  <si>
    <t>7/26以降</t>
    <phoneticPr fontId="1"/>
  </si>
  <si>
    <t>414-TYS001A</t>
    <phoneticPr fontId="1"/>
  </si>
  <si>
    <t>4/17-18</t>
    <phoneticPr fontId="1"/>
  </si>
  <si>
    <t>18(2)</t>
    <phoneticPr fontId="1"/>
  </si>
  <si>
    <t>010802250014</t>
    <phoneticPr fontId="1"/>
  </si>
  <si>
    <t>4/3-4</t>
    <phoneticPr fontId="1"/>
  </si>
  <si>
    <t>19(2)</t>
    <phoneticPr fontId="1"/>
  </si>
  <si>
    <t>010805240018</t>
    <phoneticPr fontId="1"/>
  </si>
  <si>
    <t>FOR PSI</t>
    <phoneticPr fontId="1"/>
  </si>
  <si>
    <t>[Si-C]</t>
    <phoneticPr fontId="1"/>
  </si>
  <si>
    <t>SI-C</t>
    <phoneticPr fontId="1"/>
  </si>
  <si>
    <t>010802250017</t>
    <phoneticPr fontId="1"/>
  </si>
  <si>
    <t>5/10-11</t>
    <phoneticPr fontId="1"/>
  </si>
  <si>
    <t>20(2)</t>
    <phoneticPr fontId="1"/>
  </si>
  <si>
    <t>414-UM1822</t>
    <phoneticPr fontId="1"/>
  </si>
  <si>
    <t>5/29-30</t>
    <phoneticPr fontId="1"/>
  </si>
  <si>
    <t>21</t>
    <phoneticPr fontId="1"/>
  </si>
  <si>
    <t>414-UM1823</t>
    <phoneticPr fontId="1"/>
  </si>
  <si>
    <t>6/19-20</t>
    <phoneticPr fontId="1"/>
  </si>
  <si>
    <t>7/3-4</t>
    <phoneticPr fontId="1"/>
  </si>
  <si>
    <t>010805160013</t>
    <phoneticPr fontId="1"/>
  </si>
  <si>
    <t>8/7-8</t>
    <phoneticPr fontId="1"/>
  </si>
  <si>
    <t>010805160014</t>
    <phoneticPr fontId="1"/>
  </si>
  <si>
    <t>010804290012</t>
    <phoneticPr fontId="1"/>
  </si>
  <si>
    <t>6/12-13</t>
    <phoneticPr fontId="1"/>
  </si>
  <si>
    <t>010805020003</t>
    <phoneticPr fontId="1"/>
  </si>
  <si>
    <t>010805020004</t>
    <phoneticPr fontId="1"/>
  </si>
  <si>
    <t>414-UM1831</t>
    <phoneticPr fontId="1"/>
  </si>
  <si>
    <t>8/30-31</t>
    <phoneticPr fontId="1"/>
  </si>
  <si>
    <t>010805160015</t>
    <phoneticPr fontId="1"/>
  </si>
  <si>
    <t>414-UM1832</t>
    <phoneticPr fontId="1"/>
  </si>
  <si>
    <t>9/18-19</t>
    <phoneticPr fontId="1"/>
  </si>
  <si>
    <t>010805160016</t>
    <phoneticPr fontId="1"/>
  </si>
  <si>
    <t>‘</t>
    <phoneticPr fontId="1"/>
  </si>
  <si>
    <t>[MC1]</t>
    <phoneticPr fontId="1"/>
  </si>
  <si>
    <t>MC1</t>
    <phoneticPr fontId="1"/>
  </si>
  <si>
    <t>2019/03/15,After 製造(Must)FOR RST</t>
    <phoneticPr fontId="1"/>
  </si>
  <si>
    <t>414-AM188</t>
    <phoneticPr fontId="1"/>
  </si>
  <si>
    <t>5/15以降</t>
    <phoneticPr fontId="1"/>
  </si>
  <si>
    <t>17</t>
    <phoneticPr fontId="1"/>
  </si>
  <si>
    <t>010805160017</t>
    <phoneticPr fontId="1"/>
  </si>
  <si>
    <t>13</t>
    <phoneticPr fontId="1"/>
  </si>
  <si>
    <t>414-AM181</t>
    <phoneticPr fontId="1"/>
  </si>
  <si>
    <t>13(2)</t>
    <phoneticPr fontId="1"/>
  </si>
  <si>
    <t>414-AM182</t>
    <phoneticPr fontId="1"/>
  </si>
  <si>
    <t>14</t>
    <phoneticPr fontId="1"/>
  </si>
  <si>
    <t>414-AM184</t>
    <phoneticPr fontId="1"/>
  </si>
  <si>
    <t>15</t>
    <phoneticPr fontId="1"/>
  </si>
  <si>
    <t>15(2)</t>
    <phoneticPr fontId="1"/>
  </si>
  <si>
    <t>414-AM189</t>
    <phoneticPr fontId="1"/>
  </si>
  <si>
    <t>5/22-23</t>
    <phoneticPr fontId="1"/>
  </si>
  <si>
    <t>414-AM187</t>
    <phoneticPr fontId="1"/>
  </si>
  <si>
    <t>6/26-27</t>
    <phoneticPr fontId="1"/>
  </si>
  <si>
    <t>414-AM192</t>
    <phoneticPr fontId="1"/>
  </si>
  <si>
    <t>7/10-11</t>
    <phoneticPr fontId="1"/>
  </si>
  <si>
    <t>414-AM190</t>
    <phoneticPr fontId="1"/>
  </si>
  <si>
    <t>数量</t>
    <phoneticPr fontId="33" type="noConversion"/>
  </si>
  <si>
    <t>個数</t>
    <phoneticPr fontId="33" type="noConversion"/>
  </si>
  <si>
    <r>
      <t>U</t>
    </r>
    <r>
      <rPr>
        <sz val="10"/>
        <rFont val="Arial"/>
        <family val="2"/>
      </rPr>
      <t xml:space="preserve">MC </t>
    </r>
    <phoneticPr fontId="33" type="noConversion"/>
  </si>
  <si>
    <r>
      <t>5/13</t>
    </r>
    <r>
      <rPr>
        <sz val="10"/>
        <rFont val="Arial"/>
        <family val="2"/>
      </rPr>
      <t>(12)</t>
    </r>
    <phoneticPr fontId="33" type="noConversion"/>
  </si>
  <si>
    <r>
      <t>5</t>
    </r>
    <r>
      <rPr>
        <sz val="10"/>
        <rFont val="Arial"/>
        <family val="2"/>
      </rPr>
      <t>/20(</t>
    </r>
    <r>
      <rPr>
        <sz val="11"/>
        <color theme="1"/>
        <rFont val="新細明體"/>
        <family val="2"/>
        <charset val="128"/>
        <scheme val="minor"/>
      </rPr>
      <t>8</t>
    </r>
    <r>
      <rPr>
        <sz val="10"/>
        <rFont val="Arial"/>
        <family val="2"/>
      </rPr>
      <t>)</t>
    </r>
    <phoneticPr fontId="33" type="noConversion"/>
  </si>
  <si>
    <t>PTC</t>
    <phoneticPr fontId="33" type="noConversion"/>
  </si>
  <si>
    <t>5/13(32)</t>
    <phoneticPr fontId="33" type="noConversion"/>
  </si>
  <si>
    <t>PTCへ</t>
    <phoneticPr fontId="33" type="noConversion"/>
  </si>
  <si>
    <t>PTC</t>
    <phoneticPr fontId="33" type="noConversion"/>
  </si>
  <si>
    <t>PTCへ</t>
    <phoneticPr fontId="33" type="noConversion"/>
  </si>
  <si>
    <t>5/20(20)</t>
    <phoneticPr fontId="1"/>
  </si>
  <si>
    <t>5/27(4)</t>
    <phoneticPr fontId="1"/>
  </si>
  <si>
    <t>謝さんより納期前倒し依頼</t>
    <rPh sb="0" eb="1">
      <t>シャ</t>
    </rPh>
    <rPh sb="5" eb="7">
      <t>ノウキ</t>
    </rPh>
    <rPh sb="7" eb="8">
      <t>マエ</t>
    </rPh>
    <rPh sb="8" eb="9">
      <t>タオ</t>
    </rPh>
    <rPh sb="10" eb="12">
      <t>イライ</t>
    </rPh>
    <phoneticPr fontId="1"/>
  </si>
  <si>
    <t>414-UM1833</t>
    <phoneticPr fontId="1"/>
  </si>
  <si>
    <t>414-UM1834</t>
    <phoneticPr fontId="1"/>
  </si>
  <si>
    <t>[Si-E] for PSI</t>
    <phoneticPr fontId="1"/>
  </si>
  <si>
    <t>No</t>
    <phoneticPr fontId="1"/>
  </si>
  <si>
    <t>Issued Date</t>
    <phoneticPr fontId="1"/>
  </si>
  <si>
    <t>Item</t>
    <phoneticPr fontId="1"/>
  </si>
  <si>
    <t>Container Type</t>
    <phoneticPr fontId="1"/>
  </si>
  <si>
    <t>Request</t>
    <phoneticPr fontId="1"/>
  </si>
  <si>
    <t>LOT</t>
    <phoneticPr fontId="1"/>
  </si>
  <si>
    <t xml:space="preserve">Sample </t>
    <phoneticPr fontId="1"/>
  </si>
  <si>
    <t>Coment</t>
    <phoneticPr fontId="1"/>
  </si>
  <si>
    <t>HNO3 -- 40DM</t>
    <phoneticPr fontId="1"/>
  </si>
  <si>
    <t>414-HNO3997</t>
    <phoneticPr fontId="1"/>
  </si>
  <si>
    <t>4/9</t>
    <phoneticPr fontId="1"/>
  </si>
  <si>
    <t>C30(28)D02(28)</t>
    <phoneticPr fontId="1"/>
  </si>
  <si>
    <t>2019/02/26 After製造(Must) FOR UMC ※need with analysis report</t>
    <phoneticPr fontId="1"/>
  </si>
  <si>
    <t>414-HNO3990</t>
    <phoneticPr fontId="1"/>
  </si>
  <si>
    <t>4/16</t>
    <phoneticPr fontId="1"/>
  </si>
  <si>
    <t>D03(28)D04(28)D05(24)</t>
    <phoneticPr fontId="1"/>
  </si>
  <si>
    <t>2019/03/20 After製造(Must) FOR UMC ※need with analysis report</t>
    <phoneticPr fontId="1"/>
  </si>
  <si>
    <t>414-HNO3989</t>
    <phoneticPr fontId="1"/>
  </si>
  <si>
    <t>5/28</t>
    <phoneticPr fontId="1"/>
  </si>
  <si>
    <t>E04(4)E06(36)</t>
    <phoneticPr fontId="1"/>
  </si>
  <si>
    <t>2019/05/02 After製造(Must) FOR PTC</t>
    <phoneticPr fontId="1"/>
  </si>
  <si>
    <t>819(2)</t>
    <phoneticPr fontId="1"/>
  </si>
  <si>
    <t>E06(4)E07(36)</t>
    <phoneticPr fontId="1"/>
  </si>
  <si>
    <t>2019/05/01 After製造(Must) FOR UMC ※need with analysis report</t>
    <phoneticPr fontId="1"/>
  </si>
  <si>
    <t>819(3)</t>
    <phoneticPr fontId="1"/>
  </si>
  <si>
    <t>E07(4)E08(40)E09(36)</t>
    <phoneticPr fontId="1"/>
  </si>
  <si>
    <t>2019/05/02 After製造(Must) FOR PTC</t>
    <phoneticPr fontId="1"/>
  </si>
  <si>
    <t>414-HNO3990</t>
    <phoneticPr fontId="1"/>
  </si>
  <si>
    <t>4/16</t>
    <phoneticPr fontId="1"/>
  </si>
  <si>
    <t>C21(40)C23(40)</t>
    <phoneticPr fontId="1"/>
  </si>
  <si>
    <t>2019/03/21 After製造(Must) FOR PTC</t>
    <phoneticPr fontId="1"/>
  </si>
  <si>
    <t>414-HNO3991</t>
    <phoneticPr fontId="1"/>
  </si>
  <si>
    <t>4/23</t>
    <phoneticPr fontId="1"/>
  </si>
  <si>
    <t>D05.D06.D08.D12</t>
    <phoneticPr fontId="1"/>
  </si>
  <si>
    <t>2019/03/28 After製造(Must) FOR UMC ※need with analysis report</t>
    <phoneticPr fontId="1"/>
  </si>
  <si>
    <t>C26(28)C27(28)C28(24)</t>
    <phoneticPr fontId="1"/>
  </si>
  <si>
    <t>2019/03/13 After製造(Must) FOR PTC</t>
    <phoneticPr fontId="1"/>
  </si>
  <si>
    <t>C28(4)C29(28)</t>
    <phoneticPr fontId="1"/>
  </si>
  <si>
    <t>2019/04/05 After製造(Must) FOR PTC</t>
    <phoneticPr fontId="1"/>
  </si>
  <si>
    <t>414-HNO3993</t>
    <phoneticPr fontId="1"/>
  </si>
  <si>
    <t>5/14</t>
    <phoneticPr fontId="1"/>
  </si>
  <si>
    <t>D17(8)D18(8)D23(40)D24(24)</t>
    <phoneticPr fontId="1"/>
  </si>
  <si>
    <t>2019/04/12 After製造(Must) FOR PTC</t>
    <phoneticPr fontId="1"/>
  </si>
  <si>
    <t>825(2)</t>
    <phoneticPr fontId="1"/>
  </si>
  <si>
    <t>HNO3 -- 40DM</t>
    <phoneticPr fontId="1"/>
  </si>
  <si>
    <t>D24(8)D25(32)</t>
    <phoneticPr fontId="1"/>
  </si>
  <si>
    <t>2019/04/13 After製造(Must) FOR PTC</t>
    <phoneticPr fontId="1"/>
  </si>
  <si>
    <t>D12(4)D13(24)D19(12)</t>
    <phoneticPr fontId="1"/>
  </si>
  <si>
    <t>2019/04/13 After製造(Must) FOR UMC ※need with analysis report</t>
    <phoneticPr fontId="1"/>
  </si>
  <si>
    <t>414-HNO3992</t>
    <phoneticPr fontId="1"/>
  </si>
  <si>
    <t>5/21</t>
    <phoneticPr fontId="1"/>
  </si>
  <si>
    <t>D25(8)D26(28)D29(24)E03(20)</t>
    <phoneticPr fontId="1"/>
  </si>
  <si>
    <t>2019/04/20 After製造(Must) FOR PTC</t>
    <phoneticPr fontId="1"/>
  </si>
  <si>
    <t>414-HNO3994</t>
    <phoneticPr fontId="1"/>
  </si>
  <si>
    <t>6/4</t>
    <phoneticPr fontId="1"/>
  </si>
  <si>
    <t>2019/05/09 After製造(Must) FOR PTC</t>
    <phoneticPr fontId="1"/>
  </si>
  <si>
    <t>827(2)</t>
    <phoneticPr fontId="1"/>
  </si>
  <si>
    <t>414-HNO3995</t>
    <phoneticPr fontId="1"/>
  </si>
  <si>
    <t>6/11</t>
    <phoneticPr fontId="1"/>
  </si>
  <si>
    <t>E03(8)E04(24)</t>
    <phoneticPr fontId="1"/>
  </si>
  <si>
    <t>2019/05/16 After製造(Must) FOR UMC ※need with analysis report</t>
    <phoneticPr fontId="1"/>
  </si>
  <si>
    <t>414-HNO3996</t>
    <phoneticPr fontId="1"/>
  </si>
  <si>
    <t>6/18</t>
    <phoneticPr fontId="1"/>
  </si>
  <si>
    <t>2019/05/23 After製造(Must) FOR PTC</t>
    <phoneticPr fontId="1"/>
  </si>
  <si>
    <t>830(2)</t>
    <phoneticPr fontId="1"/>
  </si>
  <si>
    <t>010804120031</t>
    <phoneticPr fontId="1"/>
  </si>
  <si>
    <t>E03(4)E04(20)</t>
    <phoneticPr fontId="1"/>
  </si>
  <si>
    <t>2019/04/24 After製造(Must) FOR PTC</t>
    <phoneticPr fontId="1"/>
  </si>
  <si>
    <t xml:space="preserve">[Nitric Acid for UMC] </t>
    <phoneticPr fontId="1"/>
  </si>
  <si>
    <t>D19(8)D20(20)D27(28)</t>
    <phoneticPr fontId="1"/>
  </si>
  <si>
    <t>010804120032</t>
    <phoneticPr fontId="1"/>
  </si>
  <si>
    <t>2019/05/15 After製造(Must) FOR PTC</t>
    <phoneticPr fontId="1"/>
  </si>
  <si>
    <t>HNO3 -- 160DM</t>
    <phoneticPr fontId="1"/>
  </si>
  <si>
    <t>414-HNO3998</t>
    <phoneticPr fontId="1"/>
  </si>
  <si>
    <t>6/25</t>
    <phoneticPr fontId="1"/>
  </si>
  <si>
    <t>2019/05/25 After製造(Must) FOR PTC</t>
    <phoneticPr fontId="1"/>
  </si>
  <si>
    <t>2019/05/17 After製造(Must) FOR UMC ※need with analysis report</t>
    <phoneticPr fontId="1"/>
  </si>
  <si>
    <t>414-HNO3999</t>
    <phoneticPr fontId="1"/>
  </si>
  <si>
    <t>7/2</t>
    <phoneticPr fontId="1"/>
  </si>
  <si>
    <t>2019/06/01 After製造(Must) FOR PTC</t>
    <phoneticPr fontId="1"/>
  </si>
  <si>
    <t>414-HNO3001</t>
    <phoneticPr fontId="1"/>
  </si>
  <si>
    <t>7/9</t>
    <phoneticPr fontId="1"/>
  </si>
  <si>
    <t>2019/06/4 After製造(Must) FOR PTC</t>
    <phoneticPr fontId="1"/>
  </si>
  <si>
    <t>414-HNO3002</t>
    <phoneticPr fontId="1"/>
  </si>
  <si>
    <t>7/16</t>
    <phoneticPr fontId="1"/>
  </si>
  <si>
    <t>7/16</t>
    <phoneticPr fontId="1"/>
  </si>
  <si>
    <t>2019/06/19 After製造(Must) FOR UMC ※need with analysis report</t>
    <phoneticPr fontId="1"/>
  </si>
  <si>
    <t>HNO3 -- 40DM</t>
    <phoneticPr fontId="1"/>
  </si>
  <si>
    <t>414-HNO3003</t>
    <phoneticPr fontId="1"/>
  </si>
  <si>
    <t>7/23</t>
    <phoneticPr fontId="1"/>
  </si>
  <si>
    <t>2019/06/28 After製造(Must) FOR PTC</t>
    <phoneticPr fontId="1"/>
  </si>
  <si>
    <t>414-HNO3004</t>
    <phoneticPr fontId="1"/>
  </si>
  <si>
    <t>8/6</t>
    <phoneticPr fontId="1"/>
  </si>
  <si>
    <t>2019/07/10 After製造(Must) FOR PTC</t>
    <phoneticPr fontId="1"/>
  </si>
  <si>
    <t>2019/07/17 After製造(Must) FOR PTC</t>
    <phoneticPr fontId="1"/>
  </si>
  <si>
    <t>2019/07/17 After製造(Must) FOR UMC ※need with analysis report</t>
    <phoneticPr fontId="1"/>
  </si>
  <si>
    <t>414-HNO3005</t>
    <phoneticPr fontId="1"/>
  </si>
  <si>
    <t>8/27</t>
    <phoneticPr fontId="1"/>
  </si>
  <si>
    <t>844</t>
  </si>
  <si>
    <t>010806180013</t>
  </si>
  <si>
    <t>2019/08/08 After製造(Must) FOR UMC ※need with analysis report</t>
    <phoneticPr fontId="1"/>
  </si>
  <si>
    <t>845</t>
  </si>
  <si>
    <t>010806180014</t>
  </si>
  <si>
    <t>2019/08/16 After製造(Must) FOR PTC</t>
    <phoneticPr fontId="1"/>
  </si>
  <si>
    <t>846</t>
  </si>
  <si>
    <t>010806180015</t>
  </si>
  <si>
    <t>2019/08/22 After製造(Must) FOR PTC</t>
    <phoneticPr fontId="1"/>
  </si>
  <si>
    <t>010801280007</t>
    <phoneticPr fontId="1"/>
  </si>
  <si>
    <t>414-UM1802</t>
    <phoneticPr fontId="1"/>
  </si>
  <si>
    <t>4/17-18</t>
    <phoneticPr fontId="1"/>
  </si>
  <si>
    <t>2019/03/28 After 製造(Must) SPEC FOR NON-N20</t>
    <phoneticPr fontId="1"/>
  </si>
  <si>
    <t>414-UM1820</t>
    <phoneticPr fontId="1"/>
  </si>
  <si>
    <t>6/5-6</t>
    <phoneticPr fontId="1"/>
  </si>
  <si>
    <t>2019/05/14 After 製造(Must) SPEC FOR NON-N20</t>
    <phoneticPr fontId="1"/>
  </si>
  <si>
    <t>HCL</t>
    <phoneticPr fontId="1"/>
  </si>
  <si>
    <t>2019/06/06 After 製造(Must) SPEC FOR NON-N20</t>
    <phoneticPr fontId="1"/>
  </si>
  <si>
    <t>HCL</t>
    <phoneticPr fontId="1"/>
  </si>
  <si>
    <t>625(2)</t>
    <phoneticPr fontId="1"/>
  </si>
  <si>
    <t>414-UM1827</t>
    <phoneticPr fontId="1"/>
  </si>
  <si>
    <t>8/7-8</t>
    <phoneticPr fontId="1"/>
  </si>
  <si>
    <t>2019/07/17 After 製造(Must) SPEC FOR NON-N20</t>
    <phoneticPr fontId="1"/>
  </si>
  <si>
    <t>626</t>
    <phoneticPr fontId="1"/>
  </si>
  <si>
    <t>010806180019</t>
  </si>
  <si>
    <t>2019/08/06 After 製造(Must) SPEC FOR NON-N20</t>
    <phoneticPr fontId="1"/>
  </si>
  <si>
    <t>627</t>
    <phoneticPr fontId="1"/>
  </si>
  <si>
    <t>010806180021</t>
  </si>
  <si>
    <t>2019/09/05 After 製造(Must) SPEC FOR NON-N20</t>
    <phoneticPr fontId="1"/>
  </si>
  <si>
    <t>010710230010</t>
    <phoneticPr fontId="1"/>
  </si>
  <si>
    <t>414-UM1809</t>
    <phoneticPr fontId="1"/>
  </si>
  <si>
    <t>5/10-11</t>
    <phoneticPr fontId="1"/>
  </si>
  <si>
    <t>D22</t>
    <phoneticPr fontId="1"/>
  </si>
  <si>
    <t>2019/04/12 After 製造(Must)</t>
    <phoneticPr fontId="1"/>
  </si>
  <si>
    <t>151(2)</t>
    <phoneticPr fontId="1"/>
  </si>
  <si>
    <t>5/17-18</t>
    <phoneticPr fontId="1"/>
  </si>
  <si>
    <t>4/10-11</t>
    <phoneticPr fontId="1"/>
  </si>
  <si>
    <t>2019/03/22 After 製造(Must)</t>
    <phoneticPr fontId="1"/>
  </si>
  <si>
    <t>緩和しないでください</t>
    <phoneticPr fontId="1"/>
  </si>
  <si>
    <t>154</t>
    <phoneticPr fontId="1"/>
  </si>
  <si>
    <t>414-UM1822</t>
    <phoneticPr fontId="1"/>
  </si>
  <si>
    <t>5/29-30</t>
    <phoneticPr fontId="1"/>
  </si>
  <si>
    <t>2019/05/08 After 製造(Must)</t>
    <phoneticPr fontId="1"/>
  </si>
  <si>
    <t>154(2)</t>
    <phoneticPr fontId="1"/>
  </si>
  <si>
    <t>010805200003</t>
    <phoneticPr fontId="1"/>
  </si>
  <si>
    <t>2019/05/11 After 製造(Must)</t>
    <phoneticPr fontId="1"/>
  </si>
  <si>
    <t>414-UM1833</t>
    <phoneticPr fontId="1"/>
  </si>
  <si>
    <t>6/26-27</t>
    <phoneticPr fontId="1"/>
  </si>
  <si>
    <t>2019/06/06 After 製造(Must)</t>
    <phoneticPr fontId="1"/>
  </si>
  <si>
    <t>2019/06/28 After 製造(Must)</t>
    <phoneticPr fontId="1"/>
  </si>
  <si>
    <t>414-UM1834</t>
    <phoneticPr fontId="1"/>
  </si>
  <si>
    <t>7/31-8/1</t>
    <phoneticPr fontId="1"/>
  </si>
  <si>
    <t>2019/07/25 After 製造(Must)</t>
    <phoneticPr fontId="1"/>
  </si>
  <si>
    <t>160</t>
  </si>
  <si>
    <t>010806180020</t>
  </si>
  <si>
    <t>2019/08/15 After 製造(Must)</t>
    <phoneticPr fontId="1"/>
  </si>
  <si>
    <t>161</t>
  </si>
  <si>
    <t xml:space="preserve">[Hydrochloric Acid for MMT] </t>
    <phoneticPr fontId="1"/>
  </si>
  <si>
    <t>1</t>
    <phoneticPr fontId="1"/>
  </si>
  <si>
    <t>GN DRUM, SAMPLE</t>
    <phoneticPr fontId="1"/>
  </si>
  <si>
    <t xml:space="preserve">[Hydrochloric Acid for SEHT] </t>
    <phoneticPr fontId="1"/>
  </si>
  <si>
    <t>010802210026</t>
    <phoneticPr fontId="1"/>
  </si>
  <si>
    <t>2019/08/07 After 製造(Must)</t>
    <phoneticPr fontId="1"/>
  </si>
  <si>
    <t>[Hydrochloric Acid for KINIK *20kg Packing*]</t>
    <phoneticPr fontId="1"/>
  </si>
  <si>
    <t>2019/02/28, After 製造 (Must)</t>
    <phoneticPr fontId="1"/>
  </si>
  <si>
    <t>4/3-4</t>
    <phoneticPr fontId="1"/>
  </si>
  <si>
    <t>2019/03/22, After 製造 (Must)</t>
    <phoneticPr fontId="1"/>
  </si>
  <si>
    <t>2019/04/22, After 製造 (Must)</t>
    <phoneticPr fontId="1"/>
  </si>
  <si>
    <t>2019/05/22, After 製造 (Must)</t>
    <phoneticPr fontId="1"/>
  </si>
  <si>
    <t>2019/06/06, After 製造 (Must)</t>
    <phoneticPr fontId="1"/>
  </si>
  <si>
    <t>[Hydrochloric Acid for KINIK *20kg Packing*]</t>
    <phoneticPr fontId="1"/>
  </si>
  <si>
    <t>128(2)</t>
    <phoneticPr fontId="1"/>
  </si>
  <si>
    <t>2019/06/06, After 製造 (Must)</t>
    <phoneticPr fontId="1"/>
  </si>
  <si>
    <t>2019/06/27, After 製造 (Must)</t>
    <phoneticPr fontId="1"/>
  </si>
  <si>
    <t>010805210005</t>
    <phoneticPr fontId="1"/>
  </si>
  <si>
    <t>2019/07/17, After 製造 (Must)</t>
    <phoneticPr fontId="1"/>
  </si>
  <si>
    <t>131</t>
  </si>
  <si>
    <t>010806180016</t>
  </si>
  <si>
    <t>2019/08/16, After 製造 (Must)</t>
    <phoneticPr fontId="1"/>
  </si>
  <si>
    <t>AM1</t>
    <phoneticPr fontId="1"/>
  </si>
  <si>
    <t>4/24-25</t>
    <phoneticPr fontId="1"/>
  </si>
  <si>
    <t>2019/04/12 After 製造(Must)</t>
    <phoneticPr fontId="1"/>
  </si>
  <si>
    <t>AM1</t>
    <phoneticPr fontId="1"/>
  </si>
  <si>
    <t>414-AM194</t>
    <phoneticPr fontId="1"/>
  </si>
  <si>
    <t>9/20-21</t>
    <phoneticPr fontId="1"/>
  </si>
  <si>
    <t>2019/08/01 After 製造(Must)</t>
    <phoneticPr fontId="1"/>
  </si>
  <si>
    <t>AM1</t>
    <phoneticPr fontId="1"/>
  </si>
  <si>
    <t>4/10-11</t>
    <phoneticPr fontId="1"/>
  </si>
  <si>
    <t>2019/02/15 After 製造(Must)</t>
    <phoneticPr fontId="1"/>
  </si>
  <si>
    <t>2019/03/01 After 製造(Must)</t>
    <phoneticPr fontId="1"/>
  </si>
  <si>
    <t>414-AM185</t>
    <phoneticPr fontId="1"/>
  </si>
  <si>
    <t>5/8-9</t>
    <phoneticPr fontId="1"/>
  </si>
  <si>
    <t>2019/03/13 After 製造(Must)</t>
    <phoneticPr fontId="1"/>
  </si>
  <si>
    <t>23</t>
    <phoneticPr fontId="1"/>
  </si>
  <si>
    <t>414-AM192</t>
    <phoneticPr fontId="1"/>
  </si>
  <si>
    <t>7/10-11</t>
    <phoneticPr fontId="1"/>
  </si>
  <si>
    <t>2019/06/20 After 製造(Must)</t>
    <phoneticPr fontId="1"/>
  </si>
  <si>
    <t>010805200002</t>
    <phoneticPr fontId="1"/>
  </si>
  <si>
    <t>414-AM192</t>
    <phoneticPr fontId="1"/>
  </si>
  <si>
    <t>7/10-11</t>
    <phoneticPr fontId="1"/>
  </si>
  <si>
    <t>2019/06/20 After 製造(Must)</t>
    <phoneticPr fontId="1"/>
  </si>
  <si>
    <t>414-AM193</t>
    <phoneticPr fontId="1"/>
  </si>
  <si>
    <t>8/21-22</t>
    <phoneticPr fontId="1"/>
  </si>
  <si>
    <t>2019/06/26 After 製造(Must)</t>
    <phoneticPr fontId="1"/>
  </si>
  <si>
    <t>010806180017</t>
  </si>
  <si>
    <t>2019/07/26 After 製造(Must)</t>
    <phoneticPr fontId="1"/>
  </si>
  <si>
    <t>C28</t>
    <phoneticPr fontId="1"/>
  </si>
  <si>
    <t>3/18以降</t>
    <phoneticPr fontId="1"/>
  </si>
  <si>
    <t>119(2)</t>
    <phoneticPr fontId="1"/>
  </si>
  <si>
    <t>4/24-25</t>
    <phoneticPr fontId="1"/>
  </si>
  <si>
    <t>D13</t>
    <phoneticPr fontId="1"/>
  </si>
  <si>
    <t>414-UM1813</t>
    <phoneticPr fontId="1"/>
  </si>
  <si>
    <t>5/17-18</t>
    <phoneticPr fontId="1"/>
  </si>
  <si>
    <t>D25</t>
    <phoneticPr fontId="1"/>
  </si>
  <si>
    <t>4/22以降</t>
    <phoneticPr fontId="1"/>
  </si>
  <si>
    <t>5/16以降</t>
    <phoneticPr fontId="1"/>
  </si>
  <si>
    <t>414-UM1826</t>
    <phoneticPr fontId="1"/>
  </si>
  <si>
    <t>7/24-25</t>
    <phoneticPr fontId="1"/>
  </si>
  <si>
    <t>6/28以降</t>
    <phoneticPr fontId="1"/>
  </si>
  <si>
    <t>7/26以降</t>
    <phoneticPr fontId="1"/>
  </si>
  <si>
    <t>010806180018</t>
  </si>
  <si>
    <t>8/8以降</t>
    <phoneticPr fontId="1"/>
  </si>
  <si>
    <t>414-TYS001A</t>
    <phoneticPr fontId="1"/>
  </si>
  <si>
    <t>4/17-18</t>
    <phoneticPr fontId="1"/>
  </si>
  <si>
    <t>18(2)</t>
    <phoneticPr fontId="1"/>
  </si>
  <si>
    <t>010802250014</t>
    <phoneticPr fontId="1"/>
  </si>
  <si>
    <t>4/3-4</t>
    <phoneticPr fontId="1"/>
  </si>
  <si>
    <t>19(2)</t>
    <phoneticPr fontId="1"/>
  </si>
  <si>
    <t>010805240018</t>
    <phoneticPr fontId="1"/>
  </si>
  <si>
    <t>FOR PSI</t>
    <phoneticPr fontId="1"/>
  </si>
  <si>
    <t>[Si-C]</t>
    <phoneticPr fontId="1"/>
  </si>
  <si>
    <t>SI-C</t>
    <phoneticPr fontId="1"/>
  </si>
  <si>
    <t>010802250017</t>
    <phoneticPr fontId="1"/>
  </si>
  <si>
    <t>5/10-11</t>
    <phoneticPr fontId="1"/>
  </si>
  <si>
    <t>20(2)</t>
    <phoneticPr fontId="1"/>
  </si>
  <si>
    <t>414-UM1822</t>
    <phoneticPr fontId="1"/>
  </si>
  <si>
    <t>5/29-30</t>
    <phoneticPr fontId="1"/>
  </si>
  <si>
    <t>21</t>
    <phoneticPr fontId="1"/>
  </si>
  <si>
    <t>414-UM1823</t>
    <phoneticPr fontId="1"/>
  </si>
  <si>
    <t>6/19-20</t>
    <phoneticPr fontId="1"/>
  </si>
  <si>
    <t>7/3-4</t>
    <phoneticPr fontId="1"/>
  </si>
  <si>
    <t>010805160013</t>
    <phoneticPr fontId="1"/>
  </si>
  <si>
    <t>8/7-8</t>
    <phoneticPr fontId="1"/>
  </si>
  <si>
    <t>010805160014</t>
    <phoneticPr fontId="1"/>
  </si>
  <si>
    <t>30</t>
  </si>
  <si>
    <t>010806180022</t>
  </si>
  <si>
    <t>31</t>
  </si>
  <si>
    <t>010806180023</t>
  </si>
  <si>
    <t>32</t>
  </si>
  <si>
    <t>010806180024</t>
  </si>
  <si>
    <t>010804290012</t>
    <phoneticPr fontId="1"/>
  </si>
  <si>
    <t>6/12-13</t>
    <phoneticPr fontId="1"/>
  </si>
  <si>
    <t>010805020003</t>
    <phoneticPr fontId="1"/>
  </si>
  <si>
    <t>010805020004</t>
    <phoneticPr fontId="1"/>
  </si>
  <si>
    <t>414-UM1831</t>
    <phoneticPr fontId="1"/>
  </si>
  <si>
    <t>8/30-31</t>
    <phoneticPr fontId="1"/>
  </si>
  <si>
    <t>010805160015</t>
    <phoneticPr fontId="1"/>
  </si>
  <si>
    <t>414-UM1832</t>
    <phoneticPr fontId="1"/>
  </si>
  <si>
    <t>9/18-19</t>
    <phoneticPr fontId="1"/>
  </si>
  <si>
    <t>010805160016</t>
    <phoneticPr fontId="1"/>
  </si>
  <si>
    <t>‘</t>
    <phoneticPr fontId="1"/>
  </si>
  <si>
    <t>[MC1]</t>
    <phoneticPr fontId="1"/>
  </si>
  <si>
    <t>MC1</t>
    <phoneticPr fontId="1"/>
  </si>
  <si>
    <t>4/10-11</t>
    <phoneticPr fontId="1"/>
  </si>
  <si>
    <t>2019/03/15,After 製造(Must)FOR RST</t>
    <phoneticPr fontId="1"/>
  </si>
  <si>
    <t>414-AM188</t>
    <phoneticPr fontId="1"/>
  </si>
  <si>
    <t>5/15以降</t>
    <phoneticPr fontId="1"/>
  </si>
  <si>
    <t>17</t>
    <phoneticPr fontId="1"/>
  </si>
  <si>
    <t>010805160017</t>
    <phoneticPr fontId="1"/>
  </si>
  <si>
    <t>13</t>
    <phoneticPr fontId="1"/>
  </si>
  <si>
    <t>414-AM181</t>
    <phoneticPr fontId="1"/>
  </si>
  <si>
    <t>13(2)</t>
    <phoneticPr fontId="1"/>
  </si>
  <si>
    <t>414-AM182</t>
    <phoneticPr fontId="1"/>
  </si>
  <si>
    <t>14</t>
    <phoneticPr fontId="1"/>
  </si>
  <si>
    <t>414-AM184</t>
    <phoneticPr fontId="1"/>
  </si>
  <si>
    <t>15</t>
    <phoneticPr fontId="1"/>
  </si>
  <si>
    <t>414-AM185</t>
    <phoneticPr fontId="1"/>
  </si>
  <si>
    <t>5/8-9</t>
    <phoneticPr fontId="1"/>
  </si>
  <si>
    <t>15(2)</t>
    <phoneticPr fontId="1"/>
  </si>
  <si>
    <t>5/22-23</t>
    <phoneticPr fontId="1"/>
  </si>
  <si>
    <t>414-AM187</t>
    <phoneticPr fontId="1"/>
  </si>
  <si>
    <t>6/26-27</t>
    <phoneticPr fontId="1"/>
  </si>
  <si>
    <t>414-AM190</t>
    <phoneticPr fontId="1"/>
  </si>
  <si>
    <t>010806180025</t>
    <phoneticPr fontId="1"/>
  </si>
  <si>
    <t>数量</t>
    <phoneticPr fontId="33" type="noConversion"/>
  </si>
  <si>
    <r>
      <t>U</t>
    </r>
    <r>
      <rPr>
        <sz val="10"/>
        <rFont val="Arial"/>
        <family val="2"/>
      </rPr>
      <t xml:space="preserve">MC </t>
    </r>
    <phoneticPr fontId="33" type="noConversion"/>
  </si>
  <si>
    <r>
      <t>5/13</t>
    </r>
    <r>
      <rPr>
        <sz val="10"/>
        <rFont val="Arial"/>
        <family val="2"/>
      </rPr>
      <t>(12)</t>
    </r>
    <phoneticPr fontId="33" type="noConversion"/>
  </si>
  <si>
    <r>
      <t>5</t>
    </r>
    <r>
      <rPr>
        <sz val="10"/>
        <rFont val="Arial"/>
        <family val="2"/>
      </rPr>
      <t>/20(</t>
    </r>
    <r>
      <rPr>
        <sz val="11"/>
        <color theme="1"/>
        <rFont val="新細明體"/>
        <family val="2"/>
        <charset val="128"/>
        <scheme val="minor"/>
      </rPr>
      <t>8</t>
    </r>
    <r>
      <rPr>
        <sz val="10"/>
        <rFont val="Arial"/>
        <family val="2"/>
      </rPr>
      <t>)</t>
    </r>
    <phoneticPr fontId="33" type="noConversion"/>
  </si>
  <si>
    <t>PTC</t>
    <phoneticPr fontId="33" type="noConversion"/>
  </si>
  <si>
    <t>5/13(32)</t>
    <phoneticPr fontId="33" type="noConversion"/>
  </si>
  <si>
    <t>PTCへ</t>
    <phoneticPr fontId="33" type="noConversion"/>
  </si>
  <si>
    <t>PTC</t>
    <phoneticPr fontId="33" type="noConversion"/>
  </si>
  <si>
    <t>PTCへ</t>
    <phoneticPr fontId="33" type="noConversion"/>
  </si>
  <si>
    <t>5/20(20)</t>
    <phoneticPr fontId="1"/>
  </si>
  <si>
    <t>5/27(4)</t>
    <phoneticPr fontId="1"/>
  </si>
  <si>
    <t>2019/06/30 After 製造(Must)</t>
    <phoneticPr fontId="1"/>
  </si>
  <si>
    <t>Lot 指定変更しました</t>
    <rPh sb="4" eb="6">
      <t>シテイ</t>
    </rPh>
    <rPh sb="6" eb="8">
      <t>ヘンコウ</t>
    </rPh>
    <phoneticPr fontId="1"/>
  </si>
  <si>
    <t>9/3</t>
    <phoneticPr fontId="1"/>
  </si>
  <si>
    <t>9/10</t>
    <phoneticPr fontId="1"/>
  </si>
  <si>
    <t>9/17</t>
    <phoneticPr fontId="1"/>
  </si>
  <si>
    <t>414-HNO3005</t>
    <phoneticPr fontId="1"/>
  </si>
  <si>
    <t>414-HNO3006</t>
    <phoneticPr fontId="1"/>
  </si>
  <si>
    <t>414-HNO3007</t>
  </si>
  <si>
    <t>414-HNO3008</t>
  </si>
  <si>
    <t>9/4-5</t>
    <phoneticPr fontId="1"/>
  </si>
  <si>
    <t>10/2-3</t>
    <phoneticPr fontId="1"/>
  </si>
  <si>
    <t>9/11-12</t>
    <phoneticPr fontId="1"/>
  </si>
  <si>
    <t>7/17-18</t>
    <phoneticPr fontId="1"/>
  </si>
  <si>
    <t>9/18-19</t>
    <phoneticPr fontId="1"/>
  </si>
  <si>
    <t>9/25-26</t>
    <phoneticPr fontId="1"/>
  </si>
  <si>
    <t>9/18-19</t>
    <phoneticPr fontId="1"/>
  </si>
  <si>
    <t>414-UM1835</t>
    <phoneticPr fontId="1"/>
  </si>
  <si>
    <t>414-UM1836</t>
    <phoneticPr fontId="1"/>
  </si>
  <si>
    <t>414-UM1836</t>
    <phoneticPr fontId="1"/>
  </si>
  <si>
    <t>414-UM1837</t>
    <phoneticPr fontId="1"/>
  </si>
  <si>
    <t>414-UM1839</t>
    <phoneticPr fontId="1"/>
  </si>
  <si>
    <t>414-UM1840</t>
    <phoneticPr fontId="1"/>
  </si>
  <si>
    <t>160(2)</t>
    <phoneticPr fontId="1"/>
  </si>
  <si>
    <t>414-AM195</t>
    <phoneticPr fontId="1"/>
  </si>
  <si>
    <t>414-AM195</t>
    <phoneticPr fontId="1"/>
  </si>
  <si>
    <t>9/18-19</t>
    <phoneticPr fontId="1"/>
  </si>
  <si>
    <t>414-AM195</t>
    <phoneticPr fontId="1"/>
  </si>
  <si>
    <t>414-UM1832</t>
    <phoneticPr fontId="1"/>
  </si>
  <si>
    <t>[Ｆ-MIX *240kg packing*]NANYA</t>
    <phoneticPr fontId="1"/>
  </si>
  <si>
    <t>[Si-E]PSI</t>
    <phoneticPr fontId="1"/>
  </si>
  <si>
    <t>[MCX-2005 *200kg Packing*]UMC</t>
    <phoneticPr fontId="1"/>
  </si>
  <si>
    <t>[Si-E]PSI</t>
    <phoneticPr fontId="1"/>
  </si>
  <si>
    <t>[Si-C]PSI</t>
    <phoneticPr fontId="1"/>
  </si>
  <si>
    <t xml:space="preserve"> </t>
    <phoneticPr fontId="1"/>
  </si>
  <si>
    <t>No</t>
    <phoneticPr fontId="1"/>
  </si>
  <si>
    <t>Issued Date</t>
    <phoneticPr fontId="1"/>
  </si>
  <si>
    <t>Item</t>
    <phoneticPr fontId="1"/>
  </si>
  <si>
    <t>Container Type</t>
    <phoneticPr fontId="1"/>
  </si>
  <si>
    <t>Request</t>
    <phoneticPr fontId="1"/>
  </si>
  <si>
    <t>LOT</t>
    <phoneticPr fontId="1"/>
  </si>
  <si>
    <t xml:space="preserve">Sample </t>
    <phoneticPr fontId="1"/>
  </si>
  <si>
    <t>Coment</t>
    <phoneticPr fontId="1"/>
  </si>
  <si>
    <t>HNO3 -- 40DM</t>
    <phoneticPr fontId="1"/>
  </si>
  <si>
    <t>414-HNO3997</t>
    <phoneticPr fontId="1"/>
  </si>
  <si>
    <t>4/9</t>
    <phoneticPr fontId="1"/>
  </si>
  <si>
    <t>C30(28)D02(28)</t>
    <phoneticPr fontId="1"/>
  </si>
  <si>
    <t>2019/02/26 After製造(Must) FOR UMC ※need with analysis report</t>
    <phoneticPr fontId="1"/>
  </si>
  <si>
    <t>414-HNO3990</t>
    <phoneticPr fontId="1"/>
  </si>
  <si>
    <t>4/16</t>
    <phoneticPr fontId="1"/>
  </si>
  <si>
    <t>D03(28)D04(28)D05(24)</t>
    <phoneticPr fontId="1"/>
  </si>
  <si>
    <t>2019/03/20 After製造(Must) FOR UMC ※need with analysis report</t>
    <phoneticPr fontId="1"/>
  </si>
  <si>
    <t>414-HNO3989</t>
    <phoneticPr fontId="1"/>
  </si>
  <si>
    <t>5/28</t>
    <phoneticPr fontId="1"/>
  </si>
  <si>
    <t>E04(4)E06(36)</t>
    <phoneticPr fontId="1"/>
  </si>
  <si>
    <t>2019/05/02 After製造(Must) FOR PTC</t>
    <phoneticPr fontId="1"/>
  </si>
  <si>
    <t>819(2)</t>
    <phoneticPr fontId="1"/>
  </si>
  <si>
    <t>E06(4)E07(36)</t>
    <phoneticPr fontId="1"/>
  </si>
  <si>
    <t>2019/05/01 After製造(Must) FOR UMC ※need with analysis report</t>
    <phoneticPr fontId="1"/>
  </si>
  <si>
    <t>819(3)</t>
    <phoneticPr fontId="1"/>
  </si>
  <si>
    <t>E07(4)E08(40)E09(36)</t>
    <phoneticPr fontId="1"/>
  </si>
  <si>
    <t>414-HNO3990</t>
    <phoneticPr fontId="1"/>
  </si>
  <si>
    <t>4/16</t>
    <phoneticPr fontId="1"/>
  </si>
  <si>
    <t>C21(40)C23(40)</t>
    <phoneticPr fontId="1"/>
  </si>
  <si>
    <t>2019/03/21 After製造(Must) FOR PTC</t>
    <phoneticPr fontId="1"/>
  </si>
  <si>
    <t>414-HNO3991</t>
    <phoneticPr fontId="1"/>
  </si>
  <si>
    <t>4/23</t>
    <phoneticPr fontId="1"/>
  </si>
  <si>
    <t>D05.D06.D08.D12</t>
    <phoneticPr fontId="1"/>
  </si>
  <si>
    <t>2019/03/28 After製造(Must) FOR UMC ※need with analysis report</t>
    <phoneticPr fontId="1"/>
  </si>
  <si>
    <t>C26(28)C27(28)C28(24)</t>
    <phoneticPr fontId="1"/>
  </si>
  <si>
    <t>2019/03/13 After製造(Must) FOR PTC</t>
    <phoneticPr fontId="1"/>
  </si>
  <si>
    <t>C28(4)C29(28)</t>
    <phoneticPr fontId="1"/>
  </si>
  <si>
    <t>2019/04/05 After製造(Must) FOR PTC</t>
    <phoneticPr fontId="1"/>
  </si>
  <si>
    <t>414-HNO3993</t>
    <phoneticPr fontId="1"/>
  </si>
  <si>
    <t>5/14</t>
    <phoneticPr fontId="1"/>
  </si>
  <si>
    <t>D17(8)D18(8)D23(40)D24(24)</t>
    <phoneticPr fontId="1"/>
  </si>
  <si>
    <t>2019/04/12 After製造(Must) FOR PTC</t>
    <phoneticPr fontId="1"/>
  </si>
  <si>
    <t>825(2)</t>
    <phoneticPr fontId="1"/>
  </si>
  <si>
    <t>HNO3 -- 40DM</t>
    <phoneticPr fontId="1"/>
  </si>
  <si>
    <t>D24(8)D25(32)</t>
    <phoneticPr fontId="1"/>
  </si>
  <si>
    <t>2019/04/13 After製造(Must) FOR PTC</t>
    <phoneticPr fontId="1"/>
  </si>
  <si>
    <t>D12(4)D13(24)D19(12)</t>
    <phoneticPr fontId="1"/>
  </si>
  <si>
    <t>2019/04/13 After製造(Must) FOR UMC ※need with analysis report</t>
    <phoneticPr fontId="1"/>
  </si>
  <si>
    <t>414-HNO3992</t>
    <phoneticPr fontId="1"/>
  </si>
  <si>
    <t>5/21</t>
    <phoneticPr fontId="1"/>
  </si>
  <si>
    <t>D25(8)D26(28)D29(24)E03(20)</t>
    <phoneticPr fontId="1"/>
  </si>
  <si>
    <t>2019/04/20 After製造(Must) FOR PTC</t>
    <phoneticPr fontId="1"/>
  </si>
  <si>
    <t>414-HNO3994</t>
    <phoneticPr fontId="1"/>
  </si>
  <si>
    <t>6/4</t>
    <phoneticPr fontId="1"/>
  </si>
  <si>
    <t>2019/05/09 After製造(Must) FOR PTC</t>
    <phoneticPr fontId="1"/>
  </si>
  <si>
    <t>827(2)</t>
    <phoneticPr fontId="1"/>
  </si>
  <si>
    <t>414-HNO3995</t>
    <phoneticPr fontId="1"/>
  </si>
  <si>
    <t>6/11</t>
    <phoneticPr fontId="1"/>
  </si>
  <si>
    <t>E03(8)E04(24)</t>
    <phoneticPr fontId="1"/>
  </si>
  <si>
    <t>2019/05/16 After製造(Must) FOR UMC ※need with analysis report</t>
    <phoneticPr fontId="1"/>
  </si>
  <si>
    <t>414-HNO3996</t>
    <phoneticPr fontId="1"/>
  </si>
  <si>
    <t>6/18</t>
    <phoneticPr fontId="1"/>
  </si>
  <si>
    <t>2019/05/23 After製造(Must) FOR PTC</t>
    <phoneticPr fontId="1"/>
  </si>
  <si>
    <t>830(2)</t>
    <phoneticPr fontId="1"/>
  </si>
  <si>
    <t>010804120031</t>
    <phoneticPr fontId="1"/>
  </si>
  <si>
    <t>E03(4)E04(20)</t>
    <phoneticPr fontId="1"/>
  </si>
  <si>
    <t>2019/04/24 After製造(Must) FOR PTC</t>
    <phoneticPr fontId="1"/>
  </si>
  <si>
    <t xml:space="preserve">[Nitric Acid for UMC] </t>
    <phoneticPr fontId="1"/>
  </si>
  <si>
    <t>D19(8)D20(20)D27(28)</t>
    <phoneticPr fontId="1"/>
  </si>
  <si>
    <t>010804120032</t>
    <phoneticPr fontId="1"/>
  </si>
  <si>
    <t>2019/05/15 After製造(Must) FOR PTC</t>
    <phoneticPr fontId="1"/>
  </si>
  <si>
    <t>HNO3 -- 160DM</t>
    <phoneticPr fontId="1"/>
  </si>
  <si>
    <t>414-HNO3998</t>
    <phoneticPr fontId="1"/>
  </si>
  <si>
    <t>6/25</t>
    <phoneticPr fontId="1"/>
  </si>
  <si>
    <t>2019/05/25 After製造(Must) FOR PTC</t>
    <phoneticPr fontId="1"/>
  </si>
  <si>
    <t>2019/05/17 After製造(Must) FOR UMC ※need with analysis report</t>
    <phoneticPr fontId="1"/>
  </si>
  <si>
    <t>414-HNO3999</t>
    <phoneticPr fontId="1"/>
  </si>
  <si>
    <t>7/2</t>
    <phoneticPr fontId="1"/>
  </si>
  <si>
    <t>2019/06/01 After製造(Must) FOR PTC</t>
    <phoneticPr fontId="1"/>
  </si>
  <si>
    <t>414-HNO3001</t>
    <phoneticPr fontId="1"/>
  </si>
  <si>
    <t>7/9</t>
    <phoneticPr fontId="1"/>
  </si>
  <si>
    <t>2019/06/4 After製造(Must) FOR PTC</t>
    <phoneticPr fontId="1"/>
  </si>
  <si>
    <t>414-HNO3002</t>
    <phoneticPr fontId="1"/>
  </si>
  <si>
    <t>7/16</t>
    <phoneticPr fontId="1"/>
  </si>
  <si>
    <t>2019/06/7 After製造(Must) FOR PTC</t>
    <phoneticPr fontId="1"/>
  </si>
  <si>
    <t>7/16</t>
    <phoneticPr fontId="1"/>
  </si>
  <si>
    <t>2019/06/19 After製造(Must) FOR UMC ※need with analysis report</t>
    <phoneticPr fontId="1"/>
  </si>
  <si>
    <t>HNO3 -- 40DM</t>
    <phoneticPr fontId="1"/>
  </si>
  <si>
    <t>414-HNO3003</t>
    <phoneticPr fontId="1"/>
  </si>
  <si>
    <t>7/23</t>
    <phoneticPr fontId="1"/>
  </si>
  <si>
    <t>2019/06/28 After製造(Must) FOR PTC</t>
    <phoneticPr fontId="1"/>
  </si>
  <si>
    <t>2019/06/27 After製造(Must) FOR UMC ※need with analysis report</t>
    <phoneticPr fontId="1"/>
  </si>
  <si>
    <t>414-HNO3004</t>
    <phoneticPr fontId="1"/>
  </si>
  <si>
    <t>8/6</t>
    <phoneticPr fontId="1"/>
  </si>
  <si>
    <t>2019/07/10 After製造(Must) FOR PTC</t>
    <phoneticPr fontId="1"/>
  </si>
  <si>
    <t>2019/07/17 After製造(Must) FOR PTC</t>
    <phoneticPr fontId="1"/>
  </si>
  <si>
    <t>2019/07/17 After製造(Must) FOR UMC ※need with analysis report</t>
    <phoneticPr fontId="1"/>
  </si>
  <si>
    <t>414-HNO3005</t>
    <phoneticPr fontId="1"/>
  </si>
  <si>
    <t>8/27</t>
    <phoneticPr fontId="1"/>
  </si>
  <si>
    <t>2019/08/01 After製造(Must) FOR PTC</t>
    <phoneticPr fontId="1"/>
  </si>
  <si>
    <t>414-HNO3006</t>
    <phoneticPr fontId="1"/>
  </si>
  <si>
    <t>9/3</t>
    <phoneticPr fontId="1"/>
  </si>
  <si>
    <t>2019/08/08 After製造(Must) FOR UMC ※need with analysis report</t>
    <phoneticPr fontId="1"/>
  </si>
  <si>
    <t>9/10</t>
    <phoneticPr fontId="1"/>
  </si>
  <si>
    <t>2019/08/16 After製造(Must) FOR PTC</t>
    <phoneticPr fontId="1"/>
  </si>
  <si>
    <t>9/17</t>
    <phoneticPr fontId="1"/>
  </si>
  <si>
    <t>2019/08/22 After製造(Must) FOR PTC</t>
    <phoneticPr fontId="1"/>
  </si>
  <si>
    <t>010801280007</t>
    <phoneticPr fontId="1"/>
  </si>
  <si>
    <t>414-UM1802</t>
    <phoneticPr fontId="1"/>
  </si>
  <si>
    <t>4/17-18</t>
    <phoneticPr fontId="1"/>
  </si>
  <si>
    <t>2019/03/28 After 製造(Must) SPEC FOR NON-N20</t>
    <phoneticPr fontId="1"/>
  </si>
  <si>
    <t>414-UM1820</t>
    <phoneticPr fontId="1"/>
  </si>
  <si>
    <t>6/5-6</t>
    <phoneticPr fontId="1"/>
  </si>
  <si>
    <t>2019/05/14 After 製造(Must) SPEC FOR NON-N20</t>
    <phoneticPr fontId="1"/>
  </si>
  <si>
    <t>HCL</t>
    <phoneticPr fontId="1"/>
  </si>
  <si>
    <t>2019/06/06 After 製造(Must) SPEC FOR NON-N20</t>
    <phoneticPr fontId="1"/>
  </si>
  <si>
    <t>625(2)</t>
    <phoneticPr fontId="1"/>
  </si>
  <si>
    <t>414-UM1827</t>
    <phoneticPr fontId="1"/>
  </si>
  <si>
    <t>8/7-8</t>
    <phoneticPr fontId="1"/>
  </si>
  <si>
    <t>2019/07/17 After 製造(Must) SPEC FOR NON-N20</t>
    <phoneticPr fontId="1"/>
  </si>
  <si>
    <t>625(3)</t>
  </si>
  <si>
    <t>010806270005</t>
  </si>
  <si>
    <t>626</t>
    <phoneticPr fontId="1"/>
  </si>
  <si>
    <t>414-UM1836</t>
    <phoneticPr fontId="1"/>
  </si>
  <si>
    <t>9/4-5</t>
    <phoneticPr fontId="1"/>
  </si>
  <si>
    <t>2019/08/06 After 製造(Must) SPEC FOR NON-N20</t>
    <phoneticPr fontId="1"/>
  </si>
  <si>
    <t>627</t>
    <phoneticPr fontId="1"/>
  </si>
  <si>
    <t>414-UM1840</t>
    <phoneticPr fontId="1"/>
  </si>
  <si>
    <t>10/2-3</t>
    <phoneticPr fontId="1"/>
  </si>
  <si>
    <t>2019/09/05 After 製造(Must) SPEC FOR NON-N20</t>
    <phoneticPr fontId="1"/>
  </si>
  <si>
    <t>010710230010</t>
    <phoneticPr fontId="1"/>
  </si>
  <si>
    <t>414-UM1809</t>
    <phoneticPr fontId="1"/>
  </si>
  <si>
    <t>5/10-11</t>
    <phoneticPr fontId="1"/>
  </si>
  <si>
    <t>D22</t>
    <phoneticPr fontId="1"/>
  </si>
  <si>
    <t>2019/04/12 After 製造(Must)</t>
    <phoneticPr fontId="1"/>
  </si>
  <si>
    <t>151(2)</t>
    <phoneticPr fontId="1"/>
  </si>
  <si>
    <t>5/17-18</t>
    <phoneticPr fontId="1"/>
  </si>
  <si>
    <t>4/10-11</t>
    <phoneticPr fontId="1"/>
  </si>
  <si>
    <t>2019/03/22 After 製造(Must)</t>
    <phoneticPr fontId="1"/>
  </si>
  <si>
    <t>緩和しないでください</t>
    <phoneticPr fontId="1"/>
  </si>
  <si>
    <t>154</t>
    <phoneticPr fontId="1"/>
  </si>
  <si>
    <t>414-UM1822</t>
    <phoneticPr fontId="1"/>
  </si>
  <si>
    <t>5/29-30</t>
    <phoneticPr fontId="1"/>
  </si>
  <si>
    <t>2019/05/08 After 製造(Must)</t>
    <phoneticPr fontId="1"/>
  </si>
  <si>
    <t>154(2)</t>
    <phoneticPr fontId="1"/>
  </si>
  <si>
    <t>010805200003</t>
    <phoneticPr fontId="1"/>
  </si>
  <si>
    <t>2019/05/11 After 製造(Must)</t>
    <phoneticPr fontId="1"/>
  </si>
  <si>
    <t>414-UM1833</t>
    <phoneticPr fontId="1"/>
  </si>
  <si>
    <t>6/26-27</t>
    <phoneticPr fontId="1"/>
  </si>
  <si>
    <t>2019/06/06 After 製造(Must)</t>
    <phoneticPr fontId="1"/>
  </si>
  <si>
    <t>2019/06/28 After 製造(Must)</t>
    <phoneticPr fontId="1"/>
  </si>
  <si>
    <t>HCL</t>
    <phoneticPr fontId="1"/>
  </si>
  <si>
    <t>414-UM1834</t>
    <phoneticPr fontId="1"/>
  </si>
  <si>
    <t>7/31-8/1</t>
    <phoneticPr fontId="1"/>
  </si>
  <si>
    <t>2019/06/30 After 製造(Must)</t>
    <phoneticPr fontId="1"/>
  </si>
  <si>
    <t>414-UM1837</t>
    <phoneticPr fontId="1"/>
  </si>
  <si>
    <t>9/11-12</t>
    <phoneticPr fontId="1"/>
  </si>
  <si>
    <t>2019/08/15 After 製造(Must)</t>
    <phoneticPr fontId="1"/>
  </si>
  <si>
    <t>160(2)</t>
    <phoneticPr fontId="1"/>
  </si>
  <si>
    <t>414-UM1836</t>
    <phoneticPr fontId="1"/>
  </si>
  <si>
    <t>9/4-5</t>
    <phoneticPr fontId="1"/>
  </si>
  <si>
    <t>010806270004</t>
  </si>
  <si>
    <t>414-UM1835</t>
    <phoneticPr fontId="1"/>
  </si>
  <si>
    <t>7/17-18</t>
    <phoneticPr fontId="1"/>
  </si>
  <si>
    <t xml:space="preserve">[Hydrochloric Acid for MMT] </t>
    <phoneticPr fontId="1"/>
  </si>
  <si>
    <t>1</t>
    <phoneticPr fontId="1"/>
  </si>
  <si>
    <t>GN DRUM, SAMPLE</t>
    <phoneticPr fontId="1"/>
  </si>
  <si>
    <t xml:space="preserve">[Hydrochloric Acid for SEHT] </t>
    <phoneticPr fontId="1"/>
  </si>
  <si>
    <t>010802210026</t>
    <phoneticPr fontId="1"/>
  </si>
  <si>
    <t>2019/03/22 After 製造(Must)</t>
    <phoneticPr fontId="1"/>
  </si>
  <si>
    <t>[Hydrochloric Acid for KINIK *20kg Packing*]</t>
    <phoneticPr fontId="1"/>
  </si>
  <si>
    <t>4/10-11</t>
    <phoneticPr fontId="1"/>
  </si>
  <si>
    <t>2019/02/28, After 製造 (Must)</t>
    <phoneticPr fontId="1"/>
  </si>
  <si>
    <t>4/3-4</t>
    <phoneticPr fontId="1"/>
  </si>
  <si>
    <t>4/17-18</t>
    <phoneticPr fontId="1"/>
  </si>
  <si>
    <t>2019/03/22, After 製造 (Must)</t>
    <phoneticPr fontId="1"/>
  </si>
  <si>
    <t>5/17-18</t>
    <phoneticPr fontId="1"/>
  </si>
  <si>
    <t>2019/04/22, After 製造 (Must)</t>
    <phoneticPr fontId="1"/>
  </si>
  <si>
    <t>2019/05/22, After 製造 (Must)</t>
    <phoneticPr fontId="1"/>
  </si>
  <si>
    <t>2019/06/06, After 製造 (Must)</t>
    <phoneticPr fontId="1"/>
  </si>
  <si>
    <t>128(2)</t>
    <phoneticPr fontId="1"/>
  </si>
  <si>
    <t>2019/06/27, After 製造 (Must)</t>
    <phoneticPr fontId="1"/>
  </si>
  <si>
    <t>[Hydrochloric Acid for KINIK *20kg Packing*]</t>
    <phoneticPr fontId="1"/>
  </si>
  <si>
    <t>010805210005</t>
    <phoneticPr fontId="1"/>
  </si>
  <si>
    <t>2019/07/17, After 製造 (Must)</t>
    <phoneticPr fontId="1"/>
  </si>
  <si>
    <t>414-UM1837</t>
    <phoneticPr fontId="1"/>
  </si>
  <si>
    <t>9/11-12</t>
    <phoneticPr fontId="1"/>
  </si>
  <si>
    <t>2019/08/16, After 製造 (Must)</t>
    <phoneticPr fontId="1"/>
  </si>
  <si>
    <t>AM1</t>
    <phoneticPr fontId="1"/>
  </si>
  <si>
    <t>4/24-25</t>
    <phoneticPr fontId="1"/>
  </si>
  <si>
    <t>414-AM195</t>
    <phoneticPr fontId="1"/>
  </si>
  <si>
    <t>9/18-19</t>
    <phoneticPr fontId="1"/>
  </si>
  <si>
    <t>2019/09/24 After 製造(Must)</t>
    <phoneticPr fontId="1"/>
  </si>
  <si>
    <t>2019/02/15 After 製造(Must)</t>
    <phoneticPr fontId="1"/>
  </si>
  <si>
    <t>AM1</t>
    <phoneticPr fontId="1"/>
  </si>
  <si>
    <t>4/24-25</t>
    <phoneticPr fontId="1"/>
  </si>
  <si>
    <t>2019/03/01 After 製造(Must)</t>
    <phoneticPr fontId="1"/>
  </si>
  <si>
    <t>414-AM185</t>
    <phoneticPr fontId="1"/>
  </si>
  <si>
    <t>5/8-9</t>
    <phoneticPr fontId="1"/>
  </si>
  <si>
    <t>2019/03/13 After 製造(Must)</t>
    <phoneticPr fontId="1"/>
  </si>
  <si>
    <t>23</t>
    <phoneticPr fontId="1"/>
  </si>
  <si>
    <t>414-AM192</t>
    <phoneticPr fontId="1"/>
  </si>
  <si>
    <t>7/10-11</t>
    <phoneticPr fontId="1"/>
  </si>
  <si>
    <t>2019/06/20 After 製造(Must)</t>
    <phoneticPr fontId="1"/>
  </si>
  <si>
    <t>010805200002</t>
    <phoneticPr fontId="1"/>
  </si>
  <si>
    <t>414-AM193</t>
    <phoneticPr fontId="1"/>
  </si>
  <si>
    <t>8/21-22</t>
    <phoneticPr fontId="1"/>
  </si>
  <si>
    <t>2019/06/26 After 製造(Must)</t>
    <phoneticPr fontId="1"/>
  </si>
  <si>
    <t>2019/07/26 After 製造(Must)</t>
    <phoneticPr fontId="1"/>
  </si>
  <si>
    <t>C28</t>
    <phoneticPr fontId="1"/>
  </si>
  <si>
    <t>3/18以降</t>
    <phoneticPr fontId="1"/>
  </si>
  <si>
    <t>119(2)</t>
    <phoneticPr fontId="1"/>
  </si>
  <si>
    <t>D13</t>
    <phoneticPr fontId="1"/>
  </si>
  <si>
    <t>414-UM1813</t>
    <phoneticPr fontId="1"/>
  </si>
  <si>
    <t>D25</t>
    <phoneticPr fontId="1"/>
  </si>
  <si>
    <t>4/22以降</t>
    <phoneticPr fontId="1"/>
  </si>
  <si>
    <t>5/16以降</t>
    <phoneticPr fontId="1"/>
  </si>
  <si>
    <t>414-UM1826</t>
    <phoneticPr fontId="1"/>
  </si>
  <si>
    <t>7/24-25</t>
    <phoneticPr fontId="1"/>
  </si>
  <si>
    <t>6/28以降</t>
    <phoneticPr fontId="1"/>
  </si>
  <si>
    <t>7/26以降</t>
    <phoneticPr fontId="1"/>
  </si>
  <si>
    <t>[Ｆ-MIX *240kg packing*]NANYA</t>
    <phoneticPr fontId="1"/>
  </si>
  <si>
    <t>8/8以降</t>
    <phoneticPr fontId="1"/>
  </si>
  <si>
    <t>414-TYS001A</t>
    <phoneticPr fontId="1"/>
  </si>
  <si>
    <t>18(2)</t>
    <phoneticPr fontId="1"/>
  </si>
  <si>
    <t>010802250014</t>
    <phoneticPr fontId="1"/>
  </si>
  <si>
    <t>4/3-4</t>
    <phoneticPr fontId="1"/>
  </si>
  <si>
    <t>19(2)</t>
    <phoneticPr fontId="1"/>
  </si>
  <si>
    <t>010805240018</t>
    <phoneticPr fontId="1"/>
  </si>
  <si>
    <t>FOR PSI</t>
    <phoneticPr fontId="1"/>
  </si>
  <si>
    <t>[Si-C]</t>
    <phoneticPr fontId="1"/>
  </si>
  <si>
    <t>SI-C</t>
    <phoneticPr fontId="1"/>
  </si>
  <si>
    <t>010802250017</t>
    <phoneticPr fontId="1"/>
  </si>
  <si>
    <t>20(2)</t>
    <phoneticPr fontId="1"/>
  </si>
  <si>
    <t>21</t>
    <phoneticPr fontId="1"/>
  </si>
  <si>
    <t>414-UM1823</t>
    <phoneticPr fontId="1"/>
  </si>
  <si>
    <t>6/19-20</t>
    <phoneticPr fontId="1"/>
  </si>
  <si>
    <t>7/3-4</t>
    <phoneticPr fontId="1"/>
  </si>
  <si>
    <t>010805160013</t>
    <phoneticPr fontId="1"/>
  </si>
  <si>
    <t>010805160014</t>
    <phoneticPr fontId="1"/>
  </si>
  <si>
    <t>8/21-22</t>
    <phoneticPr fontId="1"/>
  </si>
  <si>
    <t>[Si-E]PSI</t>
    <phoneticPr fontId="1"/>
  </si>
  <si>
    <t>414-UM1832</t>
    <phoneticPr fontId="1"/>
  </si>
  <si>
    <t>414-UM1839</t>
    <phoneticPr fontId="1"/>
  </si>
  <si>
    <t>9/25-26</t>
    <phoneticPr fontId="1"/>
  </si>
  <si>
    <t>010804290012</t>
    <phoneticPr fontId="1"/>
  </si>
  <si>
    <t>6/12-13</t>
    <phoneticPr fontId="1"/>
  </si>
  <si>
    <t>010805020003</t>
    <phoneticPr fontId="1"/>
  </si>
  <si>
    <t>010805020004</t>
    <phoneticPr fontId="1"/>
  </si>
  <si>
    <t>414-UM1831</t>
    <phoneticPr fontId="1"/>
  </si>
  <si>
    <t>8/30-31</t>
    <phoneticPr fontId="1"/>
  </si>
  <si>
    <t>[Si-C]PSI</t>
    <phoneticPr fontId="1"/>
  </si>
  <si>
    <t>010805160015</t>
    <phoneticPr fontId="1"/>
  </si>
  <si>
    <t>010805160016</t>
    <phoneticPr fontId="1"/>
  </si>
  <si>
    <t>‘</t>
    <phoneticPr fontId="1"/>
  </si>
  <si>
    <t>[MC1]</t>
    <phoneticPr fontId="1"/>
  </si>
  <si>
    <t>MC1</t>
    <phoneticPr fontId="1"/>
  </si>
  <si>
    <t>2019/03/15,After 製造(Must)FOR RST</t>
    <phoneticPr fontId="1"/>
  </si>
  <si>
    <t>414-AM188</t>
    <phoneticPr fontId="1"/>
  </si>
  <si>
    <t>5/15以降</t>
    <phoneticPr fontId="1"/>
  </si>
  <si>
    <t>17</t>
    <phoneticPr fontId="1"/>
  </si>
  <si>
    <t>010805160017</t>
    <phoneticPr fontId="1"/>
  </si>
  <si>
    <t>414-AM193</t>
    <phoneticPr fontId="1"/>
  </si>
  <si>
    <t>13</t>
    <phoneticPr fontId="1"/>
  </si>
  <si>
    <t>414-AM181</t>
    <phoneticPr fontId="1"/>
  </si>
  <si>
    <t>13(2)</t>
    <phoneticPr fontId="1"/>
  </si>
  <si>
    <t>414-AM182</t>
    <phoneticPr fontId="1"/>
  </si>
  <si>
    <t>14</t>
    <phoneticPr fontId="1"/>
  </si>
  <si>
    <t>414-AM184</t>
    <phoneticPr fontId="1"/>
  </si>
  <si>
    <t>15</t>
    <phoneticPr fontId="1"/>
  </si>
  <si>
    <t>414-AM185</t>
    <phoneticPr fontId="1"/>
  </si>
  <si>
    <t>5/8-9</t>
    <phoneticPr fontId="1"/>
  </si>
  <si>
    <t>15(2)</t>
    <phoneticPr fontId="1"/>
  </si>
  <si>
    <t>414-AM189</t>
    <phoneticPr fontId="1"/>
  </si>
  <si>
    <t>5/22-23</t>
    <phoneticPr fontId="1"/>
  </si>
  <si>
    <t>414-AM187</t>
    <phoneticPr fontId="1"/>
  </si>
  <si>
    <t>414-AM192</t>
    <phoneticPr fontId="1"/>
  </si>
  <si>
    <t>7/10-11</t>
    <phoneticPr fontId="1"/>
  </si>
  <si>
    <t>414-AM190</t>
    <phoneticPr fontId="1"/>
  </si>
  <si>
    <t>[MCX-2005 *200kg Packing*]UMC</t>
    <phoneticPr fontId="1"/>
  </si>
  <si>
    <t>010806180025</t>
    <phoneticPr fontId="1"/>
  </si>
  <si>
    <t>数量</t>
    <phoneticPr fontId="33" type="noConversion"/>
  </si>
  <si>
    <t>個数</t>
    <phoneticPr fontId="33" type="noConversion"/>
  </si>
  <si>
    <r>
      <t>U</t>
    </r>
    <r>
      <rPr>
        <sz val="10"/>
        <rFont val="Arial"/>
        <family val="2"/>
      </rPr>
      <t xml:space="preserve">MC </t>
    </r>
    <phoneticPr fontId="33" type="noConversion"/>
  </si>
  <si>
    <r>
      <t>5/13</t>
    </r>
    <r>
      <rPr>
        <sz val="10"/>
        <rFont val="Arial"/>
        <family val="2"/>
      </rPr>
      <t>(12)</t>
    </r>
    <phoneticPr fontId="33" type="noConversion"/>
  </si>
  <si>
    <r>
      <t>5</t>
    </r>
    <r>
      <rPr>
        <sz val="10"/>
        <rFont val="Arial"/>
        <family val="2"/>
      </rPr>
      <t>/20(</t>
    </r>
    <r>
      <rPr>
        <sz val="11"/>
        <color theme="1"/>
        <rFont val="新細明體"/>
        <family val="2"/>
        <charset val="128"/>
        <scheme val="minor"/>
      </rPr>
      <t>8</t>
    </r>
    <r>
      <rPr>
        <sz val="10"/>
        <rFont val="Arial"/>
        <family val="2"/>
      </rPr>
      <t>)</t>
    </r>
    <phoneticPr fontId="33" type="noConversion"/>
  </si>
  <si>
    <t>PTC</t>
    <phoneticPr fontId="33" type="noConversion"/>
  </si>
  <si>
    <t>5/13(32)</t>
    <phoneticPr fontId="33" type="noConversion"/>
  </si>
  <si>
    <t>PTCへ</t>
    <phoneticPr fontId="33" type="noConversion"/>
  </si>
  <si>
    <t>PTC</t>
    <phoneticPr fontId="33" type="noConversion"/>
  </si>
  <si>
    <t>PTCへ</t>
    <phoneticPr fontId="33" type="noConversion"/>
  </si>
  <si>
    <t>5/20(20)</t>
    <phoneticPr fontId="1"/>
  </si>
  <si>
    <t>5/27(4)</t>
    <phoneticPr fontId="1"/>
  </si>
  <si>
    <t xml:space="preserve"> </t>
    <phoneticPr fontId="1"/>
  </si>
  <si>
    <t>7/23</t>
    <phoneticPr fontId="1"/>
  </si>
  <si>
    <t>414-HNO3003</t>
    <phoneticPr fontId="1"/>
  </si>
  <si>
    <t>10/23-24</t>
    <phoneticPr fontId="1"/>
  </si>
  <si>
    <t>414-AM196</t>
    <phoneticPr fontId="1"/>
  </si>
  <si>
    <t>10/2-3</t>
    <phoneticPr fontId="1"/>
  </si>
  <si>
    <t>小名浜9/19 黒崎9/26着</t>
    <phoneticPr fontId="1"/>
  </si>
  <si>
    <t>No</t>
    <phoneticPr fontId="1"/>
  </si>
  <si>
    <t>Issued Date</t>
    <phoneticPr fontId="1"/>
  </si>
  <si>
    <t>Item</t>
    <phoneticPr fontId="1"/>
  </si>
  <si>
    <t>Container Type</t>
    <phoneticPr fontId="1"/>
  </si>
  <si>
    <t>Request</t>
    <phoneticPr fontId="1"/>
  </si>
  <si>
    <t>LOT</t>
    <phoneticPr fontId="1"/>
  </si>
  <si>
    <t xml:space="preserve">Sample </t>
    <phoneticPr fontId="1"/>
  </si>
  <si>
    <t>Coment</t>
    <phoneticPr fontId="1"/>
  </si>
  <si>
    <t>HNO3 -- 40DM</t>
    <phoneticPr fontId="1"/>
  </si>
  <si>
    <t>414-HNO3990</t>
    <phoneticPr fontId="1"/>
  </si>
  <si>
    <t>4/16</t>
    <phoneticPr fontId="1"/>
  </si>
  <si>
    <t>C21(40)C23(40)</t>
    <phoneticPr fontId="1"/>
  </si>
  <si>
    <t>2019/03/21 After製造(Must) FOR PTC</t>
    <phoneticPr fontId="1"/>
  </si>
  <si>
    <t>414-HNO3991</t>
    <phoneticPr fontId="1"/>
  </si>
  <si>
    <t>4/23</t>
    <phoneticPr fontId="1"/>
  </si>
  <si>
    <t>D05.D06.D08.D12</t>
    <phoneticPr fontId="1"/>
  </si>
  <si>
    <t>2019/03/28 After製造(Must) FOR UMC ※need with analysis report</t>
    <phoneticPr fontId="1"/>
  </si>
  <si>
    <t>C26(28)C27(28)C28(24)</t>
    <phoneticPr fontId="1"/>
  </si>
  <si>
    <t>2019/03/13 After製造(Must) FOR PTC</t>
    <phoneticPr fontId="1"/>
  </si>
  <si>
    <t>C28(4)C29(28)</t>
    <phoneticPr fontId="1"/>
  </si>
  <si>
    <t>2019/04/05 After製造(Must) FOR PTC</t>
    <phoneticPr fontId="1"/>
  </si>
  <si>
    <t>414-HNO3993</t>
    <phoneticPr fontId="1"/>
  </si>
  <si>
    <t>5/14</t>
    <phoneticPr fontId="1"/>
  </si>
  <si>
    <t>D17(8)D18(8)D23(40)D24(24)</t>
    <phoneticPr fontId="1"/>
  </si>
  <si>
    <t>2019/04/12 After製造(Must) FOR PTC</t>
    <phoneticPr fontId="1"/>
  </si>
  <si>
    <t>825(2)</t>
    <phoneticPr fontId="1"/>
  </si>
  <si>
    <t>HNO3 -- 40DM</t>
    <phoneticPr fontId="1"/>
  </si>
  <si>
    <t>D24(8)D25(32)</t>
    <phoneticPr fontId="1"/>
  </si>
  <si>
    <t>2019/04/13 After製造(Must) FOR PTC</t>
    <phoneticPr fontId="1"/>
  </si>
  <si>
    <t>D12(4)D13(24)D19(12)</t>
    <phoneticPr fontId="1"/>
  </si>
  <si>
    <t>2019/04/13 After製造(Must) FOR UMC ※need with analysis report</t>
    <phoneticPr fontId="1"/>
  </si>
  <si>
    <t>414-HNO3992</t>
    <phoneticPr fontId="1"/>
  </si>
  <si>
    <t>5/21</t>
    <phoneticPr fontId="1"/>
  </si>
  <si>
    <t>D25(8)D26(28)D29(24)E03(20)</t>
    <phoneticPr fontId="1"/>
  </si>
  <si>
    <t>2019/04/20 After製造(Must) FOR PTC</t>
    <phoneticPr fontId="1"/>
  </si>
  <si>
    <t>414-HNO3994</t>
    <phoneticPr fontId="1"/>
  </si>
  <si>
    <t>6/4</t>
    <phoneticPr fontId="1"/>
  </si>
  <si>
    <t>2019/05/09 After製造(Must) FOR PTC</t>
    <phoneticPr fontId="1"/>
  </si>
  <si>
    <t>827(2)</t>
    <phoneticPr fontId="1"/>
  </si>
  <si>
    <t>414-HNO3995</t>
    <phoneticPr fontId="1"/>
  </si>
  <si>
    <t>6/11</t>
    <phoneticPr fontId="1"/>
  </si>
  <si>
    <t>E03(8)E04(24)</t>
    <phoneticPr fontId="1"/>
  </si>
  <si>
    <t>2019/05/16 After製造(Must) FOR UMC ※need with analysis report</t>
    <phoneticPr fontId="1"/>
  </si>
  <si>
    <t>414-HNO3996</t>
    <phoneticPr fontId="1"/>
  </si>
  <si>
    <t>6/18</t>
    <phoneticPr fontId="1"/>
  </si>
  <si>
    <t>2019/05/23 After製造(Must) FOR PTC</t>
    <phoneticPr fontId="1"/>
  </si>
  <si>
    <t>830(2)</t>
    <phoneticPr fontId="1"/>
  </si>
  <si>
    <t>010804120031</t>
    <phoneticPr fontId="1"/>
  </si>
  <si>
    <t>E03(4)E04(20)</t>
    <phoneticPr fontId="1"/>
  </si>
  <si>
    <t>2019/04/24 After製造(Must) FOR PTC</t>
    <phoneticPr fontId="1"/>
  </si>
  <si>
    <t xml:space="preserve">[Nitric Acid for UMC] </t>
    <phoneticPr fontId="1"/>
  </si>
  <si>
    <t>D19(8)D20(20)D27(28)</t>
    <phoneticPr fontId="1"/>
  </si>
  <si>
    <t>010804120032</t>
    <phoneticPr fontId="1"/>
  </si>
  <si>
    <t>2019/05/15 After製造(Must) FOR PTC</t>
    <phoneticPr fontId="1"/>
  </si>
  <si>
    <t>HNO3 -- 160DM</t>
    <phoneticPr fontId="1"/>
  </si>
  <si>
    <t>414-HNO3998</t>
    <phoneticPr fontId="1"/>
  </si>
  <si>
    <t>6/25</t>
    <phoneticPr fontId="1"/>
  </si>
  <si>
    <t>2019/05/25 After製造(Must) FOR PTC</t>
    <phoneticPr fontId="1"/>
  </si>
  <si>
    <t>2019/05/17 After製造(Must) FOR UMC ※need with analysis report</t>
    <phoneticPr fontId="1"/>
  </si>
  <si>
    <t>414-HNO3999</t>
    <phoneticPr fontId="1"/>
  </si>
  <si>
    <t>7/2</t>
    <phoneticPr fontId="1"/>
  </si>
  <si>
    <t>2019/06/01 After製造(Must) FOR PTC</t>
    <phoneticPr fontId="1"/>
  </si>
  <si>
    <t>414-HNO3001</t>
    <phoneticPr fontId="1"/>
  </si>
  <si>
    <t>7/9</t>
    <phoneticPr fontId="1"/>
  </si>
  <si>
    <t>2019/06/4 After製造(Must) FOR PTC</t>
    <phoneticPr fontId="1"/>
  </si>
  <si>
    <t>414-HNO3002</t>
    <phoneticPr fontId="1"/>
  </si>
  <si>
    <t>7/16</t>
    <phoneticPr fontId="1"/>
  </si>
  <si>
    <t>2019/06/7 After製造(Must) FOR PTC</t>
    <phoneticPr fontId="1"/>
  </si>
  <si>
    <t>414-HNO3003</t>
    <phoneticPr fontId="1"/>
  </si>
  <si>
    <t>7/23</t>
    <phoneticPr fontId="1"/>
  </si>
  <si>
    <t>2019/06/19 After製造(Must) FOR UMC ※need with analysis report</t>
    <phoneticPr fontId="1"/>
  </si>
  <si>
    <t>2019/06/28 After製造(Must) FOR PTC</t>
    <phoneticPr fontId="1"/>
  </si>
  <si>
    <t>2019/06/27 After製造(Must) FOR UMC ※need with analysis report</t>
    <phoneticPr fontId="1"/>
  </si>
  <si>
    <t>414-HNO3004</t>
    <phoneticPr fontId="1"/>
  </si>
  <si>
    <t>8/6</t>
    <phoneticPr fontId="1"/>
  </si>
  <si>
    <t>2019/07/10 After製造(Must) FOR PTC</t>
    <phoneticPr fontId="1"/>
  </si>
  <si>
    <t>2019/07/17 After製造(Must) FOR PTC</t>
    <phoneticPr fontId="1"/>
  </si>
  <si>
    <t>2019/07/17 After製造(Must) FOR UMC ※need with analysis report</t>
    <phoneticPr fontId="1"/>
  </si>
  <si>
    <t>414-HNO3005</t>
    <phoneticPr fontId="1"/>
  </si>
  <si>
    <t>8/27</t>
    <phoneticPr fontId="1"/>
  </si>
  <si>
    <t>2019/08/01 After製造(Must) FOR PTC</t>
    <phoneticPr fontId="1"/>
  </si>
  <si>
    <t>414-HNO3006</t>
    <phoneticPr fontId="1"/>
  </si>
  <si>
    <t>9/3</t>
    <phoneticPr fontId="1"/>
  </si>
  <si>
    <t>2019/08/08 After製造(Must) FOR UMC ※need with analysis report</t>
    <phoneticPr fontId="1"/>
  </si>
  <si>
    <t>9/10</t>
    <phoneticPr fontId="1"/>
  </si>
  <si>
    <t>2019/08/16 After製造(Must) FOR PTC</t>
    <phoneticPr fontId="1"/>
  </si>
  <si>
    <t>9/17</t>
    <phoneticPr fontId="1"/>
  </si>
  <si>
    <t>2019/08/30 After製造(Must) FOR PTC</t>
    <phoneticPr fontId="1"/>
  </si>
  <si>
    <t>010801280007</t>
    <phoneticPr fontId="1"/>
  </si>
  <si>
    <t>414-UM1802</t>
    <phoneticPr fontId="1"/>
  </si>
  <si>
    <t>4/17-18</t>
    <phoneticPr fontId="1"/>
  </si>
  <si>
    <t>2019/03/28 After 製造(Must) SPEC FOR NON-N20</t>
    <phoneticPr fontId="1"/>
  </si>
  <si>
    <t>414-UM1820</t>
    <phoneticPr fontId="1"/>
  </si>
  <si>
    <t>6/5-6</t>
    <phoneticPr fontId="1"/>
  </si>
  <si>
    <t>2019/05/14 After 製造(Must) SPEC FOR NON-N20</t>
    <phoneticPr fontId="1"/>
  </si>
  <si>
    <t>HCL</t>
    <phoneticPr fontId="1"/>
  </si>
  <si>
    <t>2019/06/06 After 製造(Must) SPEC FOR NON-N20</t>
    <phoneticPr fontId="1"/>
  </si>
  <si>
    <t>625(2)</t>
    <phoneticPr fontId="1"/>
  </si>
  <si>
    <t>414-UM1827</t>
    <phoneticPr fontId="1"/>
  </si>
  <si>
    <t>8/7-8</t>
    <phoneticPr fontId="1"/>
  </si>
  <si>
    <t>2019/07/17 After 製造(Must) SPEC FOR NON-N20</t>
    <phoneticPr fontId="1"/>
  </si>
  <si>
    <t>626</t>
    <phoneticPr fontId="1"/>
  </si>
  <si>
    <t>414-UM1836</t>
    <phoneticPr fontId="1"/>
  </si>
  <si>
    <t>9/4-5</t>
    <phoneticPr fontId="1"/>
  </si>
  <si>
    <t>2019/08/06 After 製造(Must) SPEC FOR NON-N20</t>
    <phoneticPr fontId="1"/>
  </si>
  <si>
    <t>627</t>
    <phoneticPr fontId="1"/>
  </si>
  <si>
    <t>HCL</t>
    <phoneticPr fontId="1"/>
  </si>
  <si>
    <t>414-UM1840</t>
    <phoneticPr fontId="1"/>
  </si>
  <si>
    <t>10/2-3</t>
    <phoneticPr fontId="1"/>
  </si>
  <si>
    <t>2019/09/05 After 製造(Must) SPEC FOR NON-N20</t>
    <phoneticPr fontId="1"/>
  </si>
  <si>
    <t>010710230010</t>
    <phoneticPr fontId="1"/>
  </si>
  <si>
    <t>414-UM1809</t>
    <phoneticPr fontId="1"/>
  </si>
  <si>
    <t>5/10-11</t>
    <phoneticPr fontId="1"/>
  </si>
  <si>
    <t>D22</t>
    <phoneticPr fontId="1"/>
  </si>
  <si>
    <t>2019/04/12 After 製造(Must)</t>
    <phoneticPr fontId="1"/>
  </si>
  <si>
    <t>151(2)</t>
    <phoneticPr fontId="1"/>
  </si>
  <si>
    <t>5/17-18</t>
    <phoneticPr fontId="1"/>
  </si>
  <si>
    <t>HCL</t>
    <phoneticPr fontId="1"/>
  </si>
  <si>
    <t>4/10-11</t>
    <phoneticPr fontId="1"/>
  </si>
  <si>
    <t>2019/03/22 After 製造(Must)</t>
    <phoneticPr fontId="1"/>
  </si>
  <si>
    <t>緩和しないでください</t>
    <phoneticPr fontId="1"/>
  </si>
  <si>
    <t>154</t>
    <phoneticPr fontId="1"/>
  </si>
  <si>
    <t>414-UM1822</t>
    <phoneticPr fontId="1"/>
  </si>
  <si>
    <t>5/29-30</t>
    <phoneticPr fontId="1"/>
  </si>
  <si>
    <t>2019/05/08 After 製造(Must)</t>
    <phoneticPr fontId="1"/>
  </si>
  <si>
    <t>154(2)</t>
    <phoneticPr fontId="1"/>
  </si>
  <si>
    <t>010805200003</t>
    <phoneticPr fontId="1"/>
  </si>
  <si>
    <t>414-UM1820</t>
    <phoneticPr fontId="1"/>
  </si>
  <si>
    <t>6/5-6</t>
    <phoneticPr fontId="1"/>
  </si>
  <si>
    <t>2019/05/11 After 製造(Must)</t>
    <phoneticPr fontId="1"/>
  </si>
  <si>
    <t>414-UM1833</t>
    <phoneticPr fontId="1"/>
  </si>
  <si>
    <t>6/26-27</t>
    <phoneticPr fontId="1"/>
  </si>
  <si>
    <t>2019/06/06 After 製造(Must)</t>
    <phoneticPr fontId="1"/>
  </si>
  <si>
    <t>2019/06/28 After 製造(Must)</t>
    <phoneticPr fontId="1"/>
  </si>
  <si>
    <t>414-UM1834</t>
    <phoneticPr fontId="1"/>
  </si>
  <si>
    <t>7/31-8/1</t>
    <phoneticPr fontId="1"/>
  </si>
  <si>
    <t>2019/06/30 After 製造(Must)</t>
    <phoneticPr fontId="1"/>
  </si>
  <si>
    <t>414-UM1837</t>
    <phoneticPr fontId="1"/>
  </si>
  <si>
    <t>9/11-12</t>
    <phoneticPr fontId="1"/>
  </si>
  <si>
    <t>2019/08/15 After 製造(Must)</t>
    <phoneticPr fontId="1"/>
  </si>
  <si>
    <t>160(2)</t>
    <phoneticPr fontId="1"/>
  </si>
  <si>
    <t>414-UM1836</t>
    <phoneticPr fontId="1"/>
  </si>
  <si>
    <t>9/4-5</t>
    <phoneticPr fontId="1"/>
  </si>
  <si>
    <t>414-UM1835</t>
    <phoneticPr fontId="1"/>
  </si>
  <si>
    <t>7/17-18</t>
    <phoneticPr fontId="1"/>
  </si>
  <si>
    <t xml:space="preserve">[Hydrochloric Acid for MMT] </t>
    <phoneticPr fontId="1"/>
  </si>
  <si>
    <t>1</t>
    <phoneticPr fontId="1"/>
  </si>
  <si>
    <t>GN DRUM, SAMPLE</t>
    <phoneticPr fontId="1"/>
  </si>
  <si>
    <t xml:space="preserve">[Hydrochloric Acid for SEHT] </t>
    <phoneticPr fontId="1"/>
  </si>
  <si>
    <t>010802210026</t>
    <phoneticPr fontId="1"/>
  </si>
  <si>
    <t>[Hydrochloric Acid for KINIK *20kg Packing*]</t>
    <phoneticPr fontId="1"/>
  </si>
  <si>
    <t>2019/02/28, After 製造 (Must)</t>
    <phoneticPr fontId="1"/>
  </si>
  <si>
    <t>4/3-4</t>
    <phoneticPr fontId="1"/>
  </si>
  <si>
    <t>4/17-18</t>
    <phoneticPr fontId="1"/>
  </si>
  <si>
    <t>2019/03/22, After 製造 (Must)</t>
    <phoneticPr fontId="1"/>
  </si>
  <si>
    <t>2019/04/22, After 製造 (Must)</t>
    <phoneticPr fontId="1"/>
  </si>
  <si>
    <t>2019/05/22, After 製造 (Must)</t>
    <phoneticPr fontId="1"/>
  </si>
  <si>
    <t>2019/06/06, After 製造 (Must)</t>
    <phoneticPr fontId="1"/>
  </si>
  <si>
    <t>128(2)</t>
    <phoneticPr fontId="1"/>
  </si>
  <si>
    <t>2019/06/27, After 製造 (Must)</t>
    <phoneticPr fontId="1"/>
  </si>
  <si>
    <t>010805210005</t>
    <phoneticPr fontId="1"/>
  </si>
  <si>
    <t>8/7-8</t>
    <phoneticPr fontId="1"/>
  </si>
  <si>
    <t>2019/07/17, After 製造 (Must)</t>
    <phoneticPr fontId="1"/>
  </si>
  <si>
    <t>2019/08/16, After 製造 (Must)</t>
    <phoneticPr fontId="1"/>
  </si>
  <si>
    <t>AM1</t>
    <phoneticPr fontId="1"/>
  </si>
  <si>
    <t>4/24-25</t>
    <phoneticPr fontId="1"/>
  </si>
  <si>
    <t>414-AM196</t>
    <phoneticPr fontId="1"/>
  </si>
  <si>
    <t>10/23-24</t>
    <phoneticPr fontId="1"/>
  </si>
  <si>
    <t>2019/10/02 After 製造(Must)</t>
    <phoneticPr fontId="1"/>
  </si>
  <si>
    <t>2019/02/15 After 製造(Must)</t>
    <phoneticPr fontId="1"/>
  </si>
  <si>
    <t>2019/03/01 After 製造(Must)</t>
    <phoneticPr fontId="1"/>
  </si>
  <si>
    <t>414-AM185</t>
    <phoneticPr fontId="1"/>
  </si>
  <si>
    <t>5/8-9</t>
    <phoneticPr fontId="1"/>
  </si>
  <si>
    <t>23</t>
    <phoneticPr fontId="1"/>
  </si>
  <si>
    <t>414-AM192</t>
    <phoneticPr fontId="1"/>
  </si>
  <si>
    <t>7/10-11</t>
    <phoneticPr fontId="1"/>
  </si>
  <si>
    <t>2019/06/20 After 製造(Must)</t>
    <phoneticPr fontId="1"/>
  </si>
  <si>
    <t>010805200002</t>
    <phoneticPr fontId="1"/>
  </si>
  <si>
    <t>414-AM193</t>
    <phoneticPr fontId="1"/>
  </si>
  <si>
    <t>8/21-22</t>
    <phoneticPr fontId="1"/>
  </si>
  <si>
    <t>2019/06/26 After 製造(Must)</t>
    <phoneticPr fontId="1"/>
  </si>
  <si>
    <t>414-AM195</t>
    <phoneticPr fontId="1"/>
  </si>
  <si>
    <t>9/18-19</t>
    <phoneticPr fontId="1"/>
  </si>
  <si>
    <t>2019/07/26 After 製造(Must)</t>
    <phoneticPr fontId="1"/>
  </si>
  <si>
    <t>2019/09/09 After 製造(Must)</t>
    <phoneticPr fontId="1"/>
  </si>
  <si>
    <t>C28</t>
    <phoneticPr fontId="1"/>
  </si>
  <si>
    <t>3/18以降</t>
    <phoneticPr fontId="1"/>
  </si>
  <si>
    <t>119(2)</t>
    <phoneticPr fontId="1"/>
  </si>
  <si>
    <t>D13</t>
    <phoneticPr fontId="1"/>
  </si>
  <si>
    <t>414-UM1813</t>
    <phoneticPr fontId="1"/>
  </si>
  <si>
    <t>D25</t>
    <phoneticPr fontId="1"/>
  </si>
  <si>
    <t>4/22以降</t>
    <phoneticPr fontId="1"/>
  </si>
  <si>
    <t>5/16以降</t>
    <phoneticPr fontId="1"/>
  </si>
  <si>
    <t>414-UM1826</t>
    <phoneticPr fontId="1"/>
  </si>
  <si>
    <t>6/28以降</t>
    <phoneticPr fontId="1"/>
  </si>
  <si>
    <t>7/26以降</t>
    <phoneticPr fontId="1"/>
  </si>
  <si>
    <t>[Ｆ-MIX *240kg packing*]NANYA</t>
    <phoneticPr fontId="1"/>
  </si>
  <si>
    <t>8/8以降</t>
    <phoneticPr fontId="1"/>
  </si>
  <si>
    <t>414-TYS001A</t>
    <phoneticPr fontId="1"/>
  </si>
  <si>
    <t>18(2)</t>
    <phoneticPr fontId="1"/>
  </si>
  <si>
    <t>010802250014</t>
    <phoneticPr fontId="1"/>
  </si>
  <si>
    <t>19(2)</t>
    <phoneticPr fontId="1"/>
  </si>
  <si>
    <t>010805240018</t>
    <phoneticPr fontId="1"/>
  </si>
  <si>
    <t>FOR PSI</t>
    <phoneticPr fontId="1"/>
  </si>
  <si>
    <t>[Si-C]</t>
    <phoneticPr fontId="1"/>
  </si>
  <si>
    <t>SI-C</t>
    <phoneticPr fontId="1"/>
  </si>
  <si>
    <t>010802250017</t>
    <phoneticPr fontId="1"/>
  </si>
  <si>
    <t>20(2)</t>
    <phoneticPr fontId="1"/>
  </si>
  <si>
    <t>21</t>
    <phoneticPr fontId="1"/>
  </si>
  <si>
    <t>414-UM1823</t>
    <phoneticPr fontId="1"/>
  </si>
  <si>
    <t>6/19-20</t>
    <phoneticPr fontId="1"/>
  </si>
  <si>
    <t>010805160013</t>
    <phoneticPr fontId="1"/>
  </si>
  <si>
    <t>010805160014</t>
    <phoneticPr fontId="1"/>
  </si>
  <si>
    <t>[Si-E]PSI</t>
    <phoneticPr fontId="1"/>
  </si>
  <si>
    <t>414-UM1836</t>
    <phoneticPr fontId="1"/>
  </si>
  <si>
    <t>9/4-5</t>
    <phoneticPr fontId="1"/>
  </si>
  <si>
    <t>[Si-E]PSI</t>
    <phoneticPr fontId="1"/>
  </si>
  <si>
    <t>414-UM1832</t>
    <phoneticPr fontId="1"/>
  </si>
  <si>
    <t>9/18-19</t>
    <phoneticPr fontId="1"/>
  </si>
  <si>
    <t>414-UM1839</t>
    <phoneticPr fontId="1"/>
  </si>
  <si>
    <t>9/25-26</t>
    <phoneticPr fontId="1"/>
  </si>
  <si>
    <t>33</t>
  </si>
  <si>
    <t>SI-C</t>
    <phoneticPr fontId="1"/>
  </si>
  <si>
    <t>010804290012</t>
    <phoneticPr fontId="1"/>
  </si>
  <si>
    <t>6/12-13</t>
    <phoneticPr fontId="1"/>
  </si>
  <si>
    <t>010805020003</t>
    <phoneticPr fontId="1"/>
  </si>
  <si>
    <t>7/3-4</t>
    <phoneticPr fontId="1"/>
  </si>
  <si>
    <t>010805020004</t>
    <phoneticPr fontId="1"/>
  </si>
  <si>
    <t>414-UM1831</t>
    <phoneticPr fontId="1"/>
  </si>
  <si>
    <t>8/30-31</t>
    <phoneticPr fontId="1"/>
  </si>
  <si>
    <t>[Si-C]PSI</t>
    <phoneticPr fontId="1"/>
  </si>
  <si>
    <t>010805160015</t>
    <phoneticPr fontId="1"/>
  </si>
  <si>
    <t>414-UM1840</t>
    <phoneticPr fontId="1"/>
  </si>
  <si>
    <t>10/2-3</t>
    <phoneticPr fontId="1"/>
  </si>
  <si>
    <t>小名浜9/19 黒崎9/26着</t>
    <phoneticPr fontId="1"/>
  </si>
  <si>
    <t>010805160016</t>
    <phoneticPr fontId="1"/>
  </si>
  <si>
    <t>‘</t>
    <phoneticPr fontId="1"/>
  </si>
  <si>
    <t>[MC1]</t>
    <phoneticPr fontId="1"/>
  </si>
  <si>
    <t>MC1</t>
    <phoneticPr fontId="1"/>
  </si>
  <si>
    <t>4/10-11</t>
    <phoneticPr fontId="1"/>
  </si>
  <si>
    <t>2019/03/15,After 製造(Must)FOR RST</t>
    <phoneticPr fontId="1"/>
  </si>
  <si>
    <t>414-AM188</t>
    <phoneticPr fontId="1"/>
  </si>
  <si>
    <t>5/15以降</t>
    <phoneticPr fontId="1"/>
  </si>
  <si>
    <t>17</t>
    <phoneticPr fontId="1"/>
  </si>
  <si>
    <t>010805160017</t>
    <phoneticPr fontId="1"/>
  </si>
  <si>
    <t>414-AM193</t>
    <phoneticPr fontId="1"/>
  </si>
  <si>
    <t>8/21-22</t>
    <phoneticPr fontId="1"/>
  </si>
  <si>
    <t>13</t>
    <phoneticPr fontId="1"/>
  </si>
  <si>
    <t>414-AM181</t>
    <phoneticPr fontId="1"/>
  </si>
  <si>
    <t>4/3-4</t>
    <phoneticPr fontId="1"/>
  </si>
  <si>
    <t>13(2)</t>
    <phoneticPr fontId="1"/>
  </si>
  <si>
    <t>414-AM182</t>
    <phoneticPr fontId="1"/>
  </si>
  <si>
    <t>14</t>
    <phoneticPr fontId="1"/>
  </si>
  <si>
    <t>414-AM184</t>
    <phoneticPr fontId="1"/>
  </si>
  <si>
    <t>4/24-25</t>
    <phoneticPr fontId="1"/>
  </si>
  <si>
    <t>15</t>
    <phoneticPr fontId="1"/>
  </si>
  <si>
    <t>414-AM185</t>
    <phoneticPr fontId="1"/>
  </si>
  <si>
    <t>5/8-9</t>
    <phoneticPr fontId="1"/>
  </si>
  <si>
    <t>15(2)</t>
    <phoneticPr fontId="1"/>
  </si>
  <si>
    <t>414-AM189</t>
    <phoneticPr fontId="1"/>
  </si>
  <si>
    <t>5/22-23</t>
    <phoneticPr fontId="1"/>
  </si>
  <si>
    <t>414-AM187</t>
    <phoneticPr fontId="1"/>
  </si>
  <si>
    <t>6/26-27</t>
    <phoneticPr fontId="1"/>
  </si>
  <si>
    <t>414-AM192</t>
    <phoneticPr fontId="1"/>
  </si>
  <si>
    <t>7/10-11</t>
    <phoneticPr fontId="1"/>
  </si>
  <si>
    <t>414-AM190</t>
    <phoneticPr fontId="1"/>
  </si>
  <si>
    <t>7/24-25</t>
    <phoneticPr fontId="1"/>
  </si>
  <si>
    <t>[MCX-2005 *200kg Packing*]UMC</t>
    <phoneticPr fontId="1"/>
  </si>
  <si>
    <t>010806180025</t>
    <phoneticPr fontId="1"/>
  </si>
  <si>
    <t>数量</t>
    <phoneticPr fontId="33" type="noConversion"/>
  </si>
  <si>
    <t>個数</t>
    <phoneticPr fontId="33" type="noConversion"/>
  </si>
  <si>
    <r>
      <t>U</t>
    </r>
    <r>
      <rPr>
        <sz val="10"/>
        <rFont val="Arial"/>
        <family val="2"/>
      </rPr>
      <t xml:space="preserve">MC </t>
    </r>
    <phoneticPr fontId="33" type="noConversion"/>
  </si>
  <si>
    <r>
      <t>5/13</t>
    </r>
    <r>
      <rPr>
        <sz val="10"/>
        <rFont val="Arial"/>
        <family val="2"/>
      </rPr>
      <t>(12)</t>
    </r>
    <phoneticPr fontId="33" type="noConversion"/>
  </si>
  <si>
    <r>
      <t>5</t>
    </r>
    <r>
      <rPr>
        <sz val="10"/>
        <rFont val="Arial"/>
        <family val="2"/>
      </rPr>
      <t>/20(</t>
    </r>
    <r>
      <rPr>
        <sz val="11"/>
        <color theme="1"/>
        <rFont val="新細明體"/>
        <family val="2"/>
        <charset val="128"/>
        <scheme val="minor"/>
      </rPr>
      <t>8</t>
    </r>
    <r>
      <rPr>
        <sz val="10"/>
        <rFont val="Arial"/>
        <family val="2"/>
      </rPr>
      <t>)</t>
    </r>
    <phoneticPr fontId="33" type="noConversion"/>
  </si>
  <si>
    <t>PTC</t>
    <phoneticPr fontId="33" type="noConversion"/>
  </si>
  <si>
    <t>5/13(32)</t>
    <phoneticPr fontId="33" type="noConversion"/>
  </si>
  <si>
    <t>PTCへ</t>
    <phoneticPr fontId="33" type="noConversion"/>
  </si>
  <si>
    <t>PTC</t>
    <phoneticPr fontId="33" type="noConversion"/>
  </si>
  <si>
    <t>PTCへ</t>
    <phoneticPr fontId="33" type="noConversion"/>
  </si>
  <si>
    <t>5/20(20)</t>
    <phoneticPr fontId="1"/>
  </si>
  <si>
    <t>5/27(4)</t>
    <phoneticPr fontId="1"/>
  </si>
  <si>
    <t xml:space="preserve"> </t>
    <phoneticPr fontId="1"/>
  </si>
  <si>
    <t>9/24</t>
    <phoneticPr fontId="1"/>
  </si>
  <si>
    <t>10/30-31</t>
    <phoneticPr fontId="1"/>
  </si>
  <si>
    <t>414-UM1837</t>
    <phoneticPr fontId="1"/>
  </si>
  <si>
    <t>小名浜8/29 黒崎9/5着</t>
    <phoneticPr fontId="1"/>
  </si>
  <si>
    <t>[Si-E]PSI</t>
    <phoneticPr fontId="1"/>
  </si>
  <si>
    <t>7/30</t>
    <phoneticPr fontId="1"/>
  </si>
  <si>
    <t>414-HNO3004</t>
    <phoneticPr fontId="1"/>
  </si>
  <si>
    <t>414-HNO3004</t>
    <phoneticPr fontId="1"/>
  </si>
  <si>
    <t>8/6</t>
    <phoneticPr fontId="1"/>
  </si>
  <si>
    <t>414-HNO3990</t>
    <phoneticPr fontId="1"/>
  </si>
  <si>
    <t>4/16</t>
    <phoneticPr fontId="1"/>
  </si>
  <si>
    <t>C21(40)C23(40)</t>
    <phoneticPr fontId="1"/>
  </si>
  <si>
    <t>2019/03/21 After製造(Must) FOR PTC</t>
    <phoneticPr fontId="1"/>
  </si>
  <si>
    <t>414-HNO3991</t>
    <phoneticPr fontId="1"/>
  </si>
  <si>
    <t>4/23</t>
    <phoneticPr fontId="1"/>
  </si>
  <si>
    <t>D05.D06.D08.D12</t>
    <phoneticPr fontId="1"/>
  </si>
  <si>
    <t>2019/03/28 After製造(Must) FOR UMC ※need with analysis report</t>
    <phoneticPr fontId="1"/>
  </si>
  <si>
    <t>C26(28)C27(28)C28(24)</t>
    <phoneticPr fontId="1"/>
  </si>
  <si>
    <t>2019/03/13 After製造(Must) FOR PTC</t>
    <phoneticPr fontId="1"/>
  </si>
  <si>
    <t>C28(4)C29(28)</t>
    <phoneticPr fontId="1"/>
  </si>
  <si>
    <t>2019/04/05 After製造(Must) FOR PTC</t>
    <phoneticPr fontId="1"/>
  </si>
  <si>
    <t>414-HNO3993</t>
    <phoneticPr fontId="1"/>
  </si>
  <si>
    <t>5/14</t>
    <phoneticPr fontId="1"/>
  </si>
  <si>
    <t>D17(8)D18(8)D23(40)D24(24)</t>
    <phoneticPr fontId="1"/>
  </si>
  <si>
    <t>2019/04/12 After製造(Must) FOR PTC</t>
    <phoneticPr fontId="1"/>
  </si>
  <si>
    <t>825(2)</t>
    <phoneticPr fontId="1"/>
  </si>
  <si>
    <t>HNO3 -- 40DM</t>
    <phoneticPr fontId="1"/>
  </si>
  <si>
    <t>D24(8)D25(32)</t>
    <phoneticPr fontId="1"/>
  </si>
  <si>
    <t>2019/04/13 After製造(Must) FOR PTC</t>
    <phoneticPr fontId="1"/>
  </si>
  <si>
    <t>D12(4)D13(24)D19(12)</t>
    <phoneticPr fontId="1"/>
  </si>
  <si>
    <t>2019/04/13 After製造(Must) FOR UMC ※need with analysis report</t>
    <phoneticPr fontId="1"/>
  </si>
  <si>
    <t>414-HNO3992</t>
    <phoneticPr fontId="1"/>
  </si>
  <si>
    <t>5/21</t>
    <phoneticPr fontId="1"/>
  </si>
  <si>
    <t>D25(8)D26(28)D29(24)E03(20)</t>
    <phoneticPr fontId="1"/>
  </si>
  <si>
    <t>2019/04/20 After製造(Must) FOR PTC</t>
    <phoneticPr fontId="1"/>
  </si>
  <si>
    <t>414-HNO3994</t>
    <phoneticPr fontId="1"/>
  </si>
  <si>
    <t>6/4</t>
    <phoneticPr fontId="1"/>
  </si>
  <si>
    <t>2019/05/09 After製造(Must) FOR PTC</t>
    <phoneticPr fontId="1"/>
  </si>
  <si>
    <t>827(2)</t>
    <phoneticPr fontId="1"/>
  </si>
  <si>
    <t>414-HNO3995</t>
    <phoneticPr fontId="1"/>
  </si>
  <si>
    <t>6/11</t>
    <phoneticPr fontId="1"/>
  </si>
  <si>
    <t>E03(8)E04(24)</t>
    <phoneticPr fontId="1"/>
  </si>
  <si>
    <t>2019/05/16 After製造(Must) FOR UMC ※need with analysis report</t>
    <phoneticPr fontId="1"/>
  </si>
  <si>
    <t>414-HNO3996</t>
    <phoneticPr fontId="1"/>
  </si>
  <si>
    <t>6/18</t>
    <phoneticPr fontId="1"/>
  </si>
  <si>
    <t>2019/05/23 After製造(Must) FOR PTC</t>
    <phoneticPr fontId="1"/>
  </si>
  <si>
    <t>830(2)</t>
    <phoneticPr fontId="1"/>
  </si>
  <si>
    <t>010804120031</t>
    <phoneticPr fontId="1"/>
  </si>
  <si>
    <t>E03(4)E04(20)</t>
    <phoneticPr fontId="1"/>
  </si>
  <si>
    <t>2019/04/24 After製造(Must) FOR PTC</t>
    <phoneticPr fontId="1"/>
  </si>
  <si>
    <t xml:space="preserve">[Nitric Acid for UMC] </t>
    <phoneticPr fontId="1"/>
  </si>
  <si>
    <t>D19(8)D20(20)D27(28)</t>
    <phoneticPr fontId="1"/>
  </si>
  <si>
    <t>010804120032</t>
    <phoneticPr fontId="1"/>
  </si>
  <si>
    <t>2019/05/15 After製造(Must) FOR PTC</t>
    <phoneticPr fontId="1"/>
  </si>
  <si>
    <t>HNO3 -- 160DM</t>
    <phoneticPr fontId="1"/>
  </si>
  <si>
    <t>414-HNO3998</t>
    <phoneticPr fontId="1"/>
  </si>
  <si>
    <t>6/25</t>
    <phoneticPr fontId="1"/>
  </si>
  <si>
    <t>2019/05/25 After製造(Must) FOR PTC</t>
    <phoneticPr fontId="1"/>
  </si>
  <si>
    <t>2019/05/17 After製造(Must) FOR UMC ※need with analysis report</t>
    <phoneticPr fontId="1"/>
  </si>
  <si>
    <t>414-HNO3999</t>
    <phoneticPr fontId="1"/>
  </si>
  <si>
    <t>7/2</t>
    <phoneticPr fontId="1"/>
  </si>
  <si>
    <t>2019/06/01 After製造(Must) FOR PTC</t>
    <phoneticPr fontId="1"/>
  </si>
  <si>
    <t>414-HNO3001</t>
    <phoneticPr fontId="1"/>
  </si>
  <si>
    <t>7/9</t>
    <phoneticPr fontId="1"/>
  </si>
  <si>
    <t>2019/06/4 After製造(Must) FOR PTC</t>
    <phoneticPr fontId="1"/>
  </si>
  <si>
    <t>414-HNO3002</t>
    <phoneticPr fontId="1"/>
  </si>
  <si>
    <t>7/16</t>
    <phoneticPr fontId="1"/>
  </si>
  <si>
    <t>2019/06/7 After製造(Must) FOR PTC</t>
    <phoneticPr fontId="1"/>
  </si>
  <si>
    <t>414-HNO3003</t>
    <phoneticPr fontId="1"/>
  </si>
  <si>
    <t>7/30</t>
    <phoneticPr fontId="1"/>
  </si>
  <si>
    <t>2019/06/19 After製造(Must) FOR UMC ※need with analysis report</t>
    <phoneticPr fontId="1"/>
  </si>
  <si>
    <t>414-HNO3004</t>
    <phoneticPr fontId="1"/>
  </si>
  <si>
    <t>8/6</t>
    <phoneticPr fontId="1"/>
  </si>
  <si>
    <t>2019/06/28 After製造(Must) FOR PTC</t>
    <phoneticPr fontId="1"/>
  </si>
  <si>
    <t>2019/06/27 After製造(Must) FOR UMC ※need with analysis report</t>
    <phoneticPr fontId="1"/>
  </si>
  <si>
    <t>2019/07/10 After製造(Must) FOR PTC</t>
    <phoneticPr fontId="1"/>
  </si>
  <si>
    <t>2019/07/17 After製造(Must) FOR PTC</t>
    <phoneticPr fontId="1"/>
  </si>
  <si>
    <t>2019/07/17 After製造(Must) FOR UMC ※need with analysis report</t>
    <phoneticPr fontId="1"/>
  </si>
  <si>
    <t>414-HNO3005</t>
    <phoneticPr fontId="1"/>
  </si>
  <si>
    <t>8/27</t>
    <phoneticPr fontId="1"/>
  </si>
  <si>
    <t>2019/08/01 After製造(Must) FOR PTC</t>
    <phoneticPr fontId="1"/>
  </si>
  <si>
    <t>414-HNO3006</t>
    <phoneticPr fontId="1"/>
  </si>
  <si>
    <t>9/3</t>
    <phoneticPr fontId="1"/>
  </si>
  <si>
    <t>2019/08/08 After製造(Must) FOR UMC ※need with analysis report</t>
    <phoneticPr fontId="1"/>
  </si>
  <si>
    <t>9/10</t>
    <phoneticPr fontId="1"/>
  </si>
  <si>
    <t>2019/08/16 After製造(Must) FOR PTC</t>
    <phoneticPr fontId="1"/>
  </si>
  <si>
    <t>9/24</t>
    <phoneticPr fontId="1"/>
  </si>
  <si>
    <t>2019/08/30 After製造(Must) FOR PTC</t>
    <phoneticPr fontId="1"/>
  </si>
  <si>
    <t>847</t>
  </si>
  <si>
    <t>010807150025</t>
  </si>
  <si>
    <t>2019/09/05 After製造(Must) FOR UMC ※need with analysis report</t>
    <phoneticPr fontId="1"/>
  </si>
  <si>
    <t>848</t>
  </si>
  <si>
    <t>010807150026</t>
  </si>
  <si>
    <t>2019/09/06 After製造(Must) FOR PTC</t>
    <phoneticPr fontId="1"/>
  </si>
  <si>
    <t>849</t>
  </si>
  <si>
    <t>010807150027</t>
  </si>
  <si>
    <t>2019/09/20 After製造(Must) FOR PTC</t>
    <phoneticPr fontId="1"/>
  </si>
  <si>
    <t>850</t>
  </si>
  <si>
    <t>010807150028</t>
  </si>
  <si>
    <t>2019/09/28 After製造(Must) FOR PTC</t>
    <phoneticPr fontId="1"/>
  </si>
  <si>
    <t>851</t>
  </si>
  <si>
    <t>010807150029</t>
  </si>
  <si>
    <t>2019/09/27 After製造(Must) FOR UMC ※need with analysis report</t>
    <phoneticPr fontId="1"/>
  </si>
  <si>
    <t>010801280007</t>
    <phoneticPr fontId="1"/>
  </si>
  <si>
    <t>414-UM1802</t>
    <phoneticPr fontId="1"/>
  </si>
  <si>
    <t>4/17-18</t>
    <phoneticPr fontId="1"/>
  </si>
  <si>
    <t>2019/03/28 After 製造(Must) SPEC FOR NON-N20</t>
    <phoneticPr fontId="1"/>
  </si>
  <si>
    <t>414-UM1820</t>
    <phoneticPr fontId="1"/>
  </si>
  <si>
    <t>6/5-6</t>
    <phoneticPr fontId="1"/>
  </si>
  <si>
    <t>2019/05/14 After 製造(Must) SPEC FOR NON-N20</t>
    <phoneticPr fontId="1"/>
  </si>
  <si>
    <t>HCL</t>
    <phoneticPr fontId="1"/>
  </si>
  <si>
    <t>2019/06/06 After 製造(Must) SPEC FOR NON-N20</t>
    <phoneticPr fontId="1"/>
  </si>
  <si>
    <t>625(2)</t>
    <phoneticPr fontId="1"/>
  </si>
  <si>
    <t>414-UM1827</t>
    <phoneticPr fontId="1"/>
  </si>
  <si>
    <t>8/7-8</t>
    <phoneticPr fontId="1"/>
  </si>
  <si>
    <t>2019/07/17 After 製造(Must) SPEC FOR NON-N20</t>
    <phoneticPr fontId="1"/>
  </si>
  <si>
    <t>626</t>
    <phoneticPr fontId="1"/>
  </si>
  <si>
    <t>414-UM1836</t>
    <phoneticPr fontId="1"/>
  </si>
  <si>
    <t>9/4-5</t>
    <phoneticPr fontId="1"/>
  </si>
  <si>
    <t>2019/08/06 After 製造(Must) SPEC FOR NON-N20</t>
    <phoneticPr fontId="1"/>
  </si>
  <si>
    <t>627</t>
    <phoneticPr fontId="1"/>
  </si>
  <si>
    <t>414-UM1840</t>
    <phoneticPr fontId="1"/>
  </si>
  <si>
    <t>10/2-3</t>
    <phoneticPr fontId="1"/>
  </si>
  <si>
    <t>2019/09/05 After 製造(Must) SPEC FOR NON-N20</t>
    <phoneticPr fontId="1"/>
  </si>
  <si>
    <t>010710230010</t>
    <phoneticPr fontId="1"/>
  </si>
  <si>
    <t>414-UM1809</t>
    <phoneticPr fontId="1"/>
  </si>
  <si>
    <t>5/10-11</t>
    <phoneticPr fontId="1"/>
  </si>
  <si>
    <t>D22</t>
    <phoneticPr fontId="1"/>
  </si>
  <si>
    <t>2019/04/12 After 製造(Must)</t>
    <phoneticPr fontId="1"/>
  </si>
  <si>
    <t>151(2)</t>
    <phoneticPr fontId="1"/>
  </si>
  <si>
    <t>5/17-18</t>
    <phoneticPr fontId="1"/>
  </si>
  <si>
    <t>4/10-11</t>
    <phoneticPr fontId="1"/>
  </si>
  <si>
    <t>2019/03/22 After 製造(Must)</t>
    <phoneticPr fontId="1"/>
  </si>
  <si>
    <t>緩和しないでください</t>
    <phoneticPr fontId="1"/>
  </si>
  <si>
    <t>154</t>
    <phoneticPr fontId="1"/>
  </si>
  <si>
    <t>414-UM1822</t>
    <phoneticPr fontId="1"/>
  </si>
  <si>
    <t>5/29-30</t>
    <phoneticPr fontId="1"/>
  </si>
  <si>
    <t>2019/05/08 After 製造(Must)</t>
    <phoneticPr fontId="1"/>
  </si>
  <si>
    <t>154(2)</t>
    <phoneticPr fontId="1"/>
  </si>
  <si>
    <t>010805200003</t>
    <phoneticPr fontId="1"/>
  </si>
  <si>
    <t>2019/05/11 After 製造(Must)</t>
    <phoneticPr fontId="1"/>
  </si>
  <si>
    <t>414-UM1833</t>
    <phoneticPr fontId="1"/>
  </si>
  <si>
    <t>6/26-27</t>
    <phoneticPr fontId="1"/>
  </si>
  <si>
    <t>2019/06/06 After 製造(Must)</t>
    <phoneticPr fontId="1"/>
  </si>
  <si>
    <t>2019/06/28 After 製造(Must)</t>
    <phoneticPr fontId="1"/>
  </si>
  <si>
    <t>414-UM1834</t>
    <phoneticPr fontId="1"/>
  </si>
  <si>
    <t>7/31-8/1</t>
    <phoneticPr fontId="1"/>
  </si>
  <si>
    <t>2019/06/30 After 製造(Must)</t>
    <phoneticPr fontId="1"/>
  </si>
  <si>
    <t>414-UM1837</t>
    <phoneticPr fontId="1"/>
  </si>
  <si>
    <t>9/11-12</t>
    <phoneticPr fontId="1"/>
  </si>
  <si>
    <t>2019/08/15 After 製造(Must)</t>
    <phoneticPr fontId="1"/>
  </si>
  <si>
    <t>160(2)</t>
    <phoneticPr fontId="1"/>
  </si>
  <si>
    <t>414-UM1835</t>
    <phoneticPr fontId="1"/>
  </si>
  <si>
    <t>7/17-18</t>
    <phoneticPr fontId="1"/>
  </si>
  <si>
    <t>162</t>
  </si>
  <si>
    <t>010807150033</t>
  </si>
  <si>
    <t>2019/09/13 After 製造(Must)</t>
    <phoneticPr fontId="1"/>
  </si>
  <si>
    <t>163</t>
  </si>
  <si>
    <t>010807150034</t>
  </si>
  <si>
    <t>2019/09/27 After 製造(Must)</t>
    <phoneticPr fontId="1"/>
  </si>
  <si>
    <t xml:space="preserve">[Hydrochloric Acid for MMT] </t>
    <phoneticPr fontId="1"/>
  </si>
  <si>
    <t>1</t>
    <phoneticPr fontId="1"/>
  </si>
  <si>
    <t>GN DRUM, SAMPLE</t>
    <phoneticPr fontId="1"/>
  </si>
  <si>
    <t xml:space="preserve">[Hydrochloric Acid for SEHT] </t>
    <phoneticPr fontId="1"/>
  </si>
  <si>
    <t>010802210026</t>
    <phoneticPr fontId="1"/>
  </si>
  <si>
    <t>3</t>
  </si>
  <si>
    <t>010807150035</t>
  </si>
  <si>
    <t>[Hydrochloric Acid for KINIK *20kg Packing*]</t>
    <phoneticPr fontId="1"/>
  </si>
  <si>
    <t>2019/02/28, After 製造 (Must)</t>
    <phoneticPr fontId="1"/>
  </si>
  <si>
    <t>4/3-4</t>
    <phoneticPr fontId="1"/>
  </si>
  <si>
    <t>2019/03/22, After 製造 (Must)</t>
    <phoneticPr fontId="1"/>
  </si>
  <si>
    <t>2019/04/22, After 製造 (Must)</t>
    <phoneticPr fontId="1"/>
  </si>
  <si>
    <t>2019/05/22, After 製造 (Must)</t>
    <phoneticPr fontId="1"/>
  </si>
  <si>
    <t>2019/06/06, After 製造 (Must)</t>
    <phoneticPr fontId="1"/>
  </si>
  <si>
    <t>128(2)</t>
    <phoneticPr fontId="1"/>
  </si>
  <si>
    <t>2019/06/27, After 製造 (Must)</t>
    <phoneticPr fontId="1"/>
  </si>
  <si>
    <t>010805210005</t>
    <phoneticPr fontId="1"/>
  </si>
  <si>
    <t>2019/07/17, After 製造 (Must)</t>
    <phoneticPr fontId="1"/>
  </si>
  <si>
    <t>2019/08/16, After 製造 (Must)</t>
    <phoneticPr fontId="1"/>
  </si>
  <si>
    <t>[Hydrochloric Acid for KINIK *20kg Packing*]</t>
    <phoneticPr fontId="1"/>
  </si>
  <si>
    <t>132</t>
  </si>
  <si>
    <t>010807150030</t>
  </si>
  <si>
    <t>HCL</t>
    <phoneticPr fontId="1"/>
  </si>
  <si>
    <t>2019/09/19, After 製造 (Must)</t>
    <phoneticPr fontId="1"/>
  </si>
  <si>
    <t>AM1</t>
    <phoneticPr fontId="1"/>
  </si>
  <si>
    <t>4/24-25</t>
    <phoneticPr fontId="1"/>
  </si>
  <si>
    <t>AM1</t>
    <phoneticPr fontId="1"/>
  </si>
  <si>
    <t>414-AM196</t>
    <phoneticPr fontId="1"/>
  </si>
  <si>
    <t>10/30-31</t>
    <phoneticPr fontId="1"/>
  </si>
  <si>
    <t>2019/10/02 After 製造(Must)</t>
    <phoneticPr fontId="1"/>
  </si>
  <si>
    <t>2019/02/15 After 製造(Must)</t>
    <phoneticPr fontId="1"/>
  </si>
  <si>
    <t>2019/03/01 After 製造(Must)</t>
    <phoneticPr fontId="1"/>
  </si>
  <si>
    <t>414-AM185</t>
    <phoneticPr fontId="1"/>
  </si>
  <si>
    <t>2019/03/13 After 製造(Must)</t>
    <phoneticPr fontId="1"/>
  </si>
  <si>
    <t>23</t>
    <phoneticPr fontId="1"/>
  </si>
  <si>
    <t>414-AM192</t>
    <phoneticPr fontId="1"/>
  </si>
  <si>
    <t>7/10-11</t>
    <phoneticPr fontId="1"/>
  </si>
  <si>
    <t>2019/06/20 After 製造(Must)</t>
    <phoneticPr fontId="1"/>
  </si>
  <si>
    <t>010805200002</t>
    <phoneticPr fontId="1"/>
  </si>
  <si>
    <t>414-AM193</t>
    <phoneticPr fontId="1"/>
  </si>
  <si>
    <t>8/21-22</t>
    <phoneticPr fontId="1"/>
  </si>
  <si>
    <t>2019/06/26 After 製造(Must)</t>
    <phoneticPr fontId="1"/>
  </si>
  <si>
    <t>414-AM195</t>
    <phoneticPr fontId="1"/>
  </si>
  <si>
    <t>9/18-19</t>
    <phoneticPr fontId="1"/>
  </si>
  <si>
    <t>2019/07/26 After 製造(Must)</t>
    <phoneticPr fontId="1"/>
  </si>
  <si>
    <t>010807150031</t>
  </si>
  <si>
    <t>2019/09/09 After 製造(Must)</t>
    <phoneticPr fontId="1"/>
  </si>
  <si>
    <t>C28</t>
    <phoneticPr fontId="1"/>
  </si>
  <si>
    <t>3/18以降</t>
    <phoneticPr fontId="1"/>
  </si>
  <si>
    <t>119(2)</t>
    <phoneticPr fontId="1"/>
  </si>
  <si>
    <t>D13</t>
    <phoneticPr fontId="1"/>
  </si>
  <si>
    <t>414-UM1813</t>
    <phoneticPr fontId="1"/>
  </si>
  <si>
    <t>D25</t>
    <phoneticPr fontId="1"/>
  </si>
  <si>
    <t>4/22以降</t>
    <phoneticPr fontId="1"/>
  </si>
  <si>
    <t>5/16以降</t>
    <phoneticPr fontId="1"/>
  </si>
  <si>
    <t>414-UM1826</t>
    <phoneticPr fontId="1"/>
  </si>
  <si>
    <t>7/24-25</t>
    <phoneticPr fontId="1"/>
  </si>
  <si>
    <t>6/28以降</t>
    <phoneticPr fontId="1"/>
  </si>
  <si>
    <t>7/26以降</t>
    <phoneticPr fontId="1"/>
  </si>
  <si>
    <t>[Ｆ-MIX *240kg packing*]NANYA</t>
    <phoneticPr fontId="1"/>
  </si>
  <si>
    <t>8/8以降</t>
    <phoneticPr fontId="1"/>
  </si>
  <si>
    <t>[Ｆ-MIX *240kg packing*]</t>
    <phoneticPr fontId="1"/>
  </si>
  <si>
    <t>010807150032</t>
  </si>
  <si>
    <t>9/26以降</t>
    <phoneticPr fontId="1"/>
  </si>
  <si>
    <t>414-TYS001A</t>
    <phoneticPr fontId="1"/>
  </si>
  <si>
    <t>18(2)</t>
    <phoneticPr fontId="1"/>
  </si>
  <si>
    <t>010802250014</t>
    <phoneticPr fontId="1"/>
  </si>
  <si>
    <t>19(2)</t>
    <phoneticPr fontId="1"/>
  </si>
  <si>
    <t>010805240018</t>
    <phoneticPr fontId="1"/>
  </si>
  <si>
    <t>FOR PSI</t>
    <phoneticPr fontId="1"/>
  </si>
  <si>
    <t>[Si-C]</t>
    <phoneticPr fontId="1"/>
  </si>
  <si>
    <t>SI-C</t>
    <phoneticPr fontId="1"/>
  </si>
  <si>
    <t>010802250017</t>
    <phoneticPr fontId="1"/>
  </si>
  <si>
    <t>20(2)</t>
    <phoneticPr fontId="1"/>
  </si>
  <si>
    <t>21</t>
    <phoneticPr fontId="1"/>
  </si>
  <si>
    <t>414-UM1823</t>
    <phoneticPr fontId="1"/>
  </si>
  <si>
    <t>6/19-20</t>
    <phoneticPr fontId="1"/>
  </si>
  <si>
    <t>7/3-4</t>
    <phoneticPr fontId="1"/>
  </si>
  <si>
    <t>010805160013</t>
    <phoneticPr fontId="1"/>
  </si>
  <si>
    <t>010805160014</t>
    <phoneticPr fontId="1"/>
  </si>
  <si>
    <t>[Si-E]PSI</t>
    <phoneticPr fontId="1"/>
  </si>
  <si>
    <t>414-UM1832</t>
    <phoneticPr fontId="1"/>
  </si>
  <si>
    <t>414-UM1839</t>
    <phoneticPr fontId="1"/>
  </si>
  <si>
    <t>9/25-26</t>
    <phoneticPr fontId="1"/>
  </si>
  <si>
    <t>010807150036</t>
  </si>
  <si>
    <t>小名浜8/29 黒崎9/5着</t>
    <phoneticPr fontId="1"/>
  </si>
  <si>
    <t>34</t>
  </si>
  <si>
    <t>010807150037</t>
  </si>
  <si>
    <t>35</t>
  </si>
  <si>
    <t>010807150038</t>
  </si>
  <si>
    <t>36</t>
  </si>
  <si>
    <t>010807150039</t>
  </si>
  <si>
    <t>010804290012</t>
    <phoneticPr fontId="1"/>
  </si>
  <si>
    <t>6/12-13</t>
    <phoneticPr fontId="1"/>
  </si>
  <si>
    <t>010805020003</t>
    <phoneticPr fontId="1"/>
  </si>
  <si>
    <t>010805020004</t>
    <phoneticPr fontId="1"/>
  </si>
  <si>
    <t>414-UM1831</t>
    <phoneticPr fontId="1"/>
  </si>
  <si>
    <t>8/30-31</t>
    <phoneticPr fontId="1"/>
  </si>
  <si>
    <t>[Si-C]PSI</t>
    <phoneticPr fontId="1"/>
  </si>
  <si>
    <t>010805160015</t>
    <phoneticPr fontId="1"/>
  </si>
  <si>
    <t>小名浜9/19 黒崎9/26着</t>
    <phoneticPr fontId="1"/>
  </si>
  <si>
    <t>010805160016</t>
    <phoneticPr fontId="1"/>
  </si>
  <si>
    <t>010807150040</t>
  </si>
  <si>
    <t>‘</t>
    <phoneticPr fontId="1"/>
  </si>
  <si>
    <t>[MC1]</t>
    <phoneticPr fontId="1"/>
  </si>
  <si>
    <t>MC1</t>
    <phoneticPr fontId="1"/>
  </si>
  <si>
    <t>2019/03/15,After 製造(Must)FOR RST</t>
    <phoneticPr fontId="1"/>
  </si>
  <si>
    <t>414-AM188</t>
    <phoneticPr fontId="1"/>
  </si>
  <si>
    <t>5/15以降</t>
    <phoneticPr fontId="1"/>
  </si>
  <si>
    <t>17</t>
    <phoneticPr fontId="1"/>
  </si>
  <si>
    <t>010805160017</t>
    <phoneticPr fontId="1"/>
  </si>
  <si>
    <t>7/25以降</t>
    <phoneticPr fontId="1"/>
  </si>
  <si>
    <t>010807150041</t>
  </si>
  <si>
    <t>9/19以降</t>
    <phoneticPr fontId="1"/>
  </si>
  <si>
    <t>13</t>
    <phoneticPr fontId="1"/>
  </si>
  <si>
    <t>414-AM181</t>
    <phoneticPr fontId="1"/>
  </si>
  <si>
    <t>13(2)</t>
    <phoneticPr fontId="1"/>
  </si>
  <si>
    <t>414-AM182</t>
    <phoneticPr fontId="1"/>
  </si>
  <si>
    <t>14</t>
    <phoneticPr fontId="1"/>
  </si>
  <si>
    <t>414-AM184</t>
    <phoneticPr fontId="1"/>
  </si>
  <si>
    <t>15</t>
    <phoneticPr fontId="1"/>
  </si>
  <si>
    <t>15(2)</t>
    <phoneticPr fontId="1"/>
  </si>
  <si>
    <t>414-AM189</t>
    <phoneticPr fontId="1"/>
  </si>
  <si>
    <t>5/22-23</t>
    <phoneticPr fontId="1"/>
  </si>
  <si>
    <t>414-AM187</t>
    <phoneticPr fontId="1"/>
  </si>
  <si>
    <t>414-AM190</t>
    <phoneticPr fontId="1"/>
  </si>
  <si>
    <t>[MCX-2005 *200kg Packing*]UMC</t>
    <phoneticPr fontId="1"/>
  </si>
  <si>
    <t>010806180025</t>
    <phoneticPr fontId="1"/>
  </si>
  <si>
    <t>010807150042</t>
  </si>
  <si>
    <t>数量</t>
    <phoneticPr fontId="33" type="noConversion"/>
  </si>
  <si>
    <t>個数</t>
    <phoneticPr fontId="33" type="noConversion"/>
  </si>
  <si>
    <r>
      <t>U</t>
    </r>
    <r>
      <rPr>
        <sz val="10"/>
        <rFont val="Arial"/>
        <family val="2"/>
      </rPr>
      <t xml:space="preserve">MC </t>
    </r>
    <phoneticPr fontId="33" type="noConversion"/>
  </si>
  <si>
    <r>
      <t>5/13</t>
    </r>
    <r>
      <rPr>
        <sz val="10"/>
        <rFont val="Arial"/>
        <family val="2"/>
      </rPr>
      <t>(12)</t>
    </r>
    <phoneticPr fontId="33" type="noConversion"/>
  </si>
  <si>
    <r>
      <t>5</t>
    </r>
    <r>
      <rPr>
        <sz val="10"/>
        <rFont val="Arial"/>
        <family val="2"/>
      </rPr>
      <t>/20(</t>
    </r>
    <r>
      <rPr>
        <sz val="11"/>
        <color theme="1"/>
        <rFont val="新細明體"/>
        <family val="2"/>
        <charset val="128"/>
        <scheme val="minor"/>
      </rPr>
      <t>8</t>
    </r>
    <r>
      <rPr>
        <sz val="10"/>
        <rFont val="Arial"/>
        <family val="2"/>
      </rPr>
      <t>)</t>
    </r>
    <phoneticPr fontId="33" type="noConversion"/>
  </si>
  <si>
    <t>PTC</t>
    <phoneticPr fontId="33" type="noConversion"/>
  </si>
  <si>
    <t>5/13(32)</t>
    <phoneticPr fontId="33" type="noConversion"/>
  </si>
  <si>
    <t>PTCへ</t>
    <phoneticPr fontId="33" type="noConversion"/>
  </si>
  <si>
    <t>PTC</t>
    <phoneticPr fontId="33" type="noConversion"/>
  </si>
  <si>
    <t>PTCへ</t>
    <phoneticPr fontId="33" type="noConversion"/>
  </si>
  <si>
    <t>5/20(20)</t>
    <phoneticPr fontId="1"/>
  </si>
  <si>
    <t>5/27(4)</t>
    <phoneticPr fontId="1"/>
  </si>
  <si>
    <t xml:space="preserve"> </t>
    <phoneticPr fontId="1"/>
  </si>
  <si>
    <t>10/1</t>
    <phoneticPr fontId="1"/>
  </si>
  <si>
    <t>10/15</t>
    <phoneticPr fontId="1"/>
  </si>
  <si>
    <t>10/22</t>
    <phoneticPr fontId="1"/>
  </si>
  <si>
    <t>10/9-10</t>
    <phoneticPr fontId="1"/>
  </si>
  <si>
    <t>10/23-24</t>
    <phoneticPr fontId="1"/>
  </si>
  <si>
    <t>10/16-17</t>
    <phoneticPr fontId="1"/>
  </si>
  <si>
    <t>10/2-3</t>
    <phoneticPr fontId="1"/>
  </si>
  <si>
    <t>414-HNO3009</t>
    <phoneticPr fontId="1"/>
  </si>
  <si>
    <t>414-HNO3011</t>
    <phoneticPr fontId="1"/>
  </si>
  <si>
    <t>414-UM1841</t>
  </si>
  <si>
    <t>414-UM1841</t>
    <phoneticPr fontId="1"/>
  </si>
  <si>
    <t>414-UM1842</t>
  </si>
  <si>
    <t>414-UM1842</t>
    <phoneticPr fontId="1"/>
  </si>
  <si>
    <t>414-UM1843</t>
  </si>
  <si>
    <t>414-UM1843</t>
    <phoneticPr fontId="1"/>
  </si>
  <si>
    <t>414-UM1840</t>
  </si>
  <si>
    <t>414-AM197</t>
    <phoneticPr fontId="1"/>
  </si>
  <si>
    <t>414-AM198</t>
    <phoneticPr fontId="1"/>
  </si>
  <si>
    <t>414-HNO3010</t>
    <phoneticPr fontId="1"/>
  </si>
  <si>
    <t>[AM1/20L] PDMC</t>
    <phoneticPr fontId="1"/>
  </si>
  <si>
    <t>[AM1/190L] UMC</t>
    <phoneticPr fontId="1"/>
  </si>
  <si>
    <t>PTCへ</t>
    <phoneticPr fontId="33" type="noConversion"/>
  </si>
  <si>
    <t>PTC</t>
    <phoneticPr fontId="33" type="noConversion"/>
  </si>
  <si>
    <r>
      <t>5</t>
    </r>
    <r>
      <rPr>
        <sz val="10"/>
        <rFont val="Arial"/>
        <family val="2"/>
      </rPr>
      <t>/20(</t>
    </r>
    <r>
      <rPr>
        <sz val="11"/>
        <color theme="1"/>
        <rFont val="新細明體"/>
        <family val="2"/>
        <charset val="128"/>
        <scheme val="minor"/>
      </rPr>
      <t>8</t>
    </r>
    <r>
      <rPr>
        <sz val="10"/>
        <rFont val="Arial"/>
        <family val="2"/>
      </rPr>
      <t>)</t>
    </r>
    <phoneticPr fontId="33" type="noConversion"/>
  </si>
  <si>
    <t>5/13(32)</t>
    <phoneticPr fontId="33" type="noConversion"/>
  </si>
  <si>
    <r>
      <t>U</t>
    </r>
    <r>
      <rPr>
        <sz val="10"/>
        <rFont val="Arial"/>
        <family val="2"/>
      </rPr>
      <t xml:space="preserve">MC </t>
    </r>
    <phoneticPr fontId="33" type="noConversion"/>
  </si>
  <si>
    <r>
      <t>5/13</t>
    </r>
    <r>
      <rPr>
        <sz val="10"/>
        <rFont val="Arial"/>
        <family val="2"/>
      </rPr>
      <t>(12)</t>
    </r>
    <phoneticPr fontId="33" type="noConversion"/>
  </si>
  <si>
    <t>個数</t>
    <phoneticPr fontId="33" type="noConversion"/>
  </si>
  <si>
    <t>数量</t>
    <phoneticPr fontId="33" type="noConversion"/>
  </si>
  <si>
    <t>10/9-10</t>
    <phoneticPr fontId="1"/>
  </si>
  <si>
    <t>414-AM197</t>
    <phoneticPr fontId="1"/>
  </si>
  <si>
    <t>[MCX-2005 *200kg Packing*]UMC</t>
    <phoneticPr fontId="1"/>
  </si>
  <si>
    <t>9/18-19</t>
    <phoneticPr fontId="1"/>
  </si>
  <si>
    <t>414-AM195</t>
    <phoneticPr fontId="1"/>
  </si>
  <si>
    <t>010806180025</t>
    <phoneticPr fontId="1"/>
  </si>
  <si>
    <t>[MCX-2005 *200kg Packing*]UMC</t>
    <phoneticPr fontId="1"/>
  </si>
  <si>
    <t>7/24-25</t>
    <phoneticPr fontId="1"/>
  </si>
  <si>
    <t>414-AM190</t>
    <phoneticPr fontId="1"/>
  </si>
  <si>
    <t>7/10-11</t>
    <phoneticPr fontId="1"/>
  </si>
  <si>
    <t>414-AM192</t>
    <phoneticPr fontId="1"/>
  </si>
  <si>
    <t>6/26-27</t>
    <phoneticPr fontId="1"/>
  </si>
  <si>
    <t>414-AM187</t>
    <phoneticPr fontId="1"/>
  </si>
  <si>
    <t>5/22-23</t>
    <phoneticPr fontId="1"/>
  </si>
  <si>
    <t>414-AM189</t>
    <phoneticPr fontId="1"/>
  </si>
  <si>
    <t>15(2)</t>
    <phoneticPr fontId="1"/>
  </si>
  <si>
    <t>5/8-9</t>
    <phoneticPr fontId="1"/>
  </si>
  <si>
    <t>414-AM185</t>
    <phoneticPr fontId="1"/>
  </si>
  <si>
    <t>15</t>
    <phoneticPr fontId="1"/>
  </si>
  <si>
    <t>4/24-25</t>
    <phoneticPr fontId="1"/>
  </si>
  <si>
    <t>414-AM184</t>
    <phoneticPr fontId="1"/>
  </si>
  <si>
    <t>14</t>
    <phoneticPr fontId="1"/>
  </si>
  <si>
    <t>4/10-11</t>
    <phoneticPr fontId="1"/>
  </si>
  <si>
    <t>414-AM182</t>
    <phoneticPr fontId="1"/>
  </si>
  <si>
    <t>13(2)</t>
    <phoneticPr fontId="1"/>
  </si>
  <si>
    <t>414-AM181</t>
    <phoneticPr fontId="1"/>
  </si>
  <si>
    <t>13</t>
    <phoneticPr fontId="1"/>
  </si>
  <si>
    <t>9/19以降</t>
    <phoneticPr fontId="1"/>
  </si>
  <si>
    <t>10/16-17</t>
    <phoneticPr fontId="1"/>
  </si>
  <si>
    <t>414-AM198</t>
    <phoneticPr fontId="1"/>
  </si>
  <si>
    <t>7/25以降</t>
    <phoneticPr fontId="1"/>
  </si>
  <si>
    <t>8/21-22</t>
    <phoneticPr fontId="1"/>
  </si>
  <si>
    <t>414-AM193</t>
    <phoneticPr fontId="1"/>
  </si>
  <si>
    <t>010805160017</t>
    <phoneticPr fontId="1"/>
  </si>
  <si>
    <t>17</t>
    <phoneticPr fontId="1"/>
  </si>
  <si>
    <t>5/15以降</t>
    <phoneticPr fontId="1"/>
  </si>
  <si>
    <t>6/12-13</t>
    <phoneticPr fontId="1"/>
  </si>
  <si>
    <t>414-AM188</t>
    <phoneticPr fontId="1"/>
  </si>
  <si>
    <t>MC1</t>
    <phoneticPr fontId="1"/>
  </si>
  <si>
    <t>[MC1]</t>
    <phoneticPr fontId="1"/>
  </si>
  <si>
    <t>2019/03/15,After 製造(Must)FOR RST</t>
    <phoneticPr fontId="1"/>
  </si>
  <si>
    <t>‘</t>
    <phoneticPr fontId="1"/>
  </si>
  <si>
    <t>SI-C</t>
    <phoneticPr fontId="1"/>
  </si>
  <si>
    <t>[Si-C]</t>
    <phoneticPr fontId="1"/>
  </si>
  <si>
    <t>10/2-3</t>
    <phoneticPr fontId="1"/>
  </si>
  <si>
    <t>小名浜9/19 黒崎9/26着</t>
    <phoneticPr fontId="1"/>
  </si>
  <si>
    <t>414-UM1840</t>
    <phoneticPr fontId="1"/>
  </si>
  <si>
    <t>010805160015</t>
    <phoneticPr fontId="1"/>
  </si>
  <si>
    <t>[Si-C]PSI</t>
    <phoneticPr fontId="1"/>
  </si>
  <si>
    <t>010805020004</t>
    <phoneticPr fontId="1"/>
  </si>
  <si>
    <t>7/3-4</t>
    <phoneticPr fontId="1"/>
  </si>
  <si>
    <t>010805020003</t>
    <phoneticPr fontId="1"/>
  </si>
  <si>
    <t>010804290012</t>
    <phoneticPr fontId="1"/>
  </si>
  <si>
    <t>FOR PSI</t>
    <phoneticPr fontId="1"/>
  </si>
  <si>
    <t>10/23-24</t>
  </si>
  <si>
    <t>37</t>
  </si>
  <si>
    <t>10/23-24</t>
    <phoneticPr fontId="1"/>
  </si>
  <si>
    <t>10/9-10</t>
    <phoneticPr fontId="1"/>
  </si>
  <si>
    <t>小名浜8/29 黒崎9/5着</t>
    <phoneticPr fontId="1"/>
  </si>
  <si>
    <t>9/11-12</t>
    <phoneticPr fontId="1"/>
  </si>
  <si>
    <t>414-UM1837</t>
    <phoneticPr fontId="1"/>
  </si>
  <si>
    <t>[Si-E]PSI</t>
    <phoneticPr fontId="1"/>
  </si>
  <si>
    <t>9/25-26</t>
    <phoneticPr fontId="1"/>
  </si>
  <si>
    <t>414-UM1839</t>
    <phoneticPr fontId="1"/>
  </si>
  <si>
    <t>9/18-19</t>
    <phoneticPr fontId="1"/>
  </si>
  <si>
    <t>414-UM1832</t>
    <phoneticPr fontId="1"/>
  </si>
  <si>
    <t>9/4-5</t>
    <phoneticPr fontId="1"/>
  </si>
  <si>
    <t>414-UM1836</t>
    <phoneticPr fontId="1"/>
  </si>
  <si>
    <t>010805160014</t>
    <phoneticPr fontId="1"/>
  </si>
  <si>
    <t>8/7-8</t>
    <phoneticPr fontId="1"/>
  </si>
  <si>
    <t>010805160013</t>
    <phoneticPr fontId="1"/>
  </si>
  <si>
    <t>6/19-20</t>
    <phoneticPr fontId="1"/>
  </si>
  <si>
    <t>414-UM1823</t>
    <phoneticPr fontId="1"/>
  </si>
  <si>
    <t>5/29-30</t>
    <phoneticPr fontId="1"/>
  </si>
  <si>
    <t>414-UM1822</t>
    <phoneticPr fontId="1"/>
  </si>
  <si>
    <t>21</t>
    <phoneticPr fontId="1"/>
  </si>
  <si>
    <t>010802250017</t>
    <phoneticPr fontId="1"/>
  </si>
  <si>
    <t>20(2)</t>
    <phoneticPr fontId="1"/>
  </si>
  <si>
    <t>5/10-11</t>
    <phoneticPr fontId="1"/>
  </si>
  <si>
    <t>010805240018</t>
    <phoneticPr fontId="1"/>
  </si>
  <si>
    <t>010802250014</t>
    <phoneticPr fontId="1"/>
  </si>
  <si>
    <t>19(2)</t>
    <phoneticPr fontId="1"/>
  </si>
  <si>
    <t>18(2)</t>
    <phoneticPr fontId="1"/>
  </si>
  <si>
    <t>4/17-18</t>
    <phoneticPr fontId="1"/>
  </si>
  <si>
    <t>414-TYS001A</t>
    <phoneticPr fontId="1"/>
  </si>
  <si>
    <t>9/26以降</t>
    <phoneticPr fontId="1"/>
  </si>
  <si>
    <t>[Ｆ-MIX *240kg packing*]</t>
    <phoneticPr fontId="1"/>
  </si>
  <si>
    <t>8/8以降</t>
    <phoneticPr fontId="1"/>
  </si>
  <si>
    <t>[Ｆ-MIX *240kg packing*]NANYA</t>
    <phoneticPr fontId="1"/>
  </si>
  <si>
    <t>7/26以降</t>
    <phoneticPr fontId="1"/>
  </si>
  <si>
    <t>6/28以降</t>
    <phoneticPr fontId="1"/>
  </si>
  <si>
    <t>414-UM1826</t>
    <phoneticPr fontId="1"/>
  </si>
  <si>
    <t>5/16以降</t>
    <phoneticPr fontId="1"/>
  </si>
  <si>
    <t>4/22以降</t>
    <phoneticPr fontId="1"/>
  </si>
  <si>
    <t>D25</t>
    <phoneticPr fontId="1"/>
  </si>
  <si>
    <t>5/17-18</t>
    <phoneticPr fontId="1"/>
  </si>
  <si>
    <t>414-UM1813</t>
    <phoneticPr fontId="1"/>
  </si>
  <si>
    <t>3/18以降</t>
    <phoneticPr fontId="1"/>
  </si>
  <si>
    <t>D13</t>
    <phoneticPr fontId="1"/>
  </si>
  <si>
    <t>119(2)</t>
    <phoneticPr fontId="1"/>
  </si>
  <si>
    <t>C28</t>
    <phoneticPr fontId="1"/>
  </si>
  <si>
    <t>2019/09/09 After 製造(Must)</t>
    <phoneticPr fontId="1"/>
  </si>
  <si>
    <t>AM1</t>
    <phoneticPr fontId="1"/>
  </si>
  <si>
    <t>2019/07/26 After 製造(Must)</t>
    <phoneticPr fontId="1"/>
  </si>
  <si>
    <t>414-AM195</t>
    <phoneticPr fontId="1"/>
  </si>
  <si>
    <t>2019/06/26 After 製造(Must)</t>
    <phoneticPr fontId="1"/>
  </si>
  <si>
    <t>2019/06/20 After 製造(Must)</t>
    <phoneticPr fontId="1"/>
  </si>
  <si>
    <t>010805200002</t>
    <phoneticPr fontId="1"/>
  </si>
  <si>
    <t>23</t>
    <phoneticPr fontId="1"/>
  </si>
  <si>
    <t>2019/03/13 After 製造(Must)</t>
    <phoneticPr fontId="1"/>
  </si>
  <si>
    <t>2019/03/01 After 製造(Must)</t>
    <phoneticPr fontId="1"/>
  </si>
  <si>
    <t>2019/02/15 After 製造(Must)</t>
    <phoneticPr fontId="1"/>
  </si>
  <si>
    <t>2019/09/17 After 製造(Must)</t>
    <phoneticPr fontId="1"/>
  </si>
  <si>
    <t>2019/04/12 After 製造(Must)</t>
    <phoneticPr fontId="1"/>
  </si>
  <si>
    <t>2019/09/19, After 製造 (Must)</t>
    <phoneticPr fontId="1"/>
  </si>
  <si>
    <t>414-UM1843</t>
    <phoneticPr fontId="1"/>
  </si>
  <si>
    <t>HCL</t>
    <phoneticPr fontId="1"/>
  </si>
  <si>
    <t>[Hydrochloric Acid for KINIK *20kg Packing*]</t>
    <phoneticPr fontId="1"/>
  </si>
  <si>
    <t>2019/08/16, After 製造 (Must)</t>
    <phoneticPr fontId="1"/>
  </si>
  <si>
    <t>9/11-12</t>
    <phoneticPr fontId="1"/>
  </si>
  <si>
    <t>414-UM1837</t>
    <phoneticPr fontId="1"/>
  </si>
  <si>
    <t>HCL</t>
    <phoneticPr fontId="1"/>
  </si>
  <si>
    <t>[Hydrochloric Acid for KINIK *20kg Packing*]</t>
    <phoneticPr fontId="1"/>
  </si>
  <si>
    <t>2019/07/17, After 製造 (Must)</t>
    <phoneticPr fontId="1"/>
  </si>
  <si>
    <t>8/7-8</t>
    <phoneticPr fontId="1"/>
  </si>
  <si>
    <t>010805210005</t>
    <phoneticPr fontId="1"/>
  </si>
  <si>
    <t>2019/06/27, After 製造 (Must)</t>
    <phoneticPr fontId="1"/>
  </si>
  <si>
    <t>2019/06/06, After 製造 (Must)</t>
    <phoneticPr fontId="1"/>
  </si>
  <si>
    <t>128(2)</t>
    <phoneticPr fontId="1"/>
  </si>
  <si>
    <t>2019/05/22, After 製造 (Must)</t>
    <phoneticPr fontId="1"/>
  </si>
  <si>
    <t>2019/04/22, After 製造 (Must)</t>
    <phoneticPr fontId="1"/>
  </si>
  <si>
    <t>5/17-18</t>
    <phoneticPr fontId="1"/>
  </si>
  <si>
    <t>2019/03/22, After 製造 (Must)</t>
    <phoneticPr fontId="1"/>
  </si>
  <si>
    <t>4/17-18</t>
    <phoneticPr fontId="1"/>
  </si>
  <si>
    <t>2019/02/28, After 製造 (Must)</t>
    <phoneticPr fontId="1"/>
  </si>
  <si>
    <t>4/3-4</t>
    <phoneticPr fontId="1"/>
  </si>
  <si>
    <t>4/10-11</t>
    <phoneticPr fontId="1"/>
  </si>
  <si>
    <t>2019/09/27 After 製造(Must)</t>
    <phoneticPr fontId="1"/>
  </si>
  <si>
    <t>10/23-24</t>
    <phoneticPr fontId="1"/>
  </si>
  <si>
    <t xml:space="preserve">[Hydrochloric Acid for SEHT] </t>
    <phoneticPr fontId="1"/>
  </si>
  <si>
    <t>2019/06/30 After 製造(Must)</t>
    <phoneticPr fontId="1"/>
  </si>
  <si>
    <t>7/31-8/1</t>
    <phoneticPr fontId="1"/>
  </si>
  <si>
    <t>414-UM1834</t>
    <phoneticPr fontId="1"/>
  </si>
  <si>
    <t>HCL</t>
    <phoneticPr fontId="1"/>
  </si>
  <si>
    <t xml:space="preserve">[Hydrochloric Acid for SEHT] </t>
    <phoneticPr fontId="1"/>
  </si>
  <si>
    <t>2019/03/22 After 製造(Must)</t>
    <phoneticPr fontId="1"/>
  </si>
  <si>
    <t>010802210026</t>
    <phoneticPr fontId="1"/>
  </si>
  <si>
    <t>1</t>
    <phoneticPr fontId="1"/>
  </si>
  <si>
    <t>GN DRUM, SAMPLE</t>
    <phoneticPr fontId="1"/>
  </si>
  <si>
    <t xml:space="preserve">[Hydrochloric Acid for MMT] </t>
    <phoneticPr fontId="1"/>
  </si>
  <si>
    <t>2019/09/27 After 製造(Must)</t>
    <phoneticPr fontId="1"/>
  </si>
  <si>
    <t>10/23-24</t>
    <phoneticPr fontId="1"/>
  </si>
  <si>
    <t>414-UM1842</t>
    <phoneticPr fontId="1"/>
  </si>
  <si>
    <t>2019/09/13 After 製造(Must)</t>
    <phoneticPr fontId="1"/>
  </si>
  <si>
    <t>10/9-10</t>
    <phoneticPr fontId="1"/>
  </si>
  <si>
    <t>414-UM1841</t>
    <phoneticPr fontId="1"/>
  </si>
  <si>
    <t>7/17-18</t>
    <phoneticPr fontId="1"/>
  </si>
  <si>
    <t>414-UM1835</t>
    <phoneticPr fontId="1"/>
  </si>
  <si>
    <t>2019/08/15 After 製造(Must)</t>
    <phoneticPr fontId="1"/>
  </si>
  <si>
    <t>9/4-5</t>
    <phoneticPr fontId="1"/>
  </si>
  <si>
    <t>414-UM1836</t>
    <phoneticPr fontId="1"/>
  </si>
  <si>
    <t>160(2)</t>
    <phoneticPr fontId="1"/>
  </si>
  <si>
    <t>9/11-12</t>
    <phoneticPr fontId="1"/>
  </si>
  <si>
    <t>414-UM1837</t>
    <phoneticPr fontId="1"/>
  </si>
  <si>
    <t>2019/06/30 After 製造(Must)</t>
    <phoneticPr fontId="1"/>
  </si>
  <si>
    <t>2019/06/28 After 製造(Must)</t>
    <phoneticPr fontId="1"/>
  </si>
  <si>
    <t>2019/06/06 After 製造(Must)</t>
    <phoneticPr fontId="1"/>
  </si>
  <si>
    <t>6/26-27</t>
    <phoneticPr fontId="1"/>
  </si>
  <si>
    <t>414-UM1833</t>
    <phoneticPr fontId="1"/>
  </si>
  <si>
    <t>2019/05/11 After 製造(Must)</t>
    <phoneticPr fontId="1"/>
  </si>
  <si>
    <t>2019/05/08 After 製造(Must)</t>
    <phoneticPr fontId="1"/>
  </si>
  <si>
    <t>6/5-6</t>
    <phoneticPr fontId="1"/>
  </si>
  <si>
    <t>414-UM1820</t>
    <phoneticPr fontId="1"/>
  </si>
  <si>
    <t>010805200003</t>
    <phoneticPr fontId="1"/>
  </si>
  <si>
    <t>154(2)</t>
    <phoneticPr fontId="1"/>
  </si>
  <si>
    <t>5/29-30</t>
    <phoneticPr fontId="1"/>
  </si>
  <si>
    <t>414-UM1822</t>
    <phoneticPr fontId="1"/>
  </si>
  <si>
    <t>154</t>
    <phoneticPr fontId="1"/>
  </si>
  <si>
    <t>緩和しないでください</t>
    <phoneticPr fontId="1"/>
  </si>
  <si>
    <t>4/10-11</t>
    <phoneticPr fontId="1"/>
  </si>
  <si>
    <t>2019/04/12 After 製造(Must)</t>
    <phoneticPr fontId="1"/>
  </si>
  <si>
    <t>D22</t>
    <phoneticPr fontId="1"/>
  </si>
  <si>
    <t>5/17-18</t>
    <phoneticPr fontId="1"/>
  </si>
  <si>
    <t>010710230010</t>
    <phoneticPr fontId="1"/>
  </si>
  <si>
    <t>151(2)</t>
    <phoneticPr fontId="1"/>
  </si>
  <si>
    <t>5/10-11</t>
    <phoneticPr fontId="1"/>
  </si>
  <si>
    <t>414-UM1809</t>
    <phoneticPr fontId="1"/>
  </si>
  <si>
    <t>2019/09/05 After 製造(Must) SPEC FOR NON-N20</t>
    <phoneticPr fontId="1"/>
  </si>
  <si>
    <t>10/2-3</t>
    <phoneticPr fontId="1"/>
  </si>
  <si>
    <t>414-UM1840</t>
    <phoneticPr fontId="1"/>
  </si>
  <si>
    <t>627</t>
    <phoneticPr fontId="1"/>
  </si>
  <si>
    <t>2019/08/06 After 製造(Must) SPEC FOR NON-N20</t>
    <phoneticPr fontId="1"/>
  </si>
  <si>
    <t>626</t>
    <phoneticPr fontId="1"/>
  </si>
  <si>
    <t>8/7-8</t>
    <phoneticPr fontId="1"/>
  </si>
  <si>
    <t>414-UM1827</t>
    <phoneticPr fontId="1"/>
  </si>
  <si>
    <t>2019/07/17 After 製造(Must) SPEC FOR NON-N20</t>
    <phoneticPr fontId="1"/>
  </si>
  <si>
    <t>625(2)</t>
    <phoneticPr fontId="1"/>
  </si>
  <si>
    <t>2019/06/06 After 製造(Must) SPEC FOR NON-N20</t>
    <phoneticPr fontId="1"/>
  </si>
  <si>
    <t>2019/05/14 After 製造(Must) SPEC FOR NON-N20</t>
    <phoneticPr fontId="1"/>
  </si>
  <si>
    <t>2019/03/28 After 製造(Must) SPEC FOR NON-N20</t>
    <phoneticPr fontId="1"/>
  </si>
  <si>
    <t>4/17-18</t>
    <phoneticPr fontId="1"/>
  </si>
  <si>
    <t>414-UM1802</t>
    <phoneticPr fontId="1"/>
  </si>
  <si>
    <t>010801280007</t>
    <phoneticPr fontId="1"/>
  </si>
  <si>
    <t>2019/09/27 After製造(Must) FOR UMC ※need with analysis report</t>
    <phoneticPr fontId="1"/>
  </si>
  <si>
    <t>10/22</t>
    <phoneticPr fontId="1"/>
  </si>
  <si>
    <t>414-HNO3011</t>
    <phoneticPr fontId="1"/>
  </si>
  <si>
    <t>2019/09/28 After製造(Must) FOR PTC</t>
    <phoneticPr fontId="1"/>
  </si>
  <si>
    <t>2019/09/20 After製造(Must) FOR PTC</t>
    <phoneticPr fontId="1"/>
  </si>
  <si>
    <t>10/15</t>
    <phoneticPr fontId="1"/>
  </si>
  <si>
    <t>414-HNO3010</t>
    <phoneticPr fontId="1"/>
  </si>
  <si>
    <t>2019/09/06 After製造(Must) FOR PTC</t>
    <phoneticPr fontId="1"/>
  </si>
  <si>
    <t>10/1</t>
    <phoneticPr fontId="1"/>
  </si>
  <si>
    <t>414-HNO3009</t>
    <phoneticPr fontId="1"/>
  </si>
  <si>
    <t>2019/09/05 After製造(Must) FOR UMC ※need with analysis report</t>
    <phoneticPr fontId="1"/>
  </si>
  <si>
    <t>2019/08/30 After製造(Must) FOR PTC</t>
    <phoneticPr fontId="1"/>
  </si>
  <si>
    <t>9/24</t>
    <phoneticPr fontId="1"/>
  </si>
  <si>
    <t>2019/08/16 After製造(Must) FOR PTC</t>
    <phoneticPr fontId="1"/>
  </si>
  <si>
    <t>9/10</t>
    <phoneticPr fontId="1"/>
  </si>
  <si>
    <t>2019/08/08 After製造(Must) FOR UMC ※need with analysis report</t>
    <phoneticPr fontId="1"/>
  </si>
  <si>
    <t>9/3</t>
    <phoneticPr fontId="1"/>
  </si>
  <si>
    <t>414-HNO3006</t>
    <phoneticPr fontId="1"/>
  </si>
  <si>
    <t>2019/08/01 After製造(Must) FOR PTC</t>
    <phoneticPr fontId="1"/>
  </si>
  <si>
    <t>8/27</t>
    <phoneticPr fontId="1"/>
  </si>
  <si>
    <t>414-HNO3005</t>
    <phoneticPr fontId="1"/>
  </si>
  <si>
    <t>2019/07/17 After製造(Must) FOR UMC ※need with analysis report</t>
    <phoneticPr fontId="1"/>
  </si>
  <si>
    <t>8/6</t>
    <phoneticPr fontId="1"/>
  </si>
  <si>
    <t>414-HNO3004</t>
    <phoneticPr fontId="1"/>
  </si>
  <si>
    <t>2019/07/17 After製造(Must) FOR PTC</t>
    <phoneticPr fontId="1"/>
  </si>
  <si>
    <t>2019/07/10 After製造(Must) FOR PTC</t>
    <phoneticPr fontId="1"/>
  </si>
  <si>
    <t>2019/06/27 After製造(Must) FOR UMC ※need with analysis report</t>
    <phoneticPr fontId="1"/>
  </si>
  <si>
    <t>HNO3 -- 40DM</t>
    <phoneticPr fontId="1"/>
  </si>
  <si>
    <t>2019/06/28 After製造(Must) FOR PTC</t>
    <phoneticPr fontId="1"/>
  </si>
  <si>
    <t>2019/06/19 After製造(Must) FOR UMC ※need with analysis report</t>
    <phoneticPr fontId="1"/>
  </si>
  <si>
    <t>7/30</t>
    <phoneticPr fontId="1"/>
  </si>
  <si>
    <t>414-HNO3003</t>
    <phoneticPr fontId="1"/>
  </si>
  <si>
    <t>2019/06/7 After製造(Must) FOR PTC</t>
    <phoneticPr fontId="1"/>
  </si>
  <si>
    <t>7/16</t>
    <phoneticPr fontId="1"/>
  </si>
  <si>
    <t>414-HNO3002</t>
    <phoneticPr fontId="1"/>
  </si>
  <si>
    <t>2019/06/4 After製造(Must) FOR PTC</t>
    <phoneticPr fontId="1"/>
  </si>
  <si>
    <t>7/9</t>
    <phoneticPr fontId="1"/>
  </si>
  <si>
    <t>414-HNO3001</t>
    <phoneticPr fontId="1"/>
  </si>
  <si>
    <t>2019/06/01 After製造(Must) FOR PTC</t>
    <phoneticPr fontId="1"/>
  </si>
  <si>
    <t>7/2</t>
    <phoneticPr fontId="1"/>
  </si>
  <si>
    <t>414-HNO3999</t>
    <phoneticPr fontId="1"/>
  </si>
  <si>
    <t>2019/05/17 After製造(Must) FOR UMC ※need with analysis report</t>
    <phoneticPr fontId="1"/>
  </si>
  <si>
    <t>6/25</t>
    <phoneticPr fontId="1"/>
  </si>
  <si>
    <t>414-HNO3998</t>
    <phoneticPr fontId="1"/>
  </si>
  <si>
    <t>2019/05/25 After製造(Must) FOR PTC</t>
    <phoneticPr fontId="1"/>
  </si>
  <si>
    <t>HNO3 -- 160DM</t>
    <phoneticPr fontId="1"/>
  </si>
  <si>
    <t>2019/05/15 After製造(Must) FOR PTC</t>
    <phoneticPr fontId="1"/>
  </si>
  <si>
    <t>010804120032</t>
    <phoneticPr fontId="1"/>
  </si>
  <si>
    <t>2019/04/24 After製造(Must) FOR PTC</t>
    <phoneticPr fontId="1"/>
  </si>
  <si>
    <t>D19(8)D20(20)D27(28)</t>
    <phoneticPr fontId="1"/>
  </si>
  <si>
    <t>010804120031</t>
    <phoneticPr fontId="1"/>
  </si>
  <si>
    <t xml:space="preserve">[Nitric Acid for UMC] </t>
    <phoneticPr fontId="1"/>
  </si>
  <si>
    <t>E03(4)E04(20)</t>
    <phoneticPr fontId="1"/>
  </si>
  <si>
    <t>830(2)</t>
    <phoneticPr fontId="1"/>
  </si>
  <si>
    <t>2019/05/23 After製造(Must) FOR PTC</t>
    <phoneticPr fontId="1"/>
  </si>
  <si>
    <t>6/18</t>
    <phoneticPr fontId="1"/>
  </si>
  <si>
    <t>414-HNO3996</t>
    <phoneticPr fontId="1"/>
  </si>
  <si>
    <t>2019/05/16 After製造(Must) FOR UMC ※need with analysis report</t>
    <phoneticPr fontId="1"/>
  </si>
  <si>
    <t>E03(8)E04(24)</t>
    <phoneticPr fontId="1"/>
  </si>
  <si>
    <t>6/11</t>
    <phoneticPr fontId="1"/>
  </si>
  <si>
    <t>414-HNO3995</t>
    <phoneticPr fontId="1"/>
  </si>
  <si>
    <t>2019/05/09 After製造(Must) FOR PTC</t>
    <phoneticPr fontId="1"/>
  </si>
  <si>
    <t>6/4</t>
    <phoneticPr fontId="1"/>
  </si>
  <si>
    <t>414-HNO3994</t>
    <phoneticPr fontId="1"/>
  </si>
  <si>
    <t>827(2)</t>
    <phoneticPr fontId="1"/>
  </si>
  <si>
    <t>2019/04/20 After製造(Must) FOR PTC</t>
    <phoneticPr fontId="1"/>
  </si>
  <si>
    <t>D25(8)D26(28)D29(24)E03(20)</t>
    <phoneticPr fontId="1"/>
  </si>
  <si>
    <t>5/21</t>
    <phoneticPr fontId="1"/>
  </si>
  <si>
    <t>414-HNO3992</t>
    <phoneticPr fontId="1"/>
  </si>
  <si>
    <t>2019/04/13 After製造(Must) FOR UMC ※need with analysis report</t>
    <phoneticPr fontId="1"/>
  </si>
  <si>
    <t>D12(4)D13(24)D19(12)</t>
    <phoneticPr fontId="1"/>
  </si>
  <si>
    <t>2019/04/13 After製造(Must) FOR PTC</t>
    <phoneticPr fontId="1"/>
  </si>
  <si>
    <t>D24(8)D25(32)</t>
    <phoneticPr fontId="1"/>
  </si>
  <si>
    <t>HNO3 -- 40DM</t>
    <phoneticPr fontId="1"/>
  </si>
  <si>
    <t>825(2)</t>
    <phoneticPr fontId="1"/>
  </si>
  <si>
    <t>2019/04/12 After製造(Must) FOR PTC</t>
    <phoneticPr fontId="1"/>
  </si>
  <si>
    <t>D17(8)D18(8)D23(40)D24(24)</t>
    <phoneticPr fontId="1"/>
  </si>
  <si>
    <t>5/14</t>
    <phoneticPr fontId="1"/>
  </si>
  <si>
    <t>414-HNO3993</t>
    <phoneticPr fontId="1"/>
  </si>
  <si>
    <t>2019/04/05 After製造(Must) FOR PTC</t>
    <phoneticPr fontId="1"/>
  </si>
  <si>
    <t>C28(4)C29(28)</t>
    <phoneticPr fontId="1"/>
  </si>
  <si>
    <t>4/23</t>
    <phoneticPr fontId="1"/>
  </si>
  <si>
    <t>2019/03/13 After製造(Must) FOR PTC</t>
    <phoneticPr fontId="1"/>
  </si>
  <si>
    <t>C26(28)C27(28)C28(24)</t>
    <phoneticPr fontId="1"/>
  </si>
  <si>
    <t>414-HNO3991</t>
    <phoneticPr fontId="1"/>
  </si>
  <si>
    <t>2019/03/28 After製造(Must) FOR UMC ※need with analysis report</t>
    <phoneticPr fontId="1"/>
  </si>
  <si>
    <t>D05.D06.D08.D12</t>
    <phoneticPr fontId="1"/>
  </si>
  <si>
    <t>2019/03/21 After製造(Must) FOR PTC</t>
    <phoneticPr fontId="1"/>
  </si>
  <si>
    <t>C21(40)C23(40)</t>
    <phoneticPr fontId="1"/>
  </si>
  <si>
    <t>4/16</t>
    <phoneticPr fontId="1"/>
  </si>
  <si>
    <t>414-HNO3990</t>
    <phoneticPr fontId="1"/>
  </si>
  <si>
    <t>2019/05/02 After製造(Must) FOR PTC</t>
    <phoneticPr fontId="1"/>
  </si>
  <si>
    <t>E07(4)E08(40)E09(36)</t>
    <phoneticPr fontId="1"/>
  </si>
  <si>
    <t>5/28</t>
    <phoneticPr fontId="1"/>
  </si>
  <si>
    <t>414-HNO3989</t>
    <phoneticPr fontId="1"/>
  </si>
  <si>
    <t>819(3)</t>
    <phoneticPr fontId="1"/>
  </si>
  <si>
    <t>2019/05/01 After製造(Must) FOR UMC ※need with analysis report</t>
    <phoneticPr fontId="1"/>
  </si>
  <si>
    <t>E06(4)E07(36)</t>
    <phoneticPr fontId="1"/>
  </si>
  <si>
    <t>819(2)</t>
    <phoneticPr fontId="1"/>
  </si>
  <si>
    <t>E04(4)E06(36)</t>
    <phoneticPr fontId="1"/>
  </si>
  <si>
    <t>2019/03/20 After製造(Must) FOR UMC ※need with analysis report</t>
    <phoneticPr fontId="1"/>
  </si>
  <si>
    <t>D03(28)D04(28)D05(24)</t>
    <phoneticPr fontId="1"/>
  </si>
  <si>
    <t>2019/02/26 After製造(Must) FOR UMC ※need with analysis report</t>
    <phoneticPr fontId="1"/>
  </si>
  <si>
    <t>C30(28)D02(28)</t>
    <phoneticPr fontId="1"/>
  </si>
  <si>
    <t>4/9</t>
    <phoneticPr fontId="1"/>
  </si>
  <si>
    <t>414-HNO3997</t>
    <phoneticPr fontId="1"/>
  </si>
  <si>
    <t>Coment</t>
    <phoneticPr fontId="1"/>
  </si>
  <si>
    <t xml:space="preserve">Sample </t>
    <phoneticPr fontId="1"/>
  </si>
  <si>
    <t>LOT</t>
    <phoneticPr fontId="1"/>
  </si>
  <si>
    <t>Request</t>
    <phoneticPr fontId="1"/>
  </si>
  <si>
    <t>Container Type</t>
    <phoneticPr fontId="1"/>
  </si>
  <si>
    <t>Item</t>
    <phoneticPr fontId="1"/>
  </si>
  <si>
    <t>Issued Date</t>
    <phoneticPr fontId="1"/>
  </si>
  <si>
    <t>No</t>
    <phoneticPr fontId="1"/>
  </si>
  <si>
    <t>414-AM198</t>
    <phoneticPr fontId="1"/>
  </si>
  <si>
    <t>10/16-17</t>
  </si>
  <si>
    <t>[AM1/20L] PDMC</t>
    <phoneticPr fontId="1"/>
  </si>
  <si>
    <t>11/6-7</t>
    <phoneticPr fontId="1"/>
  </si>
  <si>
    <t>414-UM1844</t>
    <phoneticPr fontId="1"/>
  </si>
  <si>
    <t>小名浜10/11 黒崎10/17着</t>
    <rPh sb="0" eb="2">
      <t>オナ</t>
    </rPh>
    <rPh sb="2" eb="3">
      <t>ハマ</t>
    </rPh>
    <rPh sb="9" eb="11">
      <t>クロサキ</t>
    </rPh>
    <rPh sb="16" eb="17">
      <t>チャク</t>
    </rPh>
    <phoneticPr fontId="1"/>
  </si>
  <si>
    <t>小名浜10/3 黒崎10/9着</t>
    <rPh sb="0" eb="2">
      <t>オナ</t>
    </rPh>
    <rPh sb="2" eb="3">
      <t>ハマ</t>
    </rPh>
    <rPh sb="8" eb="10">
      <t>クロサキ</t>
    </rPh>
    <rPh sb="14" eb="15">
      <t>チャク</t>
    </rPh>
    <phoneticPr fontId="1"/>
  </si>
  <si>
    <t>010805160016</t>
    <phoneticPr fontId="1"/>
  </si>
  <si>
    <t>小名浜8/22 黒崎8/29着</t>
    <phoneticPr fontId="1"/>
  </si>
  <si>
    <t>844</t>
    <phoneticPr fontId="1"/>
  </si>
  <si>
    <t>日程変更ありがとうございました</t>
    <phoneticPr fontId="1"/>
  </si>
  <si>
    <t>小名浜10/24 黒崎10/30着</t>
    <rPh sb="0" eb="2">
      <t>オナ</t>
    </rPh>
    <rPh sb="2" eb="3">
      <t>ハマ</t>
    </rPh>
    <rPh sb="9" eb="11">
      <t>クロサキ</t>
    </rPh>
    <rPh sb="16" eb="17">
      <t>チャク</t>
    </rPh>
    <phoneticPr fontId="1"/>
  </si>
  <si>
    <t xml:space="preserve"> </t>
    <phoneticPr fontId="1"/>
  </si>
  <si>
    <t>5/27(4)</t>
    <phoneticPr fontId="1"/>
  </si>
  <si>
    <t>5/20(20)</t>
    <phoneticPr fontId="1"/>
  </si>
  <si>
    <t>PTCへ</t>
    <phoneticPr fontId="33" type="noConversion"/>
  </si>
  <si>
    <t>PTC</t>
    <phoneticPr fontId="33" type="noConversion"/>
  </si>
  <si>
    <r>
      <t>5</t>
    </r>
    <r>
      <rPr>
        <sz val="10"/>
        <rFont val="Arial"/>
        <family val="2"/>
      </rPr>
      <t>/20(</t>
    </r>
    <r>
      <rPr>
        <sz val="11"/>
        <color theme="1"/>
        <rFont val="新細明體"/>
        <family val="2"/>
        <charset val="128"/>
        <scheme val="minor"/>
      </rPr>
      <t>8</t>
    </r>
    <r>
      <rPr>
        <sz val="10"/>
        <rFont val="Arial"/>
        <family val="2"/>
      </rPr>
      <t>)</t>
    </r>
    <phoneticPr fontId="33" type="noConversion"/>
  </si>
  <si>
    <t>5/13(32)</t>
    <phoneticPr fontId="33" type="noConversion"/>
  </si>
  <si>
    <r>
      <t>U</t>
    </r>
    <r>
      <rPr>
        <sz val="10"/>
        <rFont val="Arial"/>
        <family val="2"/>
      </rPr>
      <t xml:space="preserve">MC </t>
    </r>
    <phoneticPr fontId="33" type="noConversion"/>
  </si>
  <si>
    <r>
      <t>5/13</t>
    </r>
    <r>
      <rPr>
        <sz val="10"/>
        <rFont val="Arial"/>
        <family val="2"/>
      </rPr>
      <t>(12)</t>
    </r>
    <phoneticPr fontId="33" type="noConversion"/>
  </si>
  <si>
    <t>個数</t>
    <phoneticPr fontId="33" type="noConversion"/>
  </si>
  <si>
    <t>数量</t>
    <phoneticPr fontId="33" type="noConversion"/>
  </si>
  <si>
    <t>010808080034</t>
  </si>
  <si>
    <t>[MCX-2005 *200kg Packing*]UMC</t>
    <phoneticPr fontId="1"/>
  </si>
  <si>
    <t>10/9-10</t>
    <phoneticPr fontId="1"/>
  </si>
  <si>
    <t>414-AM197</t>
    <phoneticPr fontId="1"/>
  </si>
  <si>
    <t>9/18-19</t>
    <phoneticPr fontId="1"/>
  </si>
  <si>
    <t>414-AM195</t>
    <phoneticPr fontId="1"/>
  </si>
  <si>
    <t>010806180025</t>
    <phoneticPr fontId="1"/>
  </si>
  <si>
    <t>7/24-25</t>
    <phoneticPr fontId="1"/>
  </si>
  <si>
    <t>414-AM190</t>
    <phoneticPr fontId="1"/>
  </si>
  <si>
    <t>7/10-11</t>
    <phoneticPr fontId="1"/>
  </si>
  <si>
    <t>414-AM192</t>
    <phoneticPr fontId="1"/>
  </si>
  <si>
    <t>6/26-27</t>
    <phoneticPr fontId="1"/>
  </si>
  <si>
    <t>414-AM187</t>
    <phoneticPr fontId="1"/>
  </si>
  <si>
    <t>5/22-23</t>
    <phoneticPr fontId="1"/>
  </si>
  <si>
    <t>414-AM189</t>
    <phoneticPr fontId="1"/>
  </si>
  <si>
    <t>15(2)</t>
    <phoneticPr fontId="1"/>
  </si>
  <si>
    <t>5/8-9</t>
    <phoneticPr fontId="1"/>
  </si>
  <si>
    <t>414-AM185</t>
    <phoneticPr fontId="1"/>
  </si>
  <si>
    <t>15</t>
    <phoneticPr fontId="1"/>
  </si>
  <si>
    <t>4/24-25</t>
    <phoneticPr fontId="1"/>
  </si>
  <si>
    <t>414-AM184</t>
    <phoneticPr fontId="1"/>
  </si>
  <si>
    <t>14</t>
    <phoneticPr fontId="1"/>
  </si>
  <si>
    <t>4/10-11</t>
    <phoneticPr fontId="1"/>
  </si>
  <si>
    <t>414-AM182</t>
    <phoneticPr fontId="1"/>
  </si>
  <si>
    <t>13(2)</t>
    <phoneticPr fontId="1"/>
  </si>
  <si>
    <t>4/3-4</t>
    <phoneticPr fontId="1"/>
  </si>
  <si>
    <t>414-AM181</t>
    <phoneticPr fontId="1"/>
  </si>
  <si>
    <t>13</t>
    <phoneticPr fontId="1"/>
  </si>
  <si>
    <t>10/25以降</t>
    <phoneticPr fontId="1"/>
  </si>
  <si>
    <t>010808080033</t>
  </si>
  <si>
    <t>9/19以降</t>
    <phoneticPr fontId="1"/>
  </si>
  <si>
    <t>10/16-17</t>
    <phoneticPr fontId="1"/>
  </si>
  <si>
    <t>414-AM198</t>
    <phoneticPr fontId="1"/>
  </si>
  <si>
    <t>7/25以降</t>
    <phoneticPr fontId="1"/>
  </si>
  <si>
    <t>8/21-22</t>
    <phoneticPr fontId="1"/>
  </si>
  <si>
    <t>414-AM193</t>
    <phoneticPr fontId="1"/>
  </si>
  <si>
    <t>010805160017</t>
    <phoneticPr fontId="1"/>
  </si>
  <si>
    <t>17</t>
    <phoneticPr fontId="1"/>
  </si>
  <si>
    <t>5/15以降</t>
    <phoneticPr fontId="1"/>
  </si>
  <si>
    <t>6/12-13</t>
    <phoneticPr fontId="1"/>
  </si>
  <si>
    <t>414-AM188</t>
    <phoneticPr fontId="1"/>
  </si>
  <si>
    <t>MC1</t>
    <phoneticPr fontId="1"/>
  </si>
  <si>
    <t>[MC1]</t>
    <phoneticPr fontId="1"/>
  </si>
  <si>
    <t>2019/03/15,After 製造(Must)FOR RST</t>
    <phoneticPr fontId="1"/>
  </si>
  <si>
    <t>4/10-11</t>
    <phoneticPr fontId="1"/>
  </si>
  <si>
    <t>‘</t>
    <phoneticPr fontId="1"/>
  </si>
  <si>
    <t>SI-C</t>
    <phoneticPr fontId="1"/>
  </si>
  <si>
    <t>[Si-C]</t>
    <phoneticPr fontId="1"/>
  </si>
  <si>
    <t>11/6-7</t>
    <phoneticPr fontId="1"/>
  </si>
  <si>
    <t>010805160016</t>
    <phoneticPr fontId="1"/>
  </si>
  <si>
    <t>9(2)</t>
    <phoneticPr fontId="1"/>
  </si>
  <si>
    <t>10/2-3</t>
    <phoneticPr fontId="1"/>
  </si>
  <si>
    <t>414-UM1840</t>
    <phoneticPr fontId="1"/>
  </si>
  <si>
    <t>[Si-C]PSI</t>
    <phoneticPr fontId="1"/>
  </si>
  <si>
    <t>日程変更ありがとうございました</t>
    <phoneticPr fontId="1"/>
  </si>
  <si>
    <t>9/4-5</t>
    <phoneticPr fontId="1"/>
  </si>
  <si>
    <t>414-UM1836</t>
    <phoneticPr fontId="1"/>
  </si>
  <si>
    <t>010805020004</t>
    <phoneticPr fontId="1"/>
  </si>
  <si>
    <t>7/3-4</t>
    <phoneticPr fontId="1"/>
  </si>
  <si>
    <t>010805020003</t>
    <phoneticPr fontId="1"/>
  </si>
  <si>
    <t>010804290012</t>
    <phoneticPr fontId="1"/>
  </si>
  <si>
    <t>010808080032</t>
  </si>
  <si>
    <t>39</t>
  </si>
  <si>
    <t>010808080031</t>
  </si>
  <si>
    <t>38</t>
  </si>
  <si>
    <t>FOR PSI</t>
    <phoneticPr fontId="1"/>
  </si>
  <si>
    <t>10/23-24</t>
    <phoneticPr fontId="1"/>
  </si>
  <si>
    <t>10/9-10</t>
    <phoneticPr fontId="1"/>
  </si>
  <si>
    <t>小名浜8/29 黒崎9/5着</t>
    <phoneticPr fontId="1"/>
  </si>
  <si>
    <t>9/11-12</t>
    <phoneticPr fontId="1"/>
  </si>
  <si>
    <t>414-UM1837</t>
    <phoneticPr fontId="1"/>
  </si>
  <si>
    <t>[Si-E]PSI</t>
    <phoneticPr fontId="1"/>
  </si>
  <si>
    <t>9/25-26</t>
    <phoneticPr fontId="1"/>
  </si>
  <si>
    <t>414-UM1839</t>
    <phoneticPr fontId="1"/>
  </si>
  <si>
    <t>9/18-19</t>
    <phoneticPr fontId="1"/>
  </si>
  <si>
    <t>414-UM1832</t>
    <phoneticPr fontId="1"/>
  </si>
  <si>
    <t>小名浜8/22 黒崎8/29着</t>
    <phoneticPr fontId="1"/>
  </si>
  <si>
    <t>010805160014</t>
    <phoneticPr fontId="1"/>
  </si>
  <si>
    <t>8/7-8</t>
    <phoneticPr fontId="1"/>
  </si>
  <si>
    <t>010805160013</t>
    <phoneticPr fontId="1"/>
  </si>
  <si>
    <t>6/19-20</t>
    <phoneticPr fontId="1"/>
  </si>
  <si>
    <t>414-UM1823</t>
    <phoneticPr fontId="1"/>
  </si>
  <si>
    <t>5/29-30</t>
    <phoneticPr fontId="1"/>
  </si>
  <si>
    <t>414-UM1822</t>
    <phoneticPr fontId="1"/>
  </si>
  <si>
    <t>21</t>
    <phoneticPr fontId="1"/>
  </si>
  <si>
    <t>010802250017</t>
    <phoneticPr fontId="1"/>
  </si>
  <si>
    <t>20(2)</t>
    <phoneticPr fontId="1"/>
  </si>
  <si>
    <t>5/10-11</t>
    <phoneticPr fontId="1"/>
  </si>
  <si>
    <t>010805240018</t>
    <phoneticPr fontId="1"/>
  </si>
  <si>
    <t>010802250014</t>
    <phoneticPr fontId="1"/>
  </si>
  <si>
    <t>19(2)</t>
    <phoneticPr fontId="1"/>
  </si>
  <si>
    <t>4/3-4</t>
    <phoneticPr fontId="1"/>
  </si>
  <si>
    <t>4/24-25</t>
    <phoneticPr fontId="1"/>
  </si>
  <si>
    <t>18(2)</t>
    <phoneticPr fontId="1"/>
  </si>
  <si>
    <t>4/17-18</t>
    <phoneticPr fontId="1"/>
  </si>
  <si>
    <t>414-TYS001A</t>
    <phoneticPr fontId="1"/>
  </si>
  <si>
    <t>10/24以降</t>
    <phoneticPr fontId="1"/>
  </si>
  <si>
    <t>010808080026</t>
  </si>
  <si>
    <t>9/26以降</t>
    <phoneticPr fontId="1"/>
  </si>
  <si>
    <t>8/8以降</t>
    <phoneticPr fontId="1"/>
  </si>
  <si>
    <t>7/26以降</t>
    <phoneticPr fontId="1"/>
  </si>
  <si>
    <t>6/28以降</t>
    <phoneticPr fontId="1"/>
  </si>
  <si>
    <t>7/24-25</t>
    <phoneticPr fontId="1"/>
  </si>
  <si>
    <t>414-UM1826</t>
    <phoneticPr fontId="1"/>
  </si>
  <si>
    <t>5/16以降</t>
    <phoneticPr fontId="1"/>
  </si>
  <si>
    <t>4/22以降</t>
    <phoneticPr fontId="1"/>
  </si>
  <si>
    <t>D25</t>
    <phoneticPr fontId="1"/>
  </si>
  <si>
    <t>5/17-18</t>
    <phoneticPr fontId="1"/>
  </si>
  <si>
    <t>414-UM1813</t>
    <phoneticPr fontId="1"/>
  </si>
  <si>
    <t>3/18以降</t>
    <phoneticPr fontId="1"/>
  </si>
  <si>
    <t>D13</t>
    <phoneticPr fontId="1"/>
  </si>
  <si>
    <t>119(2)</t>
    <phoneticPr fontId="1"/>
  </si>
  <si>
    <t>C28</t>
    <phoneticPr fontId="1"/>
  </si>
  <si>
    <t>2019/09/09 After 製造(Must)</t>
    <phoneticPr fontId="1"/>
  </si>
  <si>
    <t>AM1</t>
    <phoneticPr fontId="1"/>
  </si>
  <si>
    <t>2019/07/26 After 製造(Must)</t>
    <phoneticPr fontId="1"/>
  </si>
  <si>
    <t>414-AM195</t>
    <phoneticPr fontId="1"/>
  </si>
  <si>
    <t>2019/06/26 After 製造(Must)</t>
    <phoneticPr fontId="1"/>
  </si>
  <si>
    <t>2019/06/20 After 製造(Must)</t>
    <phoneticPr fontId="1"/>
  </si>
  <si>
    <t>7/10-11</t>
    <phoneticPr fontId="1"/>
  </si>
  <si>
    <t>414-AM192</t>
    <phoneticPr fontId="1"/>
  </si>
  <si>
    <t>010805200002</t>
    <phoneticPr fontId="1"/>
  </si>
  <si>
    <t>23</t>
    <phoneticPr fontId="1"/>
  </si>
  <si>
    <t>2019/03/13 After 製造(Must)</t>
    <phoneticPr fontId="1"/>
  </si>
  <si>
    <t>5/8-9</t>
    <phoneticPr fontId="1"/>
  </si>
  <si>
    <t>414-AM185</t>
    <phoneticPr fontId="1"/>
  </si>
  <si>
    <t>2019/03/01 After 製造(Must)</t>
    <phoneticPr fontId="1"/>
  </si>
  <si>
    <t>2019/02/15 After 製造(Must)</t>
    <phoneticPr fontId="1"/>
  </si>
  <si>
    <t>2019/09/17 After 製造(Must)</t>
    <phoneticPr fontId="1"/>
  </si>
  <si>
    <t>[AM1/20L] PDMC</t>
    <phoneticPr fontId="1"/>
  </si>
  <si>
    <t>2019/04/12 After 製造(Must)</t>
    <phoneticPr fontId="1"/>
  </si>
  <si>
    <t>2019/10/16, After 製造 (Must)</t>
    <phoneticPr fontId="1"/>
  </si>
  <si>
    <t>HCL</t>
    <phoneticPr fontId="1"/>
  </si>
  <si>
    <t>010808080025</t>
  </si>
  <si>
    <t>133</t>
  </si>
  <si>
    <t>[Hydrochloric Acid for KINIK *20kg Packing*]</t>
    <phoneticPr fontId="1"/>
  </si>
  <si>
    <t>2019/09/19, After 製造 (Must)</t>
    <phoneticPr fontId="1"/>
  </si>
  <si>
    <t>414-UM1843</t>
    <phoneticPr fontId="1"/>
  </si>
  <si>
    <t>HCL</t>
    <phoneticPr fontId="1"/>
  </si>
  <si>
    <t>[Hydrochloric Acid for KINIK *20kg Packing*]</t>
    <phoneticPr fontId="1"/>
  </si>
  <si>
    <t>2019/08/16, After 製造 (Must)</t>
    <phoneticPr fontId="1"/>
  </si>
  <si>
    <t>9/11-12</t>
    <phoneticPr fontId="1"/>
  </si>
  <si>
    <t>414-UM1837</t>
    <phoneticPr fontId="1"/>
  </si>
  <si>
    <t>2019/07/17, After 製造 (Must)</t>
    <phoneticPr fontId="1"/>
  </si>
  <si>
    <t>8/7-8</t>
    <phoneticPr fontId="1"/>
  </si>
  <si>
    <t>010805210005</t>
    <phoneticPr fontId="1"/>
  </si>
  <si>
    <t>2019/06/27, After 製造 (Must)</t>
    <phoneticPr fontId="1"/>
  </si>
  <si>
    <t>2019/06/06, After 製造 (Must)</t>
    <phoneticPr fontId="1"/>
  </si>
  <si>
    <t>128(2)</t>
    <phoneticPr fontId="1"/>
  </si>
  <si>
    <t>2019/05/22, After 製造 (Must)</t>
    <phoneticPr fontId="1"/>
  </si>
  <si>
    <t>2019/04/22, After 製造 (Must)</t>
    <phoneticPr fontId="1"/>
  </si>
  <si>
    <t>2019/03/22, After 製造 (Must)</t>
    <phoneticPr fontId="1"/>
  </si>
  <si>
    <t>4/17-18</t>
    <phoneticPr fontId="1"/>
  </si>
  <si>
    <t>2019/02/28, After 製造 (Must)</t>
    <phoneticPr fontId="1"/>
  </si>
  <si>
    <t>4/3-4</t>
    <phoneticPr fontId="1"/>
  </si>
  <si>
    <t>4/10-11</t>
    <phoneticPr fontId="1"/>
  </si>
  <si>
    <t>2019/09/27 After 製造(Must)</t>
    <phoneticPr fontId="1"/>
  </si>
  <si>
    <t xml:space="preserve">[Hydrochloric Acid for SEHT] </t>
    <phoneticPr fontId="1"/>
  </si>
  <si>
    <t>2019/06/30 After 製造(Must)</t>
    <phoneticPr fontId="1"/>
  </si>
  <si>
    <t>7/31-8/1</t>
    <phoneticPr fontId="1"/>
  </si>
  <si>
    <t>414-UM1834</t>
    <phoneticPr fontId="1"/>
  </si>
  <si>
    <t>2019/03/22 After 製造(Must)</t>
    <phoneticPr fontId="1"/>
  </si>
  <si>
    <t>010802210026</t>
    <phoneticPr fontId="1"/>
  </si>
  <si>
    <t>1</t>
    <phoneticPr fontId="1"/>
  </si>
  <si>
    <t>GN DRUM, SAMPLE</t>
    <phoneticPr fontId="1"/>
  </si>
  <si>
    <t xml:space="preserve">[Hydrochloric Acid for MMT] </t>
    <phoneticPr fontId="1"/>
  </si>
  <si>
    <t>2019/11/01 After 製造(Must)</t>
    <phoneticPr fontId="1"/>
  </si>
  <si>
    <t>010808080029</t>
  </si>
  <si>
    <t>165</t>
  </si>
  <si>
    <t>2019/10/16 After 製造(Must)</t>
    <phoneticPr fontId="1"/>
  </si>
  <si>
    <t>010808080027</t>
  </si>
  <si>
    <t>164</t>
  </si>
  <si>
    <t>2019/09/27 After 製造(Must)</t>
    <phoneticPr fontId="1"/>
  </si>
  <si>
    <t>414-UM1842</t>
    <phoneticPr fontId="1"/>
  </si>
  <si>
    <t>2019/09/13 After 製造(Must)</t>
    <phoneticPr fontId="1"/>
  </si>
  <si>
    <t>414-UM1841</t>
    <phoneticPr fontId="1"/>
  </si>
  <si>
    <t>7/17-18</t>
    <phoneticPr fontId="1"/>
  </si>
  <si>
    <t>414-UM1835</t>
    <phoneticPr fontId="1"/>
  </si>
  <si>
    <t>2019/08/15 After 製造(Must)</t>
    <phoneticPr fontId="1"/>
  </si>
  <si>
    <t>160(2)</t>
    <phoneticPr fontId="1"/>
  </si>
  <si>
    <t>2019/06/28 After 製造(Must)</t>
    <phoneticPr fontId="1"/>
  </si>
  <si>
    <t>2019/06/06 After 製造(Must)</t>
    <phoneticPr fontId="1"/>
  </si>
  <si>
    <t>6/26-27</t>
    <phoneticPr fontId="1"/>
  </si>
  <si>
    <t>414-UM1833</t>
    <phoneticPr fontId="1"/>
  </si>
  <si>
    <t>2019/05/11 After 製造(Must)</t>
    <phoneticPr fontId="1"/>
  </si>
  <si>
    <t>2019/05/08 After 製造(Must)</t>
    <phoneticPr fontId="1"/>
  </si>
  <si>
    <t>6/5-6</t>
    <phoneticPr fontId="1"/>
  </si>
  <si>
    <t>414-UM1820</t>
    <phoneticPr fontId="1"/>
  </si>
  <si>
    <t>010805200003</t>
    <phoneticPr fontId="1"/>
  </si>
  <si>
    <t>154(2)</t>
    <phoneticPr fontId="1"/>
  </si>
  <si>
    <t>154</t>
    <phoneticPr fontId="1"/>
  </si>
  <si>
    <t>緩和しないでください</t>
    <phoneticPr fontId="1"/>
  </si>
  <si>
    <t>D22</t>
    <phoneticPr fontId="1"/>
  </si>
  <si>
    <t>010710230010</t>
    <phoneticPr fontId="1"/>
  </si>
  <si>
    <t>151(2)</t>
    <phoneticPr fontId="1"/>
  </si>
  <si>
    <t>414-UM1809</t>
    <phoneticPr fontId="1"/>
  </si>
  <si>
    <t>2019/10/16 After 製造(Must) SPEC FOR NON-N20</t>
    <phoneticPr fontId="1"/>
  </si>
  <si>
    <t>010808080028</t>
    <phoneticPr fontId="1"/>
  </si>
  <si>
    <t>628</t>
  </si>
  <si>
    <t>2019/09/05 After 製造(Must) SPEC FOR NON-N20</t>
    <phoneticPr fontId="1"/>
  </si>
  <si>
    <t>627</t>
    <phoneticPr fontId="1"/>
  </si>
  <si>
    <t>2019/08/06 After 製造(Must) SPEC FOR NON-N20</t>
    <phoneticPr fontId="1"/>
  </si>
  <si>
    <t>626</t>
    <phoneticPr fontId="1"/>
  </si>
  <si>
    <t>414-UM1827</t>
    <phoneticPr fontId="1"/>
  </si>
  <si>
    <t>2019/07/17 After 製造(Must) SPEC FOR NON-N20</t>
    <phoneticPr fontId="1"/>
  </si>
  <si>
    <t>625(2)</t>
    <phoneticPr fontId="1"/>
  </si>
  <si>
    <t>2019/06/06 After 製造(Must) SPEC FOR NON-N20</t>
    <phoneticPr fontId="1"/>
  </si>
  <si>
    <t>2019/05/14 After 製造(Must) SPEC FOR NON-N20</t>
    <phoneticPr fontId="1"/>
  </si>
  <si>
    <t>2019/03/28 After 製造(Must) SPEC FOR NON-N20</t>
    <phoneticPr fontId="1"/>
  </si>
  <si>
    <t>414-UM1802</t>
    <phoneticPr fontId="1"/>
  </si>
  <si>
    <t>010801280007</t>
    <phoneticPr fontId="1"/>
  </si>
  <si>
    <t>2019/10/24 After製造(Must) FOR UMC ※need with analysis report</t>
    <phoneticPr fontId="1"/>
  </si>
  <si>
    <t>857</t>
  </si>
  <si>
    <t>2019/10/31 After製造(Must) FOR UMC ※need with analysis report</t>
    <phoneticPr fontId="1"/>
  </si>
  <si>
    <t>856</t>
  </si>
  <si>
    <t>2019/10/23 After製造(Must) FOR PTC</t>
    <phoneticPr fontId="1"/>
  </si>
  <si>
    <t>855</t>
  </si>
  <si>
    <t>2019/10/16 After製造(Must) FOR PTC</t>
    <phoneticPr fontId="1"/>
  </si>
  <si>
    <t>854</t>
  </si>
  <si>
    <t>2019/10/09 After製造(Must) FOR UMC ※need with analysis report</t>
    <phoneticPr fontId="1"/>
  </si>
  <si>
    <t>853</t>
  </si>
  <si>
    <t>2019/10/03 After製造(Must) FOR PTC</t>
    <phoneticPr fontId="1"/>
  </si>
  <si>
    <t>852</t>
  </si>
  <si>
    <t>2019/09/19 After製造(Must) FOR UMC ※need with analysis report</t>
    <phoneticPr fontId="1"/>
  </si>
  <si>
    <t>10/22</t>
    <phoneticPr fontId="1"/>
  </si>
  <si>
    <t>414-HNO3011</t>
    <phoneticPr fontId="1"/>
  </si>
  <si>
    <t>2019/09/28 After製造(Must) FOR PTC</t>
    <phoneticPr fontId="1"/>
  </si>
  <si>
    <t>2019/09/20 After製造(Must) FOR PTC</t>
    <phoneticPr fontId="1"/>
  </si>
  <si>
    <t>10/15</t>
    <phoneticPr fontId="1"/>
  </si>
  <si>
    <t>414-HNO3010</t>
    <phoneticPr fontId="1"/>
  </si>
  <si>
    <t>2019/09/06 After製造(Must) FOR PTC</t>
    <phoneticPr fontId="1"/>
  </si>
  <si>
    <t>10/1</t>
    <phoneticPr fontId="1"/>
  </si>
  <si>
    <t>414-HNO3009</t>
    <phoneticPr fontId="1"/>
  </si>
  <si>
    <t>2019/09/05 After製造(Must) FOR UMC ※need with analysis report</t>
    <phoneticPr fontId="1"/>
  </si>
  <si>
    <t>2019/08/30 After製造(Must) FOR PTC</t>
    <phoneticPr fontId="1"/>
  </si>
  <si>
    <t>9/24</t>
    <phoneticPr fontId="1"/>
  </si>
  <si>
    <t>2019/08/16 After製造(Must) FOR PTC</t>
    <phoneticPr fontId="1"/>
  </si>
  <si>
    <t>9/10</t>
    <phoneticPr fontId="1"/>
  </si>
  <si>
    <t>2019/08/08 After製造(Must) FOR UMC ※need with analysis report</t>
    <phoneticPr fontId="1"/>
  </si>
  <si>
    <t>9/3</t>
    <phoneticPr fontId="1"/>
  </si>
  <si>
    <t>414-HNO3006</t>
    <phoneticPr fontId="1"/>
  </si>
  <si>
    <t>844</t>
    <phoneticPr fontId="1"/>
  </si>
  <si>
    <t>2019/08/01 After製造(Must) FOR PTC</t>
    <phoneticPr fontId="1"/>
  </si>
  <si>
    <t>8/27</t>
    <phoneticPr fontId="1"/>
  </si>
  <si>
    <t>414-HNO3005</t>
    <phoneticPr fontId="1"/>
  </si>
  <si>
    <t>2019/07/17 After製造(Must) FOR UMC ※need with analysis report</t>
    <phoneticPr fontId="1"/>
  </si>
  <si>
    <t>8/6</t>
    <phoneticPr fontId="1"/>
  </si>
  <si>
    <t>414-HNO3004</t>
    <phoneticPr fontId="1"/>
  </si>
  <si>
    <t>2019/07/10 After製造(Must) FOR PTC</t>
    <phoneticPr fontId="1"/>
  </si>
  <si>
    <t>2019/06/27 After製造(Must) FOR UMC ※need with analysis report</t>
    <phoneticPr fontId="1"/>
  </si>
  <si>
    <t>HNO3 -- 40DM</t>
    <phoneticPr fontId="1"/>
  </si>
  <si>
    <t>2019/06/28 After製造(Must) FOR PTC</t>
    <phoneticPr fontId="1"/>
  </si>
  <si>
    <t>2019/06/19 After製造(Must) FOR UMC ※need with analysis report</t>
    <phoneticPr fontId="1"/>
  </si>
  <si>
    <t>7/30</t>
    <phoneticPr fontId="1"/>
  </si>
  <si>
    <t>414-HNO3003</t>
    <phoneticPr fontId="1"/>
  </si>
  <si>
    <t>2019/06/7 After製造(Must) FOR PTC</t>
    <phoneticPr fontId="1"/>
  </si>
  <si>
    <t>7/16</t>
    <phoneticPr fontId="1"/>
  </si>
  <si>
    <t>414-HNO3002</t>
    <phoneticPr fontId="1"/>
  </si>
  <si>
    <t>2019/06/4 After製造(Must) FOR PTC</t>
    <phoneticPr fontId="1"/>
  </si>
  <si>
    <t>7/9</t>
    <phoneticPr fontId="1"/>
  </si>
  <si>
    <t>414-HNO3001</t>
    <phoneticPr fontId="1"/>
  </si>
  <si>
    <t>2019/06/01 After製造(Must) FOR PTC</t>
    <phoneticPr fontId="1"/>
  </si>
  <si>
    <t>7/2</t>
    <phoneticPr fontId="1"/>
  </si>
  <si>
    <t>414-HNO3999</t>
    <phoneticPr fontId="1"/>
  </si>
  <si>
    <t>2019/05/17 After製造(Must) FOR UMC ※need with analysis report</t>
    <phoneticPr fontId="1"/>
  </si>
  <si>
    <t>6/25</t>
    <phoneticPr fontId="1"/>
  </si>
  <si>
    <t>414-HNO3998</t>
    <phoneticPr fontId="1"/>
  </si>
  <si>
    <t>2019/05/25 After製造(Must) FOR PTC</t>
    <phoneticPr fontId="1"/>
  </si>
  <si>
    <t>HNO3 -- 160DM</t>
    <phoneticPr fontId="1"/>
  </si>
  <si>
    <t>2019/05/15 After製造(Must) FOR PTC</t>
    <phoneticPr fontId="1"/>
  </si>
  <si>
    <t>010804120032</t>
    <phoneticPr fontId="1"/>
  </si>
  <si>
    <t>2019/04/24 After製造(Must) FOR PTC</t>
    <phoneticPr fontId="1"/>
  </si>
  <si>
    <t>D19(8)D20(20)D27(28)</t>
    <phoneticPr fontId="1"/>
  </si>
  <si>
    <t>010804120031</t>
    <phoneticPr fontId="1"/>
  </si>
  <si>
    <t xml:space="preserve">[Nitric Acid for UMC] </t>
    <phoneticPr fontId="1"/>
  </si>
  <si>
    <t>E03(4)E04(20)</t>
    <phoneticPr fontId="1"/>
  </si>
  <si>
    <t>830(2)</t>
    <phoneticPr fontId="1"/>
  </si>
  <si>
    <t>2019/05/23 After製造(Must) FOR PTC</t>
    <phoneticPr fontId="1"/>
  </si>
  <si>
    <t>6/18</t>
    <phoneticPr fontId="1"/>
  </si>
  <si>
    <t>414-HNO3996</t>
    <phoneticPr fontId="1"/>
  </si>
  <si>
    <t>2019/05/16 After製造(Must) FOR UMC ※need with analysis report</t>
    <phoneticPr fontId="1"/>
  </si>
  <si>
    <t>E03(8)E04(24)</t>
    <phoneticPr fontId="1"/>
  </si>
  <si>
    <t>6/11</t>
    <phoneticPr fontId="1"/>
  </si>
  <si>
    <t>414-HNO3995</t>
    <phoneticPr fontId="1"/>
  </si>
  <si>
    <t>2019/05/09 After製造(Must) FOR PTC</t>
    <phoneticPr fontId="1"/>
  </si>
  <si>
    <t>6/4</t>
    <phoneticPr fontId="1"/>
  </si>
  <si>
    <t>414-HNO3994</t>
    <phoneticPr fontId="1"/>
  </si>
  <si>
    <t>827(2)</t>
    <phoneticPr fontId="1"/>
  </si>
  <si>
    <t>2019/04/20 After製造(Must) FOR PTC</t>
    <phoneticPr fontId="1"/>
  </si>
  <si>
    <t>D25(8)D26(28)D29(24)E03(20)</t>
    <phoneticPr fontId="1"/>
  </si>
  <si>
    <t>5/21</t>
    <phoneticPr fontId="1"/>
  </si>
  <si>
    <t>414-HNO3992</t>
    <phoneticPr fontId="1"/>
  </si>
  <si>
    <t>2019/04/13 After製造(Must) FOR UMC ※need with analysis report</t>
    <phoneticPr fontId="1"/>
  </si>
  <si>
    <t>D12(4)D13(24)D19(12)</t>
    <phoneticPr fontId="1"/>
  </si>
  <si>
    <t>2019/04/13 After製造(Must) FOR PTC</t>
    <phoneticPr fontId="1"/>
  </si>
  <si>
    <t>D24(8)D25(32)</t>
    <phoneticPr fontId="1"/>
  </si>
  <si>
    <t>HNO3 -- 40DM</t>
    <phoneticPr fontId="1"/>
  </si>
  <si>
    <t>825(2)</t>
    <phoneticPr fontId="1"/>
  </si>
  <si>
    <t>2019/04/12 After製造(Must) FOR PTC</t>
    <phoneticPr fontId="1"/>
  </si>
  <si>
    <t>D17(8)D18(8)D23(40)D24(24)</t>
    <phoneticPr fontId="1"/>
  </si>
  <si>
    <t>5/14</t>
    <phoneticPr fontId="1"/>
  </si>
  <si>
    <t>414-HNO3993</t>
    <phoneticPr fontId="1"/>
  </si>
  <si>
    <t>2019/04/05 After製造(Must) FOR PTC</t>
    <phoneticPr fontId="1"/>
  </si>
  <si>
    <t>C28(4)C29(28)</t>
    <phoneticPr fontId="1"/>
  </si>
  <si>
    <t>4/23</t>
    <phoneticPr fontId="1"/>
  </si>
  <si>
    <t>2019/03/13 After製造(Must) FOR PTC</t>
    <phoneticPr fontId="1"/>
  </si>
  <si>
    <t>C26(28)C27(28)C28(24)</t>
    <phoneticPr fontId="1"/>
  </si>
  <si>
    <t>414-HNO3991</t>
    <phoneticPr fontId="1"/>
  </si>
  <si>
    <t>2019/03/28 After製造(Must) FOR UMC ※need with analysis report</t>
    <phoneticPr fontId="1"/>
  </si>
  <si>
    <t>D05.D06.D08.D12</t>
    <phoneticPr fontId="1"/>
  </si>
  <si>
    <t>2019/03/21 After製造(Must) FOR PTC</t>
    <phoneticPr fontId="1"/>
  </si>
  <si>
    <t>C21(40)C23(40)</t>
    <phoneticPr fontId="1"/>
  </si>
  <si>
    <t>4/16</t>
    <phoneticPr fontId="1"/>
  </si>
  <si>
    <t>414-HNO3990</t>
    <phoneticPr fontId="1"/>
  </si>
  <si>
    <t>2019/05/02 After製造(Must) FOR PTC</t>
    <phoneticPr fontId="1"/>
  </si>
  <si>
    <t>E07(4)E08(40)E09(36)</t>
    <phoneticPr fontId="1"/>
  </si>
  <si>
    <t>5/28</t>
    <phoneticPr fontId="1"/>
  </si>
  <si>
    <t>414-HNO3989</t>
    <phoneticPr fontId="1"/>
  </si>
  <si>
    <t>819(3)</t>
    <phoneticPr fontId="1"/>
  </si>
  <si>
    <t>2019/05/01 After製造(Must) FOR UMC ※need with analysis report</t>
    <phoneticPr fontId="1"/>
  </si>
  <si>
    <t>E06(4)E07(36)</t>
    <phoneticPr fontId="1"/>
  </si>
  <si>
    <t>819(2)</t>
    <phoneticPr fontId="1"/>
  </si>
  <si>
    <t>E04(4)E06(36)</t>
    <phoneticPr fontId="1"/>
  </si>
  <si>
    <t>2019/03/20 After製造(Must) FOR UMC ※need with analysis report</t>
    <phoneticPr fontId="1"/>
  </si>
  <si>
    <t>D03(28)D04(28)D05(24)</t>
    <phoneticPr fontId="1"/>
  </si>
  <si>
    <t>2019/02/26 After製造(Must) FOR UMC ※need with analysis report</t>
    <phoneticPr fontId="1"/>
  </si>
  <si>
    <t>C30(28)D02(28)</t>
    <phoneticPr fontId="1"/>
  </si>
  <si>
    <t>4/9</t>
    <phoneticPr fontId="1"/>
  </si>
  <si>
    <t>414-HNO3997</t>
    <phoneticPr fontId="1"/>
  </si>
  <si>
    <t>Coment</t>
    <phoneticPr fontId="1"/>
  </si>
  <si>
    <t xml:space="preserve">Sample </t>
    <phoneticPr fontId="1"/>
  </si>
  <si>
    <t>LOT</t>
    <phoneticPr fontId="1"/>
  </si>
  <si>
    <t>Request</t>
    <phoneticPr fontId="1"/>
  </si>
  <si>
    <t>Container Type</t>
    <phoneticPr fontId="1"/>
  </si>
  <si>
    <t>Item</t>
    <phoneticPr fontId="1"/>
  </si>
  <si>
    <t>Issued Date</t>
    <phoneticPr fontId="1"/>
  </si>
  <si>
    <t>No</t>
    <phoneticPr fontId="1"/>
  </si>
  <si>
    <t>11/6-7</t>
    <phoneticPr fontId="1"/>
  </si>
  <si>
    <t>11/13-14</t>
    <phoneticPr fontId="1"/>
  </si>
  <si>
    <t>11/20-21</t>
    <phoneticPr fontId="1"/>
  </si>
  <si>
    <t>10/29</t>
    <phoneticPr fontId="1"/>
  </si>
  <si>
    <t>11/5</t>
    <phoneticPr fontId="1"/>
  </si>
  <si>
    <t>11/12</t>
    <phoneticPr fontId="1"/>
  </si>
  <si>
    <t>11/19</t>
    <phoneticPr fontId="1"/>
  </si>
  <si>
    <t>11/27-28</t>
    <phoneticPr fontId="1"/>
  </si>
  <si>
    <t>414-UM1844</t>
    <phoneticPr fontId="1"/>
  </si>
  <si>
    <t>414-UM1844</t>
    <phoneticPr fontId="1"/>
  </si>
  <si>
    <t>414-HNO3012</t>
    <phoneticPr fontId="1"/>
  </si>
  <si>
    <t>414-HNO3013</t>
    <phoneticPr fontId="1"/>
  </si>
  <si>
    <t>414-HNO3014</t>
    <phoneticPr fontId="1"/>
  </si>
  <si>
    <t>414-HNO3015</t>
    <phoneticPr fontId="1"/>
  </si>
  <si>
    <t>414-HNO3016</t>
    <phoneticPr fontId="1"/>
  </si>
  <si>
    <t>414-UM1846</t>
    <phoneticPr fontId="1"/>
  </si>
  <si>
    <t>414-UM1847</t>
    <phoneticPr fontId="1"/>
  </si>
  <si>
    <t>414-UM1848</t>
    <phoneticPr fontId="1"/>
  </si>
  <si>
    <t>414-AM199</t>
    <phoneticPr fontId="1"/>
  </si>
  <si>
    <t>414-AM200</t>
    <phoneticPr fontId="1"/>
  </si>
  <si>
    <t>010808080020</t>
    <phoneticPr fontId="1"/>
  </si>
  <si>
    <t>010808080021</t>
    <phoneticPr fontId="1"/>
  </si>
  <si>
    <t>010808080022</t>
    <phoneticPr fontId="1"/>
  </si>
  <si>
    <t>010808080023</t>
    <phoneticPr fontId="1"/>
  </si>
  <si>
    <t>010808080024</t>
    <phoneticPr fontId="1"/>
  </si>
  <si>
    <t>010808130001</t>
    <phoneticPr fontId="1"/>
  </si>
  <si>
    <t>[Ｆ-MIX *240kg packing*]NANYA</t>
    <phoneticPr fontId="1"/>
  </si>
  <si>
    <t>[Ｆ-MIX *240kg packing*]NANYA</t>
    <phoneticPr fontId="1"/>
  </si>
  <si>
    <t>[Ｆ-MIX *240kg packing*]NANYA</t>
    <phoneticPr fontId="1"/>
  </si>
  <si>
    <t>[Si-E]PSI</t>
    <phoneticPr fontId="1"/>
  </si>
  <si>
    <t>[Si-E]PSI</t>
    <phoneticPr fontId="1"/>
  </si>
  <si>
    <t>[Si-C]PSI</t>
    <phoneticPr fontId="1"/>
  </si>
  <si>
    <t>[Si-E]PSI</t>
    <phoneticPr fontId="1"/>
  </si>
  <si>
    <t>414-UM1839</t>
  </si>
  <si>
    <t>9/25-26</t>
  </si>
  <si>
    <t>小名浜9/6 黒崎9/13着</t>
    <phoneticPr fontId="1"/>
  </si>
  <si>
    <t>小名浜9/6 黒崎9/13着</t>
    <phoneticPr fontId="1"/>
  </si>
  <si>
    <t>小名浜9/6 黒崎9/13着</t>
    <phoneticPr fontId="1"/>
  </si>
  <si>
    <t>414-UM1846</t>
    <phoneticPr fontId="1"/>
  </si>
  <si>
    <t>414-HNO3990</t>
    <phoneticPr fontId="1"/>
  </si>
  <si>
    <t>4/16</t>
    <phoneticPr fontId="1"/>
  </si>
  <si>
    <t>C21(40)C23(40)</t>
    <phoneticPr fontId="1"/>
  </si>
  <si>
    <t>2019/03/21 After製造(Must) FOR PTC</t>
    <phoneticPr fontId="1"/>
  </si>
  <si>
    <t>414-HNO3991</t>
    <phoneticPr fontId="1"/>
  </si>
  <si>
    <t>4/23</t>
    <phoneticPr fontId="1"/>
  </si>
  <si>
    <t>D05.D06.D08.D12</t>
    <phoneticPr fontId="1"/>
  </si>
  <si>
    <t>2019/03/28 After製造(Must) FOR UMC ※need with analysis report</t>
    <phoneticPr fontId="1"/>
  </si>
  <si>
    <t>C26(28)C27(28)C28(24)</t>
    <phoneticPr fontId="1"/>
  </si>
  <si>
    <t>2019/03/13 After製造(Must) FOR PTC</t>
    <phoneticPr fontId="1"/>
  </si>
  <si>
    <t>C28(4)C29(28)</t>
    <phoneticPr fontId="1"/>
  </si>
  <si>
    <t>2019/04/05 After製造(Must) FOR PTC</t>
    <phoneticPr fontId="1"/>
  </si>
  <si>
    <t>414-HNO3993</t>
    <phoneticPr fontId="1"/>
  </si>
  <si>
    <t>5/14</t>
    <phoneticPr fontId="1"/>
  </si>
  <si>
    <t>D17(8)D18(8)D23(40)D24(24)</t>
    <phoneticPr fontId="1"/>
  </si>
  <si>
    <t>2019/04/12 After製造(Must) FOR PTC</t>
    <phoneticPr fontId="1"/>
  </si>
  <si>
    <t>825(2)</t>
    <phoneticPr fontId="1"/>
  </si>
  <si>
    <t>HNO3 -- 40DM</t>
    <phoneticPr fontId="1"/>
  </si>
  <si>
    <t>D24(8)D25(32)</t>
    <phoneticPr fontId="1"/>
  </si>
  <si>
    <t>2019/04/13 After製造(Must) FOR PTC</t>
    <phoneticPr fontId="1"/>
  </si>
  <si>
    <t>D12(4)D13(24)D19(12)</t>
    <phoneticPr fontId="1"/>
  </si>
  <si>
    <t>2019/04/13 After製造(Must) FOR UMC ※need with analysis report</t>
    <phoneticPr fontId="1"/>
  </si>
  <si>
    <t>414-HNO3992</t>
    <phoneticPr fontId="1"/>
  </si>
  <si>
    <t>5/21</t>
    <phoneticPr fontId="1"/>
  </si>
  <si>
    <t>D25(8)D26(28)D29(24)E03(20)</t>
    <phoneticPr fontId="1"/>
  </si>
  <si>
    <t>2019/04/20 After製造(Must) FOR PTC</t>
    <phoneticPr fontId="1"/>
  </si>
  <si>
    <t>414-HNO3994</t>
    <phoneticPr fontId="1"/>
  </si>
  <si>
    <t>6/4</t>
    <phoneticPr fontId="1"/>
  </si>
  <si>
    <t>2019/05/09 After製造(Must) FOR PTC</t>
    <phoneticPr fontId="1"/>
  </si>
  <si>
    <t>827(2)</t>
    <phoneticPr fontId="1"/>
  </si>
  <si>
    <t>414-HNO3995</t>
    <phoneticPr fontId="1"/>
  </si>
  <si>
    <t>6/11</t>
    <phoneticPr fontId="1"/>
  </si>
  <si>
    <t>E03(8)E04(24)</t>
    <phoneticPr fontId="1"/>
  </si>
  <si>
    <t>2019/05/16 After製造(Must) FOR UMC ※need with analysis report</t>
    <phoneticPr fontId="1"/>
  </si>
  <si>
    <t>414-HNO3996</t>
    <phoneticPr fontId="1"/>
  </si>
  <si>
    <t>6/18</t>
    <phoneticPr fontId="1"/>
  </si>
  <si>
    <t>2019/05/23 After製造(Must) FOR PTC</t>
    <phoneticPr fontId="1"/>
  </si>
  <si>
    <t>830(2)</t>
    <phoneticPr fontId="1"/>
  </si>
  <si>
    <t>010804120031</t>
    <phoneticPr fontId="1"/>
  </si>
  <si>
    <t>E03(4)E04(20)</t>
    <phoneticPr fontId="1"/>
  </si>
  <si>
    <t>2019/04/24 After製造(Must) FOR PTC</t>
    <phoneticPr fontId="1"/>
  </si>
  <si>
    <t xml:space="preserve">[Nitric Acid for UMC] </t>
    <phoneticPr fontId="1"/>
  </si>
  <si>
    <t>D19(8)D20(20)D27(28)</t>
    <phoneticPr fontId="1"/>
  </si>
  <si>
    <t>010804120032</t>
    <phoneticPr fontId="1"/>
  </si>
  <si>
    <t>2019/05/15 After製造(Must) FOR PTC</t>
    <phoneticPr fontId="1"/>
  </si>
  <si>
    <t>HNO3 -- 160DM</t>
    <phoneticPr fontId="1"/>
  </si>
  <si>
    <t>414-HNO3998</t>
    <phoneticPr fontId="1"/>
  </si>
  <si>
    <t>6/25</t>
    <phoneticPr fontId="1"/>
  </si>
  <si>
    <t>2019/05/25 After製造(Must) FOR PTC</t>
    <phoneticPr fontId="1"/>
  </si>
  <si>
    <t>2019/05/17 After製造(Must) FOR UMC ※need with analysis report</t>
    <phoneticPr fontId="1"/>
  </si>
  <si>
    <t>414-HNO3999</t>
    <phoneticPr fontId="1"/>
  </si>
  <si>
    <t>7/2</t>
    <phoneticPr fontId="1"/>
  </si>
  <si>
    <t>2019/06/01 After製造(Must) FOR PTC</t>
    <phoneticPr fontId="1"/>
  </si>
  <si>
    <t>414-HNO3001</t>
    <phoneticPr fontId="1"/>
  </si>
  <si>
    <t>7/9</t>
    <phoneticPr fontId="1"/>
  </si>
  <si>
    <t>2019/06/4 After製造(Must) FOR PTC</t>
    <phoneticPr fontId="1"/>
  </si>
  <si>
    <t>414-HNO3002</t>
    <phoneticPr fontId="1"/>
  </si>
  <si>
    <t>7/16</t>
    <phoneticPr fontId="1"/>
  </si>
  <si>
    <t>2019/06/7 After製造(Must) FOR PTC</t>
    <phoneticPr fontId="1"/>
  </si>
  <si>
    <t>414-HNO3003</t>
    <phoneticPr fontId="1"/>
  </si>
  <si>
    <t>7/30</t>
    <phoneticPr fontId="1"/>
  </si>
  <si>
    <t>2019/06/19 After製造(Must) FOR UMC ※need with analysis report</t>
    <phoneticPr fontId="1"/>
  </si>
  <si>
    <t>414-HNO3004</t>
    <phoneticPr fontId="1"/>
  </si>
  <si>
    <t>8/6</t>
    <phoneticPr fontId="1"/>
  </si>
  <si>
    <t>2019/06/28 After製造(Must) FOR PTC</t>
    <phoneticPr fontId="1"/>
  </si>
  <si>
    <t>2019/06/27 After製造(Must) FOR UMC ※need with analysis report</t>
    <phoneticPr fontId="1"/>
  </si>
  <si>
    <t>2019/07/10 After製造(Must) FOR PTC</t>
    <phoneticPr fontId="1"/>
  </si>
  <si>
    <t>2019/07/17 After製造(Must) FOR PTC</t>
    <phoneticPr fontId="1"/>
  </si>
  <si>
    <t>2019/07/17 After製造(Must) FOR UMC ※need with analysis report</t>
    <phoneticPr fontId="1"/>
  </si>
  <si>
    <t>414-HNO3005</t>
    <phoneticPr fontId="1"/>
  </si>
  <si>
    <t>8/27</t>
    <phoneticPr fontId="1"/>
  </si>
  <si>
    <t>2019/08/01 After製造(Must) FOR PTC</t>
    <phoneticPr fontId="1"/>
  </si>
  <si>
    <t>844</t>
    <phoneticPr fontId="1"/>
  </si>
  <si>
    <t>2019/08/08 After製造(Must) FOR UMC ※need with analysis report</t>
    <phoneticPr fontId="1"/>
  </si>
  <si>
    <t>9/10</t>
    <phoneticPr fontId="1"/>
  </si>
  <si>
    <t>2019/08/16 After製造(Must) FOR PTC</t>
    <phoneticPr fontId="1"/>
  </si>
  <si>
    <t>9/24</t>
    <phoneticPr fontId="1"/>
  </si>
  <si>
    <t>2019/08/30 After製造(Must) FOR PTC</t>
    <phoneticPr fontId="1"/>
  </si>
  <si>
    <t>414-HNO3009</t>
    <phoneticPr fontId="1"/>
  </si>
  <si>
    <t>10/1</t>
    <phoneticPr fontId="1"/>
  </si>
  <si>
    <t>2019/09/05 After製造(Must) FOR UMC ※need with analysis report</t>
    <phoneticPr fontId="1"/>
  </si>
  <si>
    <t>2019/09/06 After製造(Must) FOR PTC</t>
    <phoneticPr fontId="1"/>
  </si>
  <si>
    <t>414-HNO3010</t>
    <phoneticPr fontId="1"/>
  </si>
  <si>
    <t>10/15</t>
    <phoneticPr fontId="1"/>
  </si>
  <si>
    <t>2019/09/20 After製造(Must) FOR PTC</t>
    <phoneticPr fontId="1"/>
  </si>
  <si>
    <t>414-HNO3011</t>
    <phoneticPr fontId="1"/>
  </si>
  <si>
    <t>10/22</t>
    <phoneticPr fontId="1"/>
  </si>
  <si>
    <t>2019/09/28 After製造(Must) FOR PTC</t>
    <phoneticPr fontId="1"/>
  </si>
  <si>
    <t>2019/09/19 After製造(Must) FOR UMC ※need with analysis report</t>
    <phoneticPr fontId="1"/>
  </si>
  <si>
    <t>010808080020</t>
    <phoneticPr fontId="1"/>
  </si>
  <si>
    <t>414-HNO3012</t>
    <phoneticPr fontId="1"/>
  </si>
  <si>
    <t>10/29</t>
    <phoneticPr fontId="1"/>
  </si>
  <si>
    <t>2019/10/03 After製造(Must) FOR PTC</t>
    <phoneticPr fontId="1"/>
  </si>
  <si>
    <t>010808080021</t>
    <phoneticPr fontId="1"/>
  </si>
  <si>
    <t>414-HNO3013</t>
    <phoneticPr fontId="1"/>
  </si>
  <si>
    <t>11/5</t>
    <phoneticPr fontId="1"/>
  </si>
  <si>
    <t>2019/10/09 After製造(Must) FOR UMC ※need with analysis report</t>
    <phoneticPr fontId="1"/>
  </si>
  <si>
    <t>010808080022</t>
    <phoneticPr fontId="1"/>
  </si>
  <si>
    <t>414-HNO3014</t>
    <phoneticPr fontId="1"/>
  </si>
  <si>
    <t>11/12</t>
    <phoneticPr fontId="1"/>
  </si>
  <si>
    <t>2019/10/16 After製造(Must) FOR PTC</t>
    <phoneticPr fontId="1"/>
  </si>
  <si>
    <t>010808080023</t>
    <phoneticPr fontId="1"/>
  </si>
  <si>
    <t>414-HNO3015</t>
    <phoneticPr fontId="1"/>
  </si>
  <si>
    <t>11/19</t>
    <phoneticPr fontId="1"/>
  </si>
  <si>
    <t>2019/10/23 After製造(Must) FOR PTC</t>
    <phoneticPr fontId="1"/>
  </si>
  <si>
    <t xml:space="preserve">[Nitric Acid for PTC] </t>
    <phoneticPr fontId="1"/>
  </si>
  <si>
    <t>010808080024</t>
    <phoneticPr fontId="1"/>
  </si>
  <si>
    <t>414-HNO3016</t>
    <phoneticPr fontId="1"/>
  </si>
  <si>
    <t>11/27-28</t>
    <phoneticPr fontId="1"/>
  </si>
  <si>
    <t>2019/10/31 After製造(Must) FOR PTC</t>
    <phoneticPr fontId="1"/>
  </si>
  <si>
    <t>010808130001</t>
    <phoneticPr fontId="1"/>
  </si>
  <si>
    <t>11/20-21</t>
    <phoneticPr fontId="1"/>
  </si>
  <si>
    <t>2019/10/24 After製造(Must) FOR UMC ※need with analysis report</t>
    <phoneticPr fontId="1"/>
  </si>
  <si>
    <t>010801280007</t>
    <phoneticPr fontId="1"/>
  </si>
  <si>
    <t>414-UM1802</t>
    <phoneticPr fontId="1"/>
  </si>
  <si>
    <t>4/17-18</t>
    <phoneticPr fontId="1"/>
  </si>
  <si>
    <t>2019/03/28 After 製造(Must) SPEC FOR NON-N20</t>
    <phoneticPr fontId="1"/>
  </si>
  <si>
    <t>414-UM1820</t>
    <phoneticPr fontId="1"/>
  </si>
  <si>
    <t>6/5-6</t>
    <phoneticPr fontId="1"/>
  </si>
  <si>
    <t>2019/05/14 After 製造(Must) SPEC FOR NON-N20</t>
    <phoneticPr fontId="1"/>
  </si>
  <si>
    <t>HCL</t>
    <phoneticPr fontId="1"/>
  </si>
  <si>
    <t>2019/06/06 After 製造(Must) SPEC FOR NON-N20</t>
    <phoneticPr fontId="1"/>
  </si>
  <si>
    <t>625(2)</t>
    <phoneticPr fontId="1"/>
  </si>
  <si>
    <t>414-UM1827</t>
    <phoneticPr fontId="1"/>
  </si>
  <si>
    <t>8/7-8</t>
    <phoneticPr fontId="1"/>
  </si>
  <si>
    <t>2019/07/17 After 製造(Must) SPEC FOR NON-N20</t>
    <phoneticPr fontId="1"/>
  </si>
  <si>
    <t>626</t>
    <phoneticPr fontId="1"/>
  </si>
  <si>
    <t>2019/08/06 After 製造(Must) SPEC FOR NON-N20</t>
    <phoneticPr fontId="1"/>
  </si>
  <si>
    <t>627</t>
    <phoneticPr fontId="1"/>
  </si>
  <si>
    <t>414-UM1840</t>
    <phoneticPr fontId="1"/>
  </si>
  <si>
    <t>10/2-3</t>
    <phoneticPr fontId="1"/>
  </si>
  <si>
    <t>2019/09/05 After 製造(Must) SPEC FOR NON-N20</t>
    <phoneticPr fontId="1"/>
  </si>
  <si>
    <t>010808080028</t>
    <phoneticPr fontId="1"/>
  </si>
  <si>
    <t>11/13-14</t>
    <phoneticPr fontId="1"/>
  </si>
  <si>
    <t>2019/11/01 After 製造(Must) SPEC FOR NON-N20</t>
    <phoneticPr fontId="1"/>
  </si>
  <si>
    <t>629</t>
  </si>
  <si>
    <t>2019/09/05 After 製造(Must) SPEC FOR NON-N20</t>
  </si>
  <si>
    <t>630</t>
  </si>
  <si>
    <t>2019/09/24 After 製造(Must) SPEC FOR NON-N20</t>
    <phoneticPr fontId="1"/>
  </si>
  <si>
    <t>010710230010</t>
    <phoneticPr fontId="1"/>
  </si>
  <si>
    <t>414-UM1809</t>
    <phoneticPr fontId="1"/>
  </si>
  <si>
    <t>5/10-11</t>
    <phoneticPr fontId="1"/>
  </si>
  <si>
    <t>D22</t>
    <phoneticPr fontId="1"/>
  </si>
  <si>
    <t>2019/04/12 After 製造(Must)</t>
    <phoneticPr fontId="1"/>
  </si>
  <si>
    <t>151(2)</t>
    <phoneticPr fontId="1"/>
  </si>
  <si>
    <t>5/17-18</t>
    <phoneticPr fontId="1"/>
  </si>
  <si>
    <t>4/10-11</t>
    <phoneticPr fontId="1"/>
  </si>
  <si>
    <t>2019/03/22 After 製造(Must)</t>
    <phoneticPr fontId="1"/>
  </si>
  <si>
    <t>緩和しないでください</t>
    <phoneticPr fontId="1"/>
  </si>
  <si>
    <t>154</t>
    <phoneticPr fontId="1"/>
  </si>
  <si>
    <t>414-UM1822</t>
    <phoneticPr fontId="1"/>
  </si>
  <si>
    <t>5/29-30</t>
    <phoneticPr fontId="1"/>
  </si>
  <si>
    <t>2019/05/08 After 製造(Must)</t>
    <phoneticPr fontId="1"/>
  </si>
  <si>
    <t>154(2)</t>
    <phoneticPr fontId="1"/>
  </si>
  <si>
    <t>010805200003</t>
    <phoneticPr fontId="1"/>
  </si>
  <si>
    <t>2019/05/11 After 製造(Must)</t>
    <phoneticPr fontId="1"/>
  </si>
  <si>
    <t>414-UM1833</t>
    <phoneticPr fontId="1"/>
  </si>
  <si>
    <t>6/26-27</t>
    <phoneticPr fontId="1"/>
  </si>
  <si>
    <t>2019/06/06 After 製造(Must)</t>
    <phoneticPr fontId="1"/>
  </si>
  <si>
    <t>2019/06/28 After 製造(Must)</t>
    <phoneticPr fontId="1"/>
  </si>
  <si>
    <t>414-UM1834</t>
    <phoneticPr fontId="1"/>
  </si>
  <si>
    <t>7/31-8/1</t>
    <phoneticPr fontId="1"/>
  </si>
  <si>
    <t>2019/06/30 After 製造(Must)</t>
    <phoneticPr fontId="1"/>
  </si>
  <si>
    <t>414-UM1837</t>
    <phoneticPr fontId="1"/>
  </si>
  <si>
    <t>9/11-12</t>
    <phoneticPr fontId="1"/>
  </si>
  <si>
    <t>2019/08/15 After 製造(Must)</t>
    <phoneticPr fontId="1"/>
  </si>
  <si>
    <t>160(2)</t>
    <phoneticPr fontId="1"/>
  </si>
  <si>
    <t>414-UM1835</t>
    <phoneticPr fontId="1"/>
  </si>
  <si>
    <t>7/17-18</t>
    <phoneticPr fontId="1"/>
  </si>
  <si>
    <t>414-UM1841</t>
    <phoneticPr fontId="1"/>
  </si>
  <si>
    <t>10/9-10</t>
    <phoneticPr fontId="1"/>
  </si>
  <si>
    <t>2019/09/13 After 製造(Must)</t>
    <phoneticPr fontId="1"/>
  </si>
  <si>
    <t>414-UM1842</t>
    <phoneticPr fontId="1"/>
  </si>
  <si>
    <t>10/23-24</t>
    <phoneticPr fontId="1"/>
  </si>
  <si>
    <t>2019/09/27 After 製造(Must)</t>
    <phoneticPr fontId="1"/>
  </si>
  <si>
    <t>414-UM1846</t>
    <phoneticPr fontId="1"/>
  </si>
  <si>
    <t>2019/10/16 After 製造(Must)</t>
    <phoneticPr fontId="1"/>
  </si>
  <si>
    <t>414-UM1848</t>
    <phoneticPr fontId="1"/>
  </si>
  <si>
    <t>2019/11/01 After 製造(Must)</t>
    <phoneticPr fontId="1"/>
  </si>
  <si>
    <t xml:space="preserve">[Hydrochloric Acid for MMT] </t>
    <phoneticPr fontId="1"/>
  </si>
  <si>
    <t>1</t>
    <phoneticPr fontId="1"/>
  </si>
  <si>
    <t>GN DRUM, SAMPLE</t>
    <phoneticPr fontId="1"/>
  </si>
  <si>
    <t xml:space="preserve">[Hydrochloric Acid for SEHT] </t>
    <phoneticPr fontId="1"/>
  </si>
  <si>
    <t>010802210026</t>
    <phoneticPr fontId="1"/>
  </si>
  <si>
    <t>[Hydrochloric Acid for KINIK *20kg Packing*]</t>
    <phoneticPr fontId="1"/>
  </si>
  <si>
    <t>2019/02/28, After 製造 (Must)</t>
    <phoneticPr fontId="1"/>
  </si>
  <si>
    <t>4/3-4</t>
    <phoneticPr fontId="1"/>
  </si>
  <si>
    <t>2019/03/22, After 製造 (Must)</t>
    <phoneticPr fontId="1"/>
  </si>
  <si>
    <t>2019/04/22, After 製造 (Must)</t>
    <phoneticPr fontId="1"/>
  </si>
  <si>
    <t>2019/05/22, After 製造 (Must)</t>
    <phoneticPr fontId="1"/>
  </si>
  <si>
    <t>2019/06/06, After 製造 (Must)</t>
    <phoneticPr fontId="1"/>
  </si>
  <si>
    <t>128(2)</t>
    <phoneticPr fontId="1"/>
  </si>
  <si>
    <t>2019/06/27, After 製造 (Must)</t>
    <phoneticPr fontId="1"/>
  </si>
  <si>
    <t>010805210005</t>
    <phoneticPr fontId="1"/>
  </si>
  <si>
    <t>2019/07/17, After 製造 (Must)</t>
    <phoneticPr fontId="1"/>
  </si>
  <si>
    <t>2019/08/16, After 製造 (Must)</t>
    <phoneticPr fontId="1"/>
  </si>
  <si>
    <t>414-UM1843</t>
    <phoneticPr fontId="1"/>
  </si>
  <si>
    <t>10/16-17</t>
    <phoneticPr fontId="1"/>
  </si>
  <si>
    <t>2019/09/19, After 製造 (Must)</t>
    <phoneticPr fontId="1"/>
  </si>
  <si>
    <t>2019/10/16, After 製造 (Must)</t>
    <phoneticPr fontId="1"/>
  </si>
  <si>
    <t>AM1</t>
    <phoneticPr fontId="1"/>
  </si>
  <si>
    <t>4/24-25</t>
    <phoneticPr fontId="1"/>
  </si>
  <si>
    <t>[AM1/20L] PDMC</t>
    <phoneticPr fontId="1"/>
  </si>
  <si>
    <t>2019/10/05 After 製造(Must)</t>
    <phoneticPr fontId="1"/>
  </si>
  <si>
    <t>414-UM1847</t>
    <phoneticPr fontId="1"/>
  </si>
  <si>
    <t>PO-000010</t>
    <phoneticPr fontId="1"/>
  </si>
  <si>
    <t>12</t>
  </si>
  <si>
    <t>13</t>
  </si>
  <si>
    <t>414-AM200</t>
    <phoneticPr fontId="1"/>
  </si>
  <si>
    <t>11/3以降</t>
    <phoneticPr fontId="1"/>
  </si>
  <si>
    <t>414-AM199</t>
    <phoneticPr fontId="1"/>
  </si>
  <si>
    <t>PTC</t>
    <phoneticPr fontId="33" type="noConversion"/>
  </si>
  <si>
    <t>PTCへ</t>
    <phoneticPr fontId="33" type="noConversion"/>
  </si>
  <si>
    <t>5/20(20)</t>
    <phoneticPr fontId="1"/>
  </si>
  <si>
    <t>5/27(4)</t>
    <phoneticPr fontId="1"/>
  </si>
  <si>
    <t xml:space="preserve"> </t>
    <phoneticPr fontId="1"/>
  </si>
  <si>
    <t>小名浜9/6 黒崎9/13着</t>
  </si>
  <si>
    <t>後倒し</t>
    <rPh sb="0" eb="1">
      <t>アト</t>
    </rPh>
    <rPh sb="1" eb="2">
      <t>ダオ</t>
    </rPh>
    <phoneticPr fontId="1"/>
  </si>
  <si>
    <t>11/27-28</t>
  </si>
  <si>
    <t>11/27-28</t>
    <phoneticPr fontId="1"/>
  </si>
  <si>
    <t>11/26</t>
    <phoneticPr fontId="1"/>
  </si>
  <si>
    <t>414-UM1848</t>
    <phoneticPr fontId="1"/>
  </si>
  <si>
    <t>010808080030</t>
    <phoneticPr fontId="1"/>
  </si>
  <si>
    <t>010808080030</t>
    <phoneticPr fontId="1"/>
  </si>
  <si>
    <t>11/19</t>
    <phoneticPr fontId="1"/>
  </si>
  <si>
    <t>10/2-3</t>
  </si>
  <si>
    <t>414-AM200</t>
  </si>
  <si>
    <t>[AM1/190L]UMC</t>
    <phoneticPr fontId="1"/>
  </si>
  <si>
    <t>414-UM1847</t>
  </si>
  <si>
    <t>11/20-21</t>
  </si>
  <si>
    <t>小名浜10/11 黒崎10/17着</t>
    <phoneticPr fontId="1"/>
  </si>
  <si>
    <t>小名浜11/7 黒崎11/14着</t>
    <phoneticPr fontId="1"/>
  </si>
  <si>
    <t>小名浜11/7 黒崎11/14着</t>
    <phoneticPr fontId="1"/>
  </si>
  <si>
    <t>小名浜10/24 黒崎10/30着</t>
    <phoneticPr fontId="1"/>
  </si>
  <si>
    <t>小名浜 9/26 黒崎10/3着</t>
    <phoneticPr fontId="1"/>
  </si>
  <si>
    <t>小名浜9/4 黒崎9/11着</t>
    <phoneticPr fontId="1"/>
  </si>
  <si>
    <t>414-HNO3007</t>
    <phoneticPr fontId="1"/>
  </si>
  <si>
    <t>9/10</t>
  </si>
  <si>
    <t>9/24</t>
  </si>
  <si>
    <t>PO-000044</t>
    <phoneticPr fontId="1"/>
  </si>
  <si>
    <t>[Si-C]PSI</t>
  </si>
  <si>
    <t>[Si-C]PSI</t>
    <phoneticPr fontId="1"/>
  </si>
  <si>
    <t>PO-000045</t>
  </si>
  <si>
    <t>PO-000049</t>
    <phoneticPr fontId="1"/>
  </si>
  <si>
    <t>PO-000050</t>
  </si>
  <si>
    <t>PO-000051</t>
    <phoneticPr fontId="1"/>
  </si>
  <si>
    <t>1週後倒し、申し訳ありません</t>
    <rPh sb="1" eb="2">
      <t>シュウ</t>
    </rPh>
    <rPh sb="2" eb="3">
      <t>アト</t>
    </rPh>
    <rPh sb="3" eb="4">
      <t>ダオ</t>
    </rPh>
    <rPh sb="6" eb="7">
      <t>モウ</t>
    </rPh>
    <rPh sb="8" eb="9">
      <t>ワケ</t>
    </rPh>
    <phoneticPr fontId="1"/>
  </si>
  <si>
    <t>1週後倒し、申し訳ありません</t>
    <phoneticPr fontId="1"/>
  </si>
  <si>
    <t>414-UM1837</t>
  </si>
  <si>
    <t>9/11-12</t>
  </si>
  <si>
    <t>1週後倒し、申し訳ありません</t>
    <phoneticPr fontId="1"/>
  </si>
  <si>
    <t>414-UM1832</t>
  </si>
  <si>
    <t>9/18-19</t>
  </si>
  <si>
    <t>HNO3007 不足分16本追加</t>
    <rPh sb="8" eb="11">
      <t>フソクブン</t>
    </rPh>
    <rPh sb="13" eb="14">
      <t>ホン</t>
    </rPh>
    <rPh sb="14" eb="16">
      <t>ツイカ</t>
    </rPh>
    <phoneticPr fontId="1"/>
  </si>
  <si>
    <t>16本不足　申し訳ありません</t>
    <rPh sb="2" eb="3">
      <t>ホン</t>
    </rPh>
    <rPh sb="3" eb="5">
      <t>フソク</t>
    </rPh>
    <rPh sb="6" eb="7">
      <t>モウ</t>
    </rPh>
    <rPh sb="8" eb="9">
      <t>ワケ</t>
    </rPh>
    <phoneticPr fontId="1"/>
  </si>
  <si>
    <t>小名浜9/6 黒崎9/11着</t>
    <phoneticPr fontId="1"/>
  </si>
  <si>
    <t>ETA 9/22へ変更</t>
    <rPh sb="9" eb="11">
      <t>ヘンコウ</t>
    </rPh>
    <phoneticPr fontId="1"/>
  </si>
  <si>
    <t>ETA 9/22へ変更</t>
    <phoneticPr fontId="1"/>
  </si>
  <si>
    <t>414-HNO3990</t>
    <phoneticPr fontId="1"/>
  </si>
  <si>
    <t>4/16</t>
    <phoneticPr fontId="1"/>
  </si>
  <si>
    <t>C21(40)C23(40)</t>
    <phoneticPr fontId="1"/>
  </si>
  <si>
    <t>2019/03/21 After製造(Must) FOR PTC</t>
    <phoneticPr fontId="1"/>
  </si>
  <si>
    <t>414-HNO3991</t>
    <phoneticPr fontId="1"/>
  </si>
  <si>
    <t>4/23</t>
    <phoneticPr fontId="1"/>
  </si>
  <si>
    <t>D05.D06.D08.D12</t>
    <phoneticPr fontId="1"/>
  </si>
  <si>
    <t>2019/03/28 After製造(Must) FOR UMC ※need with analysis report</t>
    <phoneticPr fontId="1"/>
  </si>
  <si>
    <t>C26(28)C27(28)C28(24)</t>
    <phoneticPr fontId="1"/>
  </si>
  <si>
    <t>2019/03/13 After製造(Must) FOR PTC</t>
    <phoneticPr fontId="1"/>
  </si>
  <si>
    <t>C28(4)C29(28)</t>
    <phoneticPr fontId="1"/>
  </si>
  <si>
    <t>2019/04/05 After製造(Must) FOR PTC</t>
    <phoneticPr fontId="1"/>
  </si>
  <si>
    <t>414-HNO3993</t>
    <phoneticPr fontId="1"/>
  </si>
  <si>
    <t>5/14</t>
    <phoneticPr fontId="1"/>
  </si>
  <si>
    <t>D17(8)D18(8)D23(40)D24(24)</t>
    <phoneticPr fontId="1"/>
  </si>
  <si>
    <t>2019/04/12 After製造(Must) FOR PTC</t>
    <phoneticPr fontId="1"/>
  </si>
  <si>
    <t>825(2)</t>
    <phoneticPr fontId="1"/>
  </si>
  <si>
    <t>HNO3 -- 40DM</t>
    <phoneticPr fontId="1"/>
  </si>
  <si>
    <t>D24(8)D25(32)</t>
    <phoneticPr fontId="1"/>
  </si>
  <si>
    <t>2019/04/13 After製造(Must) FOR PTC</t>
    <phoneticPr fontId="1"/>
  </si>
  <si>
    <t>D12(4)D13(24)D19(12)</t>
    <phoneticPr fontId="1"/>
  </si>
  <si>
    <t>2019/04/13 After製造(Must) FOR UMC ※need with analysis report</t>
    <phoneticPr fontId="1"/>
  </si>
  <si>
    <t>414-HNO3992</t>
    <phoneticPr fontId="1"/>
  </si>
  <si>
    <t>5/21</t>
    <phoneticPr fontId="1"/>
  </si>
  <si>
    <t>D25(8)D26(28)D29(24)E03(20)</t>
    <phoneticPr fontId="1"/>
  </si>
  <si>
    <t>2019/04/20 After製造(Must) FOR PTC</t>
    <phoneticPr fontId="1"/>
  </si>
  <si>
    <t>414-HNO3994</t>
    <phoneticPr fontId="1"/>
  </si>
  <si>
    <t>6/4</t>
    <phoneticPr fontId="1"/>
  </si>
  <si>
    <t>2019/05/09 After製造(Must) FOR PTC</t>
    <phoneticPr fontId="1"/>
  </si>
  <si>
    <t>827(2)</t>
    <phoneticPr fontId="1"/>
  </si>
  <si>
    <t>414-HNO3995</t>
    <phoneticPr fontId="1"/>
  </si>
  <si>
    <t>6/11</t>
    <phoneticPr fontId="1"/>
  </si>
  <si>
    <t>E03(8)E04(24)</t>
    <phoneticPr fontId="1"/>
  </si>
  <si>
    <t>2019/05/16 After製造(Must) FOR UMC ※need with analysis report</t>
    <phoneticPr fontId="1"/>
  </si>
  <si>
    <t>414-HNO3996</t>
    <phoneticPr fontId="1"/>
  </si>
  <si>
    <t>6/18</t>
    <phoneticPr fontId="1"/>
  </si>
  <si>
    <t>2019/05/23 After製造(Must) FOR PTC</t>
    <phoneticPr fontId="1"/>
  </si>
  <si>
    <t>830(2)</t>
    <phoneticPr fontId="1"/>
  </si>
  <si>
    <t>010804120031</t>
    <phoneticPr fontId="1"/>
  </si>
  <si>
    <t>E03(4)E04(20)</t>
    <phoneticPr fontId="1"/>
  </si>
  <si>
    <t>2019/04/24 After製造(Must) FOR PTC</t>
    <phoneticPr fontId="1"/>
  </si>
  <si>
    <t xml:space="preserve">[Nitric Acid for UMC] </t>
    <phoneticPr fontId="1"/>
  </si>
  <si>
    <t>D19(8)D20(20)D27(28)</t>
    <phoneticPr fontId="1"/>
  </si>
  <si>
    <t>010804120032</t>
    <phoneticPr fontId="1"/>
  </si>
  <si>
    <t>2019/05/15 After製造(Must) FOR PTC</t>
    <phoneticPr fontId="1"/>
  </si>
  <si>
    <t>HNO3 -- 160DM</t>
    <phoneticPr fontId="1"/>
  </si>
  <si>
    <t>414-HNO3998</t>
    <phoneticPr fontId="1"/>
  </si>
  <si>
    <t>6/25</t>
    <phoneticPr fontId="1"/>
  </si>
  <si>
    <t>2019/05/25 After製造(Must) FOR PTC</t>
    <phoneticPr fontId="1"/>
  </si>
  <si>
    <t>2019/05/17 After製造(Must) FOR UMC ※need with analysis report</t>
    <phoneticPr fontId="1"/>
  </si>
  <si>
    <t>414-HNO3999</t>
    <phoneticPr fontId="1"/>
  </si>
  <si>
    <t>7/2</t>
    <phoneticPr fontId="1"/>
  </si>
  <si>
    <t>2019/06/01 After製造(Must) FOR PTC</t>
    <phoneticPr fontId="1"/>
  </si>
  <si>
    <t>414-HNO3001</t>
    <phoneticPr fontId="1"/>
  </si>
  <si>
    <t>7/9</t>
    <phoneticPr fontId="1"/>
  </si>
  <si>
    <t>2019/06/4 After製造(Must) FOR PTC</t>
    <phoneticPr fontId="1"/>
  </si>
  <si>
    <t>414-HNO3002</t>
    <phoneticPr fontId="1"/>
  </si>
  <si>
    <t>7/16</t>
    <phoneticPr fontId="1"/>
  </si>
  <si>
    <t>2019/06/7 After製造(Must) FOR PTC</t>
    <phoneticPr fontId="1"/>
  </si>
  <si>
    <t>414-HNO3003</t>
    <phoneticPr fontId="1"/>
  </si>
  <si>
    <t>7/30</t>
    <phoneticPr fontId="1"/>
  </si>
  <si>
    <t>2019/06/19 After製造(Must) FOR UMC ※need with analysis report</t>
    <phoneticPr fontId="1"/>
  </si>
  <si>
    <t>414-HNO3004</t>
    <phoneticPr fontId="1"/>
  </si>
  <si>
    <t>8/6</t>
    <phoneticPr fontId="1"/>
  </si>
  <si>
    <t>2019/06/28 After製造(Must) FOR PTC</t>
    <phoneticPr fontId="1"/>
  </si>
  <si>
    <t>2019/06/27 After製造(Must) FOR UMC ※need with analysis report</t>
    <phoneticPr fontId="1"/>
  </si>
  <si>
    <t>2019/07/10 After製造(Must) FOR PTC</t>
    <phoneticPr fontId="1"/>
  </si>
  <si>
    <t>2019/07/17 After製造(Must) FOR PTC</t>
    <phoneticPr fontId="1"/>
  </si>
  <si>
    <t>2019/07/17 After製造(Must) FOR UMC ※need with analysis report</t>
    <phoneticPr fontId="1"/>
  </si>
  <si>
    <t>414-HNO3005</t>
    <phoneticPr fontId="1"/>
  </si>
  <si>
    <t>8/27</t>
    <phoneticPr fontId="1"/>
  </si>
  <si>
    <t>2019/08/01 After製造(Must) FOR PTC</t>
    <phoneticPr fontId="1"/>
  </si>
  <si>
    <t>844</t>
    <phoneticPr fontId="1"/>
  </si>
  <si>
    <t>414-HNO3007</t>
    <phoneticPr fontId="1"/>
  </si>
  <si>
    <t>2019/08/08 After製造(Must) FOR UMC ※need with analysis report</t>
    <phoneticPr fontId="1"/>
  </si>
  <si>
    <t>9/10</t>
    <phoneticPr fontId="1"/>
  </si>
  <si>
    <t>2019/08/16 After製造(Must) FOR PTC</t>
    <phoneticPr fontId="1"/>
  </si>
  <si>
    <t>9/24</t>
    <phoneticPr fontId="1"/>
  </si>
  <si>
    <t>2019/08/30 After製造(Must) FOR PTC</t>
    <phoneticPr fontId="1"/>
  </si>
  <si>
    <t>2019/09/05 After製造(Must) FOR UMC ※need with analysis report</t>
    <phoneticPr fontId="1"/>
  </si>
  <si>
    <t>414-HNO3009</t>
    <phoneticPr fontId="1"/>
  </si>
  <si>
    <t>10/1</t>
    <phoneticPr fontId="1"/>
  </si>
  <si>
    <t>2019/09/06 After製造(Must) FOR PTC</t>
    <phoneticPr fontId="1"/>
  </si>
  <si>
    <t>414-HNO3010</t>
    <phoneticPr fontId="1"/>
  </si>
  <si>
    <t>10/15</t>
    <phoneticPr fontId="1"/>
  </si>
  <si>
    <t>2019/09/20 After製造(Must) FOR PTC</t>
    <phoneticPr fontId="1"/>
  </si>
  <si>
    <t>414-HNO3011</t>
    <phoneticPr fontId="1"/>
  </si>
  <si>
    <t>10/22</t>
    <phoneticPr fontId="1"/>
  </si>
  <si>
    <t>2019/09/28 After製造(Must) FOR PTC</t>
    <phoneticPr fontId="1"/>
  </si>
  <si>
    <t>2019/09/19 After製造(Must) FOR UMC ※need with analysis report</t>
    <phoneticPr fontId="1"/>
  </si>
  <si>
    <t>010808080020</t>
    <phoneticPr fontId="1"/>
  </si>
  <si>
    <t>414-HNO3012</t>
    <phoneticPr fontId="1"/>
  </si>
  <si>
    <t>10/29</t>
    <phoneticPr fontId="1"/>
  </si>
  <si>
    <t>2019/10/03 After製造(Must) FOR PTC</t>
    <phoneticPr fontId="1"/>
  </si>
  <si>
    <t>010808080021</t>
    <phoneticPr fontId="1"/>
  </si>
  <si>
    <t>414-HNO3013</t>
    <phoneticPr fontId="1"/>
  </si>
  <si>
    <t>11/5</t>
    <phoneticPr fontId="1"/>
  </si>
  <si>
    <t>2019/10/09 After製造(Must) FOR UMC ※need with analysis report</t>
    <phoneticPr fontId="1"/>
  </si>
  <si>
    <t>010808080022</t>
    <phoneticPr fontId="1"/>
  </si>
  <si>
    <t>414-HNO3014</t>
    <phoneticPr fontId="1"/>
  </si>
  <si>
    <t>11/12</t>
    <phoneticPr fontId="1"/>
  </si>
  <si>
    <t>2019/10/16 After製造(Must) FOR PTC</t>
    <phoneticPr fontId="1"/>
  </si>
  <si>
    <t>010808080023</t>
    <phoneticPr fontId="1"/>
  </si>
  <si>
    <t>414-HNO3015</t>
    <phoneticPr fontId="1"/>
  </si>
  <si>
    <t>11/19</t>
    <phoneticPr fontId="1"/>
  </si>
  <si>
    <t>2019/10/23 After製造(Must) FOR PTC</t>
    <phoneticPr fontId="1"/>
  </si>
  <si>
    <t xml:space="preserve">[Nitric Acid for PTC] </t>
    <phoneticPr fontId="1"/>
  </si>
  <si>
    <t>010808080024</t>
    <phoneticPr fontId="1"/>
  </si>
  <si>
    <t>414-HNO3016</t>
    <phoneticPr fontId="1"/>
  </si>
  <si>
    <t>2019/10/31 After製造(Must) FOR PTC</t>
    <phoneticPr fontId="1"/>
  </si>
  <si>
    <t>010808130001</t>
    <phoneticPr fontId="1"/>
  </si>
  <si>
    <t>2019/10/24 After製造(Must) FOR UMC ※need with analysis report</t>
    <phoneticPr fontId="1"/>
  </si>
  <si>
    <t>010801280007</t>
    <phoneticPr fontId="1"/>
  </si>
  <si>
    <t>414-UM1802</t>
    <phoneticPr fontId="1"/>
  </si>
  <si>
    <t>4/17-18</t>
    <phoneticPr fontId="1"/>
  </si>
  <si>
    <t>2019/03/28 After 製造(Must) SPEC FOR NON-N20</t>
    <phoneticPr fontId="1"/>
  </si>
  <si>
    <t>414-UM1820</t>
    <phoneticPr fontId="1"/>
  </si>
  <si>
    <t>6/5-6</t>
    <phoneticPr fontId="1"/>
  </si>
  <si>
    <t>2019/05/14 After 製造(Must) SPEC FOR NON-N20</t>
    <phoneticPr fontId="1"/>
  </si>
  <si>
    <t>HCL</t>
    <phoneticPr fontId="1"/>
  </si>
  <si>
    <t>2019/06/06 After 製造(Must) SPEC FOR NON-N20</t>
    <phoneticPr fontId="1"/>
  </si>
  <si>
    <t>625(2)</t>
    <phoneticPr fontId="1"/>
  </si>
  <si>
    <t>414-UM1827</t>
    <phoneticPr fontId="1"/>
  </si>
  <si>
    <t>8/7-8</t>
    <phoneticPr fontId="1"/>
  </si>
  <si>
    <t>2019/07/17 After 製造(Must) SPEC FOR NON-N20</t>
    <phoneticPr fontId="1"/>
  </si>
  <si>
    <t>626</t>
    <phoneticPr fontId="1"/>
  </si>
  <si>
    <t>2019/08/06 After 製造(Must) SPEC FOR NON-N20</t>
    <phoneticPr fontId="1"/>
  </si>
  <si>
    <t>627</t>
    <phoneticPr fontId="1"/>
  </si>
  <si>
    <t>2019/09/05 After 製造(Must) SPEC FOR NON-N20</t>
    <phoneticPr fontId="1"/>
  </si>
  <si>
    <t>010808080028</t>
    <phoneticPr fontId="1"/>
  </si>
  <si>
    <t>414-UM1848</t>
    <phoneticPr fontId="1"/>
  </si>
  <si>
    <t>11/27-28</t>
    <phoneticPr fontId="1"/>
  </si>
  <si>
    <t>2019/11/01 After 製造(Must) SPEC FOR NON-N20</t>
    <phoneticPr fontId="1"/>
  </si>
  <si>
    <t>PO-000049</t>
    <phoneticPr fontId="1"/>
  </si>
  <si>
    <t>2019/09/24 After 製造(Must) SPEC FOR NON-N20</t>
    <phoneticPr fontId="1"/>
  </si>
  <si>
    <t>010710230010</t>
    <phoneticPr fontId="1"/>
  </si>
  <si>
    <t>414-UM1809</t>
    <phoneticPr fontId="1"/>
  </si>
  <si>
    <t>5/10-11</t>
    <phoneticPr fontId="1"/>
  </si>
  <si>
    <t>D22</t>
    <phoneticPr fontId="1"/>
  </si>
  <si>
    <t>2019/04/12 After 製造(Must)</t>
    <phoneticPr fontId="1"/>
  </si>
  <si>
    <t>151(2)</t>
    <phoneticPr fontId="1"/>
  </si>
  <si>
    <t>5/17-18</t>
    <phoneticPr fontId="1"/>
  </si>
  <si>
    <t>4/10-11</t>
    <phoneticPr fontId="1"/>
  </si>
  <si>
    <t>2019/03/22 After 製造(Must)</t>
    <phoneticPr fontId="1"/>
  </si>
  <si>
    <t>緩和しないでください</t>
    <phoneticPr fontId="1"/>
  </si>
  <si>
    <t>154</t>
    <phoneticPr fontId="1"/>
  </si>
  <si>
    <t>414-UM1822</t>
    <phoneticPr fontId="1"/>
  </si>
  <si>
    <t>5/29-30</t>
    <phoneticPr fontId="1"/>
  </si>
  <si>
    <t>2019/05/08 After 製造(Must)</t>
    <phoneticPr fontId="1"/>
  </si>
  <si>
    <t>154(2)</t>
    <phoneticPr fontId="1"/>
  </si>
  <si>
    <t>010805200003</t>
    <phoneticPr fontId="1"/>
  </si>
  <si>
    <t>2019/05/11 After 製造(Must)</t>
    <phoneticPr fontId="1"/>
  </si>
  <si>
    <t>414-UM1833</t>
    <phoneticPr fontId="1"/>
  </si>
  <si>
    <t>6/26-27</t>
    <phoneticPr fontId="1"/>
  </si>
  <si>
    <t>2019/06/06 After 製造(Must)</t>
    <phoneticPr fontId="1"/>
  </si>
  <si>
    <t>2019/06/28 After 製造(Must)</t>
    <phoneticPr fontId="1"/>
  </si>
  <si>
    <t>414-UM1834</t>
    <phoneticPr fontId="1"/>
  </si>
  <si>
    <t>7/31-8/1</t>
    <phoneticPr fontId="1"/>
  </si>
  <si>
    <t>2019/06/30 After 製造(Must)</t>
    <phoneticPr fontId="1"/>
  </si>
  <si>
    <t>2019/08/15 After 製造(Must)</t>
    <phoneticPr fontId="1"/>
  </si>
  <si>
    <t>1週後倒し、申し訳ありません</t>
    <phoneticPr fontId="1"/>
  </si>
  <si>
    <t>160(2)</t>
    <phoneticPr fontId="1"/>
  </si>
  <si>
    <t>414-UM1835</t>
    <phoneticPr fontId="1"/>
  </si>
  <si>
    <t>7/17-18</t>
    <phoneticPr fontId="1"/>
  </si>
  <si>
    <t>414-UM1841</t>
    <phoneticPr fontId="1"/>
  </si>
  <si>
    <t>10/9-10</t>
    <phoneticPr fontId="1"/>
  </si>
  <si>
    <t>2019/09/13 After 製造(Must)</t>
    <phoneticPr fontId="1"/>
  </si>
  <si>
    <t>414-UM1842</t>
    <phoneticPr fontId="1"/>
  </si>
  <si>
    <t>10/23-24</t>
    <phoneticPr fontId="1"/>
  </si>
  <si>
    <t>2019/09/27 After 製造(Must)</t>
    <phoneticPr fontId="1"/>
  </si>
  <si>
    <t>163(2)</t>
    <phoneticPr fontId="1"/>
  </si>
  <si>
    <t>414-UM1846</t>
    <phoneticPr fontId="1"/>
  </si>
  <si>
    <t>11/13-14</t>
    <phoneticPr fontId="1"/>
  </si>
  <si>
    <t>2019/10/16 After 製造(Must)</t>
    <phoneticPr fontId="1"/>
  </si>
  <si>
    <t>2019/11/01 After 製造(Must)</t>
    <phoneticPr fontId="1"/>
  </si>
  <si>
    <t xml:space="preserve">[Hydrochloric Acid for MMT] </t>
    <phoneticPr fontId="1"/>
  </si>
  <si>
    <t>1</t>
    <phoneticPr fontId="1"/>
  </si>
  <si>
    <t>GN DRUM, SAMPLE</t>
    <phoneticPr fontId="1"/>
  </si>
  <si>
    <t xml:space="preserve">[Hydrochloric Acid for SEHT] </t>
    <phoneticPr fontId="1"/>
  </si>
  <si>
    <t>010802210026</t>
    <phoneticPr fontId="1"/>
  </si>
  <si>
    <t>[Hydrochloric Acid for KINIK *20kg Packing*]</t>
    <phoneticPr fontId="1"/>
  </si>
  <si>
    <t>2019/02/28, After 製造 (Must)</t>
    <phoneticPr fontId="1"/>
  </si>
  <si>
    <t>4/3-4</t>
    <phoneticPr fontId="1"/>
  </si>
  <si>
    <t>2019/03/22, After 製造 (Must)</t>
    <phoneticPr fontId="1"/>
  </si>
  <si>
    <t>2019/04/22, After 製造 (Must)</t>
    <phoneticPr fontId="1"/>
  </si>
  <si>
    <t>2019/05/22, After 製造 (Must)</t>
    <phoneticPr fontId="1"/>
  </si>
  <si>
    <t>2019/06/06, After 製造 (Must)</t>
    <phoneticPr fontId="1"/>
  </si>
  <si>
    <t>128(2)</t>
    <phoneticPr fontId="1"/>
  </si>
  <si>
    <t>2019/06/27, After 製造 (Must)</t>
    <phoneticPr fontId="1"/>
  </si>
  <si>
    <t>010805210005</t>
    <phoneticPr fontId="1"/>
  </si>
  <si>
    <t>2019/07/17, After 製造 (Must)</t>
    <phoneticPr fontId="1"/>
  </si>
  <si>
    <t>414-UM1837</t>
    <phoneticPr fontId="1"/>
  </si>
  <si>
    <t>9/11-12</t>
    <phoneticPr fontId="1"/>
  </si>
  <si>
    <t>2019/08/16, After 製造 (Must)</t>
    <phoneticPr fontId="1"/>
  </si>
  <si>
    <t>414-UM1843</t>
    <phoneticPr fontId="1"/>
  </si>
  <si>
    <t>10/16-17</t>
    <phoneticPr fontId="1"/>
  </si>
  <si>
    <t>2019/09/19, After 製造 (Must)</t>
    <phoneticPr fontId="1"/>
  </si>
  <si>
    <t>2019/10/16, After 製造 (Must)</t>
    <phoneticPr fontId="1"/>
  </si>
  <si>
    <t>AM1</t>
    <phoneticPr fontId="1"/>
  </si>
  <si>
    <t>4/24-25</t>
    <phoneticPr fontId="1"/>
  </si>
  <si>
    <t>[AM1/20L] PDMC</t>
    <phoneticPr fontId="1"/>
  </si>
  <si>
    <t>126(2)</t>
    <phoneticPr fontId="1"/>
  </si>
  <si>
    <t>小名浜9/4 黒崎9/11着</t>
    <phoneticPr fontId="1"/>
  </si>
  <si>
    <t>小名浜10/24 黒崎10/30着</t>
    <phoneticPr fontId="1"/>
  </si>
  <si>
    <t>PO-000010</t>
    <phoneticPr fontId="1"/>
  </si>
  <si>
    <t>ETA 9/22へ変更</t>
    <phoneticPr fontId="1"/>
  </si>
  <si>
    <t>11/3以降</t>
    <phoneticPr fontId="1"/>
  </si>
  <si>
    <t>10/25以降</t>
    <phoneticPr fontId="1"/>
  </si>
  <si>
    <t>PTC</t>
    <phoneticPr fontId="33" type="noConversion"/>
  </si>
  <si>
    <t>PTCへ</t>
    <phoneticPr fontId="33" type="noConversion"/>
  </si>
  <si>
    <t>5/20(20)</t>
    <phoneticPr fontId="1"/>
  </si>
  <si>
    <t>5/27(4)</t>
    <phoneticPr fontId="1"/>
  </si>
  <si>
    <t xml:space="preserve"> </t>
    <phoneticPr fontId="1"/>
  </si>
  <si>
    <t>414-UM1847</t>
    <phoneticPr fontId="1"/>
  </si>
  <si>
    <t>12/4-5</t>
    <phoneticPr fontId="1"/>
  </si>
  <si>
    <t>414-UM1849</t>
    <phoneticPr fontId="1"/>
  </si>
  <si>
    <t>小名浜11/21 黒崎11/28着</t>
    <phoneticPr fontId="1"/>
  </si>
  <si>
    <t>納期変更、大変申し訳ありません</t>
    <rPh sb="0" eb="2">
      <t>ノウキ</t>
    </rPh>
    <rPh sb="2" eb="4">
      <t>ヘンコウ</t>
    </rPh>
    <rPh sb="5" eb="7">
      <t>タイヘン</t>
    </rPh>
    <rPh sb="7" eb="8">
      <t>モウ</t>
    </rPh>
    <rPh sb="9" eb="10">
      <t>ワケ</t>
    </rPh>
    <phoneticPr fontId="1"/>
  </si>
  <si>
    <t>REEFERコンテナ</t>
    <phoneticPr fontId="1"/>
  </si>
  <si>
    <t>PO-000045</t>
    <phoneticPr fontId="1"/>
  </si>
  <si>
    <t>10/23-24</t>
    <phoneticPr fontId="1"/>
  </si>
  <si>
    <t>PO-000044</t>
    <phoneticPr fontId="1"/>
  </si>
  <si>
    <t>PO-000050</t>
    <phoneticPr fontId="1"/>
  </si>
  <si>
    <t>010808080031</t>
    <phoneticPr fontId="1"/>
  </si>
  <si>
    <t>010808080032</t>
    <phoneticPr fontId="1"/>
  </si>
  <si>
    <t>11/27-28</t>
    <phoneticPr fontId="1"/>
  </si>
  <si>
    <t>前回出荷未了分、出荷調整中</t>
    <rPh sb="0" eb="2">
      <t>ゼンカイ</t>
    </rPh>
    <rPh sb="2" eb="4">
      <t>シュッカ</t>
    </rPh>
    <rPh sb="4" eb="6">
      <t>ミリョウ</t>
    </rPh>
    <rPh sb="6" eb="7">
      <t>ブン</t>
    </rPh>
    <rPh sb="8" eb="10">
      <t>シュッカ</t>
    </rPh>
    <rPh sb="10" eb="13">
      <t>チョウセイチュウ</t>
    </rPh>
    <phoneticPr fontId="1"/>
  </si>
  <si>
    <t>出荷調整中</t>
    <rPh sb="0" eb="2">
      <t>シュッカ</t>
    </rPh>
    <rPh sb="2" eb="5">
      <t>チョウセイチュウ</t>
    </rPh>
    <phoneticPr fontId="1"/>
  </si>
  <si>
    <t>0/25-26</t>
    <phoneticPr fontId="1"/>
  </si>
  <si>
    <t>10/16-17</t>
    <phoneticPr fontId="1"/>
  </si>
  <si>
    <t>9/25-26</t>
    <phoneticPr fontId="1"/>
  </si>
  <si>
    <t xml:space="preserve"> </t>
    <phoneticPr fontId="1"/>
  </si>
  <si>
    <t>5/27(4)</t>
    <phoneticPr fontId="1"/>
  </si>
  <si>
    <t>5/20(20)</t>
    <phoneticPr fontId="1"/>
  </si>
  <si>
    <t>PTCへ</t>
    <phoneticPr fontId="33" type="noConversion"/>
  </si>
  <si>
    <t>PTC</t>
    <phoneticPr fontId="33" type="noConversion"/>
  </si>
  <si>
    <r>
      <t>5</t>
    </r>
    <r>
      <rPr>
        <sz val="10"/>
        <rFont val="Arial"/>
        <family val="2"/>
      </rPr>
      <t>/20(</t>
    </r>
    <r>
      <rPr>
        <sz val="11"/>
        <color theme="1"/>
        <rFont val="新細明體"/>
        <family val="2"/>
        <charset val="128"/>
        <scheme val="minor"/>
      </rPr>
      <t>8</t>
    </r>
    <r>
      <rPr>
        <sz val="10"/>
        <rFont val="Arial"/>
        <family val="2"/>
      </rPr>
      <t>)</t>
    </r>
    <phoneticPr fontId="33" type="noConversion"/>
  </si>
  <si>
    <t>5/13(32)</t>
    <phoneticPr fontId="33" type="noConversion"/>
  </si>
  <si>
    <r>
      <t>U</t>
    </r>
    <r>
      <rPr>
        <sz val="10"/>
        <rFont val="Arial"/>
        <family val="2"/>
      </rPr>
      <t xml:space="preserve">MC </t>
    </r>
    <phoneticPr fontId="33" type="noConversion"/>
  </si>
  <si>
    <r>
      <t>5/13</t>
    </r>
    <r>
      <rPr>
        <sz val="10"/>
        <rFont val="Arial"/>
        <family val="2"/>
      </rPr>
      <t>(12)</t>
    </r>
    <phoneticPr fontId="33" type="noConversion"/>
  </si>
  <si>
    <t>個数</t>
    <phoneticPr fontId="33" type="noConversion"/>
  </si>
  <si>
    <t>数量</t>
    <phoneticPr fontId="33" type="noConversion"/>
  </si>
  <si>
    <t>PO-000340</t>
  </si>
  <si>
    <t>[MCX-2005 *200kg Packing*]UMC</t>
    <phoneticPr fontId="1"/>
  </si>
  <si>
    <t>10/25以降</t>
    <phoneticPr fontId="1"/>
  </si>
  <si>
    <t>11/20-21</t>
    <phoneticPr fontId="1"/>
  </si>
  <si>
    <t>414-AM199</t>
    <phoneticPr fontId="1"/>
  </si>
  <si>
    <t>REEFERコンテナ</t>
    <phoneticPr fontId="1"/>
  </si>
  <si>
    <t>10/23-24</t>
    <phoneticPr fontId="1"/>
  </si>
  <si>
    <t>414-AM197</t>
    <phoneticPr fontId="1"/>
  </si>
  <si>
    <t>[MCX-2005 *200kg Packing*]UMC</t>
    <phoneticPr fontId="1"/>
  </si>
  <si>
    <t>9/18-19</t>
    <phoneticPr fontId="1"/>
  </si>
  <si>
    <t>414-AM195</t>
    <phoneticPr fontId="1"/>
  </si>
  <si>
    <t>010806180025</t>
    <phoneticPr fontId="1"/>
  </si>
  <si>
    <t>11/3以降</t>
    <phoneticPr fontId="1"/>
  </si>
  <si>
    <t>11/27-28</t>
    <phoneticPr fontId="1"/>
  </si>
  <si>
    <t>414-AM200</t>
    <phoneticPr fontId="1"/>
  </si>
  <si>
    <t>9/19以降</t>
    <phoneticPr fontId="1"/>
  </si>
  <si>
    <t>10/16-17</t>
    <phoneticPr fontId="1"/>
  </si>
  <si>
    <t>414-AM198</t>
    <phoneticPr fontId="1"/>
  </si>
  <si>
    <t>7/25以降</t>
    <phoneticPr fontId="1"/>
  </si>
  <si>
    <t>8/21-22</t>
    <phoneticPr fontId="1"/>
  </si>
  <si>
    <t>414-AM193</t>
    <phoneticPr fontId="1"/>
  </si>
  <si>
    <t>010805160017</t>
    <phoneticPr fontId="1"/>
  </si>
  <si>
    <t>17</t>
    <phoneticPr fontId="1"/>
  </si>
  <si>
    <t>SI-C</t>
  </si>
  <si>
    <t>PO-000339</t>
  </si>
  <si>
    <t>14</t>
    <phoneticPr fontId="1"/>
  </si>
  <si>
    <t>小名浜11/21 黒崎11/28着</t>
    <phoneticPr fontId="1"/>
  </si>
  <si>
    <t>414-UM1849</t>
    <phoneticPr fontId="1"/>
  </si>
  <si>
    <t>SI-C</t>
    <phoneticPr fontId="1"/>
  </si>
  <si>
    <t>PO-000045</t>
    <phoneticPr fontId="1"/>
  </si>
  <si>
    <t>[Si-C]PSI</t>
    <phoneticPr fontId="1"/>
  </si>
  <si>
    <t>小名浜10/11 黒崎10/17着</t>
    <phoneticPr fontId="1"/>
  </si>
  <si>
    <t>PO-000044</t>
    <phoneticPr fontId="1"/>
  </si>
  <si>
    <t>小名浜 9/26 黒崎10/3着</t>
    <phoneticPr fontId="1"/>
  </si>
  <si>
    <t>10/9-10</t>
    <phoneticPr fontId="1"/>
  </si>
  <si>
    <t>11/6-7</t>
    <phoneticPr fontId="1"/>
  </si>
  <si>
    <t>010805160016</t>
    <phoneticPr fontId="1"/>
  </si>
  <si>
    <t>ETA 9/22へ変更</t>
    <phoneticPr fontId="1"/>
  </si>
  <si>
    <t>小名浜9/6 黒崎9/11着</t>
    <phoneticPr fontId="1"/>
  </si>
  <si>
    <t>PO-000010</t>
    <phoneticPr fontId="1"/>
  </si>
  <si>
    <t>9(2)</t>
    <phoneticPr fontId="1"/>
  </si>
  <si>
    <t>010805160015</t>
    <phoneticPr fontId="1"/>
  </si>
  <si>
    <t>日程変更ありがとうございました</t>
    <phoneticPr fontId="1"/>
  </si>
  <si>
    <t>9/4-5</t>
    <phoneticPr fontId="1"/>
  </si>
  <si>
    <t>414-UM1836</t>
    <phoneticPr fontId="1"/>
  </si>
  <si>
    <t>SI-C</t>
    <phoneticPr fontId="1"/>
  </si>
  <si>
    <t>010805020004</t>
    <phoneticPr fontId="1"/>
  </si>
  <si>
    <t>PO-000338</t>
  </si>
  <si>
    <t>42</t>
  </si>
  <si>
    <t>[Si-E]PSI</t>
    <phoneticPr fontId="1"/>
  </si>
  <si>
    <t>41</t>
  </si>
  <si>
    <t>40</t>
  </si>
  <si>
    <t>小名浜11/7 黒崎11/14着</t>
    <phoneticPr fontId="1"/>
  </si>
  <si>
    <t>11/20-21</t>
    <phoneticPr fontId="1"/>
  </si>
  <si>
    <t>414-UM1847</t>
    <phoneticPr fontId="1"/>
  </si>
  <si>
    <t>010808080032</t>
    <phoneticPr fontId="1"/>
  </si>
  <si>
    <t>[Si-E]PSI</t>
    <phoneticPr fontId="1"/>
  </si>
  <si>
    <t>小名浜10/24 黒崎10/30着</t>
    <phoneticPr fontId="1"/>
  </si>
  <si>
    <t>010808080031</t>
    <phoneticPr fontId="1"/>
  </si>
  <si>
    <t>FOR PSI</t>
    <phoneticPr fontId="1"/>
  </si>
  <si>
    <t>010808080030</t>
    <phoneticPr fontId="1"/>
  </si>
  <si>
    <t>10/23-24</t>
    <phoneticPr fontId="1"/>
  </si>
  <si>
    <t>小名浜8/29 黒崎9/5着</t>
    <phoneticPr fontId="1"/>
  </si>
  <si>
    <t>9/11-12</t>
    <phoneticPr fontId="1"/>
  </si>
  <si>
    <t>414-UM1837</t>
    <phoneticPr fontId="1"/>
  </si>
  <si>
    <t>9/25-26</t>
    <phoneticPr fontId="1"/>
  </si>
  <si>
    <t>414-UM1839</t>
    <phoneticPr fontId="1"/>
  </si>
  <si>
    <t>小名浜9/4 黒崎9/11着</t>
    <phoneticPr fontId="1"/>
  </si>
  <si>
    <t>414-UM1832</t>
    <phoneticPr fontId="1"/>
  </si>
  <si>
    <t>010805160014</t>
    <phoneticPr fontId="1"/>
  </si>
  <si>
    <t>8/7-8</t>
    <phoneticPr fontId="1"/>
  </si>
  <si>
    <t>010805160013</t>
    <phoneticPr fontId="1"/>
  </si>
  <si>
    <t>11/14以降</t>
    <phoneticPr fontId="1"/>
  </si>
  <si>
    <t>PO-000332</t>
  </si>
  <si>
    <t>127</t>
    <phoneticPr fontId="1"/>
  </si>
  <si>
    <t>[Ｆ-MIX *240kg packing*]NANYA</t>
  </si>
  <si>
    <t>10/24以降</t>
    <phoneticPr fontId="1"/>
  </si>
  <si>
    <t>414-UM1847</t>
    <phoneticPr fontId="1"/>
  </si>
  <si>
    <t>PO-000331</t>
  </si>
  <si>
    <t>126(2)</t>
    <phoneticPr fontId="1"/>
  </si>
  <si>
    <t>[Ｆ-MIX *240kg packing*]NANYA</t>
    <phoneticPr fontId="1"/>
  </si>
  <si>
    <t>11/20-21</t>
    <phoneticPr fontId="1"/>
  </si>
  <si>
    <t>9/26以降</t>
    <phoneticPr fontId="1"/>
  </si>
  <si>
    <t>10/23-24</t>
    <phoneticPr fontId="1"/>
  </si>
  <si>
    <t>[Ｆ-MIX *240kg packing*]NANYA</t>
    <phoneticPr fontId="1"/>
  </si>
  <si>
    <t>8/8以降</t>
    <phoneticPr fontId="1"/>
  </si>
  <si>
    <t>7/26以降</t>
    <phoneticPr fontId="1"/>
  </si>
  <si>
    <t>2019/11/05 After 製造(Must)</t>
    <phoneticPr fontId="1"/>
  </si>
  <si>
    <t>AM1</t>
    <phoneticPr fontId="1"/>
  </si>
  <si>
    <t>PO-000330</t>
    <phoneticPr fontId="1"/>
  </si>
  <si>
    <t>[AM1/190L]UMC</t>
    <phoneticPr fontId="1"/>
  </si>
  <si>
    <t>2019/10/05 After 製造(Must)</t>
    <phoneticPr fontId="1"/>
  </si>
  <si>
    <t>AM1</t>
    <phoneticPr fontId="1"/>
  </si>
  <si>
    <t>PO-000051</t>
    <phoneticPr fontId="1"/>
  </si>
  <si>
    <t>[AM1/190L]UMC</t>
    <phoneticPr fontId="1"/>
  </si>
  <si>
    <t>2019/09/09 After 製造(Must)</t>
    <phoneticPr fontId="1"/>
  </si>
  <si>
    <t>2019/07/26 After 製造(Must)</t>
    <phoneticPr fontId="1"/>
  </si>
  <si>
    <t>9/18-19</t>
    <phoneticPr fontId="1"/>
  </si>
  <si>
    <t>414-AM195</t>
    <phoneticPr fontId="1"/>
  </si>
  <si>
    <t>2019/06/26 After 製造(Must)</t>
    <phoneticPr fontId="1"/>
  </si>
  <si>
    <t>2019/09/17 After 製造(Must)</t>
    <phoneticPr fontId="1"/>
  </si>
  <si>
    <t>[AM1/20L] PDMC</t>
    <phoneticPr fontId="1"/>
  </si>
  <si>
    <t>2019/04/12 After 製造(Must)</t>
    <phoneticPr fontId="1"/>
  </si>
  <si>
    <t>4/24-25</t>
    <phoneticPr fontId="1"/>
  </si>
  <si>
    <t>2019/11/14, After 製造 (Must)</t>
    <phoneticPr fontId="1"/>
  </si>
  <si>
    <t>HCL</t>
    <phoneticPr fontId="1"/>
  </si>
  <si>
    <t>PO-000329</t>
  </si>
  <si>
    <t>134</t>
  </si>
  <si>
    <t>[Hydrochloric Acid for KINIK *20kg Packing*]</t>
    <phoneticPr fontId="1"/>
  </si>
  <si>
    <t>2019/10/16, After 製造 (Must)</t>
    <phoneticPr fontId="1"/>
  </si>
  <si>
    <t>11/13-14</t>
    <phoneticPr fontId="1"/>
  </si>
  <si>
    <t>414-UM1846</t>
    <phoneticPr fontId="1"/>
  </si>
  <si>
    <t>HCL</t>
    <phoneticPr fontId="1"/>
  </si>
  <si>
    <t>[Hydrochloric Acid for KINIK *20kg Packing*]</t>
    <phoneticPr fontId="1"/>
  </si>
  <si>
    <t>2019/09/19, After 製造 (Must)</t>
    <phoneticPr fontId="1"/>
  </si>
  <si>
    <t>10/16-17</t>
    <phoneticPr fontId="1"/>
  </si>
  <si>
    <t>414-UM1843</t>
    <phoneticPr fontId="1"/>
  </si>
  <si>
    <t>2019/08/16, After 製造 (Must)</t>
    <phoneticPr fontId="1"/>
  </si>
  <si>
    <t>2019/07/17, After 製造 (Must)</t>
    <phoneticPr fontId="1"/>
  </si>
  <si>
    <t>8/7-8</t>
    <phoneticPr fontId="1"/>
  </si>
  <si>
    <t>010805210005</t>
    <phoneticPr fontId="1"/>
  </si>
  <si>
    <t>2019/09/27 After 製造(Must)</t>
    <phoneticPr fontId="1"/>
  </si>
  <si>
    <t xml:space="preserve">[Hydrochloric Acid for SEHT] </t>
    <phoneticPr fontId="1"/>
  </si>
  <si>
    <t>2019/06/30 After 製造(Must)</t>
    <phoneticPr fontId="1"/>
  </si>
  <si>
    <t>7/31-8/1</t>
    <phoneticPr fontId="1"/>
  </si>
  <si>
    <t>414-UM1834</t>
    <phoneticPr fontId="1"/>
  </si>
  <si>
    <t>GN DRUM, SAMPLE</t>
    <phoneticPr fontId="1"/>
  </si>
  <si>
    <t>1</t>
    <phoneticPr fontId="1"/>
  </si>
  <si>
    <t xml:space="preserve">[Hydrochloric Acid for MMT] </t>
    <phoneticPr fontId="1"/>
  </si>
  <si>
    <t>2019/11/22 After 製造(Must)</t>
    <phoneticPr fontId="1"/>
  </si>
  <si>
    <t>PO-000335</t>
    <phoneticPr fontId="1"/>
  </si>
  <si>
    <t>166</t>
  </si>
  <si>
    <t>2019/11/01 After 製造(Must)</t>
    <phoneticPr fontId="1"/>
  </si>
  <si>
    <t>414-UM1848</t>
    <phoneticPr fontId="1"/>
  </si>
  <si>
    <t>2019/10/16 After 製造(Must)</t>
    <phoneticPr fontId="1"/>
  </si>
  <si>
    <t>11/13-14</t>
    <phoneticPr fontId="1"/>
  </si>
  <si>
    <t>414-UM1846</t>
    <phoneticPr fontId="1"/>
  </si>
  <si>
    <t>2019/09/27 After 製造(Must)</t>
    <phoneticPr fontId="1"/>
  </si>
  <si>
    <t>PO-000333</t>
  </si>
  <si>
    <t>163(2)</t>
    <phoneticPr fontId="1"/>
  </si>
  <si>
    <t>414-UM1842</t>
    <phoneticPr fontId="1"/>
  </si>
  <si>
    <t>2019/09/13 After 製造(Must)</t>
    <phoneticPr fontId="1"/>
  </si>
  <si>
    <t>414-UM1841</t>
    <phoneticPr fontId="1"/>
  </si>
  <si>
    <t>7/17-18</t>
    <phoneticPr fontId="1"/>
  </si>
  <si>
    <t>414-UM1835</t>
    <phoneticPr fontId="1"/>
  </si>
  <si>
    <t>1週後倒し、申し訳ありません</t>
    <phoneticPr fontId="1"/>
  </si>
  <si>
    <t>2019/08/15 After 製造(Must)</t>
    <phoneticPr fontId="1"/>
  </si>
  <si>
    <t>160(2)</t>
    <phoneticPr fontId="1"/>
  </si>
  <si>
    <t>2019/11/15 After 製造(Must) SPEC FOR NON-N20</t>
    <phoneticPr fontId="1"/>
  </si>
  <si>
    <t>PO-000334</t>
  </si>
  <si>
    <t>631</t>
  </si>
  <si>
    <t>2019/09/24 After 製造(Must) SPEC FOR NON-N20</t>
    <phoneticPr fontId="1"/>
  </si>
  <si>
    <t>PO-000050</t>
    <phoneticPr fontId="1"/>
  </si>
  <si>
    <t>0/25-26</t>
    <phoneticPr fontId="1"/>
  </si>
  <si>
    <t>PO-000049</t>
    <phoneticPr fontId="1"/>
  </si>
  <si>
    <t>2019/11/01 After 製造(Must) SPEC FOR NON-N20</t>
    <phoneticPr fontId="1"/>
  </si>
  <si>
    <t>11/27-28</t>
    <phoneticPr fontId="1"/>
  </si>
  <si>
    <t>414-UM1848</t>
    <phoneticPr fontId="1"/>
  </si>
  <si>
    <t>010808080028</t>
    <phoneticPr fontId="1"/>
  </si>
  <si>
    <t>2019/09/05 After 製造(Must) SPEC FOR NON-N20</t>
    <phoneticPr fontId="1"/>
  </si>
  <si>
    <t>0/25-26</t>
    <phoneticPr fontId="1"/>
  </si>
  <si>
    <t>414-UM1840</t>
    <phoneticPr fontId="1"/>
  </si>
  <si>
    <t>627</t>
    <phoneticPr fontId="1"/>
  </si>
  <si>
    <t>2019/08/06 After 製造(Must) SPEC FOR NON-N20</t>
    <phoneticPr fontId="1"/>
  </si>
  <si>
    <t>626</t>
    <phoneticPr fontId="1"/>
  </si>
  <si>
    <t>414-UM1827</t>
    <phoneticPr fontId="1"/>
  </si>
  <si>
    <t>2019/07/17 After 製造(Must) SPEC FOR NON-N20</t>
    <phoneticPr fontId="1"/>
  </si>
  <si>
    <t>625(2)</t>
    <phoneticPr fontId="1"/>
  </si>
  <si>
    <t>2019/11/29 After製造(Must) FOR PTC</t>
    <phoneticPr fontId="1"/>
  </si>
  <si>
    <t>PO-000328</t>
  </si>
  <si>
    <t>863</t>
  </si>
  <si>
    <t xml:space="preserve">[Nitric Acid for PTC] </t>
    <phoneticPr fontId="1"/>
  </si>
  <si>
    <t>2019/11/22 After製造(Must) FOR UMC ※need with analysis report</t>
    <phoneticPr fontId="1"/>
  </si>
  <si>
    <t>HNO3 --40DM</t>
    <phoneticPr fontId="1"/>
  </si>
  <si>
    <t>PO-000327</t>
  </si>
  <si>
    <t>862</t>
  </si>
  <si>
    <t>2019/11/22 After製造(Must) FOR PTC</t>
    <phoneticPr fontId="1"/>
  </si>
  <si>
    <t>PO-000326</t>
  </si>
  <si>
    <t>861</t>
  </si>
  <si>
    <t>2019/11/15 After製造(Must) FOR UMC ※need with analysis report</t>
    <phoneticPr fontId="1"/>
  </si>
  <si>
    <t>PO-000325</t>
  </si>
  <si>
    <t>860</t>
  </si>
  <si>
    <t>2019/11/15 After製造(Must) FOR PTC</t>
    <phoneticPr fontId="1"/>
  </si>
  <si>
    <t>HNO3 --120DM</t>
    <phoneticPr fontId="1"/>
  </si>
  <si>
    <t>PO-000324</t>
  </si>
  <si>
    <t>859</t>
  </si>
  <si>
    <t>2019/11/08 After製造(Must) FOR PTC</t>
    <phoneticPr fontId="1"/>
  </si>
  <si>
    <t>PO-000323</t>
  </si>
  <si>
    <t>858</t>
  </si>
  <si>
    <t>2019/10/24 After製造(Must) FOR UMC ※need with analysis report</t>
    <phoneticPr fontId="1"/>
  </si>
  <si>
    <t>11/19</t>
    <phoneticPr fontId="1"/>
  </si>
  <si>
    <t>414-HNO3015</t>
    <phoneticPr fontId="1"/>
  </si>
  <si>
    <t>010808130001</t>
    <phoneticPr fontId="1"/>
  </si>
  <si>
    <t>2019/10/31 After製造(Must) FOR PTC</t>
    <phoneticPr fontId="1"/>
  </si>
  <si>
    <t>414-HNO3016</t>
    <phoneticPr fontId="1"/>
  </si>
  <si>
    <t>010808080024</t>
    <phoneticPr fontId="1"/>
  </si>
  <si>
    <t>2019/10/23 After製造(Must) FOR PTC</t>
    <phoneticPr fontId="1"/>
  </si>
  <si>
    <t>010808080023</t>
    <phoneticPr fontId="1"/>
  </si>
  <si>
    <t>2019/10/16 After製造(Must) FOR PTC</t>
    <phoneticPr fontId="1"/>
  </si>
  <si>
    <t>11/12</t>
    <phoneticPr fontId="1"/>
  </si>
  <si>
    <t>414-HNO3014</t>
    <phoneticPr fontId="1"/>
  </si>
  <si>
    <t>010808080022</t>
    <phoneticPr fontId="1"/>
  </si>
  <si>
    <t>2019/10/09 After製造(Must) FOR UMC ※need with analysis report</t>
    <phoneticPr fontId="1"/>
  </si>
  <si>
    <t>11/5</t>
    <phoneticPr fontId="1"/>
  </si>
  <si>
    <t>414-HNO3013</t>
    <phoneticPr fontId="1"/>
  </si>
  <si>
    <t>010808080021</t>
    <phoneticPr fontId="1"/>
  </si>
  <si>
    <t>2019/10/03 After製造(Must) FOR PTC</t>
    <phoneticPr fontId="1"/>
  </si>
  <si>
    <t>10/29</t>
    <phoneticPr fontId="1"/>
  </si>
  <si>
    <t>414-HNO3012</t>
    <phoneticPr fontId="1"/>
  </si>
  <si>
    <t>010808080020</t>
    <phoneticPr fontId="1"/>
  </si>
  <si>
    <t>2019/09/19 After製造(Must) FOR UMC ※need with analysis report</t>
    <phoneticPr fontId="1"/>
  </si>
  <si>
    <t>10/15</t>
    <phoneticPr fontId="1"/>
  </si>
  <si>
    <t>414-HNO3010</t>
    <phoneticPr fontId="1"/>
  </si>
  <si>
    <t>2019/09/28 After製造(Must) FOR PTC</t>
    <phoneticPr fontId="1"/>
  </si>
  <si>
    <t>414-HNO3011</t>
    <phoneticPr fontId="1"/>
  </si>
  <si>
    <t>2019/09/20 After製造(Must) FOR PTC</t>
    <phoneticPr fontId="1"/>
  </si>
  <si>
    <t>2019/09/06 After製造(Must) FOR PTC</t>
    <phoneticPr fontId="1"/>
  </si>
  <si>
    <t>10/1</t>
    <phoneticPr fontId="1"/>
  </si>
  <si>
    <t>414-HNO3009</t>
    <phoneticPr fontId="1"/>
  </si>
  <si>
    <t>2019/09/05 After製造(Must) FOR UMC ※need with analysis report</t>
    <phoneticPr fontId="1"/>
  </si>
  <si>
    <t>2019/08/30 After製造(Must) FOR PTC</t>
    <phoneticPr fontId="1"/>
  </si>
  <si>
    <t>9/24</t>
    <phoneticPr fontId="1"/>
  </si>
  <si>
    <t>2019/08/16 After製造(Must) FOR PTC</t>
    <phoneticPr fontId="1"/>
  </si>
  <si>
    <t>9/10</t>
    <phoneticPr fontId="1"/>
  </si>
  <si>
    <t>2019/08/08 After製造(Must) FOR UMC ※need with analysis report</t>
    <phoneticPr fontId="1"/>
  </si>
  <si>
    <t>414-HNO3007</t>
    <phoneticPr fontId="1"/>
  </si>
  <si>
    <t>844</t>
    <phoneticPr fontId="1"/>
  </si>
  <si>
    <t>2019/08/01 After製造(Must) FOR PTC</t>
    <phoneticPr fontId="1"/>
  </si>
  <si>
    <t>8/27</t>
    <phoneticPr fontId="1"/>
  </si>
  <si>
    <t>414-HNO3005</t>
    <phoneticPr fontId="1"/>
  </si>
  <si>
    <t>2019/07/17 After製造(Must) FOR UMC ※need with analysis report</t>
    <phoneticPr fontId="1"/>
  </si>
  <si>
    <t>8/6</t>
    <phoneticPr fontId="1"/>
  </si>
  <si>
    <t>414-HNO3004</t>
    <phoneticPr fontId="1"/>
  </si>
  <si>
    <t>2019/07/17 After製造(Must) FOR PTC</t>
    <phoneticPr fontId="1"/>
  </si>
  <si>
    <t>2019/07/10 After製造(Must) FOR PTC</t>
    <phoneticPr fontId="1"/>
  </si>
  <si>
    <t>2019/06/27 After製造(Must) FOR UMC ※need with analysis report</t>
    <phoneticPr fontId="1"/>
  </si>
  <si>
    <t>HNO3 -- 40DM</t>
    <phoneticPr fontId="1"/>
  </si>
  <si>
    <t>2019/06/28 After製造(Must) FOR PTC</t>
    <phoneticPr fontId="1"/>
  </si>
  <si>
    <t>Coment</t>
    <phoneticPr fontId="1"/>
  </si>
  <si>
    <t xml:space="preserve">Sample </t>
    <phoneticPr fontId="1"/>
  </si>
  <si>
    <t>LOT</t>
    <phoneticPr fontId="1"/>
  </si>
  <si>
    <t>Request</t>
    <phoneticPr fontId="1"/>
  </si>
  <si>
    <t>Container Type</t>
    <phoneticPr fontId="1"/>
  </si>
  <si>
    <t>Item</t>
    <phoneticPr fontId="1"/>
  </si>
  <si>
    <t>Issued Date</t>
    <phoneticPr fontId="1"/>
  </si>
  <si>
    <t>No</t>
    <phoneticPr fontId="1"/>
  </si>
  <si>
    <t>414-HNO3015</t>
    <phoneticPr fontId="1"/>
  </si>
  <si>
    <t>414-HNO3017</t>
    <phoneticPr fontId="1"/>
  </si>
  <si>
    <t>414-HNO3018</t>
  </si>
  <si>
    <t>414-HNO3018</t>
    <phoneticPr fontId="1"/>
  </si>
  <si>
    <t>414-HNO3019</t>
  </si>
  <si>
    <t>414-HNO3020</t>
  </si>
  <si>
    <t>12/11-12</t>
  </si>
  <si>
    <t>12/11-12</t>
    <phoneticPr fontId="1"/>
  </si>
  <si>
    <t>12/18-19</t>
    <phoneticPr fontId="1"/>
  </si>
  <si>
    <t>12/25-26</t>
    <phoneticPr fontId="1"/>
  </si>
  <si>
    <t>11/27-28</t>
    <phoneticPr fontId="1"/>
  </si>
  <si>
    <t>1/15-16</t>
    <phoneticPr fontId="1"/>
  </si>
  <si>
    <t>12/3</t>
    <phoneticPr fontId="1"/>
  </si>
  <si>
    <t>12/10</t>
    <phoneticPr fontId="1"/>
  </si>
  <si>
    <t>12/17</t>
    <phoneticPr fontId="1"/>
  </si>
  <si>
    <t>12/24</t>
    <phoneticPr fontId="1"/>
  </si>
  <si>
    <t>414-UM1850</t>
    <phoneticPr fontId="1"/>
  </si>
  <si>
    <t>414-UM1851</t>
    <phoneticPr fontId="1"/>
  </si>
  <si>
    <t>414-UM1852</t>
    <phoneticPr fontId="1"/>
  </si>
  <si>
    <t>414-UM1853</t>
    <phoneticPr fontId="1"/>
  </si>
  <si>
    <t>414-AM201</t>
    <phoneticPr fontId="1"/>
  </si>
  <si>
    <t>414-AM202</t>
    <phoneticPr fontId="1"/>
  </si>
  <si>
    <t>PO-000336</t>
    <phoneticPr fontId="1"/>
  </si>
  <si>
    <t>PO-000337</t>
    <phoneticPr fontId="1"/>
  </si>
  <si>
    <t>10/18
⇒10/11</t>
    <phoneticPr fontId="1"/>
  </si>
  <si>
    <t>10/22
⇒10/15</t>
    <phoneticPr fontId="1"/>
  </si>
  <si>
    <t>2019/10/27
⇒10/20</t>
    <phoneticPr fontId="1"/>
  </si>
  <si>
    <t>１週前倒し可能でしょうか？</t>
    <rPh sb="1" eb="2">
      <t>シュウ</t>
    </rPh>
    <rPh sb="2" eb="4">
      <t>マエダオ</t>
    </rPh>
    <rPh sb="5" eb="7">
      <t>カノウ</t>
    </rPh>
    <phoneticPr fontId="1"/>
  </si>
  <si>
    <t>計画中</t>
    <rPh sb="0" eb="3">
      <t>ケイカクチュウ</t>
    </rPh>
    <phoneticPr fontId="1"/>
  </si>
  <si>
    <t>No</t>
    <phoneticPr fontId="1"/>
  </si>
  <si>
    <t>Issued Date</t>
    <phoneticPr fontId="1"/>
  </si>
  <si>
    <t>Item</t>
    <phoneticPr fontId="1"/>
  </si>
  <si>
    <t>Container Type</t>
    <phoneticPr fontId="1"/>
  </si>
  <si>
    <t>Request</t>
    <phoneticPr fontId="1"/>
  </si>
  <si>
    <t>LOT</t>
    <phoneticPr fontId="1"/>
  </si>
  <si>
    <t xml:space="preserve">Sample </t>
    <phoneticPr fontId="1"/>
  </si>
  <si>
    <t>Coment</t>
    <phoneticPr fontId="1"/>
  </si>
  <si>
    <t>HNO3 -- 40DM</t>
    <phoneticPr fontId="1"/>
  </si>
  <si>
    <t>414-HNO3004</t>
    <phoneticPr fontId="1"/>
  </si>
  <si>
    <t>8/6</t>
    <phoneticPr fontId="1"/>
  </si>
  <si>
    <t>2019/06/28 After製造(Must) FOR PTC</t>
    <phoneticPr fontId="1"/>
  </si>
  <si>
    <t>HNO3 -- 40DM</t>
    <phoneticPr fontId="1"/>
  </si>
  <si>
    <t>2019/06/27 After製造(Must) FOR UMC ※need with analysis report</t>
    <phoneticPr fontId="1"/>
  </si>
  <si>
    <t>2019/07/10 After製造(Must) FOR PTC</t>
    <phoneticPr fontId="1"/>
  </si>
  <si>
    <t>2019/07/17 After製造(Must) FOR PTC</t>
    <phoneticPr fontId="1"/>
  </si>
  <si>
    <t>2019/07/17 After製造(Must) FOR UMC ※need with analysis report</t>
    <phoneticPr fontId="1"/>
  </si>
  <si>
    <t>414-HNO3005</t>
    <phoneticPr fontId="1"/>
  </si>
  <si>
    <t>8/27</t>
    <phoneticPr fontId="1"/>
  </si>
  <si>
    <t>2019/08/01 After製造(Must) FOR PTC</t>
    <phoneticPr fontId="1"/>
  </si>
  <si>
    <t>844</t>
    <phoneticPr fontId="1"/>
  </si>
  <si>
    <t>414-HNO3007</t>
    <phoneticPr fontId="1"/>
  </si>
  <si>
    <t>2019/08/08 After製造(Must) FOR UMC ※need with analysis report</t>
    <phoneticPr fontId="1"/>
  </si>
  <si>
    <t>9/10</t>
    <phoneticPr fontId="1"/>
  </si>
  <si>
    <t>2019/08/16 After製造(Must) FOR PTC</t>
    <phoneticPr fontId="1"/>
  </si>
  <si>
    <t>9/24</t>
    <phoneticPr fontId="1"/>
  </si>
  <si>
    <t>2019/08/30 After製造(Must) FOR PTC</t>
    <phoneticPr fontId="1"/>
  </si>
  <si>
    <t>2019/09/05 After製造(Must) FOR UMC ※need with analysis report</t>
    <phoneticPr fontId="1"/>
  </si>
  <si>
    <t>414-HNO3009</t>
    <phoneticPr fontId="1"/>
  </si>
  <si>
    <t>10/1</t>
    <phoneticPr fontId="1"/>
  </si>
  <si>
    <t>2019/09/06 After製造(Must) FOR PTC</t>
    <phoneticPr fontId="1"/>
  </si>
  <si>
    <t>414-HNO3010</t>
    <phoneticPr fontId="1"/>
  </si>
  <si>
    <t>10/15</t>
    <phoneticPr fontId="1"/>
  </si>
  <si>
    <t>2019/09/20 After製造(Must) FOR PTC</t>
    <phoneticPr fontId="1"/>
  </si>
  <si>
    <t>414-HNO3011</t>
    <phoneticPr fontId="1"/>
  </si>
  <si>
    <t>10/22</t>
    <phoneticPr fontId="1"/>
  </si>
  <si>
    <t>2019/09/28 After製造(Must) FOR PTC</t>
    <phoneticPr fontId="1"/>
  </si>
  <si>
    <t>010808080020</t>
    <phoneticPr fontId="1"/>
  </si>
  <si>
    <t>414-HNO3012</t>
    <phoneticPr fontId="1"/>
  </si>
  <si>
    <t>10/29</t>
    <phoneticPr fontId="1"/>
  </si>
  <si>
    <t>2019/10/03 After製造(Must) FOR PTC</t>
    <phoneticPr fontId="1"/>
  </si>
  <si>
    <t>010808080021</t>
    <phoneticPr fontId="1"/>
  </si>
  <si>
    <t>414-HNO3013</t>
    <phoneticPr fontId="1"/>
  </si>
  <si>
    <t>11/5</t>
    <phoneticPr fontId="1"/>
  </si>
  <si>
    <t>2019/10/09 After製造(Must) FOR UMC ※need with analysis report</t>
    <phoneticPr fontId="1"/>
  </si>
  <si>
    <t>010808080022</t>
    <phoneticPr fontId="1"/>
  </si>
  <si>
    <t>414-HNO3014</t>
    <phoneticPr fontId="1"/>
  </si>
  <si>
    <t>11/12</t>
    <phoneticPr fontId="1"/>
  </si>
  <si>
    <t>2019/10/16 After製造(Must) FOR PTC</t>
    <phoneticPr fontId="1"/>
  </si>
  <si>
    <t>010808080023</t>
    <phoneticPr fontId="1"/>
  </si>
  <si>
    <t>414-HNO3015</t>
    <phoneticPr fontId="1"/>
  </si>
  <si>
    <t>11/19</t>
    <phoneticPr fontId="1"/>
  </si>
  <si>
    <t>2019/10/23 After製造(Must) FOR PTC</t>
    <phoneticPr fontId="1"/>
  </si>
  <si>
    <t xml:space="preserve">[Nitric Acid for PTC] </t>
    <phoneticPr fontId="1"/>
  </si>
  <si>
    <t>010808080024</t>
    <phoneticPr fontId="1"/>
  </si>
  <si>
    <t>414-HNO3016</t>
    <phoneticPr fontId="1"/>
  </si>
  <si>
    <t>11/27-28</t>
    <phoneticPr fontId="1"/>
  </si>
  <si>
    <t>2019/10/31 After製造(Must) FOR PTC</t>
    <phoneticPr fontId="1"/>
  </si>
  <si>
    <t>010808130001</t>
    <phoneticPr fontId="1"/>
  </si>
  <si>
    <t>2019/10/24 After製造(Must) FOR UMC ※need with analysis report</t>
    <phoneticPr fontId="1"/>
  </si>
  <si>
    <t>414-HNO3017</t>
    <phoneticPr fontId="1"/>
  </si>
  <si>
    <t>12/3</t>
    <phoneticPr fontId="1"/>
  </si>
  <si>
    <t>2019/11/08 After製造(Must) FOR PTC</t>
    <phoneticPr fontId="1"/>
  </si>
  <si>
    <t>HNO3 --120DM</t>
    <phoneticPr fontId="1"/>
  </si>
  <si>
    <t>414-HNO3018</t>
    <phoneticPr fontId="1"/>
  </si>
  <si>
    <t>12/10</t>
    <phoneticPr fontId="1"/>
  </si>
  <si>
    <t>2019/11/15 After製造(Must) FOR PTC</t>
    <phoneticPr fontId="1"/>
  </si>
  <si>
    <t>HNO3 --40DM</t>
    <phoneticPr fontId="1"/>
  </si>
  <si>
    <t>2019/11/15 After製造(Must) FOR UMC ※need with analysis report</t>
    <phoneticPr fontId="1"/>
  </si>
  <si>
    <t>12/17</t>
    <phoneticPr fontId="1"/>
  </si>
  <si>
    <t>2019/11/22 After製造(Must) FOR PTC</t>
    <phoneticPr fontId="1"/>
  </si>
  <si>
    <t>2019/11/22 After製造(Must) FOR UMC ※need with analysis report</t>
    <phoneticPr fontId="1"/>
  </si>
  <si>
    <t>12/24</t>
    <phoneticPr fontId="1"/>
  </si>
  <si>
    <t>2019/11/29 After製造(Must) FOR PTC</t>
    <phoneticPr fontId="1"/>
  </si>
  <si>
    <t>625(2)</t>
    <phoneticPr fontId="1"/>
  </si>
  <si>
    <t>HCL</t>
    <phoneticPr fontId="1"/>
  </si>
  <si>
    <t>414-UM1827</t>
    <phoneticPr fontId="1"/>
  </si>
  <si>
    <t>8/7-8</t>
    <phoneticPr fontId="1"/>
  </si>
  <si>
    <t>2019/07/17 After 製造(Must) SPEC FOR NON-N20</t>
    <phoneticPr fontId="1"/>
  </si>
  <si>
    <t>626</t>
    <phoneticPr fontId="1"/>
  </si>
  <si>
    <t>2019/08/06 After 製造(Must) SPEC FOR NON-N20</t>
    <phoneticPr fontId="1"/>
  </si>
  <si>
    <t>627</t>
    <phoneticPr fontId="1"/>
  </si>
  <si>
    <t>414-UM1840</t>
    <phoneticPr fontId="1"/>
  </si>
  <si>
    <t>0/25-26</t>
    <phoneticPr fontId="1"/>
  </si>
  <si>
    <t>2019/09/05 After 製造(Must) SPEC FOR NON-N20</t>
    <phoneticPr fontId="1"/>
  </si>
  <si>
    <t>010808080028</t>
    <phoneticPr fontId="1"/>
  </si>
  <si>
    <t>414-UM1848</t>
    <phoneticPr fontId="1"/>
  </si>
  <si>
    <t>2019/11/01 After 製造(Must) SPEC FOR NON-N20</t>
    <phoneticPr fontId="1"/>
  </si>
  <si>
    <t>PO-000049</t>
    <phoneticPr fontId="1"/>
  </si>
  <si>
    <t>PO-000050</t>
    <phoneticPr fontId="1"/>
  </si>
  <si>
    <t>10/23-24</t>
    <phoneticPr fontId="1"/>
  </si>
  <si>
    <t>2019/09/24 After 製造(Must) SPEC FOR NON-N20</t>
    <phoneticPr fontId="1"/>
  </si>
  <si>
    <t>HCL</t>
    <phoneticPr fontId="1"/>
  </si>
  <si>
    <t>414-UM1851</t>
    <phoneticPr fontId="1"/>
  </si>
  <si>
    <t>12/11-12</t>
    <phoneticPr fontId="1"/>
  </si>
  <si>
    <t>2019/11/15 After 製造(Must) SPEC FOR NON-N20</t>
    <phoneticPr fontId="1"/>
  </si>
  <si>
    <t>2019/08/15 After 製造(Must)</t>
    <phoneticPr fontId="1"/>
  </si>
  <si>
    <t>1週後倒し、申し訳ありません</t>
    <phoneticPr fontId="1"/>
  </si>
  <si>
    <t>160(2)</t>
    <phoneticPr fontId="1"/>
  </si>
  <si>
    <t>414-UM1835</t>
    <phoneticPr fontId="1"/>
  </si>
  <si>
    <t>7/17-18</t>
    <phoneticPr fontId="1"/>
  </si>
  <si>
    <t>414-UM1841</t>
    <phoneticPr fontId="1"/>
  </si>
  <si>
    <t>10/9-10</t>
    <phoneticPr fontId="1"/>
  </si>
  <si>
    <t>2019/09/13 After 製造(Must)</t>
    <phoneticPr fontId="1"/>
  </si>
  <si>
    <t>414-UM1842</t>
    <phoneticPr fontId="1"/>
  </si>
  <si>
    <t>10/23-24</t>
    <phoneticPr fontId="1"/>
  </si>
  <si>
    <t>2019/09/27 After 製造(Must)</t>
    <phoneticPr fontId="1"/>
  </si>
  <si>
    <t>163(2)</t>
    <phoneticPr fontId="1"/>
  </si>
  <si>
    <t>414-UM1846</t>
    <phoneticPr fontId="1"/>
  </si>
  <si>
    <t>11/13-14</t>
    <phoneticPr fontId="1"/>
  </si>
  <si>
    <t>2019/10/16 After 製造(Must)</t>
    <phoneticPr fontId="1"/>
  </si>
  <si>
    <t>2019/11/01 After 製造(Must)</t>
    <phoneticPr fontId="1"/>
  </si>
  <si>
    <t>PO-000335</t>
    <phoneticPr fontId="1"/>
  </si>
  <si>
    <t>414-UM1852</t>
    <phoneticPr fontId="1"/>
  </si>
  <si>
    <t>12/18-19</t>
    <phoneticPr fontId="1"/>
  </si>
  <si>
    <t>2019/11/22 After 製造(Must)</t>
    <phoneticPr fontId="1"/>
  </si>
  <si>
    <t xml:space="preserve">[Hydrochloric Acid for MMT] </t>
    <phoneticPr fontId="1"/>
  </si>
  <si>
    <t>1</t>
    <phoneticPr fontId="1"/>
  </si>
  <si>
    <t>GN DRUM, SAMPLE</t>
    <phoneticPr fontId="1"/>
  </si>
  <si>
    <t xml:space="preserve">[Hydrochloric Acid for SEHT] </t>
    <phoneticPr fontId="1"/>
  </si>
  <si>
    <t>414-UM1834</t>
    <phoneticPr fontId="1"/>
  </si>
  <si>
    <t>7/31-8/1</t>
    <phoneticPr fontId="1"/>
  </si>
  <si>
    <t>2019/06/30 After 製造(Must)</t>
    <phoneticPr fontId="1"/>
  </si>
  <si>
    <t>2019/09/27 After 製造(Must)</t>
    <phoneticPr fontId="1"/>
  </si>
  <si>
    <t>[Hydrochloric Acid for KINIK *20kg Packing*]</t>
    <phoneticPr fontId="1"/>
  </si>
  <si>
    <t>010805210005</t>
    <phoneticPr fontId="1"/>
  </si>
  <si>
    <t>2019/07/17, After 製造 (Must)</t>
    <phoneticPr fontId="1"/>
  </si>
  <si>
    <t>414-UM1837</t>
    <phoneticPr fontId="1"/>
  </si>
  <si>
    <t>9/11-12</t>
    <phoneticPr fontId="1"/>
  </si>
  <si>
    <t>2019/08/16, After 製造 (Must)</t>
    <phoneticPr fontId="1"/>
  </si>
  <si>
    <t>414-UM1843</t>
    <phoneticPr fontId="1"/>
  </si>
  <si>
    <t>10/16-17</t>
    <phoneticPr fontId="1"/>
  </si>
  <si>
    <t>2019/09/19, After 製造 (Must)</t>
    <phoneticPr fontId="1"/>
  </si>
  <si>
    <t>414-UM1846</t>
    <phoneticPr fontId="1"/>
  </si>
  <si>
    <t>11/13-14</t>
    <phoneticPr fontId="1"/>
  </si>
  <si>
    <t>2019/10/16, After 製造 (Must)</t>
    <phoneticPr fontId="1"/>
  </si>
  <si>
    <t>414-UM1851</t>
    <phoneticPr fontId="1"/>
  </si>
  <si>
    <t>12/11-12</t>
    <phoneticPr fontId="1"/>
  </si>
  <si>
    <t>2019/11/14, After 製造 (Must)</t>
    <phoneticPr fontId="1"/>
  </si>
  <si>
    <t>AM1</t>
    <phoneticPr fontId="1"/>
  </si>
  <si>
    <t>4/24-25</t>
    <phoneticPr fontId="1"/>
  </si>
  <si>
    <t>2019/04/12 After 製造(Must)</t>
    <phoneticPr fontId="1"/>
  </si>
  <si>
    <t>[AM1/20L] PDMC</t>
    <phoneticPr fontId="1"/>
  </si>
  <si>
    <t>414-AM198</t>
    <phoneticPr fontId="1"/>
  </si>
  <si>
    <t>2019/09/17 After 製造(Must)</t>
    <phoneticPr fontId="1"/>
  </si>
  <si>
    <t>[AM1/190L]UMC</t>
    <phoneticPr fontId="1"/>
  </si>
  <si>
    <t>414-AM193</t>
    <phoneticPr fontId="1"/>
  </si>
  <si>
    <t>8/21-22</t>
    <phoneticPr fontId="1"/>
  </si>
  <si>
    <t>2019/06/26 After 製造(Must)</t>
    <phoneticPr fontId="1"/>
  </si>
  <si>
    <t>414-AM195</t>
    <phoneticPr fontId="1"/>
  </si>
  <si>
    <t>9/18-19</t>
    <phoneticPr fontId="1"/>
  </si>
  <si>
    <t>2019/07/26 After 製造(Must)</t>
    <phoneticPr fontId="1"/>
  </si>
  <si>
    <t>414-AM198</t>
    <phoneticPr fontId="1"/>
  </si>
  <si>
    <t>2019/09/09 After 製造(Must)</t>
    <phoneticPr fontId="1"/>
  </si>
  <si>
    <t>[AM1/190L]UMC</t>
    <phoneticPr fontId="1"/>
  </si>
  <si>
    <t>PO-000051</t>
    <phoneticPr fontId="1"/>
  </si>
  <si>
    <t>AM1</t>
    <phoneticPr fontId="1"/>
  </si>
  <si>
    <t>2019/10/05 After 製造(Must)</t>
    <phoneticPr fontId="1"/>
  </si>
  <si>
    <t>PO-000330</t>
    <phoneticPr fontId="1"/>
  </si>
  <si>
    <t>414-AM202</t>
    <phoneticPr fontId="1"/>
  </si>
  <si>
    <t>12/25-26</t>
    <phoneticPr fontId="1"/>
  </si>
  <si>
    <t>2019/11/05 After 製造(Must)</t>
    <phoneticPr fontId="1"/>
  </si>
  <si>
    <t>[Ｆ-MIX *240kg packing*]NANYA</t>
    <phoneticPr fontId="1"/>
  </si>
  <si>
    <t>7/26以降</t>
    <phoneticPr fontId="1"/>
  </si>
  <si>
    <t>414-UM1836</t>
    <phoneticPr fontId="1"/>
  </si>
  <si>
    <t>9/4-5</t>
    <phoneticPr fontId="1"/>
  </si>
  <si>
    <t>8/8以降</t>
    <phoneticPr fontId="1"/>
  </si>
  <si>
    <t>9/26以降</t>
    <phoneticPr fontId="1"/>
  </si>
  <si>
    <t>414-UM1847</t>
    <phoneticPr fontId="1"/>
  </si>
  <si>
    <t>11/20-21</t>
    <phoneticPr fontId="1"/>
  </si>
  <si>
    <t>10/24以降</t>
    <phoneticPr fontId="1"/>
  </si>
  <si>
    <t>126(2)</t>
    <phoneticPr fontId="1"/>
  </si>
  <si>
    <t>127</t>
    <phoneticPr fontId="1"/>
  </si>
  <si>
    <t>11/14以降</t>
    <phoneticPr fontId="1"/>
  </si>
  <si>
    <t>[Si-E]PSI</t>
    <phoneticPr fontId="1"/>
  </si>
  <si>
    <t>010805160013</t>
    <phoneticPr fontId="1"/>
  </si>
  <si>
    <t>010805160014</t>
    <phoneticPr fontId="1"/>
  </si>
  <si>
    <t>414-UM1832</t>
    <phoneticPr fontId="1"/>
  </si>
  <si>
    <t>小名浜9/4 黒崎9/11着</t>
    <phoneticPr fontId="1"/>
  </si>
  <si>
    <t>[Si-E]PSI</t>
    <phoneticPr fontId="1"/>
  </si>
  <si>
    <t>414-UM1839</t>
    <phoneticPr fontId="1"/>
  </si>
  <si>
    <t>9/25-26</t>
    <phoneticPr fontId="1"/>
  </si>
  <si>
    <t>414-UM1837</t>
    <phoneticPr fontId="1"/>
  </si>
  <si>
    <t>9/11-12</t>
    <phoneticPr fontId="1"/>
  </si>
  <si>
    <t>小名浜8/29 黒崎9/5着</t>
    <phoneticPr fontId="1"/>
  </si>
  <si>
    <t>10/9-10</t>
    <phoneticPr fontId="1"/>
  </si>
  <si>
    <t>小名浜 9/26 黒崎10/3着</t>
    <phoneticPr fontId="1"/>
  </si>
  <si>
    <t>FOR PSI</t>
    <phoneticPr fontId="1"/>
  </si>
  <si>
    <t>10/16-17</t>
    <phoneticPr fontId="1"/>
  </si>
  <si>
    <t>10/23-24</t>
    <phoneticPr fontId="1"/>
  </si>
  <si>
    <t>010808080030</t>
    <phoneticPr fontId="1"/>
  </si>
  <si>
    <t>FOR PSI</t>
    <phoneticPr fontId="1"/>
  </si>
  <si>
    <t>010808080031</t>
    <phoneticPr fontId="1"/>
  </si>
  <si>
    <t>414-UM1844</t>
    <phoneticPr fontId="1"/>
  </si>
  <si>
    <t>11/6-7</t>
    <phoneticPr fontId="1"/>
  </si>
  <si>
    <t>小名浜10/24 黒崎10/30着</t>
    <phoneticPr fontId="1"/>
  </si>
  <si>
    <t>010808080032</t>
    <phoneticPr fontId="1"/>
  </si>
  <si>
    <t>小名浜11/7 黒崎11/14着</t>
    <phoneticPr fontId="1"/>
  </si>
  <si>
    <t>PO-000336</t>
    <phoneticPr fontId="1"/>
  </si>
  <si>
    <t>414-UM1850</t>
    <phoneticPr fontId="1"/>
  </si>
  <si>
    <t>PO-000337</t>
    <phoneticPr fontId="1"/>
  </si>
  <si>
    <t>414-UM1853</t>
    <phoneticPr fontId="1"/>
  </si>
  <si>
    <t>1/15-16</t>
    <phoneticPr fontId="1"/>
  </si>
  <si>
    <t>43</t>
  </si>
  <si>
    <t>010805020004</t>
    <phoneticPr fontId="1"/>
  </si>
  <si>
    <t>SI-C</t>
    <phoneticPr fontId="1"/>
  </si>
  <si>
    <t>日程変更ありがとうございました</t>
    <phoneticPr fontId="1"/>
  </si>
  <si>
    <t>[Si-C]PSI</t>
    <phoneticPr fontId="1"/>
  </si>
  <si>
    <t>010805160015</t>
    <phoneticPr fontId="1"/>
  </si>
  <si>
    <t>小名浜9/6 黒崎9/11着</t>
    <phoneticPr fontId="1"/>
  </si>
  <si>
    <t>9(2)</t>
    <phoneticPr fontId="1"/>
  </si>
  <si>
    <t>PO-000010</t>
    <phoneticPr fontId="1"/>
  </si>
  <si>
    <t>ETA 9/22へ変更</t>
    <phoneticPr fontId="1"/>
  </si>
  <si>
    <t>010805160016</t>
    <phoneticPr fontId="1"/>
  </si>
  <si>
    <t>10/9-10</t>
    <phoneticPr fontId="1"/>
  </si>
  <si>
    <t>小名浜 9/26 黒崎10/3着</t>
    <phoneticPr fontId="1"/>
  </si>
  <si>
    <t>PO-000044</t>
    <phoneticPr fontId="1"/>
  </si>
  <si>
    <t>小名浜10/11 黒崎10/17着</t>
    <phoneticPr fontId="1"/>
  </si>
  <si>
    <t>PO-000045</t>
    <phoneticPr fontId="1"/>
  </si>
  <si>
    <t>414-UM1849</t>
    <phoneticPr fontId="1"/>
  </si>
  <si>
    <t>12/4-5</t>
    <phoneticPr fontId="1"/>
  </si>
  <si>
    <t>小名浜11/21 黒崎11/28着</t>
    <phoneticPr fontId="1"/>
  </si>
  <si>
    <t>14</t>
    <phoneticPr fontId="1"/>
  </si>
  <si>
    <t>17</t>
    <phoneticPr fontId="1"/>
  </si>
  <si>
    <t>010805160017</t>
    <phoneticPr fontId="1"/>
  </si>
  <si>
    <t>7/25以降</t>
    <phoneticPr fontId="1"/>
  </si>
  <si>
    <t>9/19以降</t>
    <phoneticPr fontId="1"/>
  </si>
  <si>
    <t>414-AM200</t>
    <phoneticPr fontId="1"/>
  </si>
  <si>
    <t>11/3以降</t>
    <phoneticPr fontId="1"/>
  </si>
  <si>
    <t>[MCX-2005 *200kg Packing*]UMC</t>
    <phoneticPr fontId="1"/>
  </si>
  <si>
    <t>010806180025</t>
    <phoneticPr fontId="1"/>
  </si>
  <si>
    <t>414-AM197</t>
    <phoneticPr fontId="1"/>
  </si>
  <si>
    <t>REEFERコンテナ</t>
    <phoneticPr fontId="1"/>
  </si>
  <si>
    <t>[MCX-2005 *200kg Packing*]UMC</t>
    <phoneticPr fontId="1"/>
  </si>
  <si>
    <t>414-AM199</t>
    <phoneticPr fontId="1"/>
  </si>
  <si>
    <t>11/20-21</t>
    <phoneticPr fontId="1"/>
  </si>
  <si>
    <t>10/25以降</t>
    <phoneticPr fontId="1"/>
  </si>
  <si>
    <t>414-AM201</t>
    <phoneticPr fontId="1"/>
  </si>
  <si>
    <t>数量</t>
    <phoneticPr fontId="33" type="noConversion"/>
  </si>
  <si>
    <t>個数</t>
    <phoneticPr fontId="33" type="noConversion"/>
  </si>
  <si>
    <r>
      <t>U</t>
    </r>
    <r>
      <rPr>
        <sz val="10"/>
        <rFont val="Arial"/>
        <family val="2"/>
      </rPr>
      <t xml:space="preserve">MC </t>
    </r>
    <phoneticPr fontId="33" type="noConversion"/>
  </si>
  <si>
    <r>
      <t>5/13</t>
    </r>
    <r>
      <rPr>
        <sz val="10"/>
        <rFont val="Arial"/>
        <family val="2"/>
      </rPr>
      <t>(12)</t>
    </r>
    <phoneticPr fontId="33" type="noConversion"/>
  </si>
  <si>
    <r>
      <t>5</t>
    </r>
    <r>
      <rPr>
        <sz val="10"/>
        <rFont val="Arial"/>
        <family val="2"/>
      </rPr>
      <t>/20(</t>
    </r>
    <r>
      <rPr>
        <sz val="11"/>
        <color theme="1"/>
        <rFont val="新細明體"/>
        <family val="2"/>
        <charset val="128"/>
        <scheme val="minor"/>
      </rPr>
      <t>8</t>
    </r>
    <r>
      <rPr>
        <sz val="10"/>
        <rFont val="Arial"/>
        <family val="2"/>
      </rPr>
      <t>)</t>
    </r>
    <phoneticPr fontId="33" type="noConversion"/>
  </si>
  <si>
    <t>PTC</t>
    <phoneticPr fontId="33" type="noConversion"/>
  </si>
  <si>
    <t>5/13(32)</t>
    <phoneticPr fontId="33" type="noConversion"/>
  </si>
  <si>
    <t>PTCへ</t>
    <phoneticPr fontId="33" type="noConversion"/>
  </si>
  <si>
    <t>PTC</t>
    <phoneticPr fontId="33" type="noConversion"/>
  </si>
  <si>
    <t>PTCへ</t>
    <phoneticPr fontId="33" type="noConversion"/>
  </si>
  <si>
    <t>5/20(20)</t>
    <phoneticPr fontId="1"/>
  </si>
  <si>
    <t>5/27(4)</t>
    <phoneticPr fontId="1"/>
  </si>
  <si>
    <t xml:space="preserve"> </t>
    <phoneticPr fontId="1"/>
  </si>
  <si>
    <t>12/25-26</t>
    <phoneticPr fontId="1"/>
  </si>
  <si>
    <t>11/13-14</t>
    <phoneticPr fontId="1"/>
  </si>
  <si>
    <t>414-UM1846</t>
    <phoneticPr fontId="1"/>
  </si>
  <si>
    <t>PO-000661</t>
    <phoneticPr fontId="1"/>
  </si>
  <si>
    <t>414-UM1854</t>
    <phoneticPr fontId="1"/>
  </si>
  <si>
    <t>PO-000660</t>
    <phoneticPr fontId="1"/>
  </si>
  <si>
    <t>414-UM1840</t>
    <phoneticPr fontId="1"/>
  </si>
  <si>
    <t>10/4-5</t>
    <phoneticPr fontId="1"/>
  </si>
  <si>
    <t>10/9-10</t>
  </si>
  <si>
    <t>11/13-14</t>
    <phoneticPr fontId="1"/>
  </si>
  <si>
    <t>414-UM1843</t>
    <phoneticPr fontId="1"/>
  </si>
  <si>
    <t>414-UM1846</t>
    <phoneticPr fontId="1"/>
  </si>
  <si>
    <t>414-UM1844</t>
    <phoneticPr fontId="1"/>
  </si>
  <si>
    <t>*</t>
    <phoneticPr fontId="1"/>
  </si>
  <si>
    <t>*</t>
    <phoneticPr fontId="1"/>
  </si>
  <si>
    <t>No</t>
    <phoneticPr fontId="1"/>
  </si>
  <si>
    <t>Issued Date</t>
    <phoneticPr fontId="1"/>
  </si>
  <si>
    <t>Item</t>
    <phoneticPr fontId="1"/>
  </si>
  <si>
    <t>Container Type</t>
    <phoneticPr fontId="1"/>
  </si>
  <si>
    <t>Request</t>
    <phoneticPr fontId="1"/>
  </si>
  <si>
    <t>LOT</t>
    <phoneticPr fontId="1"/>
  </si>
  <si>
    <t xml:space="preserve">Sample </t>
    <phoneticPr fontId="1"/>
  </si>
  <si>
    <t>Coment</t>
    <phoneticPr fontId="1"/>
  </si>
  <si>
    <t>HNO3 -- 40DM</t>
    <phoneticPr fontId="1"/>
  </si>
  <si>
    <t>414-HNO3004</t>
    <phoneticPr fontId="1"/>
  </si>
  <si>
    <t>8/6</t>
    <phoneticPr fontId="1"/>
  </si>
  <si>
    <t>2019/06/28 After製造(Must) FOR PTC</t>
    <phoneticPr fontId="1"/>
  </si>
  <si>
    <t>2019/06/27 After製造(Must) FOR UMC ※need with analysis report</t>
    <phoneticPr fontId="1"/>
  </si>
  <si>
    <t>2019/07/10 After製造(Must) FOR PTC</t>
    <phoneticPr fontId="1"/>
  </si>
  <si>
    <t>2019/07/17 After製造(Must) FOR PTC</t>
    <phoneticPr fontId="1"/>
  </si>
  <si>
    <t>2019/07/17 After製造(Must) FOR UMC ※need with analysis report</t>
    <phoneticPr fontId="1"/>
  </si>
  <si>
    <t>414-HNO3005</t>
    <phoneticPr fontId="1"/>
  </si>
  <si>
    <t>8/27</t>
    <phoneticPr fontId="1"/>
  </si>
  <si>
    <t>2019/08/01 After製造(Must) FOR PTC</t>
    <phoneticPr fontId="1"/>
  </si>
  <si>
    <t>844</t>
    <phoneticPr fontId="1"/>
  </si>
  <si>
    <t>414-HNO3007</t>
    <phoneticPr fontId="1"/>
  </si>
  <si>
    <t>2019/08/08 After製造(Must) FOR UMC ※need with analysis report</t>
    <phoneticPr fontId="1"/>
  </si>
  <si>
    <t>9/10</t>
    <phoneticPr fontId="1"/>
  </si>
  <si>
    <t>2019/08/16 After製造(Must) FOR PTC</t>
    <phoneticPr fontId="1"/>
  </si>
  <si>
    <t>9/24</t>
    <phoneticPr fontId="1"/>
  </si>
  <si>
    <t>2019/08/30 After製造(Must) FOR PTC</t>
    <phoneticPr fontId="1"/>
  </si>
  <si>
    <t>2019/09/05 After製造(Must) FOR UMC ※need with analysis report</t>
    <phoneticPr fontId="1"/>
  </si>
  <si>
    <t>414-HNO3009</t>
    <phoneticPr fontId="1"/>
  </si>
  <si>
    <t>10/1</t>
    <phoneticPr fontId="1"/>
  </si>
  <si>
    <t>2019/09/06 After製造(Must) FOR PTC</t>
    <phoneticPr fontId="1"/>
  </si>
  <si>
    <t>414-HNO3010</t>
    <phoneticPr fontId="1"/>
  </si>
  <si>
    <t>10/15</t>
    <phoneticPr fontId="1"/>
  </si>
  <si>
    <t>2019/09/20 After製造(Must) FOR PTC</t>
    <phoneticPr fontId="1"/>
  </si>
  <si>
    <t>2019/09/28 After製造(Must) FOR PTC</t>
    <phoneticPr fontId="1"/>
  </si>
  <si>
    <t>2019/09/19 After製造(Must) FOR UMC ※need with analysis report</t>
    <phoneticPr fontId="1"/>
  </si>
  <si>
    <t>010808080020</t>
    <phoneticPr fontId="1"/>
  </si>
  <si>
    <t>414-HNO3012</t>
    <phoneticPr fontId="1"/>
  </si>
  <si>
    <t>10/29</t>
    <phoneticPr fontId="1"/>
  </si>
  <si>
    <t>2019/09/24 After 製造(Must) SPEC FOR NON-N20</t>
    <phoneticPr fontId="1"/>
  </si>
  <si>
    <t>HCL</t>
    <phoneticPr fontId="1"/>
  </si>
  <si>
    <t>414-UM1851</t>
    <phoneticPr fontId="1"/>
  </si>
  <si>
    <t>12/11-12</t>
    <phoneticPr fontId="1"/>
  </si>
  <si>
    <t>2019/11/15 After 製造(Must) SPEC FOR NON-N20</t>
    <phoneticPr fontId="1"/>
  </si>
  <si>
    <t>HCL</t>
    <phoneticPr fontId="1"/>
  </si>
  <si>
    <t>2019/08/15 After 製造(Must)</t>
    <phoneticPr fontId="1"/>
  </si>
  <si>
    <t>1週後倒し、申し訳ありません</t>
    <phoneticPr fontId="1"/>
  </si>
  <si>
    <t>160(2)</t>
    <phoneticPr fontId="1"/>
  </si>
  <si>
    <t>414-UM1835</t>
    <phoneticPr fontId="1"/>
  </si>
  <si>
    <t>7/17-18</t>
    <phoneticPr fontId="1"/>
  </si>
  <si>
    <t>414-UM1841</t>
    <phoneticPr fontId="1"/>
  </si>
  <si>
    <t>10/9-10</t>
    <phoneticPr fontId="1"/>
  </si>
  <si>
    <t>2019/09/13 After 製造(Must)</t>
    <phoneticPr fontId="1"/>
  </si>
  <si>
    <t>2019/09/27 After 製造(Must)</t>
    <phoneticPr fontId="1"/>
  </si>
  <si>
    <t>163(2)</t>
    <phoneticPr fontId="1"/>
  </si>
  <si>
    <t>11/13-14</t>
    <phoneticPr fontId="1"/>
  </si>
  <si>
    <t>2019/10/16 After 製造(Must)</t>
    <phoneticPr fontId="1"/>
  </si>
  <si>
    <t>11/27-28</t>
    <phoneticPr fontId="1"/>
  </si>
  <si>
    <t>2019/11/01 After 製造(Must)</t>
    <phoneticPr fontId="1"/>
  </si>
  <si>
    <t>PO-000335</t>
    <phoneticPr fontId="1"/>
  </si>
  <si>
    <t>12/18-19</t>
    <phoneticPr fontId="1"/>
  </si>
  <si>
    <t>2019/11/22 After 製造(Must)</t>
    <phoneticPr fontId="1"/>
  </si>
  <si>
    <t xml:space="preserve">[Hydrochloric Acid for MMT] </t>
    <phoneticPr fontId="1"/>
  </si>
  <si>
    <t>1</t>
    <phoneticPr fontId="1"/>
  </si>
  <si>
    <t>GN DRUM, SAMPLE</t>
    <phoneticPr fontId="1"/>
  </si>
  <si>
    <t xml:space="preserve">[Hydrochloric Acid for SEHT] </t>
    <phoneticPr fontId="1"/>
  </si>
  <si>
    <t>7/31-8/1</t>
    <phoneticPr fontId="1"/>
  </si>
  <si>
    <t>2019/06/30 After 製造(Must)</t>
    <phoneticPr fontId="1"/>
  </si>
  <si>
    <t>[Hydrochloric Acid for KINIK *20kg Packing*]</t>
    <phoneticPr fontId="1"/>
  </si>
  <si>
    <t>010805210005</t>
    <phoneticPr fontId="1"/>
  </si>
  <si>
    <t>8/7-8</t>
    <phoneticPr fontId="1"/>
  </si>
  <si>
    <t>2019/07/17, After 製造 (Must)</t>
    <phoneticPr fontId="1"/>
  </si>
  <si>
    <t>9/11-12</t>
    <phoneticPr fontId="1"/>
  </si>
  <si>
    <t>2019/08/16, After 製造 (Must)</t>
    <phoneticPr fontId="1"/>
  </si>
  <si>
    <t>10/16-17</t>
    <phoneticPr fontId="1"/>
  </si>
  <si>
    <t>2019/09/19, After 製造 (Must)</t>
    <phoneticPr fontId="1"/>
  </si>
  <si>
    <t>2019/10/16, After 製造 (Must)</t>
    <phoneticPr fontId="1"/>
  </si>
  <si>
    <t>2019/11/14, After 製造 (Must)</t>
    <phoneticPr fontId="1"/>
  </si>
  <si>
    <t>AM1</t>
    <phoneticPr fontId="1"/>
  </si>
  <si>
    <t>4/24-25</t>
    <phoneticPr fontId="1"/>
  </si>
  <si>
    <t>2019/04/12 After 製造(Must)</t>
    <phoneticPr fontId="1"/>
  </si>
  <si>
    <t>[AM1/20L] PDMC</t>
    <phoneticPr fontId="1"/>
  </si>
  <si>
    <t>414-AM198</t>
    <phoneticPr fontId="1"/>
  </si>
  <si>
    <t>2019/09/17 After 製造(Must)</t>
    <phoneticPr fontId="1"/>
  </si>
  <si>
    <t>[AM1/190L]UMC</t>
    <phoneticPr fontId="1"/>
  </si>
  <si>
    <t>414-AM193</t>
    <phoneticPr fontId="1"/>
  </si>
  <si>
    <t>8/21-22</t>
    <phoneticPr fontId="1"/>
  </si>
  <si>
    <t>2019/06/26 After 製造(Must)</t>
    <phoneticPr fontId="1"/>
  </si>
  <si>
    <t>9/18-19</t>
    <phoneticPr fontId="1"/>
  </si>
  <si>
    <t>2019/07/26 After 製造(Must)</t>
    <phoneticPr fontId="1"/>
  </si>
  <si>
    <t>[AM1/190L]UMC</t>
    <phoneticPr fontId="1"/>
  </si>
  <si>
    <t>AM1</t>
    <phoneticPr fontId="1"/>
  </si>
  <si>
    <t>2019/09/09 After 製造(Must)</t>
    <phoneticPr fontId="1"/>
  </si>
  <si>
    <t>[AM1/190L]UMC</t>
    <phoneticPr fontId="1"/>
  </si>
  <si>
    <t>PO-000051</t>
    <phoneticPr fontId="1"/>
  </si>
  <si>
    <t>2019/10/28 After 製造(Must)</t>
    <phoneticPr fontId="1"/>
  </si>
  <si>
    <t>PO-000330</t>
    <phoneticPr fontId="1"/>
  </si>
  <si>
    <t>AM1</t>
    <phoneticPr fontId="1"/>
  </si>
  <si>
    <t>2019/12/01 After 製造(Must)</t>
    <phoneticPr fontId="1"/>
  </si>
  <si>
    <t>126(2)</t>
    <phoneticPr fontId="1"/>
  </si>
  <si>
    <t>10/24以降</t>
    <phoneticPr fontId="1"/>
  </si>
  <si>
    <t>127</t>
    <phoneticPr fontId="1"/>
  </si>
  <si>
    <t>11/14以降</t>
    <phoneticPr fontId="1"/>
  </si>
  <si>
    <t>[Si-E]PSI</t>
    <phoneticPr fontId="1"/>
  </si>
  <si>
    <t>010805160013</t>
    <phoneticPr fontId="1"/>
  </si>
  <si>
    <t>010805160014</t>
    <phoneticPr fontId="1"/>
  </si>
  <si>
    <t>9/18-19</t>
    <phoneticPr fontId="1"/>
  </si>
  <si>
    <t>小名浜9/4 黒崎9/11着</t>
    <phoneticPr fontId="1"/>
  </si>
  <si>
    <t>9/25-26</t>
    <phoneticPr fontId="1"/>
  </si>
  <si>
    <t>小名浜8/29 黒崎9/5着</t>
    <phoneticPr fontId="1"/>
  </si>
  <si>
    <t>小名浜 9/26 黒崎10/3着</t>
    <phoneticPr fontId="1"/>
  </si>
  <si>
    <t>FOR PSI</t>
    <phoneticPr fontId="1"/>
  </si>
  <si>
    <t>010808080030</t>
    <phoneticPr fontId="1"/>
  </si>
  <si>
    <t>010808080031</t>
    <phoneticPr fontId="1"/>
  </si>
  <si>
    <t>11/6-7</t>
    <phoneticPr fontId="1"/>
  </si>
  <si>
    <t>小名浜10/24 黒崎10/30着</t>
    <phoneticPr fontId="1"/>
  </si>
  <si>
    <t>[Si-E]PSI</t>
    <phoneticPr fontId="1"/>
  </si>
  <si>
    <t>010808080032</t>
    <phoneticPr fontId="1"/>
  </si>
  <si>
    <t>11/20-21</t>
    <phoneticPr fontId="1"/>
  </si>
  <si>
    <t>小名浜11/7 黒崎11/14着</t>
    <phoneticPr fontId="1"/>
  </si>
  <si>
    <t>PO-000336</t>
    <phoneticPr fontId="1"/>
  </si>
  <si>
    <t>11/27-28</t>
    <phoneticPr fontId="1"/>
  </si>
  <si>
    <t>PO-000337</t>
    <phoneticPr fontId="1"/>
  </si>
  <si>
    <t>[Si-E]PSI</t>
  </si>
  <si>
    <t>PO-000660</t>
    <phoneticPr fontId="1"/>
  </si>
  <si>
    <t>010805020004</t>
    <phoneticPr fontId="1"/>
  </si>
  <si>
    <t>SI-C</t>
    <phoneticPr fontId="1"/>
  </si>
  <si>
    <t>9/4-5</t>
    <phoneticPr fontId="1"/>
  </si>
  <si>
    <t>日程変更ありがとうございました</t>
    <phoneticPr fontId="1"/>
  </si>
  <si>
    <t>[Si-C]PSI</t>
    <phoneticPr fontId="1"/>
  </si>
  <si>
    <t>010805160015</t>
    <phoneticPr fontId="1"/>
  </si>
  <si>
    <t>小名浜9/6 黒崎9/11着</t>
    <phoneticPr fontId="1"/>
  </si>
  <si>
    <t>9(2)</t>
    <phoneticPr fontId="1"/>
  </si>
  <si>
    <t>PO-000010</t>
    <phoneticPr fontId="1"/>
  </si>
  <si>
    <t>ETA 9/22へ変更</t>
    <phoneticPr fontId="1"/>
  </si>
  <si>
    <t>010805160016</t>
    <phoneticPr fontId="1"/>
  </si>
  <si>
    <t>小名浜 9/26 黒崎10/3着</t>
    <phoneticPr fontId="1"/>
  </si>
  <si>
    <t>小名浜10/11 黒崎10/17着</t>
    <phoneticPr fontId="1"/>
  </si>
  <si>
    <t>12(2)</t>
    <phoneticPr fontId="1"/>
  </si>
  <si>
    <t>PO-000045</t>
    <phoneticPr fontId="1"/>
  </si>
  <si>
    <t>14</t>
    <phoneticPr fontId="1"/>
  </si>
  <si>
    <t>14(2)</t>
    <phoneticPr fontId="1"/>
  </si>
  <si>
    <t>SI-C</t>
    <phoneticPr fontId="1"/>
  </si>
  <si>
    <t>PO-000661</t>
    <phoneticPr fontId="1"/>
  </si>
  <si>
    <t>17</t>
    <phoneticPr fontId="1"/>
  </si>
  <si>
    <t>010805160017</t>
    <phoneticPr fontId="1"/>
  </si>
  <si>
    <t>7/25以降</t>
    <phoneticPr fontId="1"/>
  </si>
  <si>
    <t>9/19以降</t>
    <phoneticPr fontId="1"/>
  </si>
  <si>
    <t>414-AM200</t>
    <phoneticPr fontId="1"/>
  </si>
  <si>
    <t>11/3以降</t>
    <phoneticPr fontId="1"/>
  </si>
  <si>
    <t>[MCX-2005 *200kg Packing*]UMC</t>
    <phoneticPr fontId="1"/>
  </si>
  <si>
    <t>010806180025</t>
    <phoneticPr fontId="1"/>
  </si>
  <si>
    <t>414-AM195</t>
    <phoneticPr fontId="1"/>
  </si>
  <si>
    <t>414-AM197</t>
    <phoneticPr fontId="1"/>
  </si>
  <si>
    <t>REEFERコンテナ</t>
    <phoneticPr fontId="1"/>
  </si>
  <si>
    <t>414-AM199</t>
    <phoneticPr fontId="1"/>
  </si>
  <si>
    <t>11/20-21</t>
    <phoneticPr fontId="1"/>
  </si>
  <si>
    <t>10/25以降</t>
    <phoneticPr fontId="1"/>
  </si>
  <si>
    <t>[MCX-2005 *200kg Packing*]UMC</t>
    <phoneticPr fontId="1"/>
  </si>
  <si>
    <t>414-AM201</t>
    <phoneticPr fontId="1"/>
  </si>
  <si>
    <t>数量</t>
    <phoneticPr fontId="33" type="noConversion"/>
  </si>
  <si>
    <t>個数</t>
    <phoneticPr fontId="33" type="noConversion"/>
  </si>
  <si>
    <r>
      <t>U</t>
    </r>
    <r>
      <rPr>
        <sz val="10"/>
        <rFont val="Arial"/>
        <family val="2"/>
      </rPr>
      <t xml:space="preserve">MC </t>
    </r>
    <phoneticPr fontId="33" type="noConversion"/>
  </si>
  <si>
    <r>
      <t>5/13</t>
    </r>
    <r>
      <rPr>
        <sz val="10"/>
        <rFont val="Arial"/>
        <family val="2"/>
      </rPr>
      <t>(12)</t>
    </r>
    <phoneticPr fontId="33" type="noConversion"/>
  </si>
  <si>
    <r>
      <t>5</t>
    </r>
    <r>
      <rPr>
        <sz val="10"/>
        <rFont val="Arial"/>
        <family val="2"/>
      </rPr>
      <t>/20(</t>
    </r>
    <r>
      <rPr>
        <sz val="11"/>
        <color theme="1"/>
        <rFont val="新細明體"/>
        <family val="2"/>
        <charset val="128"/>
        <scheme val="minor"/>
      </rPr>
      <t>8</t>
    </r>
    <r>
      <rPr>
        <sz val="10"/>
        <rFont val="Arial"/>
        <family val="2"/>
      </rPr>
      <t>)</t>
    </r>
    <phoneticPr fontId="33" type="noConversion"/>
  </si>
  <si>
    <t>PTC</t>
    <phoneticPr fontId="33" type="noConversion"/>
  </si>
  <si>
    <t>5/13(32)</t>
    <phoneticPr fontId="33" type="noConversion"/>
  </si>
  <si>
    <t>PTCへ</t>
    <phoneticPr fontId="33" type="noConversion"/>
  </si>
  <si>
    <t>PTC</t>
    <phoneticPr fontId="33" type="noConversion"/>
  </si>
  <si>
    <t>PTCへ</t>
    <phoneticPr fontId="33" type="noConversion"/>
  </si>
  <si>
    <t>5/20(20)</t>
    <phoneticPr fontId="1"/>
  </si>
  <si>
    <t>5/27(4)</t>
    <phoneticPr fontId="1"/>
  </si>
  <si>
    <t xml:space="preserve"> </t>
    <phoneticPr fontId="1"/>
  </si>
  <si>
    <t>10/9-10</t>
    <phoneticPr fontId="1"/>
  </si>
  <si>
    <t>10/16-17</t>
    <phoneticPr fontId="1"/>
  </si>
  <si>
    <t>10/6</t>
    <phoneticPr fontId="1"/>
  </si>
  <si>
    <t>10/30-31</t>
    <phoneticPr fontId="1"/>
  </si>
  <si>
    <t>414-UM1844</t>
  </si>
  <si>
    <t>414-UM1841</t>
    <phoneticPr fontId="1"/>
  </si>
  <si>
    <t>10/9-10</t>
    <phoneticPr fontId="1"/>
  </si>
  <si>
    <t>414-UM1843</t>
    <phoneticPr fontId="1"/>
  </si>
  <si>
    <t>10/30-31</t>
  </si>
  <si>
    <t>11/13-14</t>
  </si>
  <si>
    <t>414-AM198</t>
  </si>
  <si>
    <t>414-AM193</t>
  </si>
  <si>
    <t>414-AM195</t>
  </si>
  <si>
    <t>10/16-17</t>
    <phoneticPr fontId="1"/>
  </si>
  <si>
    <t>414-UM1846</t>
  </si>
  <si>
    <t>414-UM1848</t>
  </si>
  <si>
    <t>414-UM1852</t>
  </si>
  <si>
    <t>414-UM1834</t>
  </si>
  <si>
    <t>414-UM1851</t>
  </si>
  <si>
    <t>414-AM202</t>
  </si>
  <si>
    <t>414-UM1836</t>
  </si>
  <si>
    <t>414-UM1843</t>
    <phoneticPr fontId="1"/>
  </si>
  <si>
    <t>414-UM1846</t>
    <phoneticPr fontId="1"/>
  </si>
  <si>
    <t>10/15</t>
    <phoneticPr fontId="1"/>
  </si>
  <si>
    <t>414-HNO3010</t>
    <phoneticPr fontId="1"/>
  </si>
  <si>
    <t>12/18-19</t>
    <phoneticPr fontId="1"/>
  </si>
  <si>
    <t>1/8-9</t>
    <phoneticPr fontId="1"/>
  </si>
  <si>
    <t>12/18-19</t>
    <phoneticPr fontId="1"/>
  </si>
  <si>
    <t>12/25-26</t>
    <phoneticPr fontId="1"/>
  </si>
  <si>
    <t>414-UM1846</t>
    <phoneticPr fontId="1"/>
  </si>
  <si>
    <t>414-UM1852</t>
    <phoneticPr fontId="1"/>
  </si>
  <si>
    <t>414-AM203</t>
    <phoneticPr fontId="1"/>
  </si>
  <si>
    <t>１週前倒しで出荷します</t>
    <rPh sb="1" eb="2">
      <t>シュウ</t>
    </rPh>
    <rPh sb="2" eb="4">
      <t>マエダオ</t>
    </rPh>
    <rPh sb="6" eb="8">
      <t>シュッカ</t>
    </rPh>
    <phoneticPr fontId="1"/>
  </si>
  <si>
    <t>前倒し</t>
    <rPh sb="0" eb="2">
      <t>マエダオ</t>
    </rPh>
    <phoneticPr fontId="1"/>
  </si>
  <si>
    <t>414-UM1853</t>
    <phoneticPr fontId="1"/>
  </si>
  <si>
    <t>414-UM1848</t>
    <phoneticPr fontId="1"/>
  </si>
  <si>
    <t>PO-000044</t>
    <phoneticPr fontId="1"/>
  </si>
  <si>
    <t>PO-000044</t>
    <phoneticPr fontId="1"/>
  </si>
  <si>
    <t>PO-000339</t>
    <phoneticPr fontId="1"/>
  </si>
  <si>
    <t>PO-000339</t>
    <phoneticPr fontId="1"/>
  </si>
  <si>
    <t>414-UM1845</t>
    <phoneticPr fontId="1"/>
  </si>
  <si>
    <t>21(2)</t>
    <phoneticPr fontId="1"/>
  </si>
  <si>
    <t>414-AM</t>
    <phoneticPr fontId="1"/>
  </si>
  <si>
    <t>DRY コンテナ</t>
    <phoneticPr fontId="1"/>
  </si>
  <si>
    <t>小名浜10/17 黒崎10/22着</t>
    <phoneticPr fontId="1"/>
  </si>
  <si>
    <t>167</t>
  </si>
  <si>
    <t>2019/10/01 After 製造(Must)</t>
    <phoneticPr fontId="1"/>
  </si>
  <si>
    <t>PO-000860</t>
    <phoneticPr fontId="1"/>
  </si>
  <si>
    <t>PO-000861</t>
    <phoneticPr fontId="1"/>
  </si>
  <si>
    <t>PO-000862</t>
    <phoneticPr fontId="1"/>
  </si>
  <si>
    <t>PO-000863</t>
    <phoneticPr fontId="1"/>
  </si>
  <si>
    <t>PO-000864</t>
  </si>
  <si>
    <t>PTC</t>
    <phoneticPr fontId="33" type="noConversion"/>
  </si>
  <si>
    <t>PTCへ</t>
    <phoneticPr fontId="33" type="noConversion"/>
  </si>
  <si>
    <t>5/20(20)</t>
    <phoneticPr fontId="1"/>
  </si>
  <si>
    <t>5/27(4)</t>
    <phoneticPr fontId="1"/>
  </si>
  <si>
    <t xml:space="preserve"> </t>
    <phoneticPr fontId="1"/>
  </si>
  <si>
    <t>11/6-7</t>
    <phoneticPr fontId="1"/>
  </si>
  <si>
    <t>414-UM1845</t>
    <phoneticPr fontId="1"/>
  </si>
  <si>
    <t>12/4-5</t>
    <phoneticPr fontId="1"/>
  </si>
  <si>
    <t>12/18-19</t>
    <phoneticPr fontId="1"/>
  </si>
  <si>
    <t>11/27-28</t>
    <phoneticPr fontId="1"/>
  </si>
  <si>
    <t>414-UM1854</t>
    <phoneticPr fontId="1"/>
  </si>
  <si>
    <t>414-UM1855</t>
    <phoneticPr fontId="1"/>
  </si>
  <si>
    <t>414-UM1852</t>
    <phoneticPr fontId="1"/>
  </si>
  <si>
    <t>414-AM200</t>
    <phoneticPr fontId="1"/>
  </si>
  <si>
    <t>10/23-24</t>
    <phoneticPr fontId="1"/>
  </si>
  <si>
    <t>6本　エアー輸送確認中</t>
    <rPh sb="1" eb="2">
      <t>ホン</t>
    </rPh>
    <rPh sb="6" eb="8">
      <t>ユソウ</t>
    </rPh>
    <rPh sb="8" eb="10">
      <t>カクニン</t>
    </rPh>
    <rPh sb="10" eb="11">
      <t>ナカ</t>
    </rPh>
    <phoneticPr fontId="1"/>
  </si>
  <si>
    <t>No</t>
    <phoneticPr fontId="1"/>
  </si>
  <si>
    <t>Issued Date</t>
    <phoneticPr fontId="1"/>
  </si>
  <si>
    <t>Item</t>
    <phoneticPr fontId="1"/>
  </si>
  <si>
    <t>Container Type</t>
    <phoneticPr fontId="1"/>
  </si>
  <si>
    <t>Request</t>
    <phoneticPr fontId="1"/>
  </si>
  <si>
    <t>LOT</t>
    <phoneticPr fontId="1"/>
  </si>
  <si>
    <t xml:space="preserve">Sample </t>
    <phoneticPr fontId="1"/>
  </si>
  <si>
    <t>Coment</t>
    <phoneticPr fontId="1"/>
  </si>
  <si>
    <t>HNO3 -- 40DM</t>
    <phoneticPr fontId="1"/>
  </si>
  <si>
    <t>414-HNO3004</t>
    <phoneticPr fontId="1"/>
  </si>
  <si>
    <t>8/6</t>
    <phoneticPr fontId="1"/>
  </si>
  <si>
    <t>2019/06/28 After製造(Must) FOR PTC</t>
    <phoneticPr fontId="1"/>
  </si>
  <si>
    <t>2019/06/27 After製造(Must) FOR UMC ※need with analysis report</t>
    <phoneticPr fontId="1"/>
  </si>
  <si>
    <t>2019/07/10 After製造(Must) FOR PTC</t>
    <phoneticPr fontId="1"/>
  </si>
  <si>
    <t>2019/07/17 After製造(Must) FOR PTC</t>
    <phoneticPr fontId="1"/>
  </si>
  <si>
    <t>414-HNO3005</t>
    <phoneticPr fontId="1"/>
  </si>
  <si>
    <t>8/27</t>
    <phoneticPr fontId="1"/>
  </si>
  <si>
    <t>2019/08/01 After製造(Must) FOR PTC</t>
    <phoneticPr fontId="1"/>
  </si>
  <si>
    <t>844</t>
    <phoneticPr fontId="1"/>
  </si>
  <si>
    <t>414-HNO3007</t>
    <phoneticPr fontId="1"/>
  </si>
  <si>
    <t>2019/08/08 After製造(Must) FOR UMC ※need with analysis report</t>
    <phoneticPr fontId="1"/>
  </si>
  <si>
    <t>9/10</t>
    <phoneticPr fontId="1"/>
  </si>
  <si>
    <t>2019/08/16 After製造(Must) FOR PTC</t>
    <phoneticPr fontId="1"/>
  </si>
  <si>
    <t>9/24</t>
    <phoneticPr fontId="1"/>
  </si>
  <si>
    <t>2019/08/30 After製造(Must) FOR PTC</t>
    <phoneticPr fontId="1"/>
  </si>
  <si>
    <t>2019/09/05 After製造(Must) FOR UMC ※need with analysis report</t>
    <phoneticPr fontId="1"/>
  </si>
  <si>
    <t>414-HNO3009</t>
    <phoneticPr fontId="1"/>
  </si>
  <si>
    <t>10/1</t>
    <phoneticPr fontId="1"/>
  </si>
  <si>
    <t>2019/09/06 After製造(Must) FOR PTC</t>
    <phoneticPr fontId="1"/>
  </si>
  <si>
    <t>414-HNO3010</t>
    <phoneticPr fontId="1"/>
  </si>
  <si>
    <t>10/15</t>
    <phoneticPr fontId="1"/>
  </si>
  <si>
    <t>2019/09/20 After製造(Must) FOR PTC</t>
    <phoneticPr fontId="1"/>
  </si>
  <si>
    <t>2019/09/28 After製造(Must) FOR PTC</t>
    <phoneticPr fontId="1"/>
  </si>
  <si>
    <t>2019/09/19 After製造(Must) FOR UMC ※need with analysis report</t>
    <phoneticPr fontId="1"/>
  </si>
  <si>
    <t>010808080020</t>
    <phoneticPr fontId="1"/>
  </si>
  <si>
    <t>414-HNO3012</t>
    <phoneticPr fontId="1"/>
  </si>
  <si>
    <t>10/29</t>
    <phoneticPr fontId="1"/>
  </si>
  <si>
    <t>2019/10/03 After製造(Must) FOR PTC</t>
    <phoneticPr fontId="1"/>
  </si>
  <si>
    <t>010808080021</t>
    <phoneticPr fontId="1"/>
  </si>
  <si>
    <t>414-HNO3013</t>
    <phoneticPr fontId="1"/>
  </si>
  <si>
    <t>11/5</t>
    <phoneticPr fontId="1"/>
  </si>
  <si>
    <t>2019/10/09 After製造(Must) FOR UMC ※need with analysis report</t>
    <phoneticPr fontId="1"/>
  </si>
  <si>
    <t>010808080022</t>
    <phoneticPr fontId="1"/>
  </si>
  <si>
    <t>414-HNO3014</t>
    <phoneticPr fontId="1"/>
  </si>
  <si>
    <t>11/12</t>
    <phoneticPr fontId="1"/>
  </si>
  <si>
    <t>2019/10/16 After製造(Must) FOR PTC</t>
    <phoneticPr fontId="1"/>
  </si>
  <si>
    <t>010808080023</t>
    <phoneticPr fontId="1"/>
  </si>
  <si>
    <t>414-HNO3015</t>
    <phoneticPr fontId="1"/>
  </si>
  <si>
    <t>11/19</t>
    <phoneticPr fontId="1"/>
  </si>
  <si>
    <t>2019/10/23 After製造(Must) FOR PTC</t>
    <phoneticPr fontId="1"/>
  </si>
  <si>
    <t xml:space="preserve">[Nitric Acid for PTC] </t>
    <phoneticPr fontId="1"/>
  </si>
  <si>
    <t>010808080024</t>
    <phoneticPr fontId="1"/>
  </si>
  <si>
    <t>414-HNO3016</t>
    <phoneticPr fontId="1"/>
  </si>
  <si>
    <t>11/27-28</t>
    <phoneticPr fontId="1"/>
  </si>
  <si>
    <t>2019/10/31 After製造(Must) FOR PTC</t>
    <phoneticPr fontId="1"/>
  </si>
  <si>
    <t>010808130001</t>
    <phoneticPr fontId="1"/>
  </si>
  <si>
    <t>12/3</t>
    <phoneticPr fontId="1"/>
  </si>
  <si>
    <t>2019/11/08 After製造(Must) FOR PTC</t>
    <phoneticPr fontId="1"/>
  </si>
  <si>
    <t xml:space="preserve">[Nitric Acid for PTC] </t>
    <phoneticPr fontId="1"/>
  </si>
  <si>
    <t>HNO3 --120DM</t>
    <phoneticPr fontId="1"/>
  </si>
  <si>
    <t>414-HNO3018</t>
    <phoneticPr fontId="1"/>
  </si>
  <si>
    <t>12/10</t>
    <phoneticPr fontId="1"/>
  </si>
  <si>
    <t>2019/11/15 After製造(Must) FOR PTC</t>
    <phoneticPr fontId="1"/>
  </si>
  <si>
    <t>HNO3 --40DM</t>
    <phoneticPr fontId="1"/>
  </si>
  <si>
    <t>2019/11/15 After製造(Must) FOR UMC ※need with analysis report</t>
    <phoneticPr fontId="1"/>
  </si>
  <si>
    <t>12/17</t>
    <phoneticPr fontId="1"/>
  </si>
  <si>
    <t>2019/11/22 After製造(Must) FOR PTC</t>
    <phoneticPr fontId="1"/>
  </si>
  <si>
    <t>2019/11/22 After製造(Must) FOR UMC ※need with analysis report</t>
    <phoneticPr fontId="1"/>
  </si>
  <si>
    <t>12/24</t>
    <phoneticPr fontId="1"/>
  </si>
  <si>
    <t>2019/11/29 After製造(Must) FOR PTC</t>
    <phoneticPr fontId="1"/>
  </si>
  <si>
    <t>864</t>
  </si>
  <si>
    <t>PO-001004</t>
  </si>
  <si>
    <t>HNO3 -- 160DM</t>
    <phoneticPr fontId="1"/>
  </si>
  <si>
    <t>2019/12/05 After製造(Must) FOR PTC</t>
    <phoneticPr fontId="1"/>
  </si>
  <si>
    <t>865</t>
  </si>
  <si>
    <t>PO-001005</t>
  </si>
  <si>
    <t>2019/12/11 After製造(Must) FOR PTC</t>
    <phoneticPr fontId="1"/>
  </si>
  <si>
    <t>866</t>
  </si>
  <si>
    <t>PO-001006</t>
  </si>
  <si>
    <t>2019/12/19 After製造(Must) FOR UMC ※need with analysis report</t>
    <phoneticPr fontId="1"/>
  </si>
  <si>
    <t>867</t>
  </si>
  <si>
    <t>PO-001007</t>
  </si>
  <si>
    <t>2019/12/25 After製造(Must) FOR PTC</t>
    <phoneticPr fontId="1"/>
  </si>
  <si>
    <t>625(2)</t>
    <phoneticPr fontId="1"/>
  </si>
  <si>
    <t>HCL</t>
    <phoneticPr fontId="1"/>
  </si>
  <si>
    <t>414-UM1827</t>
    <phoneticPr fontId="1"/>
  </si>
  <si>
    <t>8/7-8</t>
    <phoneticPr fontId="1"/>
  </si>
  <si>
    <t>2019/07/17 After 製造(Must) SPEC FOR NON-N20</t>
    <phoneticPr fontId="1"/>
  </si>
  <si>
    <t>626</t>
    <phoneticPr fontId="1"/>
  </si>
  <si>
    <t>2019/08/06 After 製造(Must) SPEC FOR NON-N20</t>
    <phoneticPr fontId="1"/>
  </si>
  <si>
    <t>627</t>
    <phoneticPr fontId="1"/>
  </si>
  <si>
    <t>414-UM1840</t>
    <phoneticPr fontId="1"/>
  </si>
  <si>
    <t>0/25-26</t>
    <phoneticPr fontId="1"/>
  </si>
  <si>
    <t>2019/09/05 After 製造(Must) SPEC FOR NON-N20</t>
    <phoneticPr fontId="1"/>
  </si>
  <si>
    <t>010808080028</t>
    <phoneticPr fontId="1"/>
  </si>
  <si>
    <t>HCL</t>
    <phoneticPr fontId="1"/>
  </si>
  <si>
    <t>414-UM1845</t>
    <phoneticPr fontId="1"/>
  </si>
  <si>
    <t>10/30-31</t>
    <phoneticPr fontId="1"/>
  </si>
  <si>
    <t>2019/11/01 After 製造(Must) SPEC FOR NON-N20</t>
    <phoneticPr fontId="1"/>
  </si>
  <si>
    <t>PO-000049</t>
    <phoneticPr fontId="1"/>
  </si>
  <si>
    <t>HCL</t>
    <phoneticPr fontId="1"/>
  </si>
  <si>
    <t>0/25-26</t>
    <phoneticPr fontId="1"/>
  </si>
  <si>
    <t>PO-000050</t>
    <phoneticPr fontId="1"/>
  </si>
  <si>
    <t>414-UM1845</t>
    <phoneticPr fontId="1"/>
  </si>
  <si>
    <t>2019/09/24 After 製造(Must) SPEC FOR NON-N20</t>
    <phoneticPr fontId="1"/>
  </si>
  <si>
    <t>414-UM1851</t>
    <phoneticPr fontId="1"/>
  </si>
  <si>
    <t>12/11-12</t>
    <phoneticPr fontId="1"/>
  </si>
  <si>
    <t>2019/11/15 After 製造(Must) SPEC FOR NON-N20</t>
    <phoneticPr fontId="1"/>
  </si>
  <si>
    <t>632</t>
  </si>
  <si>
    <t>PO-001010</t>
    <phoneticPr fontId="1"/>
  </si>
  <si>
    <t>2019/12/11 After 製造(Must) SPEC FOR NON-N20</t>
    <phoneticPr fontId="1"/>
  </si>
  <si>
    <t>2019/08/15 After 製造(Must)</t>
    <phoneticPr fontId="1"/>
  </si>
  <si>
    <t>1週後倒し、申し訳ありません</t>
    <phoneticPr fontId="1"/>
  </si>
  <si>
    <t>160(2)</t>
    <phoneticPr fontId="1"/>
  </si>
  <si>
    <t>414-UM1835</t>
    <phoneticPr fontId="1"/>
  </si>
  <si>
    <t>7/17-18</t>
    <phoneticPr fontId="1"/>
  </si>
  <si>
    <t>414-UM1841</t>
    <phoneticPr fontId="1"/>
  </si>
  <si>
    <t>10/9-10</t>
    <phoneticPr fontId="1"/>
  </si>
  <si>
    <t>2019/09/13 After 製造(Must)</t>
    <phoneticPr fontId="1"/>
  </si>
  <si>
    <t>10/16-17</t>
    <phoneticPr fontId="1"/>
  </si>
  <si>
    <t>2019/09/27 After 製造(Must)</t>
    <phoneticPr fontId="1"/>
  </si>
  <si>
    <t>163(2)</t>
    <phoneticPr fontId="1"/>
  </si>
  <si>
    <t>414-UM1845</t>
    <phoneticPr fontId="1"/>
  </si>
  <si>
    <t>10/30-31</t>
    <phoneticPr fontId="1"/>
  </si>
  <si>
    <t>2019/09/27 After 製造(Must)</t>
    <phoneticPr fontId="1"/>
  </si>
  <si>
    <t>11/13-14</t>
    <phoneticPr fontId="1"/>
  </si>
  <si>
    <t>2019/10/16 After 製造(Must)</t>
    <phoneticPr fontId="1"/>
  </si>
  <si>
    <t>11/27-28</t>
    <phoneticPr fontId="1"/>
  </si>
  <si>
    <t>2019/11/01 After 製造(Must)</t>
    <phoneticPr fontId="1"/>
  </si>
  <si>
    <t>PO-000335</t>
    <phoneticPr fontId="1"/>
  </si>
  <si>
    <t>12/18-19</t>
    <phoneticPr fontId="1"/>
  </si>
  <si>
    <t>2019/11/22 After 製造(Must)</t>
    <phoneticPr fontId="1"/>
  </si>
  <si>
    <t>PO-001008</t>
    <phoneticPr fontId="1"/>
  </si>
  <si>
    <t>414-UM1854</t>
    <phoneticPr fontId="1"/>
  </si>
  <si>
    <t>11/6-7</t>
    <phoneticPr fontId="1"/>
  </si>
  <si>
    <t>2019/10/01 After 製造(Must)</t>
    <phoneticPr fontId="1"/>
  </si>
  <si>
    <t>168</t>
  </si>
  <si>
    <t>PO-001009</t>
  </si>
  <si>
    <t>2019/12/11 After 製造(Must)</t>
    <phoneticPr fontId="1"/>
  </si>
  <si>
    <t xml:space="preserve">[Hydrochloric Acid for MMT] </t>
    <phoneticPr fontId="1"/>
  </si>
  <si>
    <t>1</t>
    <phoneticPr fontId="1"/>
  </si>
  <si>
    <t>GN DRUM, SAMPLE</t>
    <phoneticPr fontId="1"/>
  </si>
  <si>
    <t xml:space="preserve">[Hydrochloric Acid for SEHT] </t>
    <phoneticPr fontId="1"/>
  </si>
  <si>
    <t>7/31-8/1</t>
    <phoneticPr fontId="1"/>
  </si>
  <si>
    <t>2019/06/30 After 製造(Must)</t>
    <phoneticPr fontId="1"/>
  </si>
  <si>
    <t>10/16-17</t>
    <phoneticPr fontId="1"/>
  </si>
  <si>
    <t>[Hydrochloric Acid for KINIK *20kg Packing*]</t>
    <phoneticPr fontId="1"/>
  </si>
  <si>
    <t>010805210005</t>
    <phoneticPr fontId="1"/>
  </si>
  <si>
    <t>8/7-8</t>
    <phoneticPr fontId="1"/>
  </si>
  <si>
    <t>2019/07/17, After 製造 (Must)</t>
    <phoneticPr fontId="1"/>
  </si>
  <si>
    <t>9/11-12</t>
    <phoneticPr fontId="1"/>
  </si>
  <si>
    <t>2019/08/16, After 製造 (Must)</t>
    <phoneticPr fontId="1"/>
  </si>
  <si>
    <t>2019/09/19, After 製造 (Must)</t>
    <phoneticPr fontId="1"/>
  </si>
  <si>
    <t>2019/10/16, After 製造 (Must)</t>
    <phoneticPr fontId="1"/>
  </si>
  <si>
    <t>12/11-12</t>
    <phoneticPr fontId="1"/>
  </si>
  <si>
    <t>2019/11/14, After 製造 (Must)</t>
    <phoneticPr fontId="1"/>
  </si>
  <si>
    <t>135</t>
  </si>
  <si>
    <t>PO-001011</t>
    <phoneticPr fontId="1"/>
  </si>
  <si>
    <t>2019/12/12, After 製造 (Must)</t>
    <phoneticPr fontId="1"/>
  </si>
  <si>
    <t>AM1</t>
    <phoneticPr fontId="1"/>
  </si>
  <si>
    <t>4/24-25</t>
    <phoneticPr fontId="1"/>
  </si>
  <si>
    <t>2019/04/12 After 製造(Must)</t>
    <phoneticPr fontId="1"/>
  </si>
  <si>
    <t>[AM1/20L] PDMC</t>
    <phoneticPr fontId="1"/>
  </si>
  <si>
    <t>10/23-24</t>
    <phoneticPr fontId="1"/>
  </si>
  <si>
    <t>2019/09/17 After 製造(Must)</t>
    <phoneticPr fontId="1"/>
  </si>
  <si>
    <t>[AM1/190L]UMC</t>
    <phoneticPr fontId="1"/>
  </si>
  <si>
    <t>8/21-22</t>
    <phoneticPr fontId="1"/>
  </si>
  <si>
    <t>2019/06/26 After 製造(Must)</t>
    <phoneticPr fontId="1"/>
  </si>
  <si>
    <t>[AM1/190L]UMC</t>
    <phoneticPr fontId="1"/>
  </si>
  <si>
    <t>AM1</t>
    <phoneticPr fontId="1"/>
  </si>
  <si>
    <t>9/18-19</t>
    <phoneticPr fontId="1"/>
  </si>
  <si>
    <t>2019/07/26 After 製造(Must)</t>
    <phoneticPr fontId="1"/>
  </si>
  <si>
    <t>2019/09/09 After 製造(Must)</t>
    <phoneticPr fontId="1"/>
  </si>
  <si>
    <t>PO-000051</t>
    <phoneticPr fontId="1"/>
  </si>
  <si>
    <t>414-AM203</t>
    <phoneticPr fontId="1"/>
  </si>
  <si>
    <t>2019/10/28 After 製造(Must)</t>
    <phoneticPr fontId="1"/>
  </si>
  <si>
    <t>PO-000330</t>
    <phoneticPr fontId="1"/>
  </si>
  <si>
    <t>1/8-9</t>
    <phoneticPr fontId="1"/>
  </si>
  <si>
    <t>2019/12/01 After 製造(Must)</t>
    <phoneticPr fontId="1"/>
  </si>
  <si>
    <t>[Ｆ-MIX *240kg packing*]NANYA</t>
    <phoneticPr fontId="1"/>
  </si>
  <si>
    <t>7/26以降</t>
    <phoneticPr fontId="1"/>
  </si>
  <si>
    <t>9/4-5</t>
    <phoneticPr fontId="1"/>
  </si>
  <si>
    <t>8/8以降</t>
    <phoneticPr fontId="1"/>
  </si>
  <si>
    <t>9/26以降</t>
    <phoneticPr fontId="1"/>
  </si>
  <si>
    <t>11/20-21</t>
    <phoneticPr fontId="1"/>
  </si>
  <si>
    <t>10/24以降</t>
    <phoneticPr fontId="1"/>
  </si>
  <si>
    <t>[Ｆ-MIX *240kg packing*]NANYA</t>
    <phoneticPr fontId="1"/>
  </si>
  <si>
    <t>126(2)</t>
    <phoneticPr fontId="1"/>
  </si>
  <si>
    <t>10/24以降</t>
    <phoneticPr fontId="1"/>
  </si>
  <si>
    <t>127</t>
    <phoneticPr fontId="1"/>
  </si>
  <si>
    <t>11/14以降</t>
    <phoneticPr fontId="1"/>
  </si>
  <si>
    <t>[Si-E]PSI</t>
    <phoneticPr fontId="1"/>
  </si>
  <si>
    <t>010805160013</t>
    <phoneticPr fontId="1"/>
  </si>
  <si>
    <t>010805160014</t>
    <phoneticPr fontId="1"/>
  </si>
  <si>
    <t>8/21-22</t>
    <phoneticPr fontId="1"/>
  </si>
  <si>
    <t>小名浜9/4 黒崎9/11着</t>
    <phoneticPr fontId="1"/>
  </si>
  <si>
    <t>9/25-26</t>
    <phoneticPr fontId="1"/>
  </si>
  <si>
    <t>小名浜8/29 黒崎9/5着</t>
    <phoneticPr fontId="1"/>
  </si>
  <si>
    <t>10/9-10</t>
    <phoneticPr fontId="1"/>
  </si>
  <si>
    <t>小名浜 9/26 黒崎10/3着</t>
    <phoneticPr fontId="1"/>
  </si>
  <si>
    <t>FOR PSI</t>
    <phoneticPr fontId="1"/>
  </si>
  <si>
    <t>010808080030</t>
    <phoneticPr fontId="1"/>
  </si>
  <si>
    <t>010808080031</t>
    <phoneticPr fontId="1"/>
  </si>
  <si>
    <t>小名浜10/24 黒崎10/30着</t>
    <phoneticPr fontId="1"/>
  </si>
  <si>
    <t>010808080032</t>
    <phoneticPr fontId="1"/>
  </si>
  <si>
    <t>11/20-21</t>
    <phoneticPr fontId="1"/>
  </si>
  <si>
    <t>小名浜11/7 黒崎11/14着</t>
    <phoneticPr fontId="1"/>
  </si>
  <si>
    <t>PO-000336</t>
    <phoneticPr fontId="1"/>
  </si>
  <si>
    <t>414-UM1848</t>
    <phoneticPr fontId="1"/>
  </si>
  <si>
    <t>PO-000337</t>
    <phoneticPr fontId="1"/>
  </si>
  <si>
    <t>414-UM1852</t>
    <phoneticPr fontId="1"/>
  </si>
  <si>
    <t>12/18-19</t>
    <phoneticPr fontId="1"/>
  </si>
  <si>
    <t>PO-000660</t>
    <phoneticPr fontId="1"/>
  </si>
  <si>
    <t>414-UM1853</t>
    <phoneticPr fontId="1"/>
  </si>
  <si>
    <t>12/25-26</t>
    <phoneticPr fontId="1"/>
  </si>
  <si>
    <t>44</t>
  </si>
  <si>
    <t>PO-001012</t>
    <phoneticPr fontId="1"/>
  </si>
  <si>
    <t>45</t>
  </si>
  <si>
    <t>PO-001013</t>
  </si>
  <si>
    <t>010805020004</t>
    <phoneticPr fontId="1"/>
  </si>
  <si>
    <t>SI-C</t>
    <phoneticPr fontId="1"/>
  </si>
  <si>
    <t>9/4-5</t>
    <phoneticPr fontId="1"/>
  </si>
  <si>
    <t>日程変更ありがとうございました</t>
    <phoneticPr fontId="1"/>
  </si>
  <si>
    <t>[Si-C]PSI</t>
    <phoneticPr fontId="1"/>
  </si>
  <si>
    <t>010805160015</t>
    <phoneticPr fontId="1"/>
  </si>
  <si>
    <t>小名浜9/6 黒崎9/11着</t>
    <phoneticPr fontId="1"/>
  </si>
  <si>
    <t>9(2)</t>
    <phoneticPr fontId="1"/>
  </si>
  <si>
    <t>PO-000010</t>
    <phoneticPr fontId="1"/>
  </si>
  <si>
    <t>ETA 9/22へ変更</t>
    <phoneticPr fontId="1"/>
  </si>
  <si>
    <t>010805160016</t>
    <phoneticPr fontId="1"/>
  </si>
  <si>
    <t>414-UM1843</t>
    <phoneticPr fontId="1"/>
  </si>
  <si>
    <t>10/6</t>
    <phoneticPr fontId="1"/>
  </si>
  <si>
    <t>PO-000044</t>
    <phoneticPr fontId="1"/>
  </si>
  <si>
    <t>414-UM1841</t>
    <phoneticPr fontId="1"/>
  </si>
  <si>
    <t>小名浜10/11 黒崎10/17着</t>
    <phoneticPr fontId="1"/>
  </si>
  <si>
    <t>12(2)</t>
    <phoneticPr fontId="1"/>
  </si>
  <si>
    <t>PO-000860</t>
    <phoneticPr fontId="1"/>
  </si>
  <si>
    <t>PO-000045</t>
    <phoneticPr fontId="1"/>
  </si>
  <si>
    <t>小名浜11/21 黒崎11/28着</t>
    <phoneticPr fontId="1"/>
  </si>
  <si>
    <t>13(2)</t>
    <phoneticPr fontId="1"/>
  </si>
  <si>
    <t>PO-000861</t>
    <phoneticPr fontId="1"/>
  </si>
  <si>
    <t>14</t>
    <phoneticPr fontId="1"/>
  </si>
  <si>
    <t>414-UM1846</t>
    <phoneticPr fontId="1"/>
  </si>
  <si>
    <t>14(2)</t>
    <phoneticPr fontId="1"/>
  </si>
  <si>
    <t>PO-000862</t>
    <phoneticPr fontId="1"/>
  </si>
  <si>
    <t>PO-000661</t>
    <phoneticPr fontId="1"/>
  </si>
  <si>
    <t>PO-000863</t>
    <phoneticPr fontId="1"/>
  </si>
  <si>
    <t>414-UM1855</t>
    <phoneticPr fontId="1"/>
  </si>
  <si>
    <t>12/4-5</t>
    <phoneticPr fontId="1"/>
  </si>
  <si>
    <t>PO-001014</t>
    <phoneticPr fontId="1"/>
  </si>
  <si>
    <t>PO-001015</t>
  </si>
  <si>
    <t>17</t>
    <phoneticPr fontId="1"/>
  </si>
  <si>
    <t>010805160017</t>
    <phoneticPr fontId="1"/>
  </si>
  <si>
    <t>414-AM193</t>
    <phoneticPr fontId="1"/>
  </si>
  <si>
    <t>7/25以降</t>
    <phoneticPr fontId="1"/>
  </si>
  <si>
    <t>414-AM198</t>
    <phoneticPr fontId="1"/>
  </si>
  <si>
    <t>9/19以降</t>
    <phoneticPr fontId="1"/>
  </si>
  <si>
    <t>414-AM200</t>
    <phoneticPr fontId="1"/>
  </si>
  <si>
    <t>11/3以降</t>
    <phoneticPr fontId="1"/>
  </si>
  <si>
    <t>[MCX-2005 *200kg Packing*]UMC</t>
    <phoneticPr fontId="1"/>
  </si>
  <si>
    <t>010806180025</t>
    <phoneticPr fontId="1"/>
  </si>
  <si>
    <t>414-AM195</t>
    <phoneticPr fontId="1"/>
  </si>
  <si>
    <t>414-AM197</t>
    <phoneticPr fontId="1"/>
  </si>
  <si>
    <t>REEFERコンテナ</t>
    <phoneticPr fontId="1"/>
  </si>
  <si>
    <t>414-AM199</t>
    <phoneticPr fontId="1"/>
  </si>
  <si>
    <t>10/25以降</t>
    <phoneticPr fontId="1"/>
  </si>
  <si>
    <t>414-AM201</t>
    <phoneticPr fontId="1"/>
  </si>
  <si>
    <t>PO-001016</t>
    <phoneticPr fontId="1"/>
  </si>
  <si>
    <t>PO-001017</t>
  </si>
  <si>
    <t>数量</t>
    <phoneticPr fontId="33" type="noConversion"/>
  </si>
  <si>
    <t>個数</t>
    <phoneticPr fontId="33" type="noConversion"/>
  </si>
  <si>
    <r>
      <t>U</t>
    </r>
    <r>
      <rPr>
        <sz val="10"/>
        <rFont val="Arial"/>
        <family val="2"/>
      </rPr>
      <t xml:space="preserve">MC </t>
    </r>
    <phoneticPr fontId="33" type="noConversion"/>
  </si>
  <si>
    <r>
      <t>5/13</t>
    </r>
    <r>
      <rPr>
        <sz val="10"/>
        <rFont val="Arial"/>
        <family val="2"/>
      </rPr>
      <t>(12)</t>
    </r>
    <phoneticPr fontId="33" type="noConversion"/>
  </si>
  <si>
    <r>
      <t>5</t>
    </r>
    <r>
      <rPr>
        <sz val="10"/>
        <rFont val="Arial"/>
        <family val="2"/>
      </rPr>
      <t>/20(</t>
    </r>
    <r>
      <rPr>
        <sz val="11"/>
        <color theme="1"/>
        <rFont val="新細明體"/>
        <family val="2"/>
        <charset val="128"/>
        <scheme val="minor"/>
      </rPr>
      <t>8</t>
    </r>
    <r>
      <rPr>
        <sz val="10"/>
        <rFont val="Arial"/>
        <family val="2"/>
      </rPr>
      <t>)</t>
    </r>
    <phoneticPr fontId="33" type="noConversion"/>
  </si>
  <si>
    <t>PTC</t>
    <phoneticPr fontId="33" type="noConversion"/>
  </si>
  <si>
    <t>5/13(32)</t>
    <phoneticPr fontId="33" type="noConversion"/>
  </si>
  <si>
    <t>PTCへ</t>
    <phoneticPr fontId="33" type="noConversion"/>
  </si>
  <si>
    <t>PTC</t>
    <phoneticPr fontId="33" type="noConversion"/>
  </si>
  <si>
    <t>PTCへ</t>
    <phoneticPr fontId="33" type="noConversion"/>
  </si>
  <si>
    <t>5/20(20)</t>
    <phoneticPr fontId="1"/>
  </si>
  <si>
    <t>5/27(4)</t>
    <phoneticPr fontId="1"/>
  </si>
  <si>
    <t xml:space="preserve"> </t>
    <phoneticPr fontId="1"/>
  </si>
  <si>
    <t>414-HNO3020</t>
    <phoneticPr fontId="1"/>
  </si>
  <si>
    <t>1/8-9</t>
  </si>
  <si>
    <t>*</t>
    <phoneticPr fontId="1"/>
  </si>
  <si>
    <t>*REEFERコンテナ 16⇒12</t>
    <phoneticPr fontId="1"/>
  </si>
  <si>
    <t>414-UM1856</t>
  </si>
  <si>
    <t>414-UM1856</t>
    <phoneticPr fontId="1"/>
  </si>
  <si>
    <t>1/15-16</t>
    <phoneticPr fontId="1"/>
  </si>
  <si>
    <t>1/22-23</t>
    <phoneticPr fontId="1"/>
  </si>
  <si>
    <t>12/24</t>
  </si>
  <si>
    <t>414-HNO3020</t>
    <phoneticPr fontId="1"/>
  </si>
  <si>
    <t>1/7</t>
    <phoneticPr fontId="1"/>
  </si>
  <si>
    <t>1/14</t>
    <phoneticPr fontId="1"/>
  </si>
  <si>
    <t>1/21</t>
    <phoneticPr fontId="1"/>
  </si>
  <si>
    <t>414-HNO3021</t>
    <phoneticPr fontId="1"/>
  </si>
  <si>
    <t>414-HNO3022</t>
    <phoneticPr fontId="1"/>
  </si>
  <si>
    <t>414-HNO3023</t>
    <phoneticPr fontId="1"/>
  </si>
  <si>
    <t>414-UM1857</t>
    <phoneticPr fontId="1"/>
  </si>
  <si>
    <t>414-UM1858</t>
  </si>
  <si>
    <t>414-UM1858</t>
    <phoneticPr fontId="1"/>
  </si>
  <si>
    <t>[MC1]RST</t>
    <phoneticPr fontId="1"/>
  </si>
  <si>
    <t>ROHS サンプル</t>
    <phoneticPr fontId="1"/>
  </si>
  <si>
    <t>ROHS サンプル</t>
    <phoneticPr fontId="1"/>
  </si>
  <si>
    <t>PO-001015</t>
    <phoneticPr fontId="1"/>
  </si>
  <si>
    <t>PO-001013</t>
    <phoneticPr fontId="1"/>
  </si>
  <si>
    <t>11/6-7</t>
    <phoneticPr fontId="1"/>
  </si>
  <si>
    <t>←小名浜確認中</t>
    <rPh sb="1" eb="3">
      <t>オナ</t>
    </rPh>
    <rPh sb="3" eb="4">
      <t>ハマ</t>
    </rPh>
    <rPh sb="4" eb="6">
      <t>カクニン</t>
    </rPh>
    <rPh sb="6" eb="7">
      <t>ナカ</t>
    </rPh>
    <phoneticPr fontId="1"/>
  </si>
  <si>
    <t>←計画中</t>
    <phoneticPr fontId="1"/>
  </si>
  <si>
    <t>4ﾄﾞﾗﾑ未納</t>
    <rPh sb="5" eb="7">
      <t>ミノウ</t>
    </rPh>
    <phoneticPr fontId="1"/>
  </si>
  <si>
    <t>11/6-7</t>
    <phoneticPr fontId="1"/>
  </si>
  <si>
    <t>←計画中　12ドラム＋4ドラム未納分 確定ではありません</t>
    <rPh sb="15" eb="17">
      <t>ミノウ</t>
    </rPh>
    <rPh sb="17" eb="18">
      <t>ブン</t>
    </rPh>
    <rPh sb="19" eb="21">
      <t>カクテイ</t>
    </rPh>
    <phoneticPr fontId="1"/>
  </si>
  <si>
    <t>28⇒20</t>
    <phoneticPr fontId="1"/>
  </si>
  <si>
    <t>20⇒0</t>
    <phoneticPr fontId="1"/>
  </si>
  <si>
    <t>46</t>
  </si>
  <si>
    <t>18(2)</t>
    <phoneticPr fontId="1"/>
  </si>
  <si>
    <t>SI-C</t>
    <phoneticPr fontId="1"/>
  </si>
  <si>
    <t>19(2)</t>
    <phoneticPr fontId="1"/>
  </si>
  <si>
    <t>11/19以降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</si>
</sst>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/m/d;@"/>
    <numFmt numFmtId="177" formatCode="m/d;@"/>
    <numFmt numFmtId="178" formatCode="#,##0\ &quot;KG&quot;"/>
    <numFmt numFmtId="179" formatCode="#,##0\ &quot;L&quot;"/>
    <numFmt numFmtId="180" formatCode="&quot;#&quot;@"/>
  </numFmts>
  <fonts count="40"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b/>
      <sz val="11"/>
      <color theme="0"/>
      <name val="新細明體"/>
      <family val="3"/>
      <charset val="128"/>
      <scheme val="minor"/>
    </font>
    <font>
      <sz val="11"/>
      <color rgb="FFFF0000"/>
      <name val="新細明體"/>
      <family val="3"/>
      <charset val="128"/>
      <scheme val="minor"/>
    </font>
    <font>
      <sz val="11"/>
      <name val="ＭＳ Ｐゴシック"/>
      <family val="3"/>
      <charset val="128"/>
    </font>
    <font>
      <sz val="10"/>
      <color theme="1"/>
      <name val="Verdana"/>
      <family val="2"/>
    </font>
    <font>
      <sz val="10"/>
      <color theme="1"/>
      <name val="ＭＳ Ｐゴシック"/>
      <family val="2"/>
      <charset val="128"/>
    </font>
    <font>
      <sz val="10"/>
      <color theme="1"/>
      <name val="ＭＳ Ｐゴシック"/>
      <family val="3"/>
      <charset val="128"/>
    </font>
    <font>
      <b/>
      <sz val="11"/>
      <color theme="1"/>
      <name val="新細明體"/>
      <family val="3"/>
      <charset val="128"/>
      <scheme val="minor"/>
    </font>
    <font>
      <sz val="11"/>
      <color theme="1"/>
      <name val="新細明體"/>
      <family val="1"/>
      <charset val="136"/>
      <scheme val="minor"/>
    </font>
    <font>
      <sz val="11"/>
      <name val="新細明體"/>
      <family val="3"/>
      <charset val="128"/>
      <scheme val="minor"/>
    </font>
    <font>
      <sz val="12"/>
      <color rgb="FF0070C0"/>
      <name val="新細明體"/>
      <family val="3"/>
      <charset val="128"/>
      <scheme val="minor"/>
    </font>
    <font>
      <sz val="12"/>
      <color theme="1"/>
      <name val="新細明體"/>
      <family val="3"/>
      <charset val="128"/>
      <scheme val="minor"/>
    </font>
    <font>
      <sz val="12"/>
      <color rgb="FFFF0000"/>
      <name val="新細明體"/>
      <family val="3"/>
      <charset val="128"/>
      <scheme val="minor"/>
    </font>
    <font>
      <sz val="12"/>
      <color theme="4"/>
      <name val="新細明體"/>
      <family val="3"/>
      <charset val="128"/>
      <scheme val="minor"/>
    </font>
    <font>
      <sz val="12"/>
      <name val="新細明體"/>
      <family val="3"/>
      <charset val="128"/>
      <scheme val="minor"/>
    </font>
    <font>
      <sz val="11"/>
      <color theme="1"/>
      <name val="新細明體"/>
      <family val="2"/>
      <charset val="128"/>
      <scheme val="minor"/>
    </font>
    <font>
      <sz val="28"/>
      <name val="HGP創英角ﾎﾟｯﾌﾟ体"/>
      <family val="3"/>
      <charset val="128"/>
    </font>
    <font>
      <sz val="6"/>
      <name val="ＭＳ Ｐゴシック"/>
      <family val="3"/>
      <charset val="128"/>
    </font>
    <font>
      <b/>
      <sz val="11"/>
      <name val="HGP創英角ﾎﾟｯﾌﾟ体"/>
      <family val="3"/>
      <charset val="128"/>
    </font>
    <font>
      <sz val="11"/>
      <name val="HGP創英角ﾎﾟｯﾌﾟ体"/>
      <family val="3"/>
      <charset val="128"/>
    </font>
    <font>
      <sz val="20"/>
      <name val="HGP創英角ﾎﾟｯﾌﾟ体"/>
      <family val="3"/>
      <charset val="128"/>
    </font>
    <font>
      <sz val="14"/>
      <name val="HGP創英角ﾎﾟｯﾌﾟ体"/>
      <family val="3"/>
      <charset val="128"/>
    </font>
    <font>
      <u/>
      <sz val="11"/>
      <name val="HGP創英角ﾎﾟｯﾌﾟ体"/>
      <family val="3"/>
      <charset val="128"/>
    </font>
    <font>
      <sz val="10"/>
      <name val="新細明體"/>
      <family val="3"/>
      <charset val="128"/>
      <scheme val="minor"/>
    </font>
    <font>
      <sz val="8"/>
      <name val="HGP創英角ﾎﾟｯﾌﾟ体"/>
      <family val="3"/>
      <charset val="128"/>
    </font>
    <font>
      <sz val="12"/>
      <name val="HGP創英角ﾎﾟｯﾌﾟ体"/>
      <family val="3"/>
      <charset val="128"/>
    </font>
    <font>
      <sz val="10"/>
      <color theme="1"/>
      <name val="Arial"/>
      <family val="2"/>
    </font>
    <font>
      <sz val="10"/>
      <color theme="1"/>
      <name val="Calibri"/>
      <family val="2"/>
    </font>
    <font>
      <sz val="16"/>
      <color rgb="FF000000"/>
      <name val="Calibri"/>
      <family val="2"/>
    </font>
    <font>
      <sz val="16"/>
      <color rgb="FF000000"/>
      <name val="メイリオ"/>
      <family val="3"/>
      <charset val="128"/>
    </font>
    <font>
      <sz val="16"/>
      <color theme="1"/>
      <name val="新細明體"/>
      <family val="2"/>
      <charset val="128"/>
      <scheme val="minor"/>
    </font>
    <font>
      <sz val="10"/>
      <name val="ＭＳ Ｐゴシック"/>
      <family val="3"/>
      <charset val="128"/>
    </font>
    <font>
      <sz val="10"/>
      <name val="Arial"/>
      <family val="2"/>
    </font>
    <font>
      <sz val="10"/>
      <color rgb="FF000000"/>
      <name val="メイリオ"/>
      <family val="3"/>
      <charset val="128"/>
    </font>
    <font>
      <strike/>
      <sz val="12"/>
      <color rgb="FF0070C0"/>
      <name val="新細明體"/>
      <family val="3"/>
      <charset val="128"/>
      <scheme val="minor"/>
    </font>
    <font>
      <sz val="11"/>
      <color rgb="FFFF000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38" fontId="16" fillId="0" borderId="0" applyFont="0" applyFill="0" applyBorder="0" applyAlignment="0" applyProtection="0">
      <alignment vertical="center"/>
    </xf>
  </cellStyleXfs>
  <cellXfs count="265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2" fillId="2" borderId="0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49" fontId="2" fillId="3" borderId="0" xfId="0" applyNumberFormat="1" applyFont="1" applyFill="1" applyBorder="1">
      <alignment vertical="center"/>
    </xf>
    <xf numFmtId="0" fontId="2" fillId="3" borderId="0" xfId="0" applyFont="1" applyFill="1" applyBorder="1">
      <alignment vertical="center"/>
    </xf>
    <xf numFmtId="0" fontId="5" fillId="0" borderId="2" xfId="0" applyFont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49" fontId="0" fillId="0" borderId="1" xfId="0" applyNumberFormat="1" applyBorder="1">
      <alignment vertical="center"/>
    </xf>
    <xf numFmtId="178" fontId="2" fillId="3" borderId="0" xfId="0" applyNumberFormat="1" applyFont="1" applyFill="1" applyBorder="1">
      <alignment vertical="center"/>
    </xf>
    <xf numFmtId="178" fontId="0" fillId="0" borderId="0" xfId="0" applyNumberFormat="1">
      <alignment vertical="center"/>
    </xf>
    <xf numFmtId="176" fontId="2" fillId="3" borderId="0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180" fontId="2" fillId="3" borderId="0" xfId="0" applyNumberFormat="1" applyFont="1" applyFill="1" applyBorder="1">
      <alignment vertical="center"/>
    </xf>
    <xf numFmtId="180" fontId="0" fillId="0" borderId="0" xfId="0" applyNumberFormat="1">
      <alignment vertical="center"/>
    </xf>
    <xf numFmtId="0" fontId="2" fillId="3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0" fillId="0" borderId="0" xfId="0" applyAlignment="1">
      <alignment vertical="center" wrapText="1"/>
    </xf>
    <xf numFmtId="180" fontId="0" fillId="0" borderId="0" xfId="0" applyNumberFormat="1" applyFill="1">
      <alignment vertical="center"/>
    </xf>
    <xf numFmtId="49" fontId="0" fillId="0" borderId="0" xfId="0" applyNumberFormat="1" applyFill="1">
      <alignment vertical="center"/>
    </xf>
    <xf numFmtId="178" fontId="0" fillId="0" borderId="0" xfId="0" applyNumberFormat="1" applyFill="1">
      <alignment vertical="center"/>
    </xf>
    <xf numFmtId="176" fontId="0" fillId="0" borderId="0" xfId="0" applyNumberFormat="1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vertical="center"/>
    </xf>
    <xf numFmtId="49" fontId="3" fillId="0" borderId="0" xfId="0" applyNumberFormat="1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0" xfId="0" applyFill="1">
      <alignment vertical="center"/>
    </xf>
    <xf numFmtId="0" fontId="2" fillId="2" borderId="3" xfId="0" applyFont="1" applyFill="1" applyBorder="1" applyAlignment="1">
      <alignment horizontal="center" vertical="center"/>
    </xf>
    <xf numFmtId="0" fontId="9" fillId="0" borderId="0" xfId="0" applyFont="1" applyFill="1">
      <alignment vertical="center"/>
    </xf>
    <xf numFmtId="0" fontId="0" fillId="4" borderId="0" xfId="0" applyFill="1">
      <alignment vertical="center"/>
    </xf>
    <xf numFmtId="0" fontId="9" fillId="4" borderId="0" xfId="0" applyFont="1" applyFill="1">
      <alignment vertical="center"/>
    </xf>
    <xf numFmtId="180" fontId="11" fillId="0" borderId="1" xfId="0" applyNumberFormat="1" applyFont="1" applyFill="1" applyBorder="1">
      <alignment vertical="center"/>
    </xf>
    <xf numFmtId="49" fontId="11" fillId="0" borderId="1" xfId="0" applyNumberFormat="1" applyFont="1" applyFill="1" applyBorder="1">
      <alignment vertical="center"/>
    </xf>
    <xf numFmtId="177" fontId="11" fillId="0" borderId="1" xfId="0" applyNumberFormat="1" applyFont="1" applyFill="1" applyBorder="1">
      <alignment vertical="center"/>
    </xf>
    <xf numFmtId="0" fontId="11" fillId="0" borderId="1" xfId="0" applyFont="1" applyFill="1" applyBorder="1">
      <alignment vertical="center"/>
    </xf>
    <xf numFmtId="178" fontId="11" fillId="0" borderId="1" xfId="0" applyNumberFormat="1" applyFont="1" applyFill="1" applyBorder="1">
      <alignment vertical="center"/>
    </xf>
    <xf numFmtId="176" fontId="11" fillId="0" borderId="1" xfId="0" applyNumberFormat="1" applyFont="1" applyFill="1" applyBorder="1">
      <alignment vertical="center"/>
    </xf>
    <xf numFmtId="49" fontId="13" fillId="0" borderId="1" xfId="0" applyNumberFormat="1" applyFont="1" applyFill="1" applyBorder="1">
      <alignment vertical="center"/>
    </xf>
    <xf numFmtId="177" fontId="13" fillId="0" borderId="1" xfId="0" applyNumberFormat="1" applyFont="1" applyFill="1" applyBorder="1" applyAlignment="1">
      <alignment horizontal="center" vertical="center"/>
    </xf>
    <xf numFmtId="49" fontId="13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vertical="center"/>
    </xf>
    <xf numFmtId="0" fontId="13" fillId="0" borderId="1" xfId="0" applyFont="1" applyFill="1" applyBorder="1">
      <alignment vertical="center"/>
    </xf>
    <xf numFmtId="0" fontId="12" fillId="0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180" fontId="11" fillId="4" borderId="1" xfId="0" applyNumberFormat="1" applyFont="1" applyFill="1" applyBorder="1">
      <alignment vertical="center"/>
    </xf>
    <xf numFmtId="49" fontId="11" fillId="4" borderId="1" xfId="0" applyNumberFormat="1" applyFont="1" applyFill="1" applyBorder="1">
      <alignment vertical="center"/>
    </xf>
    <xf numFmtId="177" fontId="11" fillId="4" borderId="1" xfId="0" applyNumberFormat="1" applyFont="1" applyFill="1" applyBorder="1">
      <alignment vertical="center"/>
    </xf>
    <xf numFmtId="178" fontId="11" fillId="4" borderId="1" xfId="0" applyNumberFormat="1" applyFont="1" applyFill="1" applyBorder="1">
      <alignment vertical="center"/>
    </xf>
    <xf numFmtId="0" fontId="11" fillId="4" borderId="1" xfId="0" applyFont="1" applyFill="1" applyBorder="1">
      <alignment vertical="center"/>
    </xf>
    <xf numFmtId="176" fontId="11" fillId="4" borderId="1" xfId="0" applyNumberFormat="1" applyFont="1" applyFill="1" applyBorder="1">
      <alignment vertical="center"/>
    </xf>
    <xf numFmtId="49" fontId="13" fillId="4" borderId="1" xfId="0" applyNumberFormat="1" applyFont="1" applyFill="1" applyBorder="1">
      <alignment vertical="center"/>
    </xf>
    <xf numFmtId="177" fontId="13" fillId="4" borderId="1" xfId="0" applyNumberFormat="1" applyFont="1" applyFill="1" applyBorder="1" applyAlignment="1">
      <alignment horizontal="center" vertical="center"/>
    </xf>
    <xf numFmtId="49" fontId="13" fillId="4" borderId="1" xfId="0" applyNumberFormat="1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vertical="center"/>
    </xf>
    <xf numFmtId="0" fontId="13" fillId="4" borderId="1" xfId="0" applyFont="1" applyFill="1" applyBorder="1">
      <alignment vertical="center"/>
    </xf>
    <xf numFmtId="56" fontId="11" fillId="4" borderId="1" xfId="0" applyNumberFormat="1" applyFont="1" applyFill="1" applyBorder="1">
      <alignment vertical="center"/>
    </xf>
    <xf numFmtId="0" fontId="14" fillId="4" borderId="1" xfId="0" applyFont="1" applyFill="1" applyBorder="1">
      <alignment vertical="center"/>
    </xf>
    <xf numFmtId="56" fontId="11" fillId="0" borderId="1" xfId="0" applyNumberFormat="1" applyFont="1" applyFill="1" applyBorder="1">
      <alignment vertical="center"/>
    </xf>
    <xf numFmtId="0" fontId="14" fillId="0" borderId="1" xfId="0" applyFont="1" applyFill="1" applyBorder="1">
      <alignment vertical="center"/>
    </xf>
    <xf numFmtId="0" fontId="11" fillId="4" borderId="1" xfId="0" applyFont="1" applyFill="1" applyBorder="1" applyAlignment="1">
      <alignment vertical="center" wrapText="1"/>
    </xf>
    <xf numFmtId="179" fontId="11" fillId="4" borderId="1" xfId="0" applyNumberFormat="1" applyFont="1" applyFill="1" applyBorder="1">
      <alignment vertical="center"/>
    </xf>
    <xf numFmtId="179" fontId="11" fillId="0" borderId="1" xfId="0" applyNumberFormat="1" applyFont="1" applyFill="1" applyBorder="1">
      <alignment vertical="center"/>
    </xf>
    <xf numFmtId="0" fontId="11" fillId="0" borderId="1" xfId="0" applyFont="1" applyFill="1" applyBorder="1" applyAlignment="1">
      <alignment vertical="center" wrapText="1"/>
    </xf>
    <xf numFmtId="0" fontId="12" fillId="0" borderId="0" xfId="0" applyFont="1" applyFill="1">
      <alignment vertical="center"/>
    </xf>
    <xf numFmtId="0" fontId="0" fillId="5" borderId="1" xfId="0" applyFill="1" applyBorder="1" applyAlignment="1">
      <alignment horizontal="left" vertical="center"/>
    </xf>
    <xf numFmtId="0" fontId="17" fillId="0" borderId="0" xfId="1" applyFont="1">
      <alignment vertical="center"/>
    </xf>
    <xf numFmtId="0" fontId="19" fillId="0" borderId="0" xfId="1" applyFont="1" applyAlignment="1">
      <alignment horizontal="center" vertical="center"/>
    </xf>
    <xf numFmtId="0" fontId="17" fillId="0" borderId="0" xfId="1" applyFont="1" applyAlignment="1">
      <alignment vertical="center"/>
    </xf>
    <xf numFmtId="0" fontId="17" fillId="0" borderId="0" xfId="1" applyFont="1" applyAlignment="1">
      <alignment horizontal="left" vertical="center"/>
    </xf>
    <xf numFmtId="0" fontId="20" fillId="0" borderId="0" xfId="1" applyFont="1">
      <alignment vertical="center"/>
    </xf>
    <xf numFmtId="0" fontId="21" fillId="0" borderId="0" xfId="1" applyFont="1">
      <alignment vertical="center"/>
    </xf>
    <xf numFmtId="0" fontId="20" fillId="0" borderId="0" xfId="1" applyFont="1" applyAlignment="1">
      <alignment horizontal="left" vertical="center"/>
    </xf>
    <xf numFmtId="0" fontId="22" fillId="0" borderId="0" xfId="1" applyFont="1">
      <alignment vertical="center"/>
    </xf>
    <xf numFmtId="0" fontId="22" fillId="0" borderId="0" xfId="1" applyFont="1" applyAlignment="1">
      <alignment horizontal="left" vertical="center"/>
    </xf>
    <xf numFmtId="0" fontId="20" fillId="0" borderId="3" xfId="1" applyFont="1" applyBorder="1">
      <alignment vertical="center"/>
    </xf>
    <xf numFmtId="0" fontId="23" fillId="0" borderId="0" xfId="1" applyFont="1">
      <alignment vertical="center"/>
    </xf>
    <xf numFmtId="0" fontId="20" fillId="0" borderId="0" xfId="1" applyFont="1" applyAlignment="1">
      <alignment horizontal="center" vertical="center"/>
    </xf>
    <xf numFmtId="0" fontId="20" fillId="0" borderId="0" xfId="1" applyFont="1" applyAlignment="1">
      <alignment horizontal="right" vertical="center"/>
    </xf>
    <xf numFmtId="0" fontId="10" fillId="0" borderId="1" xfId="1" applyFont="1" applyBorder="1" applyAlignment="1">
      <alignment horizontal="center" vertical="center"/>
    </xf>
    <xf numFmtId="0" fontId="24" fillId="0" borderId="0" xfId="1" applyFont="1">
      <alignment vertical="center"/>
    </xf>
    <xf numFmtId="0" fontId="15" fillId="0" borderId="1" xfId="1" applyFont="1" applyBorder="1" applyAlignment="1">
      <alignment horizontal="center" vertical="center"/>
    </xf>
    <xf numFmtId="0" fontId="23" fillId="0" borderId="0" xfId="1" applyFont="1" applyAlignment="1">
      <alignment horizontal="left" vertical="center"/>
    </xf>
    <xf numFmtId="0" fontId="10" fillId="0" borderId="0" xfId="1" applyFont="1">
      <alignment vertical="center"/>
    </xf>
    <xf numFmtId="0" fontId="25" fillId="0" borderId="0" xfId="1" applyFont="1">
      <alignment vertical="center"/>
    </xf>
    <xf numFmtId="56" fontId="20" fillId="0" borderId="3" xfId="1" applyNumberFormat="1" applyFont="1" applyBorder="1">
      <alignment vertical="center"/>
    </xf>
    <xf numFmtId="56" fontId="20" fillId="0" borderId="0" xfId="1" applyNumberFormat="1" applyFont="1">
      <alignment vertical="center"/>
    </xf>
    <xf numFmtId="0" fontId="26" fillId="0" borderId="0" xfId="1" applyFont="1" applyAlignment="1">
      <alignment horizontal="left" vertical="center"/>
    </xf>
    <xf numFmtId="0" fontId="26" fillId="0" borderId="0" xfId="1" applyFont="1">
      <alignment vertical="center"/>
    </xf>
    <xf numFmtId="0" fontId="5" fillId="0" borderId="2" xfId="0" quotePrefix="1" applyFont="1" applyBorder="1" applyAlignment="1">
      <alignment vertical="center" wrapText="1"/>
    </xf>
    <xf numFmtId="0" fontId="22" fillId="0" borderId="0" xfId="1" applyFont="1" applyAlignment="1">
      <alignment horizontal="right" vertical="center"/>
    </xf>
    <xf numFmtId="0" fontId="23" fillId="0" borderId="0" xfId="1" applyFont="1" applyAlignment="1">
      <alignment horizontal="center" vertical="center"/>
    </xf>
    <xf numFmtId="0" fontId="22" fillId="0" borderId="0" xfId="1" applyFont="1" applyAlignment="1">
      <alignment horizontal="center" vertical="center"/>
    </xf>
    <xf numFmtId="0" fontId="12" fillId="4" borderId="0" xfId="0" applyFont="1" applyFill="1">
      <alignment vertical="center"/>
    </xf>
    <xf numFmtId="178" fontId="11" fillId="6" borderId="1" xfId="0" applyNumberFormat="1" applyFont="1" applyFill="1" applyBorder="1">
      <alignment vertical="center"/>
    </xf>
    <xf numFmtId="0" fontId="11" fillId="6" borderId="1" xfId="0" applyFont="1" applyFill="1" applyBorder="1">
      <alignment vertical="center"/>
    </xf>
    <xf numFmtId="49" fontId="13" fillId="6" borderId="1" xfId="0" applyNumberFormat="1" applyFont="1" applyFill="1" applyBorder="1">
      <alignment vertical="center"/>
    </xf>
    <xf numFmtId="177" fontId="13" fillId="6" borderId="1" xfId="0" applyNumberFormat="1" applyFont="1" applyFill="1" applyBorder="1" applyAlignment="1">
      <alignment horizontal="center" vertical="center"/>
    </xf>
    <xf numFmtId="49" fontId="13" fillId="6" borderId="1" xfId="0" applyNumberFormat="1" applyFont="1" applyFill="1" applyBorder="1" applyAlignment="1">
      <alignment horizontal="center" vertical="center"/>
    </xf>
    <xf numFmtId="176" fontId="11" fillId="6" borderId="1" xfId="0" applyNumberFormat="1" applyFont="1" applyFill="1" applyBorder="1">
      <alignment vertical="center"/>
    </xf>
    <xf numFmtId="0" fontId="12" fillId="7" borderId="1" xfId="0" applyFont="1" applyFill="1" applyBorder="1">
      <alignment vertical="center"/>
    </xf>
    <xf numFmtId="180" fontId="11" fillId="7" borderId="1" xfId="0" applyNumberFormat="1" applyFont="1" applyFill="1" applyBorder="1">
      <alignment vertical="center"/>
    </xf>
    <xf numFmtId="49" fontId="11" fillId="7" borderId="1" xfId="0" applyNumberFormat="1" applyFont="1" applyFill="1" applyBorder="1">
      <alignment vertical="center"/>
    </xf>
    <xf numFmtId="177" fontId="11" fillId="7" borderId="1" xfId="0" applyNumberFormat="1" applyFont="1" applyFill="1" applyBorder="1">
      <alignment vertical="center"/>
    </xf>
    <xf numFmtId="0" fontId="11" fillId="7" borderId="1" xfId="0" applyFont="1" applyFill="1" applyBorder="1">
      <alignment vertical="center"/>
    </xf>
    <xf numFmtId="178" fontId="11" fillId="7" borderId="1" xfId="0" applyNumberFormat="1" applyFont="1" applyFill="1" applyBorder="1">
      <alignment vertical="center"/>
    </xf>
    <xf numFmtId="176" fontId="11" fillId="7" borderId="1" xfId="0" applyNumberFormat="1" applyFont="1" applyFill="1" applyBorder="1">
      <alignment vertical="center"/>
    </xf>
    <xf numFmtId="49" fontId="13" fillId="7" borderId="1" xfId="0" applyNumberFormat="1" applyFont="1" applyFill="1" applyBorder="1">
      <alignment vertical="center"/>
    </xf>
    <xf numFmtId="177" fontId="13" fillId="7" borderId="1" xfId="0" applyNumberFormat="1" applyFont="1" applyFill="1" applyBorder="1" applyAlignment="1">
      <alignment horizontal="center" vertical="center"/>
    </xf>
    <xf numFmtId="49" fontId="13" fillId="7" borderId="1" xfId="0" applyNumberFormat="1" applyFont="1" applyFill="1" applyBorder="1" applyAlignment="1">
      <alignment horizontal="center" vertical="center"/>
    </xf>
    <xf numFmtId="0" fontId="13" fillId="7" borderId="1" xfId="0" applyFont="1" applyFill="1" applyBorder="1">
      <alignment vertical="center"/>
    </xf>
    <xf numFmtId="0" fontId="11" fillId="7" borderId="1" xfId="0" applyFont="1" applyFill="1" applyBorder="1" applyAlignment="1">
      <alignment vertical="center"/>
    </xf>
    <xf numFmtId="56" fontId="11" fillId="0" borderId="1" xfId="0" applyNumberFormat="1" applyFont="1" applyFill="1" applyBorder="1" applyAlignment="1">
      <alignment vertical="center" wrapText="1"/>
    </xf>
    <xf numFmtId="0" fontId="11" fillId="7" borderId="1" xfId="0" applyFont="1" applyFill="1" applyBorder="1" applyAlignment="1">
      <alignment vertical="center" wrapText="1"/>
    </xf>
    <xf numFmtId="0" fontId="12" fillId="7" borderId="0" xfId="0" applyFont="1" applyFill="1">
      <alignment vertical="center"/>
    </xf>
    <xf numFmtId="56" fontId="11" fillId="4" borderId="1" xfId="0" applyNumberFormat="1" applyFont="1" applyFill="1" applyBorder="1" applyAlignment="1">
      <alignment vertical="center" wrapText="1"/>
    </xf>
    <xf numFmtId="49" fontId="13" fillId="8" borderId="1" xfId="0" applyNumberFormat="1" applyFont="1" applyFill="1" applyBorder="1">
      <alignment vertical="center"/>
    </xf>
    <xf numFmtId="177" fontId="13" fillId="8" borderId="1" xfId="0" applyNumberFormat="1" applyFont="1" applyFill="1" applyBorder="1" applyAlignment="1">
      <alignment horizontal="center" vertical="center"/>
    </xf>
    <xf numFmtId="49" fontId="13" fillId="8" borderId="1" xfId="0" applyNumberFormat="1" applyFont="1" applyFill="1" applyBorder="1" applyAlignment="1">
      <alignment horizontal="center" vertical="center"/>
    </xf>
    <xf numFmtId="0" fontId="12" fillId="8" borderId="1" xfId="0" applyFont="1" applyFill="1" applyBorder="1">
      <alignment vertical="center"/>
    </xf>
    <xf numFmtId="0" fontId="13" fillId="8" borderId="1" xfId="0" applyFont="1" applyFill="1" applyBorder="1">
      <alignment vertical="center"/>
    </xf>
    <xf numFmtId="0" fontId="11" fillId="8" borderId="1" xfId="0" applyFont="1" applyFill="1" applyBorder="1">
      <alignment vertical="center"/>
    </xf>
    <xf numFmtId="0" fontId="11" fillId="8" borderId="1" xfId="0" applyFont="1" applyFill="1" applyBorder="1" applyAlignment="1">
      <alignment vertical="center"/>
    </xf>
    <xf numFmtId="180" fontId="11" fillId="8" borderId="1" xfId="0" applyNumberFormat="1" applyFont="1" applyFill="1" applyBorder="1">
      <alignment vertical="center"/>
    </xf>
    <xf numFmtId="49" fontId="11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>
      <alignment vertical="center"/>
    </xf>
    <xf numFmtId="178" fontId="11" fillId="8" borderId="1" xfId="0" applyNumberFormat="1" applyFont="1" applyFill="1" applyBorder="1">
      <alignment vertical="center"/>
    </xf>
    <xf numFmtId="176" fontId="11" fillId="8" borderId="1" xfId="0" applyNumberFormat="1" applyFont="1" applyFill="1" applyBorder="1">
      <alignment vertical="center"/>
    </xf>
    <xf numFmtId="56" fontId="11" fillId="8" borderId="1" xfId="0" applyNumberFormat="1" applyFont="1" applyFill="1" applyBorder="1">
      <alignment vertical="center"/>
    </xf>
    <xf numFmtId="0" fontId="14" fillId="8" borderId="1" xfId="0" applyFont="1" applyFill="1" applyBorder="1">
      <alignment vertical="center"/>
    </xf>
    <xf numFmtId="56" fontId="11" fillId="8" borderId="1" xfId="0" applyNumberFormat="1" applyFont="1" applyFill="1" applyBorder="1" applyAlignment="1">
      <alignment vertical="center" wrapText="1"/>
    </xf>
    <xf numFmtId="0" fontId="11" fillId="8" borderId="1" xfId="0" applyFont="1" applyFill="1" applyBorder="1" applyAlignment="1">
      <alignment vertical="center" wrapText="1"/>
    </xf>
    <xf numFmtId="0" fontId="12" fillId="9" borderId="1" xfId="0" applyFont="1" applyFill="1" applyBorder="1">
      <alignment vertical="center"/>
    </xf>
    <xf numFmtId="180" fontId="11" fillId="9" borderId="1" xfId="0" applyNumberFormat="1" applyFont="1" applyFill="1" applyBorder="1">
      <alignment vertical="center"/>
    </xf>
    <xf numFmtId="49" fontId="11" fillId="9" borderId="1" xfId="0" applyNumberFormat="1" applyFont="1" applyFill="1" applyBorder="1">
      <alignment vertical="center"/>
    </xf>
    <xf numFmtId="177" fontId="11" fillId="9" borderId="1" xfId="0" applyNumberFormat="1" applyFont="1" applyFill="1" applyBorder="1">
      <alignment vertical="center"/>
    </xf>
    <xf numFmtId="0" fontId="11" fillId="9" borderId="1" xfId="0" applyFont="1" applyFill="1" applyBorder="1">
      <alignment vertical="center"/>
    </xf>
    <xf numFmtId="178" fontId="11" fillId="9" borderId="1" xfId="0" applyNumberFormat="1" applyFont="1" applyFill="1" applyBorder="1">
      <alignment vertical="center"/>
    </xf>
    <xf numFmtId="176" fontId="11" fillId="9" borderId="1" xfId="0" applyNumberFormat="1" applyFont="1" applyFill="1" applyBorder="1">
      <alignment vertical="center"/>
    </xf>
    <xf numFmtId="49" fontId="13" fillId="9" borderId="1" xfId="0" applyNumberFormat="1" applyFont="1" applyFill="1" applyBorder="1">
      <alignment vertical="center"/>
    </xf>
    <xf numFmtId="177" fontId="13" fillId="9" borderId="1" xfId="0" applyNumberFormat="1" applyFont="1" applyFill="1" applyBorder="1" applyAlignment="1">
      <alignment horizontal="center" vertical="center"/>
    </xf>
    <xf numFmtId="49" fontId="13" fillId="9" borderId="1" xfId="0" applyNumberFormat="1" applyFont="1" applyFill="1" applyBorder="1" applyAlignment="1">
      <alignment horizontal="center" vertical="center"/>
    </xf>
    <xf numFmtId="0" fontId="13" fillId="9" borderId="1" xfId="0" applyFont="1" applyFill="1" applyBorder="1">
      <alignment vertical="center"/>
    </xf>
    <xf numFmtId="0" fontId="11" fillId="9" borderId="1" xfId="0" applyFont="1" applyFill="1" applyBorder="1" applyAlignment="1">
      <alignment vertical="center"/>
    </xf>
    <xf numFmtId="0" fontId="0" fillId="7" borderId="0" xfId="0" applyFill="1">
      <alignment vertical="center"/>
    </xf>
    <xf numFmtId="56" fontId="11" fillId="7" borderId="1" xfId="0" applyNumberFormat="1" applyFont="1" applyFill="1" applyBorder="1">
      <alignment vertical="center"/>
    </xf>
    <xf numFmtId="0" fontId="14" fillId="7" borderId="1" xfId="0" applyFont="1" applyFill="1" applyBorder="1">
      <alignment vertical="center"/>
    </xf>
    <xf numFmtId="56" fontId="11" fillId="7" borderId="1" xfId="0" applyNumberFormat="1" applyFont="1" applyFill="1" applyBorder="1" applyAlignment="1">
      <alignment vertical="center" wrapText="1"/>
    </xf>
    <xf numFmtId="179" fontId="11" fillId="7" borderId="1" xfId="0" applyNumberFormat="1" applyFont="1" applyFill="1" applyBorder="1">
      <alignment vertical="center"/>
    </xf>
    <xf numFmtId="179" fontId="11" fillId="8" borderId="1" xfId="0" applyNumberFormat="1" applyFont="1" applyFill="1" applyBorder="1">
      <alignment vertical="center"/>
    </xf>
    <xf numFmtId="0" fontId="9" fillId="7" borderId="0" xfId="0" applyFont="1" applyFill="1">
      <alignment vertical="center"/>
    </xf>
    <xf numFmtId="0" fontId="11" fillId="6" borderId="1" xfId="0" applyFont="1" applyFill="1" applyBorder="1" applyAlignment="1">
      <alignment vertical="center"/>
    </xf>
    <xf numFmtId="0" fontId="12" fillId="6" borderId="1" xfId="0" applyFont="1" applyFill="1" applyBorder="1">
      <alignment vertical="center"/>
    </xf>
    <xf numFmtId="180" fontId="11" fillId="6" borderId="1" xfId="0" applyNumberFormat="1" applyFont="1" applyFill="1" applyBorder="1">
      <alignment vertical="center"/>
    </xf>
    <xf numFmtId="49" fontId="11" fillId="6" borderId="1" xfId="0" applyNumberFormat="1" applyFont="1" applyFill="1" applyBorder="1">
      <alignment vertical="center"/>
    </xf>
    <xf numFmtId="177" fontId="11" fillId="6" borderId="1" xfId="0" applyNumberFormat="1" applyFont="1" applyFill="1" applyBorder="1">
      <alignment vertical="center"/>
    </xf>
    <xf numFmtId="0" fontId="13" fillId="6" borderId="1" xfId="0" applyFont="1" applyFill="1" applyBorder="1">
      <alignment vertical="center"/>
    </xf>
    <xf numFmtId="0" fontId="11" fillId="6" borderId="1" xfId="0" applyFont="1" applyFill="1" applyBorder="1" applyAlignment="1">
      <alignment vertical="center" wrapText="1"/>
    </xf>
    <xf numFmtId="49" fontId="11" fillId="10" borderId="1" xfId="0" applyNumberFormat="1" applyFont="1" applyFill="1" applyBorder="1">
      <alignment vertical="center"/>
    </xf>
    <xf numFmtId="0" fontId="12" fillId="10" borderId="1" xfId="0" applyFont="1" applyFill="1" applyBorder="1">
      <alignment vertical="center"/>
    </xf>
    <xf numFmtId="180" fontId="11" fillId="10" borderId="1" xfId="0" applyNumberFormat="1" applyFont="1" applyFill="1" applyBorder="1">
      <alignment vertical="center"/>
    </xf>
    <xf numFmtId="177" fontId="11" fillId="10" borderId="1" xfId="0" applyNumberFormat="1" applyFont="1" applyFill="1" applyBorder="1">
      <alignment vertical="center"/>
    </xf>
    <xf numFmtId="0" fontId="11" fillId="10" borderId="1" xfId="0" applyFont="1" applyFill="1" applyBorder="1">
      <alignment vertical="center"/>
    </xf>
    <xf numFmtId="178" fontId="11" fillId="10" borderId="1" xfId="0" applyNumberFormat="1" applyFont="1" applyFill="1" applyBorder="1">
      <alignment vertical="center"/>
    </xf>
    <xf numFmtId="176" fontId="11" fillId="10" borderId="1" xfId="0" applyNumberFormat="1" applyFont="1" applyFill="1" applyBorder="1">
      <alignment vertical="center"/>
    </xf>
    <xf numFmtId="49" fontId="13" fillId="10" borderId="1" xfId="0" applyNumberFormat="1" applyFont="1" applyFill="1" applyBorder="1">
      <alignment vertical="center"/>
    </xf>
    <xf numFmtId="177" fontId="13" fillId="10" borderId="1" xfId="0" applyNumberFormat="1" applyFont="1" applyFill="1" applyBorder="1" applyAlignment="1">
      <alignment horizontal="center" vertical="center"/>
    </xf>
    <xf numFmtId="49" fontId="13" fillId="10" borderId="1" xfId="0" applyNumberFormat="1" applyFont="1" applyFill="1" applyBorder="1" applyAlignment="1">
      <alignment horizontal="center" vertical="center"/>
    </xf>
    <xf numFmtId="0" fontId="13" fillId="10" borderId="1" xfId="0" applyFont="1" applyFill="1" applyBorder="1">
      <alignment vertical="center"/>
    </xf>
    <xf numFmtId="0" fontId="11" fillId="10" borderId="1" xfId="0" applyFont="1" applyFill="1" applyBorder="1" applyAlignment="1">
      <alignment vertical="center" wrapText="1"/>
    </xf>
    <xf numFmtId="0" fontId="0" fillId="10" borderId="0" xfId="0" applyFill="1">
      <alignment vertical="center"/>
    </xf>
    <xf numFmtId="0" fontId="27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/>
    </xf>
    <xf numFmtId="0" fontId="31" fillId="0" borderId="0" xfId="0" applyFont="1">
      <alignment vertical="center"/>
    </xf>
    <xf numFmtId="0" fontId="0" fillId="11" borderId="1" xfId="0" applyFill="1" applyBorder="1" applyAlignment="1">
      <alignment vertical="top"/>
    </xf>
    <xf numFmtId="0" fontId="32" fillId="11" borderId="1" xfId="0" applyFont="1" applyFill="1" applyBorder="1" applyAlignment="1">
      <alignment vertical="top"/>
    </xf>
    <xf numFmtId="0" fontId="33" fillId="0" borderId="0" xfId="0" applyFont="1" applyAlignment="1">
      <alignment vertical="top"/>
    </xf>
    <xf numFmtId="0" fontId="0" fillId="0" borderId="0" xfId="0" applyAlignment="1">
      <alignment vertical="top"/>
    </xf>
    <xf numFmtId="0" fontId="32" fillId="0" borderId="0" xfId="0" applyFont="1" applyAlignment="1">
      <alignment vertical="top"/>
    </xf>
    <xf numFmtId="1" fontId="0" fillId="0" borderId="0" xfId="0" applyNumberFormat="1" applyAlignment="1">
      <alignment horizontal="right" vertical="top"/>
    </xf>
    <xf numFmtId="177" fontId="0" fillId="0" borderId="0" xfId="0" applyNumberFormat="1" applyAlignment="1">
      <alignment horizontal="right" vertical="top"/>
    </xf>
    <xf numFmtId="177" fontId="33" fillId="0" borderId="0" xfId="0" applyNumberFormat="1" applyFont="1" applyAlignment="1">
      <alignment horizontal="right" vertical="top"/>
    </xf>
    <xf numFmtId="0" fontId="34" fillId="0" borderId="0" xfId="0" applyFont="1" applyAlignment="1">
      <alignment horizontal="left" vertical="center"/>
    </xf>
    <xf numFmtId="49" fontId="11" fillId="8" borderId="1" xfId="0" quotePrefix="1" applyNumberFormat="1" applyFont="1" applyFill="1" applyBorder="1">
      <alignment vertical="center"/>
    </xf>
    <xf numFmtId="176" fontId="11" fillId="7" borderId="1" xfId="0" applyNumberFormat="1" applyFont="1" applyFill="1" applyBorder="1" applyAlignment="1">
      <alignment vertical="center" wrapText="1"/>
    </xf>
    <xf numFmtId="49" fontId="11" fillId="7" borderId="1" xfId="0" quotePrefix="1" applyNumberFormat="1" applyFont="1" applyFill="1" applyBorder="1">
      <alignment vertical="center"/>
    </xf>
    <xf numFmtId="49" fontId="11" fillId="0" borderId="1" xfId="0" quotePrefix="1" applyNumberFormat="1" applyFont="1" applyFill="1" applyBorder="1">
      <alignment vertical="center"/>
    </xf>
    <xf numFmtId="49" fontId="11" fillId="9" borderId="1" xfId="0" quotePrefix="1" applyNumberFormat="1" applyFont="1" applyFill="1" applyBorder="1">
      <alignment vertical="center"/>
    </xf>
    <xf numFmtId="0" fontId="11" fillId="9" borderId="1" xfId="0" applyFont="1" applyFill="1" applyBorder="1" applyAlignment="1">
      <alignment vertical="center" wrapText="1"/>
    </xf>
    <xf numFmtId="0" fontId="35" fillId="9" borderId="1" xfId="0" applyFont="1" applyFill="1" applyBorder="1">
      <alignment vertical="center"/>
    </xf>
    <xf numFmtId="0" fontId="0" fillId="0" borderId="0" xfId="0" applyBorder="1">
      <alignment vertical="center"/>
    </xf>
    <xf numFmtId="176" fontId="11" fillId="8" borderId="1" xfId="0" applyNumberFormat="1" applyFont="1" applyFill="1" applyBorder="1" applyAlignment="1">
      <alignment vertical="center" wrapText="1"/>
    </xf>
    <xf numFmtId="176" fontId="11" fillId="0" borderId="1" xfId="0" applyNumberFormat="1" applyFont="1" applyFill="1" applyBorder="1" applyAlignment="1">
      <alignment vertical="center" wrapText="1"/>
    </xf>
    <xf numFmtId="0" fontId="35" fillId="7" borderId="1" xfId="0" applyFont="1" applyFill="1" applyBorder="1">
      <alignment vertical="center"/>
    </xf>
    <xf numFmtId="0" fontId="35" fillId="8" borderId="1" xfId="0" applyFont="1" applyFill="1" applyBorder="1">
      <alignment vertical="center"/>
    </xf>
    <xf numFmtId="49" fontId="11" fillId="4" borderId="1" xfId="0" quotePrefix="1" applyNumberFormat="1" applyFont="1" applyFill="1" applyBorder="1">
      <alignment vertical="center"/>
    </xf>
    <xf numFmtId="0" fontId="11" fillId="5" borderId="1" xfId="0" applyFont="1" applyFill="1" applyBorder="1">
      <alignment vertical="center"/>
    </xf>
    <xf numFmtId="0" fontId="11" fillId="12" borderId="1" xfId="0" applyFont="1" applyFill="1" applyBorder="1">
      <alignment vertical="center"/>
    </xf>
    <xf numFmtId="5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13" fillId="12" borderId="1" xfId="0" applyNumberFormat="1" applyFont="1" applyFill="1" applyBorder="1" applyAlignment="1">
      <alignment horizontal="center" vertical="center"/>
    </xf>
    <xf numFmtId="49" fontId="13" fillId="12" borderId="1" xfId="0" applyNumberFormat="1" applyFont="1" applyFill="1" applyBorder="1" applyAlignment="1">
      <alignment horizontal="center" vertical="center"/>
    </xf>
    <xf numFmtId="177" fontId="13" fillId="12" borderId="1" xfId="0" applyNumberFormat="1" applyFont="1" applyFill="1" applyBorder="1" applyAlignment="1">
      <alignment horizontal="center" vertical="center" wrapText="1"/>
    </xf>
    <xf numFmtId="49" fontId="13" fillId="12" borderId="1" xfId="0" applyNumberFormat="1" applyFont="1" applyFill="1" applyBorder="1" applyAlignment="1">
      <alignment horizontal="center" vertical="center" wrapText="1"/>
    </xf>
    <xf numFmtId="0" fontId="12" fillId="12" borderId="1" xfId="0" applyFont="1" applyFill="1" applyBorder="1">
      <alignment vertical="center"/>
    </xf>
    <xf numFmtId="49" fontId="13" fillId="12" borderId="1" xfId="0" applyNumberFormat="1" applyFont="1" applyFill="1" applyBorder="1">
      <alignment vertical="center"/>
    </xf>
    <xf numFmtId="178" fontId="11" fillId="12" borderId="1" xfId="0" applyNumberFormat="1" applyFont="1" applyFill="1" applyBorder="1">
      <alignment vertical="center"/>
    </xf>
    <xf numFmtId="176" fontId="11" fillId="12" borderId="1" xfId="0" applyNumberFormat="1" applyFont="1" applyFill="1" applyBorder="1">
      <alignment vertical="center"/>
    </xf>
    <xf numFmtId="177" fontId="13" fillId="4" borderId="1" xfId="0" applyNumberFormat="1" applyFont="1" applyFill="1" applyBorder="1" applyAlignment="1">
      <alignment horizontal="center" vertical="center" wrapText="1"/>
    </xf>
    <xf numFmtId="49" fontId="13" fillId="4" borderId="1" xfId="0" applyNumberFormat="1" applyFont="1" applyFill="1" applyBorder="1" applyAlignment="1">
      <alignment horizontal="center" vertical="center" wrapText="1"/>
    </xf>
    <xf numFmtId="176" fontId="11" fillId="4" borderId="1" xfId="0" applyNumberFormat="1" applyFont="1" applyFill="1" applyBorder="1" applyAlignment="1">
      <alignment vertical="center" wrapText="1"/>
    </xf>
    <xf numFmtId="0" fontId="13" fillId="12" borderId="1" xfId="0" applyFont="1" applyFill="1" applyBorder="1">
      <alignment vertical="center"/>
    </xf>
    <xf numFmtId="177" fontId="13" fillId="0" borderId="1" xfId="0" applyNumberFormat="1" applyFont="1" applyFill="1" applyBorder="1" applyAlignment="1">
      <alignment horizontal="center" vertical="center" wrapText="1"/>
    </xf>
    <xf numFmtId="49" fontId="13" fillId="0" borderId="1" xfId="0" applyNumberFormat="1" applyFont="1" applyFill="1" applyBorder="1" applyAlignment="1">
      <alignment horizontal="center" vertical="center" wrapText="1"/>
    </xf>
    <xf numFmtId="0" fontId="11" fillId="13" borderId="1" xfId="0" applyFont="1" applyFill="1" applyBorder="1">
      <alignment vertical="center"/>
    </xf>
    <xf numFmtId="38" fontId="20" fillId="0" borderId="0" xfId="2" applyFont="1" applyAlignment="1">
      <alignment horizontal="center" vertical="center"/>
    </xf>
    <xf numFmtId="49" fontId="17" fillId="0" borderId="0" xfId="1" applyNumberFormat="1" applyFont="1" applyAlignment="1">
      <alignment horizontal="center" vertical="center"/>
    </xf>
    <xf numFmtId="0" fontId="17" fillId="0" borderId="0" xfId="1" applyFont="1" applyAlignment="1">
      <alignment horizontal="center" vertical="center"/>
    </xf>
    <xf numFmtId="0" fontId="20" fillId="0" borderId="3" xfId="1" applyFont="1" applyBorder="1" applyAlignment="1">
      <alignment horizontal="left" vertical="center"/>
    </xf>
    <xf numFmtId="0" fontId="20" fillId="0" borderId="0" xfId="1" applyFont="1" applyAlignment="1">
      <alignment horizontal="center" vertical="center"/>
    </xf>
    <xf numFmtId="49" fontId="20" fillId="0" borderId="0" xfId="1" applyNumberFormat="1" applyFont="1" applyAlignment="1">
      <alignment horizontal="center" vertical="center"/>
    </xf>
    <xf numFmtId="177" fontId="20" fillId="0" borderId="0" xfId="1" applyNumberFormat="1" applyFont="1" applyAlignment="1">
      <alignment horizontal="left" vertical="center"/>
    </xf>
    <xf numFmtId="49" fontId="20" fillId="0" borderId="0" xfId="1" applyNumberFormat="1" applyFont="1" applyAlignment="1">
      <alignment horizontal="left" vertical="center"/>
    </xf>
    <xf numFmtId="0" fontId="20" fillId="0" borderId="3" xfId="1" applyFont="1" applyBorder="1" applyAlignment="1">
      <alignment horizontal="center" vertical="center"/>
    </xf>
    <xf numFmtId="0" fontId="36" fillId="0" borderId="0" xfId="0" applyFont="1" applyFill="1">
      <alignment vertical="center"/>
    </xf>
    <xf numFmtId="0" fontId="37" fillId="8" borderId="1" xfId="0" applyFont="1" applyFill="1" applyBorder="1">
      <alignment vertical="center"/>
    </xf>
    <xf numFmtId="180" fontId="37" fillId="8" borderId="1" xfId="0" applyNumberFormat="1" applyFont="1" applyFill="1" applyBorder="1">
      <alignment vertical="center"/>
    </xf>
    <xf numFmtId="49" fontId="37" fillId="8" borderId="1" xfId="0" applyNumberFormat="1" applyFont="1" applyFill="1" applyBorder="1">
      <alignment vertical="center"/>
    </xf>
    <xf numFmtId="178" fontId="37" fillId="8" borderId="1" xfId="0" applyNumberFormat="1" applyFont="1" applyFill="1" applyBorder="1">
      <alignment vertical="center"/>
    </xf>
    <xf numFmtId="176" fontId="37" fillId="8" borderId="1" xfId="0" applyNumberFormat="1" applyFont="1" applyFill="1" applyBorder="1">
      <alignment vertical="center"/>
    </xf>
    <xf numFmtId="177" fontId="37" fillId="8" borderId="1" xfId="0" applyNumberFormat="1" applyFont="1" applyFill="1" applyBorder="1" applyAlignment="1">
      <alignment horizontal="center" vertical="center"/>
    </xf>
    <xf numFmtId="49" fontId="37" fillId="8" borderId="1" xfId="0" applyNumberFormat="1" applyFont="1" applyFill="1" applyBorder="1" applyAlignment="1">
      <alignment horizontal="center" vertical="center"/>
    </xf>
    <xf numFmtId="0" fontId="37" fillId="8" borderId="1" xfId="0" applyFont="1" applyFill="1" applyBorder="1" applyAlignment="1">
      <alignment vertical="center" wrapText="1"/>
    </xf>
    <xf numFmtId="0" fontId="36" fillId="7" borderId="0" xfId="0" applyFont="1" applyFill="1">
      <alignment vertical="center"/>
    </xf>
    <xf numFmtId="0" fontId="37" fillId="7" borderId="1" xfId="0" applyFont="1" applyFill="1" applyBorder="1">
      <alignment vertical="center"/>
    </xf>
    <xf numFmtId="180" fontId="37" fillId="7" borderId="1" xfId="0" applyNumberFormat="1" applyFont="1" applyFill="1" applyBorder="1">
      <alignment vertical="center"/>
    </xf>
    <xf numFmtId="49" fontId="37" fillId="7" borderId="1" xfId="0" applyNumberFormat="1" applyFont="1" applyFill="1" applyBorder="1">
      <alignment vertical="center"/>
    </xf>
    <xf numFmtId="178" fontId="37" fillId="7" borderId="1" xfId="0" applyNumberFormat="1" applyFont="1" applyFill="1" applyBorder="1">
      <alignment vertical="center"/>
    </xf>
    <xf numFmtId="176" fontId="37" fillId="7" borderId="1" xfId="0" applyNumberFormat="1" applyFont="1" applyFill="1" applyBorder="1">
      <alignment vertical="center"/>
    </xf>
    <xf numFmtId="177" fontId="37" fillId="7" borderId="1" xfId="0" applyNumberFormat="1" applyFont="1" applyFill="1" applyBorder="1" applyAlignment="1">
      <alignment horizontal="center" vertical="center"/>
    </xf>
    <xf numFmtId="49" fontId="37" fillId="7" borderId="1" xfId="0" applyNumberFormat="1" applyFont="1" applyFill="1" applyBorder="1" applyAlignment="1">
      <alignment horizontal="center" vertical="center"/>
    </xf>
    <xf numFmtId="0" fontId="37" fillId="7" borderId="1" xfId="0" applyFont="1" applyFill="1" applyBorder="1" applyAlignment="1">
      <alignment vertical="center" wrapText="1"/>
    </xf>
    <xf numFmtId="0" fontId="37" fillId="0" borderId="1" xfId="0" applyFont="1" applyFill="1" applyBorder="1">
      <alignment vertical="center"/>
    </xf>
    <xf numFmtId="180" fontId="37" fillId="0" borderId="1" xfId="0" applyNumberFormat="1" applyFont="1" applyFill="1" applyBorder="1">
      <alignment vertical="center"/>
    </xf>
    <xf numFmtId="49" fontId="37" fillId="0" borderId="1" xfId="0" quotePrefix="1" applyNumberFormat="1" applyFont="1" applyFill="1" applyBorder="1">
      <alignment vertical="center"/>
    </xf>
    <xf numFmtId="178" fontId="37" fillId="0" borderId="1" xfId="0" applyNumberFormat="1" applyFont="1" applyFill="1" applyBorder="1">
      <alignment vertical="center"/>
    </xf>
    <xf numFmtId="176" fontId="37" fillId="0" borderId="1" xfId="0" applyNumberFormat="1" applyFont="1" applyFill="1" applyBorder="1">
      <alignment vertical="center"/>
    </xf>
    <xf numFmtId="49" fontId="37" fillId="0" borderId="1" xfId="0" applyNumberFormat="1" applyFont="1" applyFill="1" applyBorder="1">
      <alignment vertical="center"/>
    </xf>
    <xf numFmtId="177" fontId="37" fillId="0" borderId="1" xfId="0" applyNumberFormat="1" applyFont="1" applyFill="1" applyBorder="1" applyAlignment="1">
      <alignment horizontal="center" vertical="center"/>
    </xf>
    <xf numFmtId="49" fontId="37" fillId="0" borderId="1" xfId="0" applyNumberFormat="1" applyFont="1" applyFill="1" applyBorder="1" applyAlignment="1">
      <alignment horizontal="center" vertical="center"/>
    </xf>
    <xf numFmtId="0" fontId="37" fillId="0" borderId="1" xfId="0" applyFont="1" applyFill="1" applyBorder="1" applyAlignment="1">
      <alignment vertical="center" wrapText="1"/>
    </xf>
    <xf numFmtId="0" fontId="38" fillId="7" borderId="0" xfId="0" applyFont="1" applyFill="1">
      <alignment vertical="center"/>
    </xf>
    <xf numFmtId="0" fontId="39" fillId="7" borderId="1" xfId="0" applyFont="1" applyFill="1" applyBorder="1">
      <alignment vertical="center"/>
    </xf>
    <xf numFmtId="180" fontId="39" fillId="7" borderId="1" xfId="0" applyNumberFormat="1" applyFont="1" applyFill="1" applyBorder="1">
      <alignment vertical="center"/>
    </xf>
    <xf numFmtId="49" fontId="39" fillId="7" borderId="1" xfId="0" quotePrefix="1" applyNumberFormat="1" applyFont="1" applyFill="1" applyBorder="1">
      <alignment vertical="center"/>
    </xf>
    <xf numFmtId="178" fontId="39" fillId="7" borderId="1" xfId="0" applyNumberFormat="1" applyFont="1" applyFill="1" applyBorder="1">
      <alignment vertical="center"/>
    </xf>
    <xf numFmtId="176" fontId="39" fillId="7" borderId="1" xfId="0" applyNumberFormat="1" applyFont="1" applyFill="1" applyBorder="1">
      <alignment vertical="center"/>
    </xf>
    <xf numFmtId="49" fontId="39" fillId="7" borderId="1" xfId="0" applyNumberFormat="1" applyFont="1" applyFill="1" applyBorder="1">
      <alignment vertical="center"/>
    </xf>
    <xf numFmtId="177" fontId="39" fillId="7" borderId="1" xfId="0" applyNumberFormat="1" applyFont="1" applyFill="1" applyBorder="1" applyAlignment="1">
      <alignment horizontal="center" vertical="center"/>
    </xf>
    <xf numFmtId="49" fontId="39" fillId="7" borderId="1" xfId="0" applyNumberFormat="1" applyFont="1" applyFill="1" applyBorder="1" applyAlignment="1">
      <alignment horizontal="center" vertical="center"/>
    </xf>
    <xf numFmtId="0" fontId="39" fillId="7" borderId="1" xfId="0" applyFont="1" applyFill="1" applyBorder="1" applyAlignment="1">
      <alignment vertical="center" wrapText="1"/>
    </xf>
  </cellXfs>
  <cellStyles count="3">
    <cellStyle name="一般" xfId="0" builtinId="0"/>
    <cellStyle name="千分位[0]" xfId="2" builtinId="6"/>
    <cellStyle name="標準 2" xfId="1" xr:uid="{00000000-0005-0000-0000-000002000000}"/>
  </cellStyles>
  <dxfs count="0"/>
  <tableStyles count="0" defaultTableStyle="TableStyleMedium2" defaultPivotStyle="PivotStyleLight16"/>
  <colors>
    <mruColors>
      <color rgb="FFCC99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1"/>
  <sheetViews>
    <sheetView workbookViewId="0">
      <selection activeCell="K38" sqref="K38"/>
    </sheetView>
  </sheetViews>
  <sheetFormatPr defaultRowHeight="1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83" filterMode="1">
    <pageSetUpPr fitToPage="1"/>
  </sheetPr>
  <dimension ref="B1:T142"/>
  <sheetViews>
    <sheetView tabSelected="1" zoomScale="77" zoomScaleNormal="77" workbookViewId="0">
      <pane xSplit="4" ySplit="2" topLeftCell="E82" activePane="bottomRight" state="frozen"/>
      <selection pane="topRight" activeCell="E1" sqref="E1"/>
      <selection pane="bottomLeft" activeCell="A3" sqref="A3"/>
      <selection pane="bottomRight" activeCell="H89" activeCellId="2" sqref="H86 H88 H89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hidden="1" customWidth="1"/>
    <col min="6" max="6" width="7.12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B2" s="194"/>
      <c r="C2" s="14" t="s">
        <v>6492</v>
      </c>
      <c r="D2" s="5" t="s">
        <v>0</v>
      </c>
      <c r="E2" s="6" t="s">
        <v>6493</v>
      </c>
      <c r="F2" s="6" t="s">
        <v>6494</v>
      </c>
      <c r="G2" s="10" t="s">
        <v>1</v>
      </c>
      <c r="H2" s="6" t="s">
        <v>15</v>
      </c>
      <c r="I2" s="6" t="s">
        <v>16</v>
      </c>
      <c r="J2" s="6" t="s">
        <v>6495</v>
      </c>
      <c r="K2" s="12" t="s">
        <v>6496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6497</v>
      </c>
      <c r="Q2" s="6" t="s">
        <v>6498</v>
      </c>
      <c r="R2" s="16" t="s">
        <v>6</v>
      </c>
      <c r="S2" s="16" t="s">
        <v>6499</v>
      </c>
    </row>
    <row r="3" spans="2:19" s="33" customFormat="1" ht="33" hidden="1" customHeight="1">
      <c r="B3" s="47" t="s">
        <v>78</v>
      </c>
      <c r="C3" s="48" t="s">
        <v>1178</v>
      </c>
      <c r="D3" s="49" t="s">
        <v>1179</v>
      </c>
      <c r="E3" s="50">
        <v>43567</v>
      </c>
      <c r="F3" s="49" t="s">
        <v>6500</v>
      </c>
      <c r="G3" s="51">
        <v>10000</v>
      </c>
      <c r="H3" s="52">
        <f t="shared" ref="H3:H8" si="0">SUM(G3/250)</f>
        <v>40</v>
      </c>
      <c r="I3" s="52">
        <f t="shared" ref="I3:I8" si="1">SUM(H3/4)</f>
        <v>10</v>
      </c>
      <c r="J3" s="49"/>
      <c r="K3" s="53">
        <v>43674</v>
      </c>
      <c r="L3" s="54" t="s">
        <v>6501</v>
      </c>
      <c r="M3" s="55">
        <v>43682</v>
      </c>
      <c r="N3" s="56" t="s">
        <v>6502</v>
      </c>
      <c r="O3" s="55">
        <v>43688</v>
      </c>
      <c r="P3" s="54"/>
      <c r="Q3" s="49" t="s">
        <v>82</v>
      </c>
      <c r="R3" s="57" t="s">
        <v>6503</v>
      </c>
      <c r="S3" s="47" t="s">
        <v>2539</v>
      </c>
    </row>
    <row r="4" spans="2:19" s="33" customFormat="1" ht="33" hidden="1" customHeight="1">
      <c r="B4" s="47" t="s">
        <v>220</v>
      </c>
      <c r="C4" s="48" t="s">
        <v>1181</v>
      </c>
      <c r="D4" s="49" t="s">
        <v>1182</v>
      </c>
      <c r="E4" s="50">
        <v>43567</v>
      </c>
      <c r="F4" s="49" t="s">
        <v>6500</v>
      </c>
      <c r="G4" s="51">
        <v>10000</v>
      </c>
      <c r="H4" s="52">
        <f t="shared" si="0"/>
        <v>40</v>
      </c>
      <c r="I4" s="52">
        <f t="shared" si="1"/>
        <v>10</v>
      </c>
      <c r="J4" s="49"/>
      <c r="K4" s="53">
        <v>43674</v>
      </c>
      <c r="L4" s="54" t="s">
        <v>6501</v>
      </c>
      <c r="M4" s="55">
        <v>43682</v>
      </c>
      <c r="N4" s="56" t="s">
        <v>6502</v>
      </c>
      <c r="O4" s="55">
        <v>43688</v>
      </c>
      <c r="P4" s="54"/>
      <c r="Q4" s="49"/>
      <c r="R4" s="57" t="s">
        <v>6504</v>
      </c>
      <c r="S4" s="47" t="s">
        <v>2539</v>
      </c>
    </row>
    <row r="5" spans="2:19" s="33" customFormat="1" ht="33" hidden="1" customHeight="1">
      <c r="B5" s="47" t="s">
        <v>78</v>
      </c>
      <c r="C5" s="48" t="s">
        <v>2273</v>
      </c>
      <c r="D5" s="49" t="s">
        <v>2274</v>
      </c>
      <c r="E5" s="50">
        <v>43602</v>
      </c>
      <c r="F5" s="49" t="s">
        <v>79</v>
      </c>
      <c r="G5" s="51">
        <v>20000</v>
      </c>
      <c r="H5" s="52">
        <f t="shared" si="0"/>
        <v>80</v>
      </c>
      <c r="I5" s="52">
        <f t="shared" si="1"/>
        <v>20</v>
      </c>
      <c r="J5" s="49"/>
      <c r="K5" s="53">
        <v>43688</v>
      </c>
      <c r="L5" s="54" t="s">
        <v>6501</v>
      </c>
      <c r="M5" s="55">
        <v>43682</v>
      </c>
      <c r="N5" s="56" t="s">
        <v>6502</v>
      </c>
      <c r="O5" s="55">
        <v>43688</v>
      </c>
      <c r="P5" s="54"/>
      <c r="Q5" s="49" t="s">
        <v>82</v>
      </c>
      <c r="R5" s="57" t="s">
        <v>6505</v>
      </c>
      <c r="S5" s="47"/>
    </row>
    <row r="6" spans="2:19" s="33" customFormat="1" ht="33" hidden="1" customHeight="1">
      <c r="B6" s="47" t="s">
        <v>78</v>
      </c>
      <c r="C6" s="48" t="s">
        <v>2276</v>
      </c>
      <c r="D6" s="49" t="s">
        <v>2277</v>
      </c>
      <c r="E6" s="50">
        <v>43602</v>
      </c>
      <c r="F6" s="49" t="s">
        <v>79</v>
      </c>
      <c r="G6" s="51">
        <v>20000</v>
      </c>
      <c r="H6" s="52">
        <f t="shared" si="0"/>
        <v>80</v>
      </c>
      <c r="I6" s="52">
        <f t="shared" si="1"/>
        <v>20</v>
      </c>
      <c r="J6" s="49"/>
      <c r="K6" s="53">
        <v>43695</v>
      </c>
      <c r="L6" s="54" t="s">
        <v>6501</v>
      </c>
      <c r="M6" s="55">
        <v>43682</v>
      </c>
      <c r="N6" s="56" t="s">
        <v>6502</v>
      </c>
      <c r="O6" s="55">
        <v>43688</v>
      </c>
      <c r="P6" s="54"/>
      <c r="Q6" s="49" t="s">
        <v>82</v>
      </c>
      <c r="R6" s="57" t="s">
        <v>6506</v>
      </c>
      <c r="S6" s="47"/>
    </row>
    <row r="7" spans="2:19" s="33" customFormat="1" ht="33" hidden="1" customHeight="1">
      <c r="B7" s="47" t="s">
        <v>220</v>
      </c>
      <c r="C7" s="48" t="s">
        <v>2279</v>
      </c>
      <c r="D7" s="49" t="s">
        <v>2280</v>
      </c>
      <c r="E7" s="50">
        <v>43602</v>
      </c>
      <c r="F7" s="49" t="s">
        <v>79</v>
      </c>
      <c r="G7" s="51">
        <v>20000</v>
      </c>
      <c r="H7" s="52">
        <f t="shared" si="0"/>
        <v>80</v>
      </c>
      <c r="I7" s="52">
        <f t="shared" si="1"/>
        <v>20</v>
      </c>
      <c r="J7" s="49"/>
      <c r="K7" s="53">
        <v>43695</v>
      </c>
      <c r="L7" s="54" t="s">
        <v>6501</v>
      </c>
      <c r="M7" s="55">
        <v>43682</v>
      </c>
      <c r="N7" s="56" t="s">
        <v>6502</v>
      </c>
      <c r="O7" s="55">
        <v>43688</v>
      </c>
      <c r="P7" s="54"/>
      <c r="Q7" s="49"/>
      <c r="R7" s="57" t="s">
        <v>3350</v>
      </c>
      <c r="S7" s="47"/>
    </row>
    <row r="8" spans="2:19" s="33" customFormat="1" ht="33" hidden="1" customHeight="1">
      <c r="B8" s="47" t="s">
        <v>78</v>
      </c>
      <c r="C8" s="48" t="s">
        <v>2282</v>
      </c>
      <c r="D8" s="49" t="s">
        <v>2283</v>
      </c>
      <c r="E8" s="50">
        <v>43602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43709</v>
      </c>
      <c r="L8" s="54" t="s">
        <v>6507</v>
      </c>
      <c r="M8" s="55">
        <v>43703</v>
      </c>
      <c r="N8" s="56" t="s">
        <v>6508</v>
      </c>
      <c r="O8" s="55">
        <v>43709</v>
      </c>
      <c r="P8" s="54"/>
      <c r="Q8" s="49" t="s">
        <v>82</v>
      </c>
      <c r="R8" s="57" t="s">
        <v>6509</v>
      </c>
      <c r="S8" s="47"/>
    </row>
    <row r="9" spans="2:19" s="33" customFormat="1" ht="33" hidden="1" customHeight="1">
      <c r="B9" s="47" t="s">
        <v>220</v>
      </c>
      <c r="C9" s="48" t="s">
        <v>6510</v>
      </c>
      <c r="D9" s="49" t="s">
        <v>3354</v>
      </c>
      <c r="E9" s="50">
        <v>43637</v>
      </c>
      <c r="F9" s="49" t="s">
        <v>79</v>
      </c>
      <c r="G9" s="51">
        <v>20000</v>
      </c>
      <c r="H9" s="52">
        <v>64</v>
      </c>
      <c r="I9" s="52">
        <v>16</v>
      </c>
      <c r="J9" s="49"/>
      <c r="K9" s="53">
        <v>43716</v>
      </c>
      <c r="L9" s="54" t="s">
        <v>6511</v>
      </c>
      <c r="M9" s="55">
        <v>43717</v>
      </c>
      <c r="N9" s="56" t="s">
        <v>5448</v>
      </c>
      <c r="O9" s="55">
        <v>43723</v>
      </c>
      <c r="P9" s="54"/>
      <c r="Q9" s="49"/>
      <c r="R9" s="57" t="s">
        <v>6512</v>
      </c>
      <c r="S9" s="47" t="s">
        <v>5465</v>
      </c>
    </row>
    <row r="10" spans="2:19" s="33" customFormat="1" ht="33" hidden="1" customHeight="1">
      <c r="B10" s="47" t="s">
        <v>78</v>
      </c>
      <c r="C10" s="48" t="s">
        <v>3356</v>
      </c>
      <c r="D10" s="49" t="s">
        <v>3357</v>
      </c>
      <c r="E10" s="50">
        <v>43637</v>
      </c>
      <c r="F10" s="49" t="s">
        <v>79</v>
      </c>
      <c r="G10" s="51">
        <v>20000</v>
      </c>
      <c r="H10" s="52">
        <f>SUM(G10/250)</f>
        <v>80</v>
      </c>
      <c r="I10" s="52">
        <f t="shared" ref="I10:I42" si="2">SUM(H10/4)</f>
        <v>20</v>
      </c>
      <c r="J10" s="49"/>
      <c r="K10" s="53">
        <v>43723</v>
      </c>
      <c r="L10" s="54" t="s">
        <v>3555</v>
      </c>
      <c r="M10" s="55">
        <v>43717</v>
      </c>
      <c r="N10" s="56" t="s">
        <v>6513</v>
      </c>
      <c r="O10" s="55">
        <v>43723</v>
      </c>
      <c r="P10" s="54"/>
      <c r="Q10" s="49" t="s">
        <v>82</v>
      </c>
      <c r="R10" s="57" t="s">
        <v>6514</v>
      </c>
      <c r="S10" s="47"/>
    </row>
    <row r="11" spans="2:19" s="33" customFormat="1" ht="33" hidden="1" customHeight="1">
      <c r="B11" s="47" t="s">
        <v>78</v>
      </c>
      <c r="C11" s="48" t="s">
        <v>3359</v>
      </c>
      <c r="D11" s="49" t="s">
        <v>3360</v>
      </c>
      <c r="E11" s="50">
        <v>43637</v>
      </c>
      <c r="F11" s="49" t="s">
        <v>79</v>
      </c>
      <c r="G11" s="51">
        <v>20000</v>
      </c>
      <c r="H11" s="52">
        <f>SUM(G11/250)</f>
        <v>80</v>
      </c>
      <c r="I11" s="52">
        <f t="shared" si="2"/>
        <v>20</v>
      </c>
      <c r="J11" s="49"/>
      <c r="K11" s="53">
        <v>43737</v>
      </c>
      <c r="L11" s="54" t="s">
        <v>3556</v>
      </c>
      <c r="M11" s="55">
        <v>43728</v>
      </c>
      <c r="N11" s="56" t="s">
        <v>6515</v>
      </c>
      <c r="O11" s="55">
        <v>43737</v>
      </c>
      <c r="P11" s="54"/>
      <c r="Q11" s="49" t="s">
        <v>82</v>
      </c>
      <c r="R11" s="57" t="s">
        <v>6516</v>
      </c>
      <c r="S11" s="47"/>
    </row>
    <row r="12" spans="2:19" s="33" customFormat="1" ht="33" hidden="1" customHeight="1">
      <c r="B12" s="47" t="s">
        <v>220</v>
      </c>
      <c r="C12" s="48" t="s">
        <v>4252</v>
      </c>
      <c r="D12" s="49" t="s">
        <v>4253</v>
      </c>
      <c r="E12" s="50">
        <v>43665</v>
      </c>
      <c r="F12" s="49" t="s">
        <v>79</v>
      </c>
      <c r="G12" s="51">
        <v>24000</v>
      </c>
      <c r="H12" s="52">
        <v>96</v>
      </c>
      <c r="I12" s="52">
        <f t="shared" si="2"/>
        <v>24</v>
      </c>
      <c r="J12" s="49"/>
      <c r="K12" s="53">
        <v>43744</v>
      </c>
      <c r="L12" s="54" t="s">
        <v>3556</v>
      </c>
      <c r="M12" s="55">
        <v>43728</v>
      </c>
      <c r="N12" s="56" t="s">
        <v>5449</v>
      </c>
      <c r="O12" s="55">
        <v>43737</v>
      </c>
      <c r="P12" s="54"/>
      <c r="Q12" s="49"/>
      <c r="R12" s="57" t="s">
        <v>6517</v>
      </c>
      <c r="S12" s="47" t="s">
        <v>5464</v>
      </c>
    </row>
    <row r="13" spans="2:19" s="33" customFormat="1" ht="33" hidden="1" customHeight="1">
      <c r="B13" s="47" t="s">
        <v>78</v>
      </c>
      <c r="C13" s="48" t="s">
        <v>4255</v>
      </c>
      <c r="D13" s="49" t="s">
        <v>4256</v>
      </c>
      <c r="E13" s="50">
        <v>43665</v>
      </c>
      <c r="F13" s="49" t="s">
        <v>79</v>
      </c>
      <c r="G13" s="51">
        <v>20000</v>
      </c>
      <c r="H13" s="52">
        <f t="shared" ref="H13:H29" si="3">SUM(G13/250)</f>
        <v>80</v>
      </c>
      <c r="I13" s="52">
        <f t="shared" si="2"/>
        <v>20</v>
      </c>
      <c r="J13" s="49"/>
      <c r="K13" s="53">
        <v>43744</v>
      </c>
      <c r="L13" s="54" t="s">
        <v>6518</v>
      </c>
      <c r="M13" s="55">
        <v>43738</v>
      </c>
      <c r="N13" s="56" t="s">
        <v>6519</v>
      </c>
      <c r="O13" s="55">
        <v>43744</v>
      </c>
      <c r="P13" s="54"/>
      <c r="Q13" s="49" t="s">
        <v>82</v>
      </c>
      <c r="R13" s="57" t="s">
        <v>6520</v>
      </c>
      <c r="S13" s="47"/>
    </row>
    <row r="14" spans="2:19" s="30" customFormat="1" ht="33" hidden="1" customHeight="1">
      <c r="B14" s="46" t="s">
        <v>78</v>
      </c>
      <c r="C14" s="35" t="s">
        <v>4258</v>
      </c>
      <c r="D14" s="36" t="s">
        <v>4259</v>
      </c>
      <c r="E14" s="37">
        <v>43665</v>
      </c>
      <c r="F14" s="36" t="s">
        <v>79</v>
      </c>
      <c r="G14" s="39">
        <v>20000</v>
      </c>
      <c r="H14" s="38">
        <f t="shared" si="3"/>
        <v>80</v>
      </c>
      <c r="I14" s="38">
        <f t="shared" si="2"/>
        <v>20</v>
      </c>
      <c r="J14" s="36"/>
      <c r="K14" s="40">
        <v>43758</v>
      </c>
      <c r="L14" s="41" t="s">
        <v>6521</v>
      </c>
      <c r="M14" s="42">
        <v>43749</v>
      </c>
      <c r="N14" s="43" t="s">
        <v>6522</v>
      </c>
      <c r="O14" s="42">
        <v>43758</v>
      </c>
      <c r="P14" s="41"/>
      <c r="Q14" s="36" t="s">
        <v>82</v>
      </c>
      <c r="R14" s="44" t="s">
        <v>6523</v>
      </c>
      <c r="S14" s="46"/>
    </row>
    <row r="15" spans="2:19" s="30" customFormat="1" ht="33" hidden="1" customHeight="1">
      <c r="B15" s="46" t="s">
        <v>78</v>
      </c>
      <c r="C15" s="35" t="s">
        <v>4261</v>
      </c>
      <c r="D15" s="36" t="s">
        <v>4262</v>
      </c>
      <c r="E15" s="37">
        <v>43665</v>
      </c>
      <c r="F15" s="36" t="s">
        <v>79</v>
      </c>
      <c r="G15" s="39">
        <v>20000</v>
      </c>
      <c r="H15" s="38">
        <f t="shared" si="3"/>
        <v>80</v>
      </c>
      <c r="I15" s="38">
        <f t="shared" si="2"/>
        <v>20</v>
      </c>
      <c r="J15" s="36"/>
      <c r="K15" s="40">
        <v>43765</v>
      </c>
      <c r="L15" s="41" t="s">
        <v>6521</v>
      </c>
      <c r="M15" s="216">
        <v>43749</v>
      </c>
      <c r="N15" s="217" t="s">
        <v>6522</v>
      </c>
      <c r="O15" s="216">
        <v>43758</v>
      </c>
      <c r="P15" s="41"/>
      <c r="Q15" s="36" t="s">
        <v>82</v>
      </c>
      <c r="R15" s="44" t="s">
        <v>6524</v>
      </c>
      <c r="S15" s="46" t="s">
        <v>6456</v>
      </c>
    </row>
    <row r="16" spans="2:19" s="30" customFormat="1" ht="33" hidden="1" customHeight="1">
      <c r="B16" s="46" t="s">
        <v>220</v>
      </c>
      <c r="C16" s="35" t="s">
        <v>4264</v>
      </c>
      <c r="D16" s="36" t="s">
        <v>4265</v>
      </c>
      <c r="E16" s="37">
        <v>43665</v>
      </c>
      <c r="F16" s="36" t="s">
        <v>79</v>
      </c>
      <c r="G16" s="39">
        <v>20000</v>
      </c>
      <c r="H16" s="38">
        <f t="shared" si="3"/>
        <v>80</v>
      </c>
      <c r="I16" s="38">
        <f t="shared" si="2"/>
        <v>20</v>
      </c>
      <c r="J16" s="36"/>
      <c r="K16" s="40">
        <v>43758</v>
      </c>
      <c r="L16" s="41" t="s">
        <v>6521</v>
      </c>
      <c r="M16" s="42">
        <v>43749</v>
      </c>
      <c r="N16" s="43" t="s">
        <v>6522</v>
      </c>
      <c r="O16" s="42">
        <v>43758</v>
      </c>
      <c r="P16" s="41"/>
      <c r="Q16" s="36"/>
      <c r="R16" s="44" t="s">
        <v>6525</v>
      </c>
      <c r="S16" s="46"/>
    </row>
    <row r="17" spans="2:19" s="30" customFormat="1" ht="33" hidden="1" customHeight="1">
      <c r="B17" s="46" t="s">
        <v>78</v>
      </c>
      <c r="C17" s="35" t="s">
        <v>5057</v>
      </c>
      <c r="D17" s="36" t="s">
        <v>6526</v>
      </c>
      <c r="E17" s="37">
        <v>43689</v>
      </c>
      <c r="F17" s="36" t="s">
        <v>79</v>
      </c>
      <c r="G17" s="39">
        <v>20000</v>
      </c>
      <c r="H17" s="38">
        <f t="shared" si="3"/>
        <v>80</v>
      </c>
      <c r="I17" s="38">
        <f t="shared" si="2"/>
        <v>20</v>
      </c>
      <c r="J17" s="36"/>
      <c r="K17" s="40">
        <v>43772</v>
      </c>
      <c r="L17" s="41" t="s">
        <v>6527</v>
      </c>
      <c r="M17" s="42">
        <v>43766</v>
      </c>
      <c r="N17" s="43" t="s">
        <v>6528</v>
      </c>
      <c r="O17" s="42">
        <v>43772</v>
      </c>
      <c r="P17" s="41"/>
      <c r="Q17" s="36"/>
      <c r="R17" s="44" t="s">
        <v>6529</v>
      </c>
      <c r="S17" s="46"/>
    </row>
    <row r="18" spans="2:19" s="30" customFormat="1" ht="33" hidden="1" customHeight="1">
      <c r="B18" s="46" t="s">
        <v>220</v>
      </c>
      <c r="C18" s="35" t="s">
        <v>5055</v>
      </c>
      <c r="D18" s="36" t="s">
        <v>6530</v>
      </c>
      <c r="E18" s="37">
        <v>43689</v>
      </c>
      <c r="F18" s="36" t="s">
        <v>79</v>
      </c>
      <c r="G18" s="39">
        <v>20000</v>
      </c>
      <c r="H18" s="38">
        <f t="shared" si="3"/>
        <v>80</v>
      </c>
      <c r="I18" s="38">
        <f t="shared" si="2"/>
        <v>20</v>
      </c>
      <c r="J18" s="36"/>
      <c r="K18" s="40">
        <v>43779</v>
      </c>
      <c r="L18" s="41" t="s">
        <v>6531</v>
      </c>
      <c r="M18" s="42">
        <v>43770</v>
      </c>
      <c r="N18" s="43" t="s">
        <v>6532</v>
      </c>
      <c r="O18" s="42">
        <v>43779</v>
      </c>
      <c r="P18" s="41"/>
      <c r="Q18" s="36"/>
      <c r="R18" s="44" t="s">
        <v>6533</v>
      </c>
      <c r="S18" s="46"/>
    </row>
    <row r="19" spans="2:19" s="30" customFormat="1" ht="33" hidden="1" customHeight="1">
      <c r="B19" s="46" t="s">
        <v>78</v>
      </c>
      <c r="C19" s="35" t="s">
        <v>5053</v>
      </c>
      <c r="D19" s="36" t="s">
        <v>6534</v>
      </c>
      <c r="E19" s="37">
        <v>43689</v>
      </c>
      <c r="F19" s="36" t="s">
        <v>79</v>
      </c>
      <c r="G19" s="39">
        <v>20000</v>
      </c>
      <c r="H19" s="38">
        <f t="shared" si="3"/>
        <v>80</v>
      </c>
      <c r="I19" s="38">
        <f t="shared" si="2"/>
        <v>20</v>
      </c>
      <c r="J19" s="36"/>
      <c r="K19" s="40">
        <v>43786</v>
      </c>
      <c r="L19" s="41" t="s">
        <v>6535</v>
      </c>
      <c r="M19" s="42">
        <v>43780</v>
      </c>
      <c r="N19" s="43" t="s">
        <v>6536</v>
      </c>
      <c r="O19" s="42">
        <v>43786</v>
      </c>
      <c r="P19" s="41"/>
      <c r="Q19" s="36"/>
      <c r="R19" s="44" t="s">
        <v>6537</v>
      </c>
      <c r="S19" s="46"/>
    </row>
    <row r="20" spans="2:19" s="30" customFormat="1" ht="33" hidden="1" customHeight="1">
      <c r="B20" s="46" t="s">
        <v>78</v>
      </c>
      <c r="C20" s="35" t="s">
        <v>5051</v>
      </c>
      <c r="D20" s="36" t="s">
        <v>6538</v>
      </c>
      <c r="E20" s="37">
        <v>43689</v>
      </c>
      <c r="F20" s="36" t="s">
        <v>79</v>
      </c>
      <c r="G20" s="39">
        <v>20000</v>
      </c>
      <c r="H20" s="38">
        <f t="shared" si="3"/>
        <v>80</v>
      </c>
      <c r="I20" s="38">
        <f t="shared" si="2"/>
        <v>20</v>
      </c>
      <c r="J20" s="36"/>
      <c r="K20" s="40">
        <v>43793</v>
      </c>
      <c r="L20" s="41" t="s">
        <v>6539</v>
      </c>
      <c r="M20" s="42">
        <v>43787</v>
      </c>
      <c r="N20" s="43" t="s">
        <v>6540</v>
      </c>
      <c r="O20" s="42">
        <v>43793</v>
      </c>
      <c r="P20" s="41"/>
      <c r="Q20" s="36"/>
      <c r="R20" s="44" t="s">
        <v>6541</v>
      </c>
      <c r="S20" s="46"/>
    </row>
    <row r="21" spans="2:19" s="30" customFormat="1" ht="33" hidden="1" customHeight="1">
      <c r="B21" s="46" t="s">
        <v>6542</v>
      </c>
      <c r="C21" s="35" t="s">
        <v>5049</v>
      </c>
      <c r="D21" s="36" t="s">
        <v>6543</v>
      </c>
      <c r="E21" s="37">
        <v>43689</v>
      </c>
      <c r="F21" s="36" t="s">
        <v>79</v>
      </c>
      <c r="G21" s="39">
        <v>20000</v>
      </c>
      <c r="H21" s="38">
        <f t="shared" si="3"/>
        <v>80</v>
      </c>
      <c r="I21" s="38">
        <f t="shared" si="2"/>
        <v>20</v>
      </c>
      <c r="J21" s="36"/>
      <c r="K21" s="40">
        <v>43800</v>
      </c>
      <c r="L21" s="41" t="s">
        <v>6544</v>
      </c>
      <c r="M21" s="42">
        <v>43795</v>
      </c>
      <c r="N21" s="43" t="s">
        <v>6545</v>
      </c>
      <c r="O21" s="42">
        <v>43800</v>
      </c>
      <c r="P21" s="41"/>
      <c r="Q21" s="36"/>
      <c r="R21" s="44" t="s">
        <v>6546</v>
      </c>
      <c r="S21" s="46"/>
    </row>
    <row r="22" spans="2:19" s="30" customFormat="1" ht="33" hidden="1" customHeight="1">
      <c r="B22" s="46" t="s">
        <v>220</v>
      </c>
      <c r="C22" s="35" t="s">
        <v>5047</v>
      </c>
      <c r="D22" s="36" t="s">
        <v>6547</v>
      </c>
      <c r="E22" s="37">
        <v>43689</v>
      </c>
      <c r="F22" s="36" t="s">
        <v>79</v>
      </c>
      <c r="G22" s="39">
        <v>20000</v>
      </c>
      <c r="H22" s="38">
        <f t="shared" si="3"/>
        <v>80</v>
      </c>
      <c r="I22" s="38">
        <f t="shared" si="2"/>
        <v>20</v>
      </c>
      <c r="J22" s="36"/>
      <c r="K22" s="40">
        <v>43793</v>
      </c>
      <c r="L22" s="41" t="s">
        <v>5902</v>
      </c>
      <c r="M22" s="42">
        <v>43787</v>
      </c>
      <c r="N22" s="43" t="s">
        <v>5901</v>
      </c>
      <c r="O22" s="42">
        <v>43793</v>
      </c>
      <c r="P22" s="41"/>
      <c r="Q22" s="36"/>
      <c r="R22" s="44" t="s">
        <v>5046</v>
      </c>
      <c r="S22" s="46"/>
    </row>
    <row r="23" spans="2:19" s="30" customFormat="1" ht="33" hidden="1" customHeight="1">
      <c r="B23" s="46" t="s">
        <v>126</v>
      </c>
      <c r="C23" s="35" t="s">
        <v>5899</v>
      </c>
      <c r="D23" s="36" t="s">
        <v>5898</v>
      </c>
      <c r="E23" s="37">
        <v>43724</v>
      </c>
      <c r="F23" s="36" t="s">
        <v>79</v>
      </c>
      <c r="G23" s="39">
        <v>20000</v>
      </c>
      <c r="H23" s="38">
        <f t="shared" si="3"/>
        <v>80</v>
      </c>
      <c r="I23" s="38">
        <f t="shared" si="2"/>
        <v>20</v>
      </c>
      <c r="J23" s="36"/>
      <c r="K23" s="40">
        <v>43807</v>
      </c>
      <c r="L23" s="41" t="s">
        <v>6046</v>
      </c>
      <c r="M23" s="42">
        <v>43801</v>
      </c>
      <c r="N23" s="43" t="s">
        <v>6548</v>
      </c>
      <c r="O23" s="42">
        <v>43807</v>
      </c>
      <c r="P23" s="41"/>
      <c r="Q23" s="36"/>
      <c r="R23" s="44" t="s">
        <v>6549</v>
      </c>
      <c r="S23" s="46"/>
    </row>
    <row r="24" spans="2:19" s="30" customFormat="1" ht="33" hidden="1" customHeight="1">
      <c r="B24" s="46" t="s">
        <v>6550</v>
      </c>
      <c r="C24" s="35" t="s">
        <v>5896</v>
      </c>
      <c r="D24" s="36" t="s">
        <v>5895</v>
      </c>
      <c r="E24" s="37">
        <v>43724</v>
      </c>
      <c r="F24" s="36" t="s">
        <v>6551</v>
      </c>
      <c r="G24" s="39">
        <v>30000</v>
      </c>
      <c r="H24" s="38">
        <f t="shared" si="3"/>
        <v>120</v>
      </c>
      <c r="I24" s="38">
        <f t="shared" si="2"/>
        <v>30</v>
      </c>
      <c r="J24" s="36"/>
      <c r="K24" s="40">
        <v>43814</v>
      </c>
      <c r="L24" s="41" t="s">
        <v>6552</v>
      </c>
      <c r="M24" s="42">
        <v>43808</v>
      </c>
      <c r="N24" s="43" t="s">
        <v>6553</v>
      </c>
      <c r="O24" s="42">
        <v>43814</v>
      </c>
      <c r="P24" s="41"/>
      <c r="Q24" s="36"/>
      <c r="R24" s="44" t="s">
        <v>6554</v>
      </c>
      <c r="S24" s="46"/>
    </row>
    <row r="25" spans="2:19" s="30" customFormat="1" ht="33" hidden="1" customHeight="1">
      <c r="B25" s="46" t="s">
        <v>220</v>
      </c>
      <c r="C25" s="35" t="s">
        <v>5892</v>
      </c>
      <c r="D25" s="36" t="s">
        <v>5891</v>
      </c>
      <c r="E25" s="37">
        <v>43724</v>
      </c>
      <c r="F25" s="36" t="s">
        <v>6555</v>
      </c>
      <c r="G25" s="39">
        <v>10000</v>
      </c>
      <c r="H25" s="38">
        <f t="shared" si="3"/>
        <v>40</v>
      </c>
      <c r="I25" s="38">
        <f t="shared" si="2"/>
        <v>10</v>
      </c>
      <c r="J25" s="36"/>
      <c r="K25" s="40">
        <v>43814</v>
      </c>
      <c r="L25" s="41" t="s">
        <v>5959</v>
      </c>
      <c r="M25" s="42">
        <v>43808</v>
      </c>
      <c r="N25" s="43" t="s">
        <v>6553</v>
      </c>
      <c r="O25" s="42">
        <v>43814</v>
      </c>
      <c r="P25" s="41"/>
      <c r="Q25" s="36"/>
      <c r="R25" s="44" t="s">
        <v>6556</v>
      </c>
      <c r="S25" s="46"/>
    </row>
    <row r="26" spans="2:19" s="30" customFormat="1" ht="33" hidden="1" customHeight="1">
      <c r="B26" s="46" t="s">
        <v>6550</v>
      </c>
      <c r="C26" s="35" t="s">
        <v>5889</v>
      </c>
      <c r="D26" s="36" t="s">
        <v>5888</v>
      </c>
      <c r="E26" s="37">
        <v>43724</v>
      </c>
      <c r="F26" s="36" t="s">
        <v>6555</v>
      </c>
      <c r="G26" s="39">
        <v>10000</v>
      </c>
      <c r="H26" s="38">
        <f t="shared" si="3"/>
        <v>40</v>
      </c>
      <c r="I26" s="38">
        <f t="shared" si="2"/>
        <v>10</v>
      </c>
      <c r="J26" s="36"/>
      <c r="K26" s="40">
        <v>43821</v>
      </c>
      <c r="L26" s="41" t="s">
        <v>5961</v>
      </c>
      <c r="M26" s="42">
        <v>43815</v>
      </c>
      <c r="N26" s="43" t="s">
        <v>6557</v>
      </c>
      <c r="O26" s="42">
        <v>43821</v>
      </c>
      <c r="P26" s="41"/>
      <c r="Q26" s="36"/>
      <c r="R26" s="44" t="s">
        <v>6558</v>
      </c>
      <c r="S26" s="46"/>
    </row>
    <row r="27" spans="2:19" s="30" customFormat="1" ht="33" hidden="1" customHeight="1">
      <c r="B27" s="46" t="s">
        <v>220</v>
      </c>
      <c r="C27" s="35" t="s">
        <v>5886</v>
      </c>
      <c r="D27" s="36" t="s">
        <v>5885</v>
      </c>
      <c r="E27" s="37">
        <v>43724</v>
      </c>
      <c r="F27" s="36" t="s">
        <v>6555</v>
      </c>
      <c r="G27" s="39">
        <v>10000</v>
      </c>
      <c r="H27" s="38">
        <f t="shared" si="3"/>
        <v>40</v>
      </c>
      <c r="I27" s="38">
        <f t="shared" si="2"/>
        <v>10</v>
      </c>
      <c r="J27" s="36"/>
      <c r="K27" s="40">
        <v>43821</v>
      </c>
      <c r="L27" s="41" t="s">
        <v>5961</v>
      </c>
      <c r="M27" s="42">
        <v>43815</v>
      </c>
      <c r="N27" s="43" t="s">
        <v>6557</v>
      </c>
      <c r="O27" s="42">
        <v>43821</v>
      </c>
      <c r="P27" s="41"/>
      <c r="Q27" s="36"/>
      <c r="R27" s="44" t="s">
        <v>6559</v>
      </c>
      <c r="S27" s="46"/>
    </row>
    <row r="28" spans="2:19" s="30" customFormat="1" ht="33" hidden="1" customHeight="1">
      <c r="B28" s="46" t="s">
        <v>6550</v>
      </c>
      <c r="C28" s="35" t="s">
        <v>5881</v>
      </c>
      <c r="D28" s="36" t="s">
        <v>5880</v>
      </c>
      <c r="E28" s="37">
        <v>43724</v>
      </c>
      <c r="F28" s="36" t="s">
        <v>79</v>
      </c>
      <c r="G28" s="39">
        <v>20000</v>
      </c>
      <c r="H28" s="38">
        <f t="shared" si="3"/>
        <v>80</v>
      </c>
      <c r="I28" s="38">
        <f t="shared" si="2"/>
        <v>20</v>
      </c>
      <c r="J28" s="36"/>
      <c r="K28" s="40">
        <v>43828</v>
      </c>
      <c r="L28" s="41" t="s">
        <v>6774</v>
      </c>
      <c r="M28" s="42">
        <v>43822</v>
      </c>
      <c r="N28" s="43" t="s">
        <v>6560</v>
      </c>
      <c r="O28" s="42">
        <v>43828</v>
      </c>
      <c r="P28" s="41"/>
      <c r="Q28" s="36"/>
      <c r="R28" s="44" t="s">
        <v>6561</v>
      </c>
      <c r="S28" s="46"/>
    </row>
    <row r="29" spans="2:19" s="30" customFormat="1" ht="33" hidden="1" customHeight="1">
      <c r="B29" s="122" t="s">
        <v>6550</v>
      </c>
      <c r="C29" s="126" t="s">
        <v>6562</v>
      </c>
      <c r="D29" s="127" t="s">
        <v>6563</v>
      </c>
      <c r="E29" s="128">
        <v>43752</v>
      </c>
      <c r="F29" s="127" t="s">
        <v>6564</v>
      </c>
      <c r="G29" s="129">
        <v>40000</v>
      </c>
      <c r="H29" s="124">
        <f t="shared" si="3"/>
        <v>160</v>
      </c>
      <c r="I29" s="124">
        <f t="shared" si="2"/>
        <v>40</v>
      </c>
      <c r="J29" s="127"/>
      <c r="K29" s="130">
        <v>43835</v>
      </c>
      <c r="L29" s="119" t="s">
        <v>6783</v>
      </c>
      <c r="M29" s="120">
        <v>43822</v>
      </c>
      <c r="N29" s="121" t="s">
        <v>6782</v>
      </c>
      <c r="O29" s="120">
        <v>43828</v>
      </c>
      <c r="P29" s="119"/>
      <c r="Q29" s="127"/>
      <c r="R29" s="125" t="s">
        <v>6565</v>
      </c>
      <c r="S29" s="122"/>
    </row>
    <row r="30" spans="2:19" s="30" customFormat="1" ht="33" hidden="1" customHeight="1">
      <c r="B30" s="122" t="s">
        <v>6550</v>
      </c>
      <c r="C30" s="126" t="s">
        <v>6566</v>
      </c>
      <c r="D30" s="127" t="s">
        <v>6567</v>
      </c>
      <c r="E30" s="128">
        <v>43752</v>
      </c>
      <c r="F30" s="127" t="s">
        <v>79</v>
      </c>
      <c r="G30" s="129">
        <v>20000</v>
      </c>
      <c r="H30" s="124">
        <f t="shared" ref="H30:H32" si="4">SUM(G30/250)</f>
        <v>80</v>
      </c>
      <c r="I30" s="124">
        <f t="shared" ref="I30:I32" si="5">SUM(H30/4)</f>
        <v>20</v>
      </c>
      <c r="J30" s="127"/>
      <c r="K30" s="130">
        <v>43842</v>
      </c>
      <c r="L30" s="119" t="s">
        <v>6787</v>
      </c>
      <c r="M30" s="120">
        <v>43471</v>
      </c>
      <c r="N30" s="121" t="s">
        <v>6784</v>
      </c>
      <c r="O30" s="120">
        <v>43477</v>
      </c>
      <c r="P30" s="119"/>
      <c r="Q30" s="127"/>
      <c r="R30" s="125" t="s">
        <v>6568</v>
      </c>
      <c r="S30" s="122"/>
    </row>
    <row r="31" spans="2:19" s="30" customFormat="1" ht="33" hidden="1" customHeight="1">
      <c r="B31" s="122" t="s">
        <v>220</v>
      </c>
      <c r="C31" s="126" t="s">
        <v>6569</v>
      </c>
      <c r="D31" s="127" t="s">
        <v>6570</v>
      </c>
      <c r="E31" s="128">
        <v>43752</v>
      </c>
      <c r="F31" s="127" t="s">
        <v>79</v>
      </c>
      <c r="G31" s="129">
        <v>20000</v>
      </c>
      <c r="H31" s="124">
        <f t="shared" si="4"/>
        <v>80</v>
      </c>
      <c r="I31" s="124">
        <f t="shared" si="5"/>
        <v>20</v>
      </c>
      <c r="J31" s="127"/>
      <c r="K31" s="130">
        <v>43849</v>
      </c>
      <c r="L31" s="119" t="s">
        <v>6788</v>
      </c>
      <c r="M31" s="120">
        <v>43475</v>
      </c>
      <c r="N31" s="121" t="s">
        <v>6785</v>
      </c>
      <c r="O31" s="120">
        <v>43484</v>
      </c>
      <c r="P31" s="119"/>
      <c r="Q31" s="127"/>
      <c r="R31" s="125" t="s">
        <v>6571</v>
      </c>
      <c r="S31" s="122"/>
    </row>
    <row r="32" spans="2:19" s="30" customFormat="1" ht="33" hidden="1" customHeight="1">
      <c r="B32" s="122" t="s">
        <v>6550</v>
      </c>
      <c r="C32" s="126" t="s">
        <v>6572</v>
      </c>
      <c r="D32" s="127" t="s">
        <v>6573</v>
      </c>
      <c r="E32" s="128">
        <v>43752</v>
      </c>
      <c r="F32" s="127" t="s">
        <v>79</v>
      </c>
      <c r="G32" s="129">
        <v>20000</v>
      </c>
      <c r="H32" s="124">
        <f t="shared" si="4"/>
        <v>80</v>
      </c>
      <c r="I32" s="124">
        <f t="shared" si="5"/>
        <v>20</v>
      </c>
      <c r="J32" s="127"/>
      <c r="K32" s="130">
        <v>43856</v>
      </c>
      <c r="L32" s="119" t="s">
        <v>6789</v>
      </c>
      <c r="M32" s="120">
        <v>43485</v>
      </c>
      <c r="N32" s="121" t="s">
        <v>6786</v>
      </c>
      <c r="O32" s="120">
        <v>43491</v>
      </c>
      <c r="P32" s="119"/>
      <c r="Q32" s="127"/>
      <c r="R32" s="125" t="s">
        <v>6574</v>
      </c>
      <c r="S32" s="122"/>
    </row>
    <row r="33" spans="2:19" s="96" customFormat="1" ht="33" hidden="1" customHeight="1">
      <c r="B33" s="47" t="s">
        <v>17</v>
      </c>
      <c r="C33" s="48" t="s">
        <v>6575</v>
      </c>
      <c r="D33" s="49" t="s">
        <v>2300</v>
      </c>
      <c r="E33" s="50">
        <v>43602</v>
      </c>
      <c r="F33" s="52" t="s">
        <v>6576</v>
      </c>
      <c r="G33" s="51">
        <v>9200</v>
      </c>
      <c r="H33" s="52">
        <f>SUM(G33/230)</f>
        <v>40</v>
      </c>
      <c r="I33" s="52">
        <f t="shared" si="2"/>
        <v>10</v>
      </c>
      <c r="J33" s="49"/>
      <c r="K33" s="53">
        <v>43695</v>
      </c>
      <c r="L33" s="54" t="s">
        <v>6577</v>
      </c>
      <c r="M33" s="55">
        <v>43683</v>
      </c>
      <c r="N33" s="56" t="s">
        <v>6578</v>
      </c>
      <c r="O33" s="55">
        <v>43688</v>
      </c>
      <c r="P33" s="58"/>
      <c r="Q33" s="52" t="s">
        <v>82</v>
      </c>
      <c r="R33" s="57" t="s">
        <v>6579</v>
      </c>
      <c r="S33" s="47" t="s">
        <v>2764</v>
      </c>
    </row>
    <row r="34" spans="2:19" s="96" customFormat="1" ht="33" hidden="1" customHeight="1">
      <c r="B34" s="47" t="s">
        <v>17</v>
      </c>
      <c r="C34" s="48" t="s">
        <v>3702</v>
      </c>
      <c r="D34" s="49" t="s">
        <v>3703</v>
      </c>
      <c r="E34" s="50">
        <v>43643</v>
      </c>
      <c r="F34" s="52" t="s">
        <v>6576</v>
      </c>
      <c r="G34" s="51">
        <v>4600</v>
      </c>
      <c r="H34" s="52">
        <f>SUM(G34/230)</f>
        <v>20</v>
      </c>
      <c r="I34" s="52">
        <f t="shared" si="2"/>
        <v>5</v>
      </c>
      <c r="J34" s="49"/>
      <c r="K34" s="53">
        <v>43688</v>
      </c>
      <c r="L34" s="54" t="s">
        <v>6577</v>
      </c>
      <c r="M34" s="55">
        <v>43683</v>
      </c>
      <c r="N34" s="56" t="s">
        <v>6578</v>
      </c>
      <c r="O34" s="55">
        <v>43688</v>
      </c>
      <c r="P34" s="58"/>
      <c r="Q34" s="52" t="s">
        <v>82</v>
      </c>
      <c r="R34" s="57"/>
      <c r="S34" s="47"/>
    </row>
    <row r="35" spans="2:19" s="96" customFormat="1" ht="33" hidden="1" customHeight="1">
      <c r="B35" s="47" t="s">
        <v>17</v>
      </c>
      <c r="C35" s="48" t="s">
        <v>6580</v>
      </c>
      <c r="D35" s="49" t="s">
        <v>3377</v>
      </c>
      <c r="E35" s="50">
        <v>43637</v>
      </c>
      <c r="F35" s="52" t="s">
        <v>6576</v>
      </c>
      <c r="G35" s="51">
        <v>9200</v>
      </c>
      <c r="H35" s="52">
        <v>36</v>
      </c>
      <c r="I35" s="52">
        <f t="shared" si="2"/>
        <v>9</v>
      </c>
      <c r="J35" s="49"/>
      <c r="K35" s="53">
        <v>43716</v>
      </c>
      <c r="L35" s="54" t="s">
        <v>5459</v>
      </c>
      <c r="M35" s="55">
        <v>43718</v>
      </c>
      <c r="N35" s="56" t="s">
        <v>5460</v>
      </c>
      <c r="O35" s="55">
        <v>43723</v>
      </c>
      <c r="P35" s="58"/>
      <c r="Q35" s="52"/>
      <c r="R35" s="57" t="s">
        <v>6581</v>
      </c>
      <c r="S35" s="47" t="s">
        <v>5457</v>
      </c>
    </row>
    <row r="36" spans="2:19" s="96" customFormat="1" ht="33" hidden="1" customHeight="1">
      <c r="B36" s="47" t="s">
        <v>17</v>
      </c>
      <c r="C36" s="48" t="s">
        <v>6582</v>
      </c>
      <c r="D36" s="49" t="s">
        <v>3380</v>
      </c>
      <c r="E36" s="50">
        <v>43637</v>
      </c>
      <c r="F36" s="52" t="s">
        <v>6576</v>
      </c>
      <c r="G36" s="51">
        <v>9200</v>
      </c>
      <c r="H36" s="52">
        <f>SUM(G36/230)</f>
        <v>40</v>
      </c>
      <c r="I36" s="52">
        <f t="shared" si="2"/>
        <v>10</v>
      </c>
      <c r="J36" s="49"/>
      <c r="K36" s="53">
        <v>43744</v>
      </c>
      <c r="L36" s="54" t="s">
        <v>6583</v>
      </c>
      <c r="M36" s="55">
        <v>43732</v>
      </c>
      <c r="N36" s="56" t="s">
        <v>6584</v>
      </c>
      <c r="O36" s="55">
        <v>43737</v>
      </c>
      <c r="P36" s="58"/>
      <c r="Q36" s="52"/>
      <c r="R36" s="57" t="s">
        <v>6585</v>
      </c>
      <c r="S36" s="47"/>
    </row>
    <row r="37" spans="2:19" s="67" customFormat="1" ht="33" hidden="1" customHeight="1">
      <c r="B37" s="46" t="s">
        <v>17</v>
      </c>
      <c r="C37" s="35" t="s">
        <v>5033</v>
      </c>
      <c r="D37" s="36" t="s">
        <v>6586</v>
      </c>
      <c r="E37" s="37">
        <v>43689</v>
      </c>
      <c r="F37" s="38" t="s">
        <v>6587</v>
      </c>
      <c r="G37" s="39">
        <v>4600</v>
      </c>
      <c r="H37" s="38">
        <f>SUM(G37/230)</f>
        <v>20</v>
      </c>
      <c r="I37" s="38">
        <f t="shared" si="2"/>
        <v>5</v>
      </c>
      <c r="J37" s="36"/>
      <c r="K37" s="40">
        <v>43800</v>
      </c>
      <c r="L37" s="41" t="s">
        <v>6588</v>
      </c>
      <c r="M37" s="42">
        <v>43767</v>
      </c>
      <c r="N37" s="43" t="s">
        <v>6589</v>
      </c>
      <c r="O37" s="42">
        <v>43772</v>
      </c>
      <c r="P37" s="215" t="s">
        <v>6805</v>
      </c>
      <c r="Q37" s="38" t="s">
        <v>82</v>
      </c>
      <c r="R37" s="44" t="s">
        <v>6590</v>
      </c>
      <c r="S37" s="46"/>
    </row>
    <row r="38" spans="2:19" s="96" customFormat="1" ht="33" hidden="1" customHeight="1">
      <c r="B38" s="47" t="s">
        <v>17</v>
      </c>
      <c r="C38" s="48" t="s">
        <v>5346</v>
      </c>
      <c r="D38" s="49" t="s">
        <v>6591</v>
      </c>
      <c r="E38" s="50">
        <v>43700</v>
      </c>
      <c r="F38" s="52" t="s">
        <v>6592</v>
      </c>
      <c r="G38" s="51">
        <v>7360</v>
      </c>
      <c r="H38" s="52">
        <v>32</v>
      </c>
      <c r="I38" s="52">
        <f t="shared" si="2"/>
        <v>8</v>
      </c>
      <c r="J38" s="49"/>
      <c r="K38" s="53">
        <v>43744</v>
      </c>
      <c r="L38" s="54" t="s">
        <v>4481</v>
      </c>
      <c r="M38" s="55">
        <v>43732</v>
      </c>
      <c r="N38" s="56" t="s">
        <v>6593</v>
      </c>
      <c r="O38" s="55">
        <v>43737</v>
      </c>
      <c r="P38" s="58"/>
      <c r="Q38" s="52" t="s">
        <v>82</v>
      </c>
      <c r="R38" s="57" t="s">
        <v>5347</v>
      </c>
      <c r="S38" s="47" t="s">
        <v>5695</v>
      </c>
    </row>
    <row r="39" spans="2:19" s="67" customFormat="1" ht="33" hidden="1" customHeight="1">
      <c r="B39" s="46" t="s">
        <v>17</v>
      </c>
      <c r="C39" s="35" t="s">
        <v>5348</v>
      </c>
      <c r="D39" s="36" t="s">
        <v>6594</v>
      </c>
      <c r="E39" s="37">
        <v>43700</v>
      </c>
      <c r="F39" s="38" t="s">
        <v>6576</v>
      </c>
      <c r="G39" s="39">
        <v>6440</v>
      </c>
      <c r="H39" s="38">
        <f t="shared" ref="H39:H55" si="6">SUM(G39/230)</f>
        <v>28</v>
      </c>
      <c r="I39" s="38">
        <f t="shared" si="2"/>
        <v>7</v>
      </c>
      <c r="J39" s="36"/>
      <c r="K39" s="40">
        <v>43765</v>
      </c>
      <c r="L39" s="41" t="s">
        <v>6595</v>
      </c>
      <c r="M39" s="42">
        <v>43767</v>
      </c>
      <c r="N39" s="43" t="s">
        <v>6589</v>
      </c>
      <c r="O39" s="42">
        <v>43772</v>
      </c>
      <c r="P39" s="215" t="s">
        <v>6804</v>
      </c>
      <c r="Q39" s="38" t="s">
        <v>82</v>
      </c>
      <c r="R39" s="44" t="s">
        <v>6596</v>
      </c>
      <c r="S39" s="46"/>
    </row>
    <row r="40" spans="2:19" s="67" customFormat="1" ht="33" hidden="1" customHeight="1">
      <c r="B40" s="46" t="s">
        <v>17</v>
      </c>
      <c r="C40" s="35" t="s">
        <v>5861</v>
      </c>
      <c r="D40" s="36" t="s">
        <v>5860</v>
      </c>
      <c r="E40" s="37">
        <v>43724</v>
      </c>
      <c r="F40" s="38" t="s">
        <v>6576</v>
      </c>
      <c r="G40" s="39">
        <v>9200</v>
      </c>
      <c r="H40" s="38">
        <f t="shared" si="6"/>
        <v>40</v>
      </c>
      <c r="I40" s="38">
        <f t="shared" si="2"/>
        <v>10</v>
      </c>
      <c r="J40" s="36"/>
      <c r="K40" s="40">
        <v>43814</v>
      </c>
      <c r="L40" s="41" t="s">
        <v>6597</v>
      </c>
      <c r="M40" s="42">
        <v>43809</v>
      </c>
      <c r="N40" s="43" t="s">
        <v>6598</v>
      </c>
      <c r="O40" s="42">
        <v>43814</v>
      </c>
      <c r="P40" s="45"/>
      <c r="Q40" s="38" t="s">
        <v>82</v>
      </c>
      <c r="R40" s="44" t="s">
        <v>6599</v>
      </c>
      <c r="S40" s="46"/>
    </row>
    <row r="41" spans="2:19" s="67" customFormat="1" ht="33" hidden="1" customHeight="1">
      <c r="B41" s="122" t="s">
        <v>17</v>
      </c>
      <c r="C41" s="126" t="s">
        <v>6600</v>
      </c>
      <c r="D41" s="127" t="s">
        <v>6601</v>
      </c>
      <c r="E41" s="128">
        <v>43752</v>
      </c>
      <c r="F41" s="124" t="s">
        <v>84</v>
      </c>
      <c r="G41" s="129">
        <v>7360</v>
      </c>
      <c r="H41" s="124">
        <f t="shared" si="6"/>
        <v>32</v>
      </c>
      <c r="I41" s="124">
        <f t="shared" si="2"/>
        <v>8</v>
      </c>
      <c r="J41" s="127"/>
      <c r="K41" s="130">
        <v>43842</v>
      </c>
      <c r="L41" s="119" t="s">
        <v>6779</v>
      </c>
      <c r="M41" s="120">
        <v>43472</v>
      </c>
      <c r="N41" s="121" t="s">
        <v>6775</v>
      </c>
      <c r="O41" s="120">
        <v>43477</v>
      </c>
      <c r="P41" s="123"/>
      <c r="Q41" s="124" t="s">
        <v>82</v>
      </c>
      <c r="R41" s="125" t="s">
        <v>6602</v>
      </c>
      <c r="S41" s="122"/>
    </row>
    <row r="42" spans="2:19" s="96" customFormat="1" ht="33" hidden="1" customHeight="1">
      <c r="B42" s="47" t="s">
        <v>81</v>
      </c>
      <c r="C42" s="48" t="s">
        <v>3406</v>
      </c>
      <c r="D42" s="49" t="s">
        <v>3407</v>
      </c>
      <c r="E42" s="50">
        <v>43637</v>
      </c>
      <c r="F42" s="52" t="s">
        <v>6576</v>
      </c>
      <c r="G42" s="51">
        <v>12880</v>
      </c>
      <c r="H42" s="52">
        <f t="shared" si="6"/>
        <v>56</v>
      </c>
      <c r="I42" s="52">
        <f t="shared" si="2"/>
        <v>14</v>
      </c>
      <c r="J42" s="52"/>
      <c r="K42" s="53">
        <v>43723</v>
      </c>
      <c r="L42" s="54" t="s">
        <v>5462</v>
      </c>
      <c r="M42" s="55">
        <v>43725</v>
      </c>
      <c r="N42" s="56" t="s">
        <v>5463</v>
      </c>
      <c r="O42" s="55">
        <v>43730</v>
      </c>
      <c r="P42" s="58"/>
      <c r="Q42" s="47"/>
      <c r="R42" s="57" t="s">
        <v>6603</v>
      </c>
      <c r="S42" s="47" t="s">
        <v>6604</v>
      </c>
    </row>
    <row r="43" spans="2:19" s="96" customFormat="1" ht="33" hidden="1" customHeight="1">
      <c r="B43" s="47" t="s">
        <v>81</v>
      </c>
      <c r="C43" s="48" t="s">
        <v>6605</v>
      </c>
      <c r="D43" s="49" t="s">
        <v>3407</v>
      </c>
      <c r="E43" s="50">
        <v>43637</v>
      </c>
      <c r="F43" s="52" t="s">
        <v>6576</v>
      </c>
      <c r="G43" s="51">
        <v>920</v>
      </c>
      <c r="H43" s="52">
        <f t="shared" si="6"/>
        <v>4</v>
      </c>
      <c r="I43" s="52">
        <v>1</v>
      </c>
      <c r="J43" s="52"/>
      <c r="K43" s="53">
        <v>43723</v>
      </c>
      <c r="L43" s="54" t="s">
        <v>5459</v>
      </c>
      <c r="M43" s="55">
        <v>43718</v>
      </c>
      <c r="N43" s="56" t="s">
        <v>5460</v>
      </c>
      <c r="O43" s="55">
        <v>43723</v>
      </c>
      <c r="P43" s="58"/>
      <c r="Q43" s="47"/>
      <c r="R43" s="57" t="s">
        <v>6603</v>
      </c>
      <c r="S43" s="47" t="s">
        <v>6604</v>
      </c>
    </row>
    <row r="44" spans="2:19" s="96" customFormat="1" ht="33" hidden="1" customHeight="1">
      <c r="B44" s="47" t="s">
        <v>81</v>
      </c>
      <c r="C44" s="48" t="s">
        <v>3409</v>
      </c>
      <c r="D44" s="49" t="s">
        <v>3743</v>
      </c>
      <c r="E44" s="50">
        <v>43665</v>
      </c>
      <c r="F44" s="52" t="s">
        <v>6576</v>
      </c>
      <c r="G44" s="51">
        <v>9200</v>
      </c>
      <c r="H44" s="52">
        <f t="shared" si="6"/>
        <v>40</v>
      </c>
      <c r="I44" s="52">
        <f t="shared" ref="I44:I55" si="7">SUM(H44/4)</f>
        <v>10</v>
      </c>
      <c r="J44" s="52"/>
      <c r="K44" s="53">
        <v>43667</v>
      </c>
      <c r="L44" s="54" t="s">
        <v>6606</v>
      </c>
      <c r="M44" s="55">
        <v>43718</v>
      </c>
      <c r="N44" s="56" t="s">
        <v>6607</v>
      </c>
      <c r="O44" s="55">
        <v>43667</v>
      </c>
      <c r="P44" s="58"/>
      <c r="Q44" s="47"/>
      <c r="R44" s="57"/>
      <c r="S44" s="47"/>
    </row>
    <row r="45" spans="2:19" s="67" customFormat="1" ht="33" hidden="1" customHeight="1">
      <c r="B45" s="46" t="s">
        <v>81</v>
      </c>
      <c r="C45" s="35" t="s">
        <v>4318</v>
      </c>
      <c r="D45" s="36" t="s">
        <v>4319</v>
      </c>
      <c r="E45" s="37">
        <v>43665</v>
      </c>
      <c r="F45" s="38" t="s">
        <v>6576</v>
      </c>
      <c r="G45" s="39">
        <v>9200</v>
      </c>
      <c r="H45" s="38">
        <f t="shared" si="6"/>
        <v>40</v>
      </c>
      <c r="I45" s="38">
        <f t="shared" si="7"/>
        <v>10</v>
      </c>
      <c r="J45" s="38"/>
      <c r="K45" s="40">
        <v>43751</v>
      </c>
      <c r="L45" s="41" t="s">
        <v>6608</v>
      </c>
      <c r="M45" s="42">
        <v>43746</v>
      </c>
      <c r="N45" s="43" t="s">
        <v>6609</v>
      </c>
      <c r="O45" s="42">
        <v>43751</v>
      </c>
      <c r="P45" s="45"/>
      <c r="Q45" s="46"/>
      <c r="R45" s="44" t="s">
        <v>6610</v>
      </c>
      <c r="S45" s="46"/>
    </row>
    <row r="46" spans="2:19" s="67" customFormat="1" ht="33" hidden="1" customHeight="1">
      <c r="B46" s="46" t="s">
        <v>81</v>
      </c>
      <c r="C46" s="35" t="s">
        <v>4321</v>
      </c>
      <c r="D46" s="36" t="s">
        <v>4322</v>
      </c>
      <c r="E46" s="37">
        <v>43665</v>
      </c>
      <c r="F46" s="38" t="s">
        <v>6576</v>
      </c>
      <c r="G46" s="39">
        <v>8740</v>
      </c>
      <c r="H46" s="38">
        <f t="shared" si="6"/>
        <v>38</v>
      </c>
      <c r="I46" s="38">
        <f t="shared" si="7"/>
        <v>9.5</v>
      </c>
      <c r="J46" s="38"/>
      <c r="K46" s="40">
        <v>43765</v>
      </c>
      <c r="L46" s="41" t="s">
        <v>4479</v>
      </c>
      <c r="M46" s="42">
        <v>43753</v>
      </c>
      <c r="N46" s="43" t="s">
        <v>6611</v>
      </c>
      <c r="O46" s="42">
        <v>43758</v>
      </c>
      <c r="P46" s="45"/>
      <c r="Q46" s="46"/>
      <c r="R46" s="44" t="s">
        <v>6612</v>
      </c>
      <c r="S46" s="46"/>
    </row>
    <row r="47" spans="2:19" s="67" customFormat="1" ht="33" hidden="1" customHeight="1">
      <c r="B47" s="46" t="s">
        <v>81</v>
      </c>
      <c r="C47" s="35" t="s">
        <v>6613</v>
      </c>
      <c r="D47" s="36" t="s">
        <v>5849</v>
      </c>
      <c r="E47" s="37">
        <v>43714</v>
      </c>
      <c r="F47" s="38" t="s">
        <v>6592</v>
      </c>
      <c r="G47" s="39">
        <v>4600</v>
      </c>
      <c r="H47" s="38">
        <f t="shared" si="6"/>
        <v>20</v>
      </c>
      <c r="I47" s="38">
        <f t="shared" si="7"/>
        <v>5</v>
      </c>
      <c r="J47" s="38"/>
      <c r="K47" s="40">
        <v>43765</v>
      </c>
      <c r="L47" s="41" t="s">
        <v>6614</v>
      </c>
      <c r="M47" s="42">
        <v>43767</v>
      </c>
      <c r="N47" s="43" t="s">
        <v>6615</v>
      </c>
      <c r="O47" s="42">
        <v>43772</v>
      </c>
      <c r="P47" s="215" t="s">
        <v>6805</v>
      </c>
      <c r="Q47" s="46"/>
      <c r="R47" s="44" t="s">
        <v>6616</v>
      </c>
      <c r="S47" s="46"/>
    </row>
    <row r="48" spans="2:19" s="67" customFormat="1" ht="33" hidden="1" customHeight="1">
      <c r="B48" s="46" t="s">
        <v>81</v>
      </c>
      <c r="C48" s="35" t="s">
        <v>5006</v>
      </c>
      <c r="D48" s="36" t="s">
        <v>5005</v>
      </c>
      <c r="E48" s="37">
        <v>43689</v>
      </c>
      <c r="F48" s="38" t="s">
        <v>6592</v>
      </c>
      <c r="G48" s="39">
        <v>9200</v>
      </c>
      <c r="H48" s="38">
        <f t="shared" si="6"/>
        <v>40</v>
      </c>
      <c r="I48" s="38">
        <f t="shared" si="7"/>
        <v>10</v>
      </c>
      <c r="J48" s="38"/>
      <c r="K48" s="40">
        <v>43786</v>
      </c>
      <c r="L48" s="41" t="s">
        <v>6438</v>
      </c>
      <c r="M48" s="42">
        <v>43781</v>
      </c>
      <c r="N48" s="43" t="s">
        <v>6617</v>
      </c>
      <c r="O48" s="42">
        <v>43786</v>
      </c>
      <c r="P48" s="45"/>
      <c r="Q48" s="46"/>
      <c r="R48" s="44" t="s">
        <v>6618</v>
      </c>
      <c r="S48" s="46"/>
    </row>
    <row r="49" spans="2:19" s="67" customFormat="1" ht="33" hidden="1" customHeight="1">
      <c r="B49" s="46" t="s">
        <v>81</v>
      </c>
      <c r="C49" s="35" t="s">
        <v>5003</v>
      </c>
      <c r="D49" s="36" t="s">
        <v>5002</v>
      </c>
      <c r="E49" s="37">
        <v>43689</v>
      </c>
      <c r="F49" s="38" t="s">
        <v>6592</v>
      </c>
      <c r="G49" s="39">
        <v>9200</v>
      </c>
      <c r="H49" s="38">
        <f t="shared" si="6"/>
        <v>40</v>
      </c>
      <c r="I49" s="38">
        <f t="shared" si="7"/>
        <v>10</v>
      </c>
      <c r="J49" s="38"/>
      <c r="K49" s="40">
        <v>43800</v>
      </c>
      <c r="L49" s="41" t="s">
        <v>6439</v>
      </c>
      <c r="M49" s="42">
        <v>43795</v>
      </c>
      <c r="N49" s="43" t="s">
        <v>6619</v>
      </c>
      <c r="O49" s="42">
        <v>43800</v>
      </c>
      <c r="P49" s="45"/>
      <c r="Q49" s="46"/>
      <c r="R49" s="44" t="s">
        <v>6620</v>
      </c>
      <c r="S49" s="46"/>
    </row>
    <row r="50" spans="2:19" s="67" customFormat="1" ht="33" hidden="1" customHeight="1">
      <c r="B50" s="46" t="s">
        <v>81</v>
      </c>
      <c r="C50" s="35" t="s">
        <v>5842</v>
      </c>
      <c r="D50" s="36" t="s">
        <v>6621</v>
      </c>
      <c r="E50" s="37">
        <v>43724</v>
      </c>
      <c r="F50" s="38" t="s">
        <v>6576</v>
      </c>
      <c r="G50" s="39">
        <v>13800</v>
      </c>
      <c r="H50" s="38">
        <f t="shared" si="6"/>
        <v>60</v>
      </c>
      <c r="I50" s="38">
        <f t="shared" si="7"/>
        <v>15</v>
      </c>
      <c r="J50" s="38"/>
      <c r="K50" s="40">
        <v>43821</v>
      </c>
      <c r="L50" s="41" t="s">
        <v>6440</v>
      </c>
      <c r="M50" s="42">
        <v>43816</v>
      </c>
      <c r="N50" s="43" t="s">
        <v>6622</v>
      </c>
      <c r="O50" s="42">
        <v>43821</v>
      </c>
      <c r="P50" s="45"/>
      <c r="Q50" s="46"/>
      <c r="R50" s="44" t="s">
        <v>6623</v>
      </c>
      <c r="S50" s="46"/>
    </row>
    <row r="51" spans="2:19" s="67" customFormat="1" ht="33" hidden="1" customHeight="1">
      <c r="B51" s="46" t="s">
        <v>81</v>
      </c>
      <c r="C51" s="35" t="s">
        <v>6469</v>
      </c>
      <c r="D51" s="36" t="s">
        <v>6624</v>
      </c>
      <c r="E51" s="37">
        <v>43743</v>
      </c>
      <c r="F51" s="38" t="s">
        <v>6592</v>
      </c>
      <c r="G51" s="39">
        <v>4600</v>
      </c>
      <c r="H51" s="38">
        <f t="shared" si="6"/>
        <v>20</v>
      </c>
      <c r="I51" s="38">
        <f t="shared" si="7"/>
        <v>5</v>
      </c>
      <c r="J51" s="38"/>
      <c r="K51" s="40">
        <v>43779</v>
      </c>
      <c r="L51" s="41" t="s">
        <v>6625</v>
      </c>
      <c r="M51" s="42">
        <v>43774</v>
      </c>
      <c r="N51" s="43" t="s">
        <v>6626</v>
      </c>
      <c r="O51" s="204">
        <v>43779</v>
      </c>
      <c r="P51" s="45"/>
      <c r="Q51" s="46"/>
      <c r="R51" s="44" t="s">
        <v>6627</v>
      </c>
      <c r="S51" s="46"/>
    </row>
    <row r="52" spans="2:19" s="67" customFormat="1" ht="33" hidden="1" customHeight="1">
      <c r="B52" s="122" t="s">
        <v>81</v>
      </c>
      <c r="C52" s="126" t="s">
        <v>6628</v>
      </c>
      <c r="D52" s="127" t="s">
        <v>6629</v>
      </c>
      <c r="E52" s="128">
        <v>43752</v>
      </c>
      <c r="F52" s="124" t="s">
        <v>84</v>
      </c>
      <c r="G52" s="129">
        <v>18400</v>
      </c>
      <c r="H52" s="124">
        <f t="shared" si="6"/>
        <v>80</v>
      </c>
      <c r="I52" s="124">
        <f t="shared" si="7"/>
        <v>20</v>
      </c>
      <c r="J52" s="124"/>
      <c r="K52" s="130">
        <v>43842</v>
      </c>
      <c r="L52" s="119" t="s">
        <v>6779</v>
      </c>
      <c r="M52" s="120">
        <v>43472</v>
      </c>
      <c r="N52" s="121" t="s">
        <v>6775</v>
      </c>
      <c r="O52" s="120">
        <v>43477</v>
      </c>
      <c r="P52" s="123"/>
      <c r="Q52" s="122"/>
      <c r="R52" s="125" t="s">
        <v>6630</v>
      </c>
      <c r="S52" s="122"/>
    </row>
    <row r="53" spans="2:19" s="96" customFormat="1" ht="33" hidden="1" customHeight="1">
      <c r="B53" s="47" t="s">
        <v>6631</v>
      </c>
      <c r="C53" s="48" t="s">
        <v>6632</v>
      </c>
      <c r="D53" s="49" t="s">
        <v>705</v>
      </c>
      <c r="E53" s="50">
        <v>43532</v>
      </c>
      <c r="F53" s="52" t="s">
        <v>6592</v>
      </c>
      <c r="G53" s="51">
        <v>920</v>
      </c>
      <c r="H53" s="52">
        <f t="shared" si="6"/>
        <v>4</v>
      </c>
      <c r="I53" s="52">
        <f t="shared" si="7"/>
        <v>1</v>
      </c>
      <c r="J53" s="52"/>
      <c r="K53" s="53">
        <v>43609</v>
      </c>
      <c r="L53" s="54" t="s">
        <v>773</v>
      </c>
      <c r="M53" s="55">
        <v>43601</v>
      </c>
      <c r="N53" s="56" t="s">
        <v>774</v>
      </c>
      <c r="O53" s="55">
        <v>43605</v>
      </c>
      <c r="P53" s="58"/>
      <c r="Q53" s="47"/>
      <c r="R53" s="57"/>
      <c r="S53" s="47" t="s">
        <v>6633</v>
      </c>
    </row>
    <row r="54" spans="2:19" s="96" customFormat="1" ht="33" hidden="1" customHeight="1">
      <c r="B54" s="47" t="s">
        <v>6634</v>
      </c>
      <c r="C54" s="48" t="s">
        <v>2333</v>
      </c>
      <c r="D54" s="49" t="s">
        <v>2334</v>
      </c>
      <c r="E54" s="50">
        <v>43602</v>
      </c>
      <c r="F54" s="52" t="s">
        <v>6592</v>
      </c>
      <c r="G54" s="51">
        <v>460</v>
      </c>
      <c r="H54" s="52">
        <f t="shared" si="6"/>
        <v>2</v>
      </c>
      <c r="I54" s="52">
        <f t="shared" si="7"/>
        <v>0.5</v>
      </c>
      <c r="J54" s="52"/>
      <c r="K54" s="53">
        <v>43681</v>
      </c>
      <c r="L54" s="54" t="s">
        <v>6441</v>
      </c>
      <c r="M54" s="55">
        <v>43676</v>
      </c>
      <c r="N54" s="56" t="s">
        <v>6635</v>
      </c>
      <c r="O54" s="55">
        <v>43681</v>
      </c>
      <c r="P54" s="58"/>
      <c r="Q54" s="47"/>
      <c r="R54" s="57" t="s">
        <v>6636</v>
      </c>
      <c r="S54" s="47" t="s">
        <v>3549</v>
      </c>
    </row>
    <row r="55" spans="2:19" s="96" customFormat="1" ht="33" hidden="1" customHeight="1">
      <c r="B55" s="47" t="s">
        <v>6634</v>
      </c>
      <c r="C55" s="48" t="s">
        <v>4329</v>
      </c>
      <c r="D55" s="49" t="s">
        <v>4330</v>
      </c>
      <c r="E55" s="50">
        <v>43665</v>
      </c>
      <c r="F55" s="52" t="s">
        <v>6592</v>
      </c>
      <c r="G55" s="51">
        <v>460</v>
      </c>
      <c r="H55" s="52">
        <f t="shared" si="6"/>
        <v>2</v>
      </c>
      <c r="I55" s="52">
        <f t="shared" si="7"/>
        <v>0.5</v>
      </c>
      <c r="J55" s="52"/>
      <c r="K55" s="53">
        <v>43765</v>
      </c>
      <c r="L55" s="54" t="s">
        <v>4479</v>
      </c>
      <c r="M55" s="55">
        <v>43753</v>
      </c>
      <c r="N55" s="56" t="s">
        <v>6637</v>
      </c>
      <c r="O55" s="55">
        <v>43758</v>
      </c>
      <c r="P55" s="58"/>
      <c r="Q55" s="47"/>
      <c r="R55" s="57" t="s">
        <v>6616</v>
      </c>
      <c r="S55" s="47"/>
    </row>
    <row r="56" spans="2:19" s="33" customFormat="1" ht="33" hidden="1" customHeight="1">
      <c r="B56" s="47" t="s">
        <v>6638</v>
      </c>
      <c r="C56" s="48" t="s">
        <v>2360</v>
      </c>
      <c r="D56" s="49" t="s">
        <v>6639</v>
      </c>
      <c r="E56" s="50">
        <v>43602</v>
      </c>
      <c r="F56" s="52" t="s">
        <v>6592</v>
      </c>
      <c r="G56" s="51">
        <v>2560</v>
      </c>
      <c r="H56" s="52">
        <f t="shared" ref="H56:H61" si="8">SUM(G56/20)</f>
        <v>128</v>
      </c>
      <c r="I56" s="52">
        <f t="shared" ref="I56:I61" si="9">SUM(H56/32)</f>
        <v>4</v>
      </c>
      <c r="J56" s="59"/>
      <c r="K56" s="53">
        <v>43695</v>
      </c>
      <c r="L56" s="54" t="s">
        <v>2505</v>
      </c>
      <c r="M56" s="55">
        <v>43683</v>
      </c>
      <c r="N56" s="56" t="s">
        <v>6640</v>
      </c>
      <c r="O56" s="55">
        <v>43688</v>
      </c>
      <c r="P56" s="58"/>
      <c r="Q56" s="60" t="s">
        <v>89</v>
      </c>
      <c r="R56" s="57" t="s">
        <v>6641</v>
      </c>
      <c r="S56" s="47"/>
    </row>
    <row r="57" spans="2:19" s="33" customFormat="1" ht="33" hidden="1" customHeight="1">
      <c r="B57" s="47" t="s">
        <v>6638</v>
      </c>
      <c r="C57" s="48" t="s">
        <v>3429</v>
      </c>
      <c r="D57" s="49" t="s">
        <v>3430</v>
      </c>
      <c r="E57" s="50">
        <v>43637</v>
      </c>
      <c r="F57" s="52" t="s">
        <v>6592</v>
      </c>
      <c r="G57" s="51">
        <v>3840</v>
      </c>
      <c r="H57" s="52">
        <f t="shared" si="8"/>
        <v>192</v>
      </c>
      <c r="I57" s="52">
        <f t="shared" si="9"/>
        <v>6</v>
      </c>
      <c r="J57" s="59"/>
      <c r="K57" s="53">
        <v>43723</v>
      </c>
      <c r="L57" s="54" t="s">
        <v>5459</v>
      </c>
      <c r="M57" s="55">
        <v>43718</v>
      </c>
      <c r="N57" s="56" t="s">
        <v>6642</v>
      </c>
      <c r="O57" s="55">
        <v>43723</v>
      </c>
      <c r="P57" s="58"/>
      <c r="Q57" s="60" t="s">
        <v>89</v>
      </c>
      <c r="R57" s="57" t="s">
        <v>6643</v>
      </c>
      <c r="S57" s="47"/>
    </row>
    <row r="58" spans="2:19" s="30" customFormat="1" ht="33" hidden="1" customHeight="1">
      <c r="B58" s="46" t="s">
        <v>6638</v>
      </c>
      <c r="C58" s="35" t="s">
        <v>4344</v>
      </c>
      <c r="D58" s="36" t="s">
        <v>4345</v>
      </c>
      <c r="E58" s="37">
        <v>43665</v>
      </c>
      <c r="F58" s="38" t="s">
        <v>6592</v>
      </c>
      <c r="G58" s="39">
        <v>3200</v>
      </c>
      <c r="H58" s="38">
        <f t="shared" si="8"/>
        <v>160</v>
      </c>
      <c r="I58" s="38">
        <f t="shared" si="9"/>
        <v>5</v>
      </c>
      <c r="J58" s="61"/>
      <c r="K58" s="40">
        <v>43758</v>
      </c>
      <c r="L58" s="41" t="s">
        <v>4479</v>
      </c>
      <c r="M58" s="42">
        <v>43753</v>
      </c>
      <c r="N58" s="43" t="s">
        <v>6637</v>
      </c>
      <c r="O58" s="42">
        <v>43758</v>
      </c>
      <c r="P58" s="45"/>
      <c r="Q58" s="62" t="s">
        <v>89</v>
      </c>
      <c r="R58" s="44" t="s">
        <v>6644</v>
      </c>
      <c r="S58" s="46"/>
    </row>
    <row r="59" spans="2:19" s="30" customFormat="1" ht="33" hidden="1" customHeight="1">
      <c r="B59" s="46" t="s">
        <v>6638</v>
      </c>
      <c r="C59" s="35" t="s">
        <v>4969</v>
      </c>
      <c r="D59" s="36" t="s">
        <v>4968</v>
      </c>
      <c r="E59" s="37">
        <v>43689</v>
      </c>
      <c r="F59" s="38" t="s">
        <v>6592</v>
      </c>
      <c r="G59" s="39">
        <v>3840</v>
      </c>
      <c r="H59" s="38">
        <f t="shared" si="8"/>
        <v>192</v>
      </c>
      <c r="I59" s="38">
        <f t="shared" si="9"/>
        <v>6</v>
      </c>
      <c r="J59" s="61"/>
      <c r="K59" s="40">
        <v>43786</v>
      </c>
      <c r="L59" s="41" t="s">
        <v>6438</v>
      </c>
      <c r="M59" s="42">
        <v>43781</v>
      </c>
      <c r="N59" s="43" t="s">
        <v>6617</v>
      </c>
      <c r="O59" s="42">
        <v>43786</v>
      </c>
      <c r="P59" s="45"/>
      <c r="Q59" s="62" t="s">
        <v>89</v>
      </c>
      <c r="R59" s="44" t="s">
        <v>6645</v>
      </c>
      <c r="S59" s="46"/>
    </row>
    <row r="60" spans="2:19" s="30" customFormat="1" ht="33" hidden="1" customHeight="1">
      <c r="B60" s="46" t="s">
        <v>6638</v>
      </c>
      <c r="C60" s="35" t="s">
        <v>5818</v>
      </c>
      <c r="D60" s="36" t="s">
        <v>5817</v>
      </c>
      <c r="E60" s="37">
        <v>43724</v>
      </c>
      <c r="F60" s="38" t="s">
        <v>6592</v>
      </c>
      <c r="G60" s="39">
        <v>3840</v>
      </c>
      <c r="H60" s="38">
        <f t="shared" si="8"/>
        <v>192</v>
      </c>
      <c r="I60" s="38">
        <f t="shared" si="9"/>
        <v>6</v>
      </c>
      <c r="J60" s="61"/>
      <c r="K60" s="40">
        <v>43814</v>
      </c>
      <c r="L60" s="41" t="s">
        <v>6442</v>
      </c>
      <c r="M60" s="42">
        <v>43809</v>
      </c>
      <c r="N60" s="43" t="s">
        <v>6646</v>
      </c>
      <c r="O60" s="42">
        <v>43814</v>
      </c>
      <c r="P60" s="45"/>
      <c r="Q60" s="62" t="s">
        <v>89</v>
      </c>
      <c r="R60" s="44" t="s">
        <v>6647</v>
      </c>
      <c r="S60" s="46"/>
    </row>
    <row r="61" spans="2:19" s="30" customFormat="1" ht="33" hidden="1" customHeight="1">
      <c r="B61" s="122" t="s">
        <v>6638</v>
      </c>
      <c r="C61" s="126" t="s">
        <v>6648</v>
      </c>
      <c r="D61" s="127" t="s">
        <v>6649</v>
      </c>
      <c r="E61" s="128">
        <v>43752</v>
      </c>
      <c r="F61" s="124" t="s">
        <v>6592</v>
      </c>
      <c r="G61" s="129">
        <v>3840</v>
      </c>
      <c r="H61" s="124">
        <f t="shared" si="8"/>
        <v>192</v>
      </c>
      <c r="I61" s="124">
        <f t="shared" si="9"/>
        <v>6</v>
      </c>
      <c r="J61" s="131"/>
      <c r="K61" s="130">
        <v>43842</v>
      </c>
      <c r="L61" s="119" t="s">
        <v>6779</v>
      </c>
      <c r="M61" s="120">
        <v>43472</v>
      </c>
      <c r="N61" s="121" t="s">
        <v>6775</v>
      </c>
      <c r="O61" s="120">
        <v>43477</v>
      </c>
      <c r="P61" s="123"/>
      <c r="Q61" s="132" t="s">
        <v>89</v>
      </c>
      <c r="R61" s="125" t="s">
        <v>6650</v>
      </c>
      <c r="S61" s="122"/>
    </row>
    <row r="62" spans="2:19" s="33" customFormat="1" ht="33" hidden="1" customHeight="1">
      <c r="B62" s="47" t="s">
        <v>38</v>
      </c>
      <c r="C62" s="48" t="s">
        <v>225</v>
      </c>
      <c r="D62" s="49" t="s">
        <v>587</v>
      </c>
      <c r="E62" s="50">
        <v>43519</v>
      </c>
      <c r="F62" s="52" t="s">
        <v>6651</v>
      </c>
      <c r="G62" s="64">
        <v>640</v>
      </c>
      <c r="H62" s="52">
        <f>SUBTOTAL(9,G62)/20</f>
        <v>0</v>
      </c>
      <c r="I62" s="52">
        <f>H62/32</f>
        <v>0</v>
      </c>
      <c r="J62" s="52"/>
      <c r="K62" s="53">
        <v>43583</v>
      </c>
      <c r="L62" s="54" t="s">
        <v>565</v>
      </c>
      <c r="M62" s="55">
        <v>43578</v>
      </c>
      <c r="N62" s="56" t="s">
        <v>6652</v>
      </c>
      <c r="O62" s="55">
        <v>43583</v>
      </c>
      <c r="P62" s="58"/>
      <c r="Q62" s="52"/>
      <c r="R62" s="63" t="s">
        <v>6653</v>
      </c>
      <c r="S62" s="47"/>
    </row>
    <row r="63" spans="2:19" s="30" customFormat="1" ht="33" hidden="1" customHeight="1">
      <c r="B63" s="46" t="s">
        <v>6654</v>
      </c>
      <c r="C63" s="35" t="s">
        <v>226</v>
      </c>
      <c r="D63" s="36" t="s">
        <v>1194</v>
      </c>
      <c r="E63" s="37">
        <v>43567</v>
      </c>
      <c r="F63" s="38" t="s">
        <v>6651</v>
      </c>
      <c r="G63" s="65">
        <v>640</v>
      </c>
      <c r="H63" s="38">
        <f>SUBTOTAL(9,G63)/20</f>
        <v>0</v>
      </c>
      <c r="I63" s="38">
        <f>H63/32</f>
        <v>0</v>
      </c>
      <c r="J63" s="38"/>
      <c r="K63" s="40">
        <v>43758</v>
      </c>
      <c r="L63" s="41" t="s">
        <v>6434</v>
      </c>
      <c r="M63" s="42">
        <v>43759</v>
      </c>
      <c r="N63" s="43" t="s">
        <v>6655</v>
      </c>
      <c r="O63" s="42">
        <v>43765</v>
      </c>
      <c r="P63" s="45"/>
      <c r="Q63" s="38"/>
      <c r="R63" s="66" t="s">
        <v>6656</v>
      </c>
      <c r="S63" s="46"/>
    </row>
    <row r="64" spans="2:19" s="33" customFormat="1" ht="33" hidden="1" customHeight="1">
      <c r="B64" s="47" t="s">
        <v>6657</v>
      </c>
      <c r="C64" s="48" t="s">
        <v>2378</v>
      </c>
      <c r="D64" s="49" t="s">
        <v>2379</v>
      </c>
      <c r="E64" s="50">
        <v>43602</v>
      </c>
      <c r="F64" s="52" t="s">
        <v>6651</v>
      </c>
      <c r="G64" s="64">
        <v>760</v>
      </c>
      <c r="H64" s="52">
        <f>SUBTOTAL(9,G64)/190</f>
        <v>0</v>
      </c>
      <c r="I64" s="52">
        <f>H64/4</f>
        <v>0</v>
      </c>
      <c r="J64" s="52"/>
      <c r="K64" s="53">
        <v>43702</v>
      </c>
      <c r="L64" s="54" t="s">
        <v>6435</v>
      </c>
      <c r="M64" s="55">
        <v>43718</v>
      </c>
      <c r="N64" s="56" t="s">
        <v>6658</v>
      </c>
      <c r="O64" s="55">
        <v>43702</v>
      </c>
      <c r="P64" s="58"/>
      <c r="Q64" s="52"/>
      <c r="R64" s="63" t="s">
        <v>6659</v>
      </c>
      <c r="S64" s="47"/>
    </row>
    <row r="65" spans="2:19" s="30" customFormat="1" ht="33" hidden="1" customHeight="1">
      <c r="B65" s="46" t="s">
        <v>6660</v>
      </c>
      <c r="C65" s="35" t="s">
        <v>2430</v>
      </c>
      <c r="D65" s="36" t="s">
        <v>3457</v>
      </c>
      <c r="E65" s="37">
        <v>43637</v>
      </c>
      <c r="F65" s="38" t="s">
        <v>6661</v>
      </c>
      <c r="G65" s="65">
        <v>760</v>
      </c>
      <c r="H65" s="38">
        <f>SUBTOTAL(9,G65)/190</f>
        <v>0</v>
      </c>
      <c r="I65" s="38">
        <f>H65/4</f>
        <v>0</v>
      </c>
      <c r="J65" s="38"/>
      <c r="K65" s="40">
        <v>43731</v>
      </c>
      <c r="L65" s="41" t="s">
        <v>6436</v>
      </c>
      <c r="M65" s="42">
        <v>43725</v>
      </c>
      <c r="N65" s="43" t="s">
        <v>6662</v>
      </c>
      <c r="O65" s="42">
        <v>43730</v>
      </c>
      <c r="P65" s="45"/>
      <c r="Q65" s="38"/>
      <c r="R65" s="66" t="s">
        <v>6663</v>
      </c>
      <c r="S65" s="46"/>
    </row>
    <row r="66" spans="2:19" s="30" customFormat="1" ht="33" hidden="1" customHeight="1">
      <c r="B66" s="46" t="s">
        <v>6657</v>
      </c>
      <c r="C66" s="35" t="s">
        <v>2527</v>
      </c>
      <c r="D66" s="36" t="s">
        <v>4369</v>
      </c>
      <c r="E66" s="37">
        <v>43657</v>
      </c>
      <c r="F66" s="38" t="s">
        <v>6651</v>
      </c>
      <c r="G66" s="65">
        <v>760</v>
      </c>
      <c r="H66" s="38">
        <f>SUBTOTAL(9,G66)/190</f>
        <v>0</v>
      </c>
      <c r="I66" s="38">
        <f>H66/4</f>
        <v>0</v>
      </c>
      <c r="J66" s="38"/>
      <c r="K66" s="40">
        <v>43758</v>
      </c>
      <c r="L66" s="41" t="s">
        <v>6434</v>
      </c>
      <c r="M66" s="42">
        <v>43759</v>
      </c>
      <c r="N66" s="43" t="s">
        <v>4549</v>
      </c>
      <c r="O66" s="42">
        <v>43765</v>
      </c>
      <c r="P66" s="45"/>
      <c r="Q66" s="38"/>
      <c r="R66" s="66" t="s">
        <v>6664</v>
      </c>
      <c r="S66" s="46" t="s">
        <v>6795</v>
      </c>
    </row>
    <row r="67" spans="2:19" s="30" customFormat="1" ht="33" hidden="1" customHeight="1">
      <c r="B67" s="46" t="s">
        <v>6660</v>
      </c>
      <c r="C67" s="35" t="s">
        <v>2528</v>
      </c>
      <c r="D67" s="36" t="s">
        <v>6665</v>
      </c>
      <c r="E67" s="37">
        <v>43700</v>
      </c>
      <c r="F67" s="38" t="s">
        <v>6651</v>
      </c>
      <c r="G67" s="65">
        <v>760</v>
      </c>
      <c r="H67" s="38">
        <f>SUBTOTAL(9,G67)/190</f>
        <v>0</v>
      </c>
      <c r="I67" s="38">
        <f>H67/4</f>
        <v>0</v>
      </c>
      <c r="J67" s="38"/>
      <c r="K67" s="40">
        <v>43823</v>
      </c>
      <c r="L67" s="41" t="s">
        <v>6666</v>
      </c>
      <c r="M67" s="42">
        <v>43816</v>
      </c>
      <c r="N67" s="43" t="s">
        <v>6622</v>
      </c>
      <c r="O67" s="42">
        <v>43821</v>
      </c>
      <c r="P67" s="45"/>
      <c r="Q67" s="38"/>
      <c r="R67" s="66" t="s">
        <v>6667</v>
      </c>
      <c r="S67" s="46"/>
    </row>
    <row r="68" spans="2:19" s="30" customFormat="1" ht="33" hidden="1" customHeight="1">
      <c r="B68" s="46" t="s">
        <v>6660</v>
      </c>
      <c r="C68" s="35" t="s">
        <v>2529</v>
      </c>
      <c r="D68" s="36" t="s">
        <v>6668</v>
      </c>
      <c r="E68" s="37">
        <v>43724</v>
      </c>
      <c r="F68" s="38" t="s">
        <v>6651</v>
      </c>
      <c r="G68" s="65">
        <v>760</v>
      </c>
      <c r="H68" s="38">
        <f>SUBTOTAL(9,G68)/190</f>
        <v>0</v>
      </c>
      <c r="I68" s="38">
        <f>H68/4</f>
        <v>0</v>
      </c>
      <c r="J68" s="38"/>
      <c r="K68" s="40">
        <v>43842</v>
      </c>
      <c r="L68" s="41" t="s">
        <v>6443</v>
      </c>
      <c r="M68" s="42">
        <v>43472</v>
      </c>
      <c r="N68" s="43" t="s">
        <v>6669</v>
      </c>
      <c r="O68" s="42">
        <v>43477</v>
      </c>
      <c r="P68" s="45"/>
      <c r="Q68" s="38"/>
      <c r="R68" s="66" t="s">
        <v>6670</v>
      </c>
      <c r="S68" s="46"/>
    </row>
    <row r="69" spans="2:19" s="33" customFormat="1" ht="33" hidden="1" customHeight="1">
      <c r="B69" s="47" t="s">
        <v>6671</v>
      </c>
      <c r="C69" s="48" t="s">
        <v>430</v>
      </c>
      <c r="D69" s="49" t="s">
        <v>2696</v>
      </c>
      <c r="E69" s="50">
        <v>43609</v>
      </c>
      <c r="F69" s="52" t="s">
        <v>77</v>
      </c>
      <c r="G69" s="51">
        <v>7680</v>
      </c>
      <c r="H69" s="52">
        <f t="shared" ref="H69:H74" si="10">SUM(G69/240)</f>
        <v>32</v>
      </c>
      <c r="I69" s="52">
        <f t="shared" ref="I69:I74" si="11">SUM(H69/4)</f>
        <v>8</v>
      </c>
      <c r="J69" s="52"/>
      <c r="K69" s="53">
        <v>43702</v>
      </c>
      <c r="L69" s="54" t="s">
        <v>2509</v>
      </c>
      <c r="M69" s="55">
        <v>43718</v>
      </c>
      <c r="N69" s="56" t="s">
        <v>2498</v>
      </c>
      <c r="O69" s="55">
        <v>43702</v>
      </c>
      <c r="P69" s="58"/>
      <c r="Q69" s="52"/>
      <c r="R69" s="118" t="s">
        <v>6672</v>
      </c>
      <c r="S69" s="47"/>
    </row>
    <row r="70" spans="2:19" s="33" customFormat="1" ht="33" hidden="1" customHeight="1">
      <c r="B70" s="47" t="s">
        <v>6671</v>
      </c>
      <c r="C70" s="48" t="s">
        <v>519</v>
      </c>
      <c r="D70" s="49" t="s">
        <v>3473</v>
      </c>
      <c r="E70" s="50">
        <v>43637</v>
      </c>
      <c r="F70" s="52" t="s">
        <v>77</v>
      </c>
      <c r="G70" s="51">
        <v>9600</v>
      </c>
      <c r="H70" s="52">
        <f t="shared" si="10"/>
        <v>40</v>
      </c>
      <c r="I70" s="52">
        <f t="shared" si="11"/>
        <v>10</v>
      </c>
      <c r="J70" s="52"/>
      <c r="K70" s="53">
        <v>43716</v>
      </c>
      <c r="L70" s="54" t="s">
        <v>6444</v>
      </c>
      <c r="M70" s="55">
        <v>43718</v>
      </c>
      <c r="N70" s="56" t="s">
        <v>6673</v>
      </c>
      <c r="O70" s="55">
        <v>43716</v>
      </c>
      <c r="P70" s="58"/>
      <c r="Q70" s="52"/>
      <c r="R70" s="118" t="s">
        <v>6674</v>
      </c>
      <c r="S70" s="47"/>
    </row>
    <row r="71" spans="2:19" s="30" customFormat="1" ht="33" hidden="1" customHeight="1">
      <c r="B71" s="46" t="s">
        <v>6671</v>
      </c>
      <c r="C71" s="35" t="s">
        <v>520</v>
      </c>
      <c r="D71" s="36" t="s">
        <v>4386</v>
      </c>
      <c r="E71" s="37">
        <v>43665</v>
      </c>
      <c r="F71" s="38" t="s">
        <v>77</v>
      </c>
      <c r="G71" s="39">
        <v>5760</v>
      </c>
      <c r="H71" s="38">
        <f t="shared" si="10"/>
        <v>24</v>
      </c>
      <c r="I71" s="38">
        <f t="shared" si="11"/>
        <v>6</v>
      </c>
      <c r="J71" s="38"/>
      <c r="K71" s="40">
        <v>43765</v>
      </c>
      <c r="L71" s="41" t="s">
        <v>4479</v>
      </c>
      <c r="M71" s="42">
        <v>43753</v>
      </c>
      <c r="N71" s="43" t="s">
        <v>6611</v>
      </c>
      <c r="O71" s="42">
        <v>43758</v>
      </c>
      <c r="P71" s="45"/>
      <c r="Q71" s="38"/>
      <c r="R71" s="115" t="s">
        <v>6675</v>
      </c>
      <c r="S71" s="46"/>
    </row>
    <row r="72" spans="2:19" s="30" customFormat="1" ht="33" hidden="1" customHeight="1">
      <c r="B72" s="46" t="s">
        <v>6671</v>
      </c>
      <c r="C72" s="35" t="s">
        <v>586</v>
      </c>
      <c r="D72" s="36" t="s">
        <v>4932</v>
      </c>
      <c r="E72" s="37">
        <v>43689</v>
      </c>
      <c r="F72" s="38" t="s">
        <v>77</v>
      </c>
      <c r="G72" s="39">
        <v>5760</v>
      </c>
      <c r="H72" s="38">
        <f t="shared" si="10"/>
        <v>24</v>
      </c>
      <c r="I72" s="38">
        <f t="shared" si="11"/>
        <v>6</v>
      </c>
      <c r="J72" s="38"/>
      <c r="K72" s="40">
        <v>43793</v>
      </c>
      <c r="L72" s="41" t="s">
        <v>5439</v>
      </c>
      <c r="M72" s="42">
        <v>43788</v>
      </c>
      <c r="N72" s="43" t="s">
        <v>6676</v>
      </c>
      <c r="O72" s="42">
        <v>43793</v>
      </c>
      <c r="P72" s="45"/>
      <c r="Q72" s="38"/>
      <c r="R72" s="115" t="s">
        <v>6677</v>
      </c>
      <c r="S72" s="46"/>
    </row>
    <row r="73" spans="2:19" s="30" customFormat="1" ht="33" hidden="1" customHeight="1">
      <c r="B73" s="46" t="s">
        <v>6678</v>
      </c>
      <c r="C73" s="35" t="s">
        <v>6679</v>
      </c>
      <c r="D73" s="36" t="s">
        <v>5789</v>
      </c>
      <c r="E73" s="37">
        <v>43714</v>
      </c>
      <c r="F73" s="38" t="s">
        <v>77</v>
      </c>
      <c r="G73" s="39">
        <v>960</v>
      </c>
      <c r="H73" s="38">
        <f t="shared" si="10"/>
        <v>4</v>
      </c>
      <c r="I73" s="38">
        <f t="shared" si="11"/>
        <v>1</v>
      </c>
      <c r="J73" s="38"/>
      <c r="K73" s="40">
        <v>43793</v>
      </c>
      <c r="L73" s="41" t="s">
        <v>5439</v>
      </c>
      <c r="M73" s="42">
        <v>43788</v>
      </c>
      <c r="N73" s="43" t="s">
        <v>5440</v>
      </c>
      <c r="O73" s="42">
        <v>43793</v>
      </c>
      <c r="P73" s="45"/>
      <c r="Q73" s="38"/>
      <c r="R73" s="115" t="s">
        <v>6680</v>
      </c>
      <c r="S73" s="46"/>
    </row>
    <row r="74" spans="2:19" s="30" customFormat="1" ht="33" hidden="1" customHeight="1">
      <c r="B74" s="46" t="s">
        <v>5786</v>
      </c>
      <c r="C74" s="35" t="s">
        <v>6681</v>
      </c>
      <c r="D74" s="36" t="s">
        <v>5784</v>
      </c>
      <c r="E74" s="37">
        <v>43724</v>
      </c>
      <c r="F74" s="38" t="s">
        <v>77</v>
      </c>
      <c r="G74" s="108">
        <v>7680</v>
      </c>
      <c r="H74" s="107">
        <f t="shared" si="10"/>
        <v>32</v>
      </c>
      <c r="I74" s="107">
        <f t="shared" si="11"/>
        <v>8</v>
      </c>
      <c r="J74" s="38"/>
      <c r="K74" s="40">
        <v>43814</v>
      </c>
      <c r="L74" s="41" t="s">
        <v>6442</v>
      </c>
      <c r="M74" s="42">
        <v>43809</v>
      </c>
      <c r="N74" s="43" t="s">
        <v>5963</v>
      </c>
      <c r="O74" s="42">
        <v>43814</v>
      </c>
      <c r="P74" s="45"/>
      <c r="Q74" s="38"/>
      <c r="R74" s="115" t="s">
        <v>6682</v>
      </c>
      <c r="S74" s="46"/>
    </row>
    <row r="75" spans="2:19" s="34" customFormat="1" ht="33" customHeight="1">
      <c r="B75" s="47" t="s">
        <v>6683</v>
      </c>
      <c r="C75" s="48" t="s">
        <v>2378</v>
      </c>
      <c r="D75" s="49" t="s">
        <v>6684</v>
      </c>
      <c r="E75" s="50">
        <v>43602</v>
      </c>
      <c r="F75" s="52" t="s">
        <v>218</v>
      </c>
      <c r="G75" s="51">
        <v>3200</v>
      </c>
      <c r="H75" s="52">
        <f t="shared" ref="H75:H101" si="12">SUM(G75/20)</f>
        <v>160</v>
      </c>
      <c r="I75" s="52">
        <f t="shared" ref="I75:I101" si="13">SUM(H75/32)</f>
        <v>5</v>
      </c>
      <c r="J75" s="52"/>
      <c r="K75" s="53">
        <v>43688</v>
      </c>
      <c r="L75" s="54" t="s">
        <v>2505</v>
      </c>
      <c r="M75" s="55">
        <v>43718</v>
      </c>
      <c r="N75" s="56" t="s">
        <v>6640</v>
      </c>
      <c r="O75" s="55">
        <v>43688</v>
      </c>
      <c r="P75" s="58"/>
      <c r="Q75" s="52" t="s">
        <v>2762</v>
      </c>
      <c r="R75" s="63" t="s">
        <v>211</v>
      </c>
      <c r="S75" s="47" t="s">
        <v>2764</v>
      </c>
    </row>
    <row r="76" spans="2:19" s="34" customFormat="1" ht="33" customHeight="1">
      <c r="B76" s="47" t="s">
        <v>6683</v>
      </c>
      <c r="C76" s="48" t="s">
        <v>2430</v>
      </c>
      <c r="D76" s="199" t="s">
        <v>6685</v>
      </c>
      <c r="E76" s="50">
        <v>43602</v>
      </c>
      <c r="F76" s="52" t="s">
        <v>218</v>
      </c>
      <c r="G76" s="51">
        <v>3200</v>
      </c>
      <c r="H76" s="52">
        <f t="shared" si="12"/>
        <v>160</v>
      </c>
      <c r="I76" s="52">
        <f t="shared" si="13"/>
        <v>5</v>
      </c>
      <c r="J76" s="52"/>
      <c r="K76" s="53">
        <v>43702</v>
      </c>
      <c r="L76" s="54" t="s">
        <v>2509</v>
      </c>
      <c r="M76" s="55">
        <v>43697</v>
      </c>
      <c r="N76" s="56" t="s">
        <v>6686</v>
      </c>
      <c r="O76" s="55">
        <v>43702</v>
      </c>
      <c r="P76" s="58"/>
      <c r="Q76" s="52" t="s">
        <v>2517</v>
      </c>
      <c r="R76" s="63" t="s">
        <v>211</v>
      </c>
      <c r="S76" s="52"/>
    </row>
    <row r="77" spans="2:19" s="34" customFormat="1" ht="33" customHeight="1">
      <c r="B77" s="47" t="s">
        <v>6683</v>
      </c>
      <c r="C77" s="48" t="s">
        <v>3499</v>
      </c>
      <c r="D77" s="199" t="s">
        <v>3500</v>
      </c>
      <c r="E77" s="50">
        <v>43637</v>
      </c>
      <c r="F77" s="52" t="s">
        <v>218</v>
      </c>
      <c r="G77" s="51">
        <v>3200</v>
      </c>
      <c r="H77" s="52">
        <f t="shared" si="12"/>
        <v>160</v>
      </c>
      <c r="I77" s="52">
        <f t="shared" si="13"/>
        <v>5</v>
      </c>
      <c r="J77" s="52"/>
      <c r="K77" s="53">
        <v>43730</v>
      </c>
      <c r="L77" s="54" t="s">
        <v>5462</v>
      </c>
      <c r="M77" s="55">
        <v>43725</v>
      </c>
      <c r="N77" s="56" t="s">
        <v>6662</v>
      </c>
      <c r="O77" s="55">
        <v>43730</v>
      </c>
      <c r="P77" s="58"/>
      <c r="Q77" s="52" t="s">
        <v>6687</v>
      </c>
      <c r="R77" s="63" t="s">
        <v>211</v>
      </c>
      <c r="S77" s="52"/>
    </row>
    <row r="78" spans="2:19" s="34" customFormat="1" ht="33" customHeight="1">
      <c r="B78" s="47" t="s">
        <v>6683</v>
      </c>
      <c r="C78" s="48" t="s">
        <v>3501</v>
      </c>
      <c r="D78" s="199" t="s">
        <v>3502</v>
      </c>
      <c r="E78" s="50">
        <v>43637</v>
      </c>
      <c r="F78" s="52" t="s">
        <v>218</v>
      </c>
      <c r="G78" s="51">
        <v>3200</v>
      </c>
      <c r="H78" s="52">
        <f t="shared" si="12"/>
        <v>160</v>
      </c>
      <c r="I78" s="52">
        <f t="shared" si="13"/>
        <v>5</v>
      </c>
      <c r="J78" s="52"/>
      <c r="K78" s="53">
        <v>43737</v>
      </c>
      <c r="L78" s="54" t="s">
        <v>5205</v>
      </c>
      <c r="M78" s="55">
        <v>43732</v>
      </c>
      <c r="N78" s="56" t="s">
        <v>6688</v>
      </c>
      <c r="O78" s="55">
        <v>43737</v>
      </c>
      <c r="P78" s="58"/>
      <c r="Q78" s="52" t="s">
        <v>5427</v>
      </c>
      <c r="R78" s="63" t="s">
        <v>211</v>
      </c>
      <c r="S78" s="52"/>
    </row>
    <row r="79" spans="2:19" s="34" customFormat="1" ht="33" customHeight="1">
      <c r="B79" s="47" t="s">
        <v>6683</v>
      </c>
      <c r="C79" s="48" t="s">
        <v>4103</v>
      </c>
      <c r="D79" s="199" t="s">
        <v>4408</v>
      </c>
      <c r="E79" s="50">
        <v>43657</v>
      </c>
      <c r="F79" s="52" t="s">
        <v>218</v>
      </c>
      <c r="G79" s="51">
        <v>3200</v>
      </c>
      <c r="H79" s="52">
        <f t="shared" si="12"/>
        <v>160</v>
      </c>
      <c r="I79" s="52">
        <f t="shared" si="13"/>
        <v>5</v>
      </c>
      <c r="J79" s="52"/>
      <c r="K79" s="53">
        <v>43723</v>
      </c>
      <c r="L79" s="54" t="s">
        <v>5459</v>
      </c>
      <c r="M79" s="55">
        <v>43718</v>
      </c>
      <c r="N79" s="56" t="s">
        <v>6642</v>
      </c>
      <c r="O79" s="55">
        <v>43723</v>
      </c>
      <c r="P79" s="58"/>
      <c r="Q79" s="52" t="s">
        <v>6689</v>
      </c>
      <c r="R79" s="63" t="s">
        <v>211</v>
      </c>
      <c r="S79" s="52"/>
    </row>
    <row r="80" spans="2:19" s="32" customFormat="1" ht="33" customHeight="1">
      <c r="B80" s="46" t="s">
        <v>6683</v>
      </c>
      <c r="C80" s="35" t="s">
        <v>4410</v>
      </c>
      <c r="D80" s="190" t="s">
        <v>4411</v>
      </c>
      <c r="E80" s="37">
        <v>43665</v>
      </c>
      <c r="F80" s="38" t="s">
        <v>218</v>
      </c>
      <c r="G80" s="39">
        <v>3200</v>
      </c>
      <c r="H80" s="38">
        <f t="shared" si="12"/>
        <v>160</v>
      </c>
      <c r="I80" s="38">
        <f t="shared" si="13"/>
        <v>5</v>
      </c>
      <c r="J80" s="38"/>
      <c r="K80" s="40">
        <v>43751</v>
      </c>
      <c r="L80" s="41" t="s">
        <v>4475</v>
      </c>
      <c r="M80" s="42">
        <v>43746</v>
      </c>
      <c r="N80" s="43" t="s">
        <v>6690</v>
      </c>
      <c r="O80" s="42">
        <v>43751</v>
      </c>
      <c r="P80" s="45"/>
      <c r="Q80" s="66" t="s">
        <v>6691</v>
      </c>
      <c r="R80" s="66" t="s">
        <v>6692</v>
      </c>
      <c r="S80" s="38"/>
    </row>
    <row r="81" spans="2:20" s="32" customFormat="1" ht="33" customHeight="1">
      <c r="B81" s="46" t="s">
        <v>6683</v>
      </c>
      <c r="C81" s="35" t="s">
        <v>4412</v>
      </c>
      <c r="D81" s="190" t="s">
        <v>4413</v>
      </c>
      <c r="E81" s="37">
        <v>43665</v>
      </c>
      <c r="F81" s="38" t="s">
        <v>218</v>
      </c>
      <c r="G81" s="39">
        <v>3200</v>
      </c>
      <c r="H81" s="38">
        <f t="shared" si="12"/>
        <v>160</v>
      </c>
      <c r="I81" s="38">
        <f t="shared" si="13"/>
        <v>5</v>
      </c>
      <c r="J81" s="38"/>
      <c r="K81" s="40">
        <v>43758</v>
      </c>
      <c r="L81" s="41" t="s">
        <v>4479</v>
      </c>
      <c r="M81" s="42">
        <v>43753</v>
      </c>
      <c r="N81" s="43" t="s">
        <v>6637</v>
      </c>
      <c r="O81" s="42">
        <v>43758</v>
      </c>
      <c r="P81" s="45"/>
      <c r="Q81" s="66" t="s">
        <v>4818</v>
      </c>
      <c r="R81" s="66" t="s">
        <v>6692</v>
      </c>
      <c r="S81" s="46"/>
    </row>
    <row r="82" spans="2:20" s="32" customFormat="1" ht="33" customHeight="1">
      <c r="B82" s="46" t="s">
        <v>6683</v>
      </c>
      <c r="C82" s="35" t="s">
        <v>4414</v>
      </c>
      <c r="D82" s="190" t="s">
        <v>4415</v>
      </c>
      <c r="E82" s="37">
        <v>43665</v>
      </c>
      <c r="F82" s="38" t="s">
        <v>218</v>
      </c>
      <c r="G82" s="39">
        <v>3200</v>
      </c>
      <c r="H82" s="38">
        <f t="shared" si="12"/>
        <v>160</v>
      </c>
      <c r="I82" s="38">
        <f t="shared" si="13"/>
        <v>5</v>
      </c>
      <c r="J82" s="38"/>
      <c r="K82" s="40">
        <v>43765</v>
      </c>
      <c r="L82" s="41" t="s">
        <v>6614</v>
      </c>
      <c r="M82" s="42">
        <v>43767</v>
      </c>
      <c r="N82" s="43" t="s">
        <v>6615</v>
      </c>
      <c r="O82" s="42">
        <v>43772</v>
      </c>
      <c r="P82" s="45"/>
      <c r="Q82" s="66" t="s">
        <v>4817</v>
      </c>
      <c r="R82" s="66" t="s">
        <v>6692</v>
      </c>
      <c r="S82" s="46"/>
    </row>
    <row r="83" spans="2:20" s="32" customFormat="1" ht="33" customHeight="1">
      <c r="B83" s="46" t="s">
        <v>6683</v>
      </c>
      <c r="C83" s="35" t="s">
        <v>4550</v>
      </c>
      <c r="D83" s="190" t="s">
        <v>6693</v>
      </c>
      <c r="E83" s="37">
        <v>43679</v>
      </c>
      <c r="F83" s="38" t="s">
        <v>218</v>
      </c>
      <c r="G83" s="39">
        <v>3200</v>
      </c>
      <c r="H83" s="38">
        <f t="shared" si="12"/>
        <v>160</v>
      </c>
      <c r="I83" s="38">
        <f t="shared" si="13"/>
        <v>5</v>
      </c>
      <c r="J83" s="38"/>
      <c r="K83" s="40">
        <v>43765</v>
      </c>
      <c r="L83" s="41" t="s">
        <v>6614</v>
      </c>
      <c r="M83" s="42">
        <v>43767</v>
      </c>
      <c r="N83" s="43" t="s">
        <v>6615</v>
      </c>
      <c r="O83" s="42">
        <v>43772</v>
      </c>
      <c r="P83" s="45"/>
      <c r="Q83" s="66" t="s">
        <v>4817</v>
      </c>
      <c r="R83" s="66" t="s">
        <v>6692</v>
      </c>
      <c r="S83" s="46"/>
    </row>
    <row r="84" spans="2:20" s="32" customFormat="1" ht="33" customHeight="1">
      <c r="B84" s="46" t="s">
        <v>6683</v>
      </c>
      <c r="C84" s="35" t="s">
        <v>4899</v>
      </c>
      <c r="D84" s="190" t="s">
        <v>6694</v>
      </c>
      <c r="E84" s="37">
        <v>43689</v>
      </c>
      <c r="F84" s="38" t="s">
        <v>218</v>
      </c>
      <c r="G84" s="39">
        <v>3200</v>
      </c>
      <c r="H84" s="38">
        <f t="shared" si="12"/>
        <v>160</v>
      </c>
      <c r="I84" s="38">
        <f t="shared" si="13"/>
        <v>5</v>
      </c>
      <c r="J84" s="38"/>
      <c r="K84" s="40">
        <v>43779</v>
      </c>
      <c r="L84" s="41" t="s">
        <v>6428</v>
      </c>
      <c r="M84" s="42">
        <v>43774</v>
      </c>
      <c r="N84" s="43" t="s">
        <v>6626</v>
      </c>
      <c r="O84" s="42">
        <v>43779</v>
      </c>
      <c r="P84" s="45"/>
      <c r="Q84" s="66" t="s">
        <v>6695</v>
      </c>
      <c r="R84" s="66" t="s">
        <v>211</v>
      </c>
      <c r="S84" s="38"/>
    </row>
    <row r="85" spans="2:20" s="32" customFormat="1" ht="33" customHeight="1">
      <c r="B85" s="46" t="s">
        <v>6683</v>
      </c>
      <c r="C85" s="35" t="s">
        <v>4897</v>
      </c>
      <c r="D85" s="190" t="s">
        <v>6696</v>
      </c>
      <c r="E85" s="37">
        <v>43689</v>
      </c>
      <c r="F85" s="38" t="s">
        <v>218</v>
      </c>
      <c r="G85" s="39">
        <v>3200</v>
      </c>
      <c r="H85" s="38">
        <f t="shared" si="12"/>
        <v>160</v>
      </c>
      <c r="I85" s="38">
        <f t="shared" si="13"/>
        <v>5</v>
      </c>
      <c r="J85" s="38"/>
      <c r="K85" s="40">
        <v>43793</v>
      </c>
      <c r="L85" s="41" t="s">
        <v>5439</v>
      </c>
      <c r="M85" s="42">
        <v>43788</v>
      </c>
      <c r="N85" s="43" t="s">
        <v>6697</v>
      </c>
      <c r="O85" s="42">
        <v>43793</v>
      </c>
      <c r="P85" s="45"/>
      <c r="Q85" s="66" t="s">
        <v>6698</v>
      </c>
      <c r="R85" s="66" t="s">
        <v>211</v>
      </c>
      <c r="S85" s="38"/>
    </row>
    <row r="86" spans="2:20" s="255" customFormat="1" ht="33" customHeight="1">
      <c r="B86" s="256" t="s">
        <v>6683</v>
      </c>
      <c r="C86" s="257" t="s">
        <v>5762</v>
      </c>
      <c r="D86" s="258" t="s">
        <v>6699</v>
      </c>
      <c r="E86" s="37">
        <v>43724</v>
      </c>
      <c r="F86" s="256" t="s">
        <v>218</v>
      </c>
      <c r="G86" s="259">
        <v>3200</v>
      </c>
      <c r="H86" s="256">
        <f t="shared" si="12"/>
        <v>160</v>
      </c>
      <c r="I86" s="256">
        <f t="shared" si="13"/>
        <v>5</v>
      </c>
      <c r="J86" s="256"/>
      <c r="K86" s="260">
        <v>43800</v>
      </c>
      <c r="L86" s="261" t="s">
        <v>6700</v>
      </c>
      <c r="M86" s="262">
        <v>43795</v>
      </c>
      <c r="N86" s="263" t="s">
        <v>6619</v>
      </c>
      <c r="O86" s="262">
        <v>43800</v>
      </c>
      <c r="P86" s="256"/>
      <c r="Q86" s="264"/>
      <c r="R86" s="264" t="s">
        <v>211</v>
      </c>
      <c r="S86" s="256"/>
    </row>
    <row r="87" spans="2:20" s="228" customFormat="1" ht="33" customHeight="1">
      <c r="B87" s="246" t="s">
        <v>6683</v>
      </c>
      <c r="C87" s="247" t="s">
        <v>5761</v>
      </c>
      <c r="D87" s="248" t="s">
        <v>6701</v>
      </c>
      <c r="E87" s="37">
        <v>43724</v>
      </c>
      <c r="F87" s="246" t="s">
        <v>218</v>
      </c>
      <c r="G87" s="249">
        <v>3200</v>
      </c>
      <c r="H87" s="246">
        <f t="shared" si="12"/>
        <v>160</v>
      </c>
      <c r="I87" s="246">
        <f t="shared" si="13"/>
        <v>5</v>
      </c>
      <c r="J87" s="246"/>
      <c r="K87" s="250">
        <v>43814</v>
      </c>
      <c r="L87" s="251" t="s">
        <v>6442</v>
      </c>
      <c r="M87" s="252">
        <v>43809</v>
      </c>
      <c r="N87" s="253" t="s">
        <v>5963</v>
      </c>
      <c r="O87" s="252">
        <v>43814</v>
      </c>
      <c r="P87" s="246"/>
      <c r="Q87" s="254"/>
      <c r="R87" s="254" t="s">
        <v>211</v>
      </c>
      <c r="S87" s="246"/>
    </row>
    <row r="88" spans="2:20" s="32" customFormat="1" ht="33" customHeight="1">
      <c r="B88" s="46" t="s">
        <v>6683</v>
      </c>
      <c r="C88" s="35" t="s">
        <v>5759</v>
      </c>
      <c r="D88" s="190" t="s">
        <v>5758</v>
      </c>
      <c r="E88" s="37">
        <v>43724</v>
      </c>
      <c r="F88" s="38" t="s">
        <v>218</v>
      </c>
      <c r="G88" s="39">
        <v>6400</v>
      </c>
      <c r="H88" s="38">
        <f t="shared" si="12"/>
        <v>320</v>
      </c>
      <c r="I88" s="38">
        <f t="shared" si="13"/>
        <v>10</v>
      </c>
      <c r="J88" s="38"/>
      <c r="K88" s="40">
        <v>43821</v>
      </c>
      <c r="L88" s="41" t="s">
        <v>6702</v>
      </c>
      <c r="M88" s="42">
        <v>43816</v>
      </c>
      <c r="N88" s="43" t="s">
        <v>6703</v>
      </c>
      <c r="O88" s="42">
        <v>43821</v>
      </c>
      <c r="P88" s="45"/>
      <c r="Q88" s="66"/>
      <c r="R88" s="66" t="s">
        <v>211</v>
      </c>
      <c r="S88" s="38"/>
      <c r="T88" s="32" t="s">
        <v>6457</v>
      </c>
    </row>
    <row r="89" spans="2:20" s="32" customFormat="1" ht="33" customHeight="1">
      <c r="B89" s="46" t="s">
        <v>6374</v>
      </c>
      <c r="C89" s="35" t="s">
        <v>6189</v>
      </c>
      <c r="D89" s="190" t="s">
        <v>6704</v>
      </c>
      <c r="E89" s="37">
        <v>43728</v>
      </c>
      <c r="F89" s="38" t="s">
        <v>218</v>
      </c>
      <c r="G89" s="39">
        <v>3200</v>
      </c>
      <c r="H89" s="38">
        <f t="shared" si="12"/>
        <v>160</v>
      </c>
      <c r="I89" s="38">
        <f t="shared" si="13"/>
        <v>5</v>
      </c>
      <c r="J89" s="38"/>
      <c r="K89" s="40">
        <v>43828</v>
      </c>
      <c r="L89" s="41" t="s">
        <v>6705</v>
      </c>
      <c r="M89" s="42">
        <v>43823</v>
      </c>
      <c r="N89" s="43" t="s">
        <v>6706</v>
      </c>
      <c r="O89" s="42">
        <v>43828</v>
      </c>
      <c r="P89" s="45"/>
      <c r="Q89" s="66"/>
      <c r="R89" s="66" t="s">
        <v>211</v>
      </c>
      <c r="S89" s="38"/>
    </row>
    <row r="90" spans="2:20" s="228" customFormat="1" ht="33" customHeight="1">
      <c r="B90" s="229" t="s">
        <v>6374</v>
      </c>
      <c r="C90" s="230" t="s">
        <v>6707</v>
      </c>
      <c r="D90" s="231" t="s">
        <v>6708</v>
      </c>
      <c r="E90" s="128">
        <v>43752</v>
      </c>
      <c r="F90" s="229" t="s">
        <v>218</v>
      </c>
      <c r="G90" s="232">
        <v>3200</v>
      </c>
      <c r="H90" s="229">
        <f t="shared" si="12"/>
        <v>160</v>
      </c>
      <c r="I90" s="229">
        <f t="shared" si="13"/>
        <v>5</v>
      </c>
      <c r="J90" s="229"/>
      <c r="K90" s="233">
        <v>43849</v>
      </c>
      <c r="L90" s="231" t="s">
        <v>6790</v>
      </c>
      <c r="M90" s="234">
        <v>43479</v>
      </c>
      <c r="N90" s="235" t="s">
        <v>6780</v>
      </c>
      <c r="O90" s="234">
        <v>43484</v>
      </c>
      <c r="P90" s="229"/>
      <c r="Q90" s="236"/>
      <c r="R90" s="236" t="s">
        <v>211</v>
      </c>
      <c r="S90" s="229"/>
    </row>
    <row r="91" spans="2:20" s="32" customFormat="1" ht="33" customHeight="1">
      <c r="B91" s="122" t="s">
        <v>6374</v>
      </c>
      <c r="C91" s="126" t="s">
        <v>6709</v>
      </c>
      <c r="D91" s="127" t="s">
        <v>6797</v>
      </c>
      <c r="E91" s="128">
        <v>43752</v>
      </c>
      <c r="F91" s="124" t="s">
        <v>218</v>
      </c>
      <c r="G91" s="129">
        <v>3200</v>
      </c>
      <c r="H91" s="124">
        <f t="shared" si="12"/>
        <v>160</v>
      </c>
      <c r="I91" s="124">
        <f t="shared" si="13"/>
        <v>5</v>
      </c>
      <c r="J91" s="124"/>
      <c r="K91" s="130">
        <v>43856</v>
      </c>
      <c r="L91" s="119" t="s">
        <v>6792</v>
      </c>
      <c r="M91" s="120">
        <v>43486</v>
      </c>
      <c r="N91" s="121" t="s">
        <v>6781</v>
      </c>
      <c r="O91" s="120">
        <v>43491</v>
      </c>
      <c r="P91" s="123"/>
      <c r="Q91" s="134"/>
      <c r="R91" s="134" t="s">
        <v>211</v>
      </c>
      <c r="S91" s="124"/>
    </row>
    <row r="92" spans="2:20" s="237" customFormat="1" ht="33" customHeight="1">
      <c r="B92" s="238" t="s">
        <v>6374</v>
      </c>
      <c r="C92" s="239" t="s">
        <v>6806</v>
      </c>
      <c r="D92" s="240"/>
      <c r="E92" s="106">
        <v>43756</v>
      </c>
      <c r="F92" s="238" t="s">
        <v>218</v>
      </c>
      <c r="G92" s="241">
        <v>3200</v>
      </c>
      <c r="H92" s="238">
        <f t="shared" si="12"/>
        <v>160</v>
      </c>
      <c r="I92" s="238">
        <f t="shared" si="13"/>
        <v>5</v>
      </c>
      <c r="J92" s="238"/>
      <c r="K92" s="242">
        <v>43477</v>
      </c>
      <c r="L92" s="240"/>
      <c r="M92" s="243"/>
      <c r="N92" s="244"/>
      <c r="O92" s="243"/>
      <c r="P92" s="238"/>
      <c r="Q92" s="245"/>
      <c r="R92" s="245" t="s">
        <v>211</v>
      </c>
      <c r="S92" s="238"/>
    </row>
    <row r="93" spans="2:20" s="34" customFormat="1" ht="33" hidden="1" customHeight="1">
      <c r="B93" s="47" t="s">
        <v>5451</v>
      </c>
      <c r="C93" s="48" t="s">
        <v>2088</v>
      </c>
      <c r="D93" s="49" t="s">
        <v>6711</v>
      </c>
      <c r="E93" s="50">
        <v>43595</v>
      </c>
      <c r="F93" s="52" t="s">
        <v>6712</v>
      </c>
      <c r="G93" s="51">
        <v>640</v>
      </c>
      <c r="H93" s="52">
        <f t="shared" si="12"/>
        <v>32</v>
      </c>
      <c r="I93" s="52">
        <f t="shared" si="13"/>
        <v>1</v>
      </c>
      <c r="J93" s="52"/>
      <c r="K93" s="53">
        <v>43709</v>
      </c>
      <c r="L93" s="54" t="s">
        <v>6444</v>
      </c>
      <c r="M93" s="55">
        <v>43711</v>
      </c>
      <c r="N93" s="56" t="s">
        <v>6713</v>
      </c>
      <c r="O93" s="55">
        <v>43716</v>
      </c>
      <c r="P93" s="58"/>
      <c r="Q93" s="63" t="s">
        <v>2548</v>
      </c>
      <c r="R93" s="63" t="s">
        <v>211</v>
      </c>
      <c r="S93" s="47" t="s">
        <v>6714</v>
      </c>
    </row>
    <row r="94" spans="2:20" s="34" customFormat="1" ht="33" hidden="1" customHeight="1">
      <c r="B94" s="47" t="s">
        <v>6715</v>
      </c>
      <c r="C94" s="48" t="s">
        <v>208</v>
      </c>
      <c r="D94" s="199" t="s">
        <v>6716</v>
      </c>
      <c r="E94" s="50">
        <v>43602</v>
      </c>
      <c r="F94" s="52" t="s">
        <v>6712</v>
      </c>
      <c r="G94" s="51">
        <v>640</v>
      </c>
      <c r="H94" s="52">
        <f t="shared" si="12"/>
        <v>32</v>
      </c>
      <c r="I94" s="52">
        <f t="shared" si="13"/>
        <v>1</v>
      </c>
      <c r="J94" s="52"/>
      <c r="K94" s="214">
        <v>43737</v>
      </c>
      <c r="L94" s="54" t="s">
        <v>5462</v>
      </c>
      <c r="M94" s="55">
        <v>43725</v>
      </c>
      <c r="N94" s="56" t="s">
        <v>5463</v>
      </c>
      <c r="O94" s="55">
        <v>43730</v>
      </c>
      <c r="P94" s="58"/>
      <c r="Q94" s="63" t="s">
        <v>6717</v>
      </c>
      <c r="R94" s="63" t="s">
        <v>211</v>
      </c>
      <c r="S94" s="52" t="s">
        <v>5467</v>
      </c>
    </row>
    <row r="95" spans="2:20" s="34" customFormat="1" ht="33" hidden="1" customHeight="1">
      <c r="B95" s="47" t="s">
        <v>5451</v>
      </c>
      <c r="C95" s="48" t="s">
        <v>6718</v>
      </c>
      <c r="D95" s="199" t="s">
        <v>6719</v>
      </c>
      <c r="E95" s="50">
        <v>43693</v>
      </c>
      <c r="F95" s="52" t="s">
        <v>6712</v>
      </c>
      <c r="G95" s="51">
        <v>640</v>
      </c>
      <c r="H95" s="52">
        <f t="shared" si="12"/>
        <v>32</v>
      </c>
      <c r="I95" s="52">
        <f t="shared" si="13"/>
        <v>1</v>
      </c>
      <c r="J95" s="52"/>
      <c r="K95" s="214">
        <v>43737</v>
      </c>
      <c r="L95" s="54" t="s">
        <v>5462</v>
      </c>
      <c r="M95" s="55">
        <v>43725</v>
      </c>
      <c r="N95" s="56" t="s">
        <v>5463</v>
      </c>
      <c r="O95" s="55">
        <v>43730</v>
      </c>
      <c r="P95" s="58"/>
      <c r="Q95" s="63" t="s">
        <v>6717</v>
      </c>
      <c r="R95" s="63" t="s">
        <v>211</v>
      </c>
      <c r="S95" s="52" t="s">
        <v>6720</v>
      </c>
    </row>
    <row r="96" spans="2:20" s="34" customFormat="1" ht="33" hidden="1" customHeight="1">
      <c r="B96" s="47" t="s">
        <v>5451</v>
      </c>
      <c r="C96" s="48" t="s">
        <v>212</v>
      </c>
      <c r="D96" s="199" t="s">
        <v>6721</v>
      </c>
      <c r="E96" s="50">
        <v>43602</v>
      </c>
      <c r="F96" s="52" t="s">
        <v>6712</v>
      </c>
      <c r="G96" s="51">
        <v>640</v>
      </c>
      <c r="H96" s="52">
        <f t="shared" si="12"/>
        <v>32</v>
      </c>
      <c r="I96" s="52">
        <f t="shared" si="13"/>
        <v>1</v>
      </c>
      <c r="J96" s="52"/>
      <c r="K96" s="53">
        <v>43779</v>
      </c>
      <c r="L96" s="54" t="s">
        <v>6722</v>
      </c>
      <c r="M96" s="55">
        <v>43753</v>
      </c>
      <c r="N96" s="56" t="s">
        <v>6637</v>
      </c>
      <c r="O96" s="55">
        <v>43758</v>
      </c>
      <c r="P96" s="58"/>
      <c r="Q96" s="52" t="s">
        <v>4823</v>
      </c>
      <c r="R96" s="63" t="s">
        <v>211</v>
      </c>
      <c r="S96" s="47"/>
    </row>
    <row r="97" spans="2:20" s="32" customFormat="1" ht="33" hidden="1" customHeight="1">
      <c r="B97" s="46" t="s">
        <v>5451</v>
      </c>
      <c r="C97" s="35" t="s">
        <v>2531</v>
      </c>
      <c r="D97" s="190" t="s">
        <v>4426</v>
      </c>
      <c r="E97" s="37">
        <v>43665</v>
      </c>
      <c r="F97" s="38" t="s">
        <v>6712</v>
      </c>
      <c r="G97" s="39">
        <v>1920</v>
      </c>
      <c r="H97" s="38">
        <f t="shared" si="12"/>
        <v>96</v>
      </c>
      <c r="I97" s="38">
        <f t="shared" si="13"/>
        <v>3</v>
      </c>
      <c r="J97" s="38"/>
      <c r="K97" s="40">
        <v>43745</v>
      </c>
      <c r="L97" s="41" t="s">
        <v>4481</v>
      </c>
      <c r="M97" s="42">
        <v>43742</v>
      </c>
      <c r="N97" s="43" t="s">
        <v>6723</v>
      </c>
      <c r="O97" s="42">
        <v>43746</v>
      </c>
      <c r="P97" s="45"/>
      <c r="Q97" s="66" t="s">
        <v>6691</v>
      </c>
      <c r="R97" s="66" t="s">
        <v>211</v>
      </c>
      <c r="S97" s="38"/>
    </row>
    <row r="98" spans="2:20" s="32" customFormat="1" ht="33" hidden="1" customHeight="1">
      <c r="B98" s="46" t="s">
        <v>5451</v>
      </c>
      <c r="C98" s="35" t="s">
        <v>5417</v>
      </c>
      <c r="D98" s="190" t="s">
        <v>6724</v>
      </c>
      <c r="E98" s="37">
        <v>43700</v>
      </c>
      <c r="F98" s="38" t="s">
        <v>6712</v>
      </c>
      <c r="G98" s="39">
        <v>640</v>
      </c>
      <c r="H98" s="38">
        <f t="shared" si="12"/>
        <v>32</v>
      </c>
      <c r="I98" s="38">
        <f t="shared" si="13"/>
        <v>1</v>
      </c>
      <c r="J98" s="38"/>
      <c r="K98" s="40">
        <v>43758</v>
      </c>
      <c r="L98" s="41" t="s">
        <v>6725</v>
      </c>
      <c r="M98" s="42">
        <v>43746</v>
      </c>
      <c r="N98" s="43" t="s">
        <v>6690</v>
      </c>
      <c r="O98" s="42">
        <v>43751</v>
      </c>
      <c r="P98" s="45"/>
      <c r="Q98" s="38" t="s">
        <v>6726</v>
      </c>
      <c r="R98" s="66" t="s">
        <v>211</v>
      </c>
      <c r="S98" s="46"/>
    </row>
    <row r="99" spans="2:20" s="32" customFormat="1" ht="33" hidden="1" customHeight="1">
      <c r="B99" s="46" t="s">
        <v>5451</v>
      </c>
      <c r="C99" s="35" t="s">
        <v>6727</v>
      </c>
      <c r="D99" s="190" t="s">
        <v>6728</v>
      </c>
      <c r="E99" s="37">
        <v>43735</v>
      </c>
      <c r="F99" s="38" t="s">
        <v>6712</v>
      </c>
      <c r="G99" s="39">
        <v>640</v>
      </c>
      <c r="H99" s="38">
        <f t="shared" si="12"/>
        <v>32</v>
      </c>
      <c r="I99" s="38">
        <f t="shared" si="13"/>
        <v>1</v>
      </c>
      <c r="J99" s="38"/>
      <c r="K99" s="40">
        <v>43758</v>
      </c>
      <c r="L99" s="41" t="s">
        <v>6722</v>
      </c>
      <c r="M99" s="42">
        <v>43753</v>
      </c>
      <c r="N99" s="43" t="s">
        <v>6637</v>
      </c>
      <c r="O99" s="42">
        <v>43758</v>
      </c>
      <c r="P99" s="45"/>
      <c r="Q99" s="38"/>
      <c r="R99" s="66" t="s">
        <v>211</v>
      </c>
      <c r="S99" s="46"/>
    </row>
    <row r="100" spans="2:20" s="32" customFormat="1" ht="33" hidden="1" customHeight="1">
      <c r="B100" s="46" t="s">
        <v>6715</v>
      </c>
      <c r="C100" s="35" t="s">
        <v>5418</v>
      </c>
      <c r="D100" s="190" t="s">
        <v>6729</v>
      </c>
      <c r="E100" s="37">
        <v>43700</v>
      </c>
      <c r="F100" s="38" t="s">
        <v>6712</v>
      </c>
      <c r="G100" s="39">
        <v>1280</v>
      </c>
      <c r="H100" s="38">
        <f t="shared" si="12"/>
        <v>64</v>
      </c>
      <c r="I100" s="38">
        <f t="shared" si="13"/>
        <v>2</v>
      </c>
      <c r="J100" s="38"/>
      <c r="K100" s="40">
        <v>43772</v>
      </c>
      <c r="L100" s="41" t="s">
        <v>6614</v>
      </c>
      <c r="M100" s="42">
        <v>43767</v>
      </c>
      <c r="N100" s="43" t="s">
        <v>6432</v>
      </c>
      <c r="O100" s="42">
        <v>43772</v>
      </c>
      <c r="P100" s="45"/>
      <c r="Q100" s="38" t="s">
        <v>6730</v>
      </c>
      <c r="R100" s="66" t="s">
        <v>211</v>
      </c>
      <c r="S100" s="38"/>
    </row>
    <row r="101" spans="2:20" s="32" customFormat="1" ht="33" hidden="1" customHeight="1">
      <c r="B101" s="46" t="s">
        <v>5451</v>
      </c>
      <c r="C101" s="35" t="s">
        <v>6731</v>
      </c>
      <c r="D101" s="190" t="s">
        <v>6732</v>
      </c>
      <c r="E101" s="37">
        <v>43742</v>
      </c>
      <c r="F101" s="38" t="s">
        <v>6712</v>
      </c>
      <c r="G101" s="39">
        <v>640</v>
      </c>
      <c r="H101" s="38">
        <f t="shared" si="12"/>
        <v>32</v>
      </c>
      <c r="I101" s="38">
        <f t="shared" si="13"/>
        <v>1</v>
      </c>
      <c r="J101" s="38"/>
      <c r="K101" s="40">
        <v>43772</v>
      </c>
      <c r="L101" s="41" t="s">
        <v>6614</v>
      </c>
      <c r="M101" s="42">
        <v>43767</v>
      </c>
      <c r="N101" s="43" t="s">
        <v>6432</v>
      </c>
      <c r="O101" s="42">
        <v>43772</v>
      </c>
      <c r="P101" s="45"/>
      <c r="Q101" s="38"/>
      <c r="R101" s="66" t="s">
        <v>211</v>
      </c>
      <c r="S101" s="38"/>
    </row>
    <row r="102" spans="2:20" s="32" customFormat="1" ht="33" hidden="1" customHeight="1">
      <c r="B102" s="46" t="s">
        <v>5451</v>
      </c>
      <c r="C102" s="35" t="s">
        <v>6733</v>
      </c>
      <c r="D102" s="190" t="s">
        <v>5735</v>
      </c>
      <c r="E102" s="37">
        <v>43724</v>
      </c>
      <c r="F102" s="38" t="s">
        <v>5734</v>
      </c>
      <c r="G102" s="39">
        <v>1280</v>
      </c>
      <c r="H102" s="38">
        <f>SUM(G102/20)</f>
        <v>64</v>
      </c>
      <c r="I102" s="38">
        <f>SUM(H102/32)</f>
        <v>2</v>
      </c>
      <c r="J102" s="38"/>
      <c r="K102" s="211">
        <v>43779</v>
      </c>
      <c r="L102" s="41" t="s">
        <v>6734</v>
      </c>
      <c r="M102" s="204">
        <v>43774</v>
      </c>
      <c r="N102" s="205" t="s">
        <v>6798</v>
      </c>
      <c r="O102" s="204">
        <v>43779</v>
      </c>
      <c r="P102" s="45" t="s">
        <v>6799</v>
      </c>
      <c r="Q102" s="38"/>
      <c r="R102" s="66" t="s">
        <v>211</v>
      </c>
      <c r="S102" s="38"/>
      <c r="T102" s="32" t="s">
        <v>6457</v>
      </c>
    </row>
    <row r="103" spans="2:20" s="32" customFormat="1" ht="33" hidden="1" customHeight="1">
      <c r="B103" s="46" t="s">
        <v>5451</v>
      </c>
      <c r="C103" s="35" t="s">
        <v>6735</v>
      </c>
      <c r="D103" s="190" t="s">
        <v>6736</v>
      </c>
      <c r="E103" s="37">
        <v>43735</v>
      </c>
      <c r="F103" s="38" t="s">
        <v>6712</v>
      </c>
      <c r="G103" s="39">
        <v>640</v>
      </c>
      <c r="H103" s="38">
        <f t="shared" ref="H103:H110" si="14">SUM(G103/20)</f>
        <v>32</v>
      </c>
      <c r="I103" s="38">
        <f t="shared" ref="I103:I110" si="15">SUM(H103/32)</f>
        <v>1</v>
      </c>
      <c r="J103" s="38"/>
      <c r="K103" s="40">
        <v>43779</v>
      </c>
      <c r="L103" s="41" t="s">
        <v>6734</v>
      </c>
      <c r="M103" s="42">
        <v>43781</v>
      </c>
      <c r="N103" s="43" t="s">
        <v>6433</v>
      </c>
      <c r="O103" s="42">
        <v>43786</v>
      </c>
      <c r="P103" s="45"/>
      <c r="Q103" s="38"/>
      <c r="R103" s="66" t="s">
        <v>211</v>
      </c>
      <c r="S103" s="38"/>
    </row>
    <row r="104" spans="2:20" s="32" customFormat="1" ht="33" hidden="1" customHeight="1">
      <c r="B104" s="46" t="s">
        <v>5451</v>
      </c>
      <c r="C104" s="35" t="s">
        <v>225</v>
      </c>
      <c r="D104" s="190" t="s">
        <v>6737</v>
      </c>
      <c r="E104" s="37">
        <v>43728</v>
      </c>
      <c r="F104" s="38" t="s">
        <v>5734</v>
      </c>
      <c r="G104" s="39">
        <v>1280</v>
      </c>
      <c r="H104" s="38">
        <f t="shared" si="14"/>
        <v>64</v>
      </c>
      <c r="I104" s="38">
        <f t="shared" si="15"/>
        <v>2</v>
      </c>
      <c r="J104" s="38"/>
      <c r="K104" s="40">
        <v>43786</v>
      </c>
      <c r="L104" s="41" t="s">
        <v>6734</v>
      </c>
      <c r="M104" s="42">
        <v>43781</v>
      </c>
      <c r="N104" s="43" t="s">
        <v>6433</v>
      </c>
      <c r="O104" s="42">
        <v>43786</v>
      </c>
      <c r="P104" s="45"/>
      <c r="Q104" s="38"/>
      <c r="R104" s="66" t="s">
        <v>211</v>
      </c>
      <c r="S104" s="38"/>
    </row>
    <row r="105" spans="2:20" s="32" customFormat="1" ht="33" hidden="1" customHeight="1">
      <c r="B105" s="46" t="s">
        <v>5451</v>
      </c>
      <c r="C105" s="35" t="s">
        <v>226</v>
      </c>
      <c r="D105" s="190" t="s">
        <v>6738</v>
      </c>
      <c r="E105" s="37">
        <v>43742</v>
      </c>
      <c r="F105" s="38" t="s">
        <v>6712</v>
      </c>
      <c r="G105" s="39">
        <v>3200</v>
      </c>
      <c r="H105" s="38">
        <f t="shared" si="14"/>
        <v>160</v>
      </c>
      <c r="I105" s="38">
        <f t="shared" si="15"/>
        <v>5</v>
      </c>
      <c r="J105" s="38"/>
      <c r="K105" s="40">
        <v>43808</v>
      </c>
      <c r="L105" s="41" t="s">
        <v>6739</v>
      </c>
      <c r="M105" s="42">
        <v>43802</v>
      </c>
      <c r="N105" s="43" t="s">
        <v>6740</v>
      </c>
      <c r="O105" s="42">
        <v>43807</v>
      </c>
      <c r="P105" s="45"/>
      <c r="Q105" s="38"/>
      <c r="R105" s="66" t="s">
        <v>211</v>
      </c>
      <c r="S105" s="38"/>
    </row>
    <row r="106" spans="2:20" s="32" customFormat="1" ht="33" hidden="1" customHeight="1">
      <c r="B106" s="46" t="s">
        <v>5451</v>
      </c>
      <c r="C106" s="35" t="s">
        <v>233</v>
      </c>
      <c r="D106" s="190" t="s">
        <v>6475</v>
      </c>
      <c r="E106" s="37">
        <v>43742</v>
      </c>
      <c r="F106" s="38" t="s">
        <v>6712</v>
      </c>
      <c r="G106" s="39">
        <v>1920</v>
      </c>
      <c r="H106" s="38">
        <f t="shared" si="14"/>
        <v>96</v>
      </c>
      <c r="I106" s="38">
        <f t="shared" si="15"/>
        <v>3</v>
      </c>
      <c r="J106" s="38"/>
      <c r="K106" s="40">
        <v>43821</v>
      </c>
      <c r="L106" s="41" t="s">
        <v>6702</v>
      </c>
      <c r="M106" s="42">
        <v>43816</v>
      </c>
      <c r="N106" s="43" t="s">
        <v>6703</v>
      </c>
      <c r="O106" s="42">
        <v>43821</v>
      </c>
      <c r="P106" s="45"/>
      <c r="Q106" s="38"/>
      <c r="R106" s="66" t="s">
        <v>211</v>
      </c>
      <c r="S106" s="38"/>
    </row>
    <row r="107" spans="2:20" s="32" customFormat="1" ht="33" hidden="1" customHeight="1">
      <c r="B107" s="122" t="s">
        <v>5451</v>
      </c>
      <c r="C107" s="126" t="s">
        <v>285</v>
      </c>
      <c r="D107" s="127" t="s">
        <v>6741</v>
      </c>
      <c r="E107" s="128">
        <v>43752</v>
      </c>
      <c r="F107" s="124" t="s">
        <v>6712</v>
      </c>
      <c r="G107" s="129">
        <v>1920</v>
      </c>
      <c r="H107" s="124">
        <f t="shared" si="14"/>
        <v>96</v>
      </c>
      <c r="I107" s="124">
        <f t="shared" si="15"/>
        <v>3</v>
      </c>
      <c r="J107" s="124"/>
      <c r="K107" s="130">
        <v>43842</v>
      </c>
      <c r="L107" s="119" t="s">
        <v>6778</v>
      </c>
      <c r="M107" s="120">
        <v>43472</v>
      </c>
      <c r="N107" s="121" t="s">
        <v>6775</v>
      </c>
      <c r="O107" s="120">
        <v>43477</v>
      </c>
      <c r="P107" s="123"/>
      <c r="Q107" s="124"/>
      <c r="R107" s="134" t="s">
        <v>211</v>
      </c>
      <c r="S107" s="124"/>
    </row>
    <row r="108" spans="2:20" s="153" customFormat="1" ht="33" hidden="1" customHeight="1">
      <c r="B108" s="103" t="s">
        <v>5451</v>
      </c>
      <c r="C108" s="104" t="s">
        <v>6807</v>
      </c>
      <c r="D108" s="105"/>
      <c r="E108" s="106">
        <v>43756</v>
      </c>
      <c r="F108" s="107" t="s">
        <v>6808</v>
      </c>
      <c r="G108" s="108">
        <v>1280</v>
      </c>
      <c r="H108" s="107">
        <f t="shared" si="14"/>
        <v>64</v>
      </c>
      <c r="I108" s="107">
        <f t="shared" si="15"/>
        <v>2</v>
      </c>
      <c r="J108" s="107"/>
      <c r="K108" s="109">
        <v>43842</v>
      </c>
      <c r="L108" s="110"/>
      <c r="M108" s="111"/>
      <c r="N108" s="112"/>
      <c r="O108" s="111"/>
      <c r="P108" s="113"/>
      <c r="Q108" s="107"/>
      <c r="R108" s="116" t="s">
        <v>211</v>
      </c>
      <c r="S108" s="107"/>
    </row>
    <row r="109" spans="2:20" s="32" customFormat="1" ht="33" hidden="1" customHeight="1">
      <c r="B109" s="122" t="s">
        <v>5451</v>
      </c>
      <c r="C109" s="126" t="s">
        <v>331</v>
      </c>
      <c r="D109" s="127" t="s">
        <v>6796</v>
      </c>
      <c r="E109" s="128">
        <v>43752</v>
      </c>
      <c r="F109" s="124" t="s">
        <v>6712</v>
      </c>
      <c r="G109" s="129">
        <v>2560</v>
      </c>
      <c r="H109" s="124">
        <f t="shared" si="14"/>
        <v>128</v>
      </c>
      <c r="I109" s="124">
        <f t="shared" si="15"/>
        <v>4</v>
      </c>
      <c r="J109" s="124"/>
      <c r="K109" s="130">
        <v>43856</v>
      </c>
      <c r="L109" s="119" t="s">
        <v>6791</v>
      </c>
      <c r="M109" s="120">
        <v>43486</v>
      </c>
      <c r="N109" s="121" t="s">
        <v>6781</v>
      </c>
      <c r="O109" s="120">
        <v>43491</v>
      </c>
      <c r="P109" s="123"/>
      <c r="Q109" s="124"/>
      <c r="R109" s="134" t="s">
        <v>211</v>
      </c>
      <c r="S109" s="124"/>
    </row>
    <row r="110" spans="2:20" s="153" customFormat="1" ht="33" hidden="1" customHeight="1">
      <c r="B110" s="103" t="s">
        <v>5451</v>
      </c>
      <c r="C110" s="104" t="s">
        <v>6809</v>
      </c>
      <c r="D110" s="105"/>
      <c r="E110" s="106">
        <v>43756</v>
      </c>
      <c r="F110" s="107" t="s">
        <v>6808</v>
      </c>
      <c r="G110" s="108">
        <v>640</v>
      </c>
      <c r="H110" s="107">
        <f t="shared" si="14"/>
        <v>32</v>
      </c>
      <c r="I110" s="107">
        <f t="shared" si="15"/>
        <v>1</v>
      </c>
      <c r="J110" s="107"/>
      <c r="K110" s="109">
        <v>43856</v>
      </c>
      <c r="L110" s="110"/>
      <c r="M110" s="111"/>
      <c r="N110" s="112"/>
      <c r="O110" s="111"/>
      <c r="P110" s="113"/>
      <c r="Q110" s="107"/>
      <c r="R110" s="116" t="s">
        <v>211</v>
      </c>
      <c r="S110" s="107"/>
    </row>
    <row r="111" spans="2:20" s="33" customFormat="1" ht="33" hidden="1" customHeight="1">
      <c r="B111" s="47" t="s">
        <v>2514</v>
      </c>
      <c r="C111" s="48" t="s">
        <v>6743</v>
      </c>
      <c r="D111" s="49" t="s">
        <v>6744</v>
      </c>
      <c r="E111" s="50">
        <v>43602</v>
      </c>
      <c r="F111" s="52" t="s">
        <v>2516</v>
      </c>
      <c r="G111" s="51">
        <v>1520</v>
      </c>
      <c r="H111" s="52">
        <v>8</v>
      </c>
      <c r="I111" s="52">
        <v>2</v>
      </c>
      <c r="J111" s="52"/>
      <c r="K111" s="53">
        <v>43702</v>
      </c>
      <c r="L111" s="54" t="s">
        <v>6745</v>
      </c>
      <c r="M111" s="55">
        <v>43697</v>
      </c>
      <c r="N111" s="56" t="s">
        <v>6686</v>
      </c>
      <c r="O111" s="55">
        <v>43702</v>
      </c>
      <c r="P111" s="58"/>
      <c r="Q111" s="52"/>
      <c r="R111" s="63" t="s">
        <v>6746</v>
      </c>
      <c r="S111" s="47"/>
    </row>
    <row r="112" spans="2:20" s="30" customFormat="1" ht="33" hidden="1" customHeight="1">
      <c r="B112" s="46" t="s">
        <v>2514</v>
      </c>
      <c r="C112" s="35" t="s">
        <v>285</v>
      </c>
      <c r="D112" s="36" t="s">
        <v>4436</v>
      </c>
      <c r="E112" s="37">
        <v>43665</v>
      </c>
      <c r="F112" s="38" t="s">
        <v>2516</v>
      </c>
      <c r="G112" s="39">
        <v>1520</v>
      </c>
      <c r="H112" s="38">
        <v>8</v>
      </c>
      <c r="I112" s="38">
        <v>2</v>
      </c>
      <c r="J112" s="38"/>
      <c r="K112" s="40">
        <v>43758</v>
      </c>
      <c r="L112" s="41" t="s">
        <v>6747</v>
      </c>
      <c r="M112" s="42">
        <v>43759</v>
      </c>
      <c r="N112" s="43" t="s">
        <v>4549</v>
      </c>
      <c r="O112" s="42">
        <v>43765</v>
      </c>
      <c r="P112" s="45"/>
      <c r="Q112" s="38"/>
      <c r="R112" s="66" t="s">
        <v>6748</v>
      </c>
      <c r="S112" s="46" t="s">
        <v>6794</v>
      </c>
    </row>
    <row r="113" spans="2:19" s="30" customFormat="1" ht="33" hidden="1" customHeight="1">
      <c r="B113" s="46" t="s">
        <v>6793</v>
      </c>
      <c r="C113" s="35" t="s">
        <v>331</v>
      </c>
      <c r="D113" s="36" t="s">
        <v>4864</v>
      </c>
      <c r="E113" s="37">
        <v>43689</v>
      </c>
      <c r="F113" s="38" t="s">
        <v>2516</v>
      </c>
      <c r="G113" s="39">
        <v>1520</v>
      </c>
      <c r="H113" s="38">
        <v>8</v>
      </c>
      <c r="I113" s="38">
        <v>2</v>
      </c>
      <c r="J113" s="38"/>
      <c r="K113" s="109">
        <v>43822</v>
      </c>
      <c r="L113" s="41" t="s">
        <v>6749</v>
      </c>
      <c r="M113" s="42">
        <v>43795</v>
      </c>
      <c r="N113" s="43" t="s">
        <v>6619</v>
      </c>
      <c r="O113" s="42">
        <v>43800</v>
      </c>
      <c r="P113" s="45"/>
      <c r="Q113" s="38"/>
      <c r="R113" s="116" t="s">
        <v>6810</v>
      </c>
      <c r="S113" s="46"/>
    </row>
    <row r="114" spans="2:19" s="30" customFormat="1" ht="33" hidden="1" customHeight="1">
      <c r="B114" s="46" t="s">
        <v>6751</v>
      </c>
      <c r="C114" s="35" t="s">
        <v>431</v>
      </c>
      <c r="D114" s="36" t="s">
        <v>6752</v>
      </c>
      <c r="E114" s="37">
        <v>43637</v>
      </c>
      <c r="F114" s="38" t="s">
        <v>236</v>
      </c>
      <c r="G114" s="39">
        <v>3200</v>
      </c>
      <c r="H114" s="38">
        <f t="shared" ref="H114:H119" si="16">SUM(G114/200)</f>
        <v>16</v>
      </c>
      <c r="I114" s="38">
        <f t="shared" ref="I114:I119" si="17">SUM(H114/4)</f>
        <v>4</v>
      </c>
      <c r="J114" s="38"/>
      <c r="K114" s="40">
        <v>43730</v>
      </c>
      <c r="L114" s="41" t="s">
        <v>6753</v>
      </c>
      <c r="M114" s="42">
        <v>43725</v>
      </c>
      <c r="N114" s="43" t="s">
        <v>6662</v>
      </c>
      <c r="O114" s="42">
        <v>43730</v>
      </c>
      <c r="P114" s="45"/>
      <c r="Q114" s="38"/>
      <c r="R114" s="66"/>
      <c r="S114" s="46"/>
    </row>
    <row r="115" spans="2:19" s="30" customFormat="1" ht="33" hidden="1" customHeight="1">
      <c r="B115" s="46" t="s">
        <v>6751</v>
      </c>
      <c r="C115" s="35" t="s">
        <v>523</v>
      </c>
      <c r="D115" s="36" t="s">
        <v>4452</v>
      </c>
      <c r="E115" s="37">
        <v>43665</v>
      </c>
      <c r="F115" s="38" t="s">
        <v>236</v>
      </c>
      <c r="G115" s="39">
        <v>3200</v>
      </c>
      <c r="H115" s="218">
        <v>12</v>
      </c>
      <c r="I115" s="218">
        <v>3</v>
      </c>
      <c r="J115" s="38"/>
      <c r="K115" s="40">
        <v>43751</v>
      </c>
      <c r="L115" s="41" t="s">
        <v>6754</v>
      </c>
      <c r="M115" s="42">
        <v>43746</v>
      </c>
      <c r="N115" s="43" t="s">
        <v>6690</v>
      </c>
      <c r="O115" s="42">
        <v>43751</v>
      </c>
      <c r="P115" s="45" t="s">
        <v>6801</v>
      </c>
      <c r="Q115" s="38" t="s">
        <v>6755</v>
      </c>
      <c r="R115" s="66"/>
      <c r="S115" s="46"/>
    </row>
    <row r="116" spans="2:19" s="30" customFormat="1" ht="33" hidden="1" customHeight="1">
      <c r="B116" s="46" t="s">
        <v>6751</v>
      </c>
      <c r="C116" s="35" t="s">
        <v>589</v>
      </c>
      <c r="D116" s="36" t="s">
        <v>4835</v>
      </c>
      <c r="E116" s="37">
        <v>43689</v>
      </c>
      <c r="F116" s="38" t="s">
        <v>236</v>
      </c>
      <c r="G116" s="39">
        <v>2400</v>
      </c>
      <c r="H116" s="38">
        <v>16</v>
      </c>
      <c r="I116" s="38">
        <f t="shared" si="17"/>
        <v>4</v>
      </c>
      <c r="J116" s="38"/>
      <c r="K116" s="40">
        <v>43793</v>
      </c>
      <c r="L116" s="41" t="s">
        <v>6756</v>
      </c>
      <c r="M116" s="204">
        <v>43774</v>
      </c>
      <c r="N116" s="205" t="s">
        <v>6802</v>
      </c>
      <c r="O116" s="204">
        <v>43779</v>
      </c>
      <c r="P116" s="45" t="s">
        <v>6803</v>
      </c>
      <c r="Q116" s="38"/>
      <c r="R116" s="66" t="s">
        <v>6757</v>
      </c>
      <c r="S116" s="46"/>
    </row>
    <row r="117" spans="2:19" s="30" customFormat="1" ht="33" hidden="1" customHeight="1">
      <c r="B117" s="46" t="s">
        <v>6751</v>
      </c>
      <c r="C117" s="35" t="s">
        <v>2078</v>
      </c>
      <c r="D117" s="36" t="s">
        <v>5711</v>
      </c>
      <c r="E117" s="37">
        <v>43724</v>
      </c>
      <c r="F117" s="38" t="s">
        <v>236</v>
      </c>
      <c r="G117" s="39">
        <v>4000</v>
      </c>
      <c r="H117" s="38">
        <f t="shared" si="16"/>
        <v>20</v>
      </c>
      <c r="I117" s="38">
        <f t="shared" si="17"/>
        <v>5</v>
      </c>
      <c r="J117" s="38"/>
      <c r="K117" s="40">
        <v>43814</v>
      </c>
      <c r="L117" s="41" t="s">
        <v>6758</v>
      </c>
      <c r="M117" s="42">
        <v>43809</v>
      </c>
      <c r="N117" s="43" t="s">
        <v>5963</v>
      </c>
      <c r="O117" s="42">
        <v>43814</v>
      </c>
      <c r="P117" s="45"/>
      <c r="Q117" s="38"/>
      <c r="R117" s="66"/>
      <c r="S117" s="46"/>
    </row>
    <row r="118" spans="2:19" s="30" customFormat="1" ht="33" hidden="1" customHeight="1">
      <c r="B118" s="46" t="s">
        <v>6751</v>
      </c>
      <c r="C118" s="35" t="s">
        <v>2079</v>
      </c>
      <c r="D118" s="36" t="s">
        <v>6759</v>
      </c>
      <c r="E118" s="37">
        <v>43743</v>
      </c>
      <c r="F118" s="38" t="s">
        <v>236</v>
      </c>
      <c r="G118" s="39">
        <v>3200</v>
      </c>
      <c r="H118" s="38">
        <f t="shared" si="16"/>
        <v>16</v>
      </c>
      <c r="I118" s="38">
        <f t="shared" si="17"/>
        <v>4</v>
      </c>
      <c r="J118" s="38"/>
      <c r="K118" s="40">
        <v>43804</v>
      </c>
      <c r="L118" s="41" t="s">
        <v>6749</v>
      </c>
      <c r="M118" s="42">
        <v>43795</v>
      </c>
      <c r="N118" s="43" t="s">
        <v>6619</v>
      </c>
      <c r="O118" s="42">
        <v>43800</v>
      </c>
      <c r="P118" s="45"/>
      <c r="Q118" s="38"/>
      <c r="R118" s="66"/>
      <c r="S118" s="46"/>
    </row>
    <row r="119" spans="2:19" s="30" customFormat="1" ht="33" hidden="1" customHeight="1">
      <c r="B119" s="122" t="s">
        <v>6751</v>
      </c>
      <c r="C119" s="126" t="s">
        <v>2378</v>
      </c>
      <c r="D119" s="127" t="s">
        <v>6760</v>
      </c>
      <c r="E119" s="128">
        <v>43752</v>
      </c>
      <c r="F119" s="124" t="s">
        <v>236</v>
      </c>
      <c r="G119" s="129">
        <v>3200</v>
      </c>
      <c r="H119" s="124">
        <f t="shared" si="16"/>
        <v>16</v>
      </c>
      <c r="I119" s="124">
        <f t="shared" si="17"/>
        <v>4</v>
      </c>
      <c r="J119" s="124"/>
      <c r="K119" s="130">
        <v>43842</v>
      </c>
      <c r="L119" s="119" t="s">
        <v>6145</v>
      </c>
      <c r="M119" s="204">
        <v>43472</v>
      </c>
      <c r="N119" s="205" t="s">
        <v>6775</v>
      </c>
      <c r="O119" s="204">
        <v>43477</v>
      </c>
      <c r="P119" s="123" t="s">
        <v>6800</v>
      </c>
      <c r="Q119" s="124"/>
      <c r="R119" s="134"/>
      <c r="S119" s="123"/>
    </row>
    <row r="120" spans="2:19">
      <c r="E120" s="175"/>
      <c r="L120" s="11"/>
      <c r="M120"/>
      <c r="N120"/>
      <c r="O120"/>
      <c r="P120" s="13"/>
      <c r="R120" s="19"/>
      <c r="S120" s="28"/>
    </row>
    <row r="121" spans="2:19" s="19" customFormat="1" hidden="1">
      <c r="B121"/>
      <c r="C121" s="15"/>
      <c r="D121" s="1"/>
      <c r="L121" s="178" t="s">
        <v>1825</v>
      </c>
      <c r="M121" s="178" t="s">
        <v>1826</v>
      </c>
      <c r="N121" s="178" t="s">
        <v>1827</v>
      </c>
      <c r="O121" s="178" t="s">
        <v>1828</v>
      </c>
      <c r="P121" s="179" t="s">
        <v>6761</v>
      </c>
      <c r="Q121" s="179" t="s">
        <v>6762</v>
      </c>
      <c r="R121" s="179" t="s">
        <v>1831</v>
      </c>
      <c r="S121" s="179"/>
    </row>
    <row r="122" spans="2:19" s="19" customFormat="1" hidden="1">
      <c r="B122"/>
      <c r="C122" s="15"/>
      <c r="D122" s="1"/>
      <c r="L122" s="180" t="s">
        <v>6763</v>
      </c>
      <c r="M122" s="181" t="s">
        <v>1833</v>
      </c>
      <c r="N122" s="181" t="s">
        <v>1834</v>
      </c>
      <c r="O122" s="182" t="s">
        <v>1835</v>
      </c>
      <c r="P122" s="183">
        <v>1000</v>
      </c>
      <c r="Q122" s="183">
        <v>4</v>
      </c>
      <c r="R122" s="184">
        <v>43598</v>
      </c>
      <c r="S122" s="181" t="s">
        <v>99</v>
      </c>
    </row>
    <row r="123" spans="2:19" s="19" customFormat="1" hidden="1">
      <c r="B123"/>
      <c r="C123" s="15"/>
      <c r="D123" s="1"/>
      <c r="L123" s="180" t="s">
        <v>6763</v>
      </c>
      <c r="M123" s="181" t="s">
        <v>1836</v>
      </c>
      <c r="N123" s="181" t="s">
        <v>1834</v>
      </c>
      <c r="O123" s="182" t="s">
        <v>1835</v>
      </c>
      <c r="P123" s="183">
        <v>6000</v>
      </c>
      <c r="Q123" s="183">
        <v>24</v>
      </c>
      <c r="R123" s="184">
        <v>43598</v>
      </c>
      <c r="S123" s="181" t="s">
        <v>99</v>
      </c>
    </row>
    <row r="124" spans="2:19" s="19" customFormat="1" hidden="1">
      <c r="B124"/>
      <c r="C124" s="15"/>
      <c r="D124" s="1"/>
      <c r="L124" s="180" t="s">
        <v>6763</v>
      </c>
      <c r="M124" s="181" t="s">
        <v>1837</v>
      </c>
      <c r="N124" s="181" t="s">
        <v>1834</v>
      </c>
      <c r="O124" s="182" t="s">
        <v>1835</v>
      </c>
      <c r="P124" s="183">
        <v>5000</v>
      </c>
      <c r="Q124" s="183">
        <v>20</v>
      </c>
      <c r="R124" s="185" t="s">
        <v>6764</v>
      </c>
      <c r="S124" s="180" t="s">
        <v>6765</v>
      </c>
    </row>
    <row r="125" spans="2:19" s="19" customFormat="1" hidden="1">
      <c r="B125"/>
      <c r="C125" s="15"/>
      <c r="D125" s="1"/>
      <c r="L125" s="180" t="s">
        <v>6763</v>
      </c>
      <c r="M125" s="181" t="s">
        <v>1840</v>
      </c>
      <c r="N125" s="181" t="s">
        <v>1834</v>
      </c>
      <c r="O125" s="182" t="s">
        <v>1835</v>
      </c>
      <c r="P125" s="183">
        <v>5000</v>
      </c>
      <c r="Q125" s="183">
        <v>20</v>
      </c>
      <c r="R125" s="184">
        <v>43605</v>
      </c>
      <c r="S125" s="181" t="s">
        <v>99</v>
      </c>
    </row>
    <row r="126" spans="2:19" s="19" customFormat="1" hidden="1">
      <c r="B126"/>
      <c r="C126" s="15"/>
      <c r="D126" s="1"/>
      <c r="L126" s="180" t="s">
        <v>6763</v>
      </c>
      <c r="M126" s="181" t="s">
        <v>1841</v>
      </c>
      <c r="N126" s="181" t="s">
        <v>1834</v>
      </c>
      <c r="O126" s="182" t="s">
        <v>1835</v>
      </c>
      <c r="P126" s="183">
        <v>7000</v>
      </c>
      <c r="Q126" s="183">
        <v>28</v>
      </c>
      <c r="R126" s="184">
        <v>43605</v>
      </c>
      <c r="S126" s="181" t="s">
        <v>99</v>
      </c>
    </row>
    <row r="127" spans="2:19" hidden="1">
      <c r="L127" s="180" t="s">
        <v>6766</v>
      </c>
      <c r="M127" s="181" t="s">
        <v>1843</v>
      </c>
      <c r="N127" s="181" t="s">
        <v>1844</v>
      </c>
      <c r="O127" s="182" t="s">
        <v>1835</v>
      </c>
      <c r="P127" s="183">
        <v>2000</v>
      </c>
      <c r="Q127" s="183">
        <v>8</v>
      </c>
      <c r="R127" s="184">
        <v>43598</v>
      </c>
      <c r="S127" s="181" t="s">
        <v>99</v>
      </c>
    </row>
    <row r="128" spans="2:19" hidden="1">
      <c r="L128" s="180" t="s">
        <v>6766</v>
      </c>
      <c r="M128" s="181" t="s">
        <v>1845</v>
      </c>
      <c r="N128" s="181" t="s">
        <v>1844</v>
      </c>
      <c r="O128" s="182" t="s">
        <v>1835</v>
      </c>
      <c r="P128" s="183">
        <v>2000</v>
      </c>
      <c r="Q128" s="183">
        <v>8</v>
      </c>
      <c r="R128" s="184">
        <v>43598</v>
      </c>
      <c r="S128" s="181" t="s">
        <v>99</v>
      </c>
    </row>
    <row r="129" spans="12:19" hidden="1">
      <c r="L129" s="180" t="s">
        <v>6766</v>
      </c>
      <c r="M129" s="181" t="s">
        <v>1846</v>
      </c>
      <c r="N129" s="181" t="s">
        <v>1844</v>
      </c>
      <c r="O129" s="182" t="s">
        <v>1835</v>
      </c>
      <c r="P129" s="183">
        <v>10000</v>
      </c>
      <c r="Q129" s="183">
        <v>40</v>
      </c>
      <c r="R129" s="184">
        <v>43598</v>
      </c>
      <c r="S129" s="181" t="s">
        <v>99</v>
      </c>
    </row>
    <row r="130" spans="12:19" hidden="1">
      <c r="L130" s="180" t="s">
        <v>6766</v>
      </c>
      <c r="M130" s="181" t="s">
        <v>1847</v>
      </c>
      <c r="N130" s="181" t="s">
        <v>1844</v>
      </c>
      <c r="O130" s="182" t="s">
        <v>1835</v>
      </c>
      <c r="P130" s="183">
        <v>8000</v>
      </c>
      <c r="Q130" s="183">
        <v>32</v>
      </c>
      <c r="R130" s="184">
        <v>43598</v>
      </c>
      <c r="S130" s="180"/>
    </row>
    <row r="131" spans="12:19" hidden="1">
      <c r="L131" s="180" t="s">
        <v>6766</v>
      </c>
      <c r="M131" s="181" t="s">
        <v>1848</v>
      </c>
      <c r="N131" s="181" t="s">
        <v>1844</v>
      </c>
      <c r="O131" s="182" t="s">
        <v>1835</v>
      </c>
      <c r="P131" s="183">
        <v>10000</v>
      </c>
      <c r="Q131" s="183">
        <v>40</v>
      </c>
      <c r="R131" s="185" t="s">
        <v>6767</v>
      </c>
      <c r="S131" s="180" t="s">
        <v>6765</v>
      </c>
    </row>
    <row r="132" spans="12:19" hidden="1">
      <c r="L132" s="182" t="s">
        <v>6768</v>
      </c>
      <c r="M132" s="181" t="s">
        <v>1851</v>
      </c>
      <c r="N132" s="181" t="s">
        <v>1834</v>
      </c>
      <c r="O132" s="182" t="s">
        <v>1852</v>
      </c>
      <c r="P132" s="183">
        <v>5000</v>
      </c>
      <c r="Q132" s="183">
        <v>20</v>
      </c>
      <c r="R132" s="184">
        <v>43605</v>
      </c>
      <c r="S132" s="181" t="s">
        <v>99</v>
      </c>
    </row>
    <row r="133" spans="12:19" hidden="1">
      <c r="L133" s="180" t="s">
        <v>6769</v>
      </c>
      <c r="M133" s="181" t="s">
        <v>1851</v>
      </c>
      <c r="N133" s="181" t="s">
        <v>1844</v>
      </c>
      <c r="O133" s="182" t="s">
        <v>1835</v>
      </c>
      <c r="P133" s="183">
        <v>2000</v>
      </c>
      <c r="Q133" s="183">
        <v>8</v>
      </c>
      <c r="R133" s="184">
        <v>43605</v>
      </c>
      <c r="S133" s="181" t="s">
        <v>99</v>
      </c>
    </row>
    <row r="134" spans="12:19" hidden="1">
      <c r="L134" s="182" t="s">
        <v>6770</v>
      </c>
      <c r="M134" s="181" t="s">
        <v>1855</v>
      </c>
      <c r="N134" s="181" t="s">
        <v>1834</v>
      </c>
      <c r="O134" s="182" t="s">
        <v>1852</v>
      </c>
      <c r="P134" s="183">
        <v>6000</v>
      </c>
      <c r="Q134" s="183">
        <v>24</v>
      </c>
      <c r="R134" s="184">
        <v>43605</v>
      </c>
      <c r="S134" s="181" t="s">
        <v>99</v>
      </c>
    </row>
    <row r="135" spans="12:19" hidden="1">
      <c r="L135" s="182" t="s">
        <v>6770</v>
      </c>
      <c r="M135" s="181" t="s">
        <v>1856</v>
      </c>
      <c r="N135" s="181" t="s">
        <v>1834</v>
      </c>
      <c r="O135" s="182" t="s">
        <v>1852</v>
      </c>
      <c r="P135" s="183">
        <v>6000</v>
      </c>
      <c r="Q135" s="183">
        <v>24</v>
      </c>
      <c r="R135" s="185">
        <v>43605</v>
      </c>
      <c r="S135" s="180"/>
    </row>
    <row r="136" spans="12:19" hidden="1">
      <c r="L136" s="182" t="s">
        <v>6770</v>
      </c>
      <c r="M136" s="181" t="s">
        <v>1857</v>
      </c>
      <c r="N136" s="181" t="s">
        <v>1834</v>
      </c>
      <c r="O136" s="182" t="s">
        <v>1852</v>
      </c>
      <c r="P136" s="183">
        <v>6000</v>
      </c>
      <c r="Q136" s="183">
        <v>24</v>
      </c>
      <c r="R136" s="184" t="s">
        <v>6771</v>
      </c>
      <c r="S136" s="181" t="s">
        <v>6772</v>
      </c>
    </row>
    <row r="139" spans="12:19" ht="16.2">
      <c r="L139" s="186"/>
    </row>
    <row r="140" spans="12:19" ht="16.2">
      <c r="L140" s="186"/>
    </row>
    <row r="141" spans="12:19" ht="16.2">
      <c r="L141" s="186"/>
    </row>
    <row r="142" spans="12:19">
      <c r="Q142" t="s">
        <v>6773</v>
      </c>
    </row>
  </sheetData>
  <autoFilter ref="B2:R119" xr:uid="{00000000-0009-0000-0000-000001000000}">
    <filterColumn colId="0">
      <filters>
        <filter val="[Si-E]PSI"/>
      </filters>
    </filterColumn>
    <sortState ref="B89:R144">
      <sortCondition descending="1" ref="L2:L148"/>
    </sortState>
  </autoFilter>
  <phoneticPr fontId="1"/>
  <pageMargins left="0.23622047244094491" right="0.23622047244094491" top="0.35433070866141736" bottom="0.35433070866141736" header="0.31496062992125984" footer="0.31496062992125984"/>
  <pageSetup paperSize="9" scale="44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82">
    <pageSetUpPr fitToPage="1"/>
  </sheetPr>
  <dimension ref="B1:T139"/>
  <sheetViews>
    <sheetView zoomScale="85" zoomScaleNormal="85" workbookViewId="0">
      <pane xSplit="4" ySplit="2" topLeftCell="E93" activePane="bottomRight" state="frozen"/>
      <selection pane="topRight" activeCell="E1" sqref="E1"/>
      <selection pane="bottomLeft" activeCell="A3" sqref="A3"/>
      <selection pane="bottomRight" activeCell="G101" sqref="G101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7.12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B2" s="194"/>
      <c r="C2" s="14" t="s">
        <v>6492</v>
      </c>
      <c r="D2" s="5" t="s">
        <v>0</v>
      </c>
      <c r="E2" s="6" t="s">
        <v>6493</v>
      </c>
      <c r="F2" s="6" t="s">
        <v>6494</v>
      </c>
      <c r="G2" s="10" t="s">
        <v>1</v>
      </c>
      <c r="H2" s="6" t="s">
        <v>15</v>
      </c>
      <c r="I2" s="6" t="s">
        <v>16</v>
      </c>
      <c r="J2" s="6" t="s">
        <v>6495</v>
      </c>
      <c r="K2" s="12" t="s">
        <v>6496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6497</v>
      </c>
      <c r="Q2" s="6" t="s">
        <v>6498</v>
      </c>
      <c r="R2" s="16" t="s">
        <v>6</v>
      </c>
      <c r="S2" s="16" t="s">
        <v>6499</v>
      </c>
    </row>
    <row r="3" spans="2:19" s="33" customFormat="1" ht="33" customHeight="1">
      <c r="B3" s="47" t="s">
        <v>78</v>
      </c>
      <c r="C3" s="48" t="s">
        <v>1178</v>
      </c>
      <c r="D3" s="49" t="s">
        <v>1179</v>
      </c>
      <c r="E3" s="50">
        <v>43567</v>
      </c>
      <c r="F3" s="49" t="s">
        <v>6500</v>
      </c>
      <c r="G3" s="51">
        <v>10000</v>
      </c>
      <c r="H3" s="52">
        <f t="shared" ref="H3:H8" si="0">SUM(G3/250)</f>
        <v>40</v>
      </c>
      <c r="I3" s="52">
        <f t="shared" ref="I3:I8" si="1">SUM(H3/4)</f>
        <v>10</v>
      </c>
      <c r="J3" s="49"/>
      <c r="K3" s="53">
        <v>43674</v>
      </c>
      <c r="L3" s="54" t="s">
        <v>6501</v>
      </c>
      <c r="M3" s="55">
        <v>43682</v>
      </c>
      <c r="N3" s="56" t="s">
        <v>6502</v>
      </c>
      <c r="O3" s="55">
        <v>43688</v>
      </c>
      <c r="P3" s="54"/>
      <c r="Q3" s="49" t="s">
        <v>82</v>
      </c>
      <c r="R3" s="57" t="s">
        <v>6503</v>
      </c>
      <c r="S3" s="47" t="s">
        <v>2539</v>
      </c>
    </row>
    <row r="4" spans="2:19" s="33" customFormat="1" ht="33" customHeight="1">
      <c r="B4" s="47" t="s">
        <v>220</v>
      </c>
      <c r="C4" s="48" t="s">
        <v>1181</v>
      </c>
      <c r="D4" s="49" t="s">
        <v>1182</v>
      </c>
      <c r="E4" s="50">
        <v>43567</v>
      </c>
      <c r="F4" s="49" t="s">
        <v>6500</v>
      </c>
      <c r="G4" s="51">
        <v>10000</v>
      </c>
      <c r="H4" s="52">
        <f t="shared" si="0"/>
        <v>40</v>
      </c>
      <c r="I4" s="52">
        <f t="shared" si="1"/>
        <v>10</v>
      </c>
      <c r="J4" s="49"/>
      <c r="K4" s="53">
        <v>43674</v>
      </c>
      <c r="L4" s="54" t="s">
        <v>6501</v>
      </c>
      <c r="M4" s="55">
        <v>43682</v>
      </c>
      <c r="N4" s="56" t="s">
        <v>6502</v>
      </c>
      <c r="O4" s="55">
        <v>43688</v>
      </c>
      <c r="P4" s="54"/>
      <c r="Q4" s="49"/>
      <c r="R4" s="57" t="s">
        <v>6504</v>
      </c>
      <c r="S4" s="47" t="s">
        <v>2539</v>
      </c>
    </row>
    <row r="5" spans="2:19" s="33" customFormat="1" ht="33" customHeight="1">
      <c r="B5" s="47" t="s">
        <v>78</v>
      </c>
      <c r="C5" s="48" t="s">
        <v>2273</v>
      </c>
      <c r="D5" s="49" t="s">
        <v>2274</v>
      </c>
      <c r="E5" s="50">
        <v>43602</v>
      </c>
      <c r="F5" s="49" t="s">
        <v>79</v>
      </c>
      <c r="G5" s="51">
        <v>20000</v>
      </c>
      <c r="H5" s="52">
        <f t="shared" si="0"/>
        <v>80</v>
      </c>
      <c r="I5" s="52">
        <f t="shared" si="1"/>
        <v>20</v>
      </c>
      <c r="J5" s="49"/>
      <c r="K5" s="53">
        <v>43688</v>
      </c>
      <c r="L5" s="54" t="s">
        <v>6501</v>
      </c>
      <c r="M5" s="55">
        <v>43682</v>
      </c>
      <c r="N5" s="56" t="s">
        <v>6502</v>
      </c>
      <c r="O5" s="55">
        <v>43688</v>
      </c>
      <c r="P5" s="54"/>
      <c r="Q5" s="49" t="s">
        <v>82</v>
      </c>
      <c r="R5" s="57" t="s">
        <v>6505</v>
      </c>
      <c r="S5" s="47"/>
    </row>
    <row r="6" spans="2:19" s="33" customFormat="1" ht="33" customHeight="1">
      <c r="B6" s="47" t="s">
        <v>78</v>
      </c>
      <c r="C6" s="48" t="s">
        <v>2276</v>
      </c>
      <c r="D6" s="49" t="s">
        <v>2277</v>
      </c>
      <c r="E6" s="50">
        <v>43602</v>
      </c>
      <c r="F6" s="49" t="s">
        <v>79</v>
      </c>
      <c r="G6" s="51">
        <v>20000</v>
      </c>
      <c r="H6" s="52">
        <f t="shared" si="0"/>
        <v>80</v>
      </c>
      <c r="I6" s="52">
        <f t="shared" si="1"/>
        <v>20</v>
      </c>
      <c r="J6" s="49"/>
      <c r="K6" s="53">
        <v>43695</v>
      </c>
      <c r="L6" s="54" t="s">
        <v>6501</v>
      </c>
      <c r="M6" s="55">
        <v>43682</v>
      </c>
      <c r="N6" s="56" t="s">
        <v>6502</v>
      </c>
      <c r="O6" s="55">
        <v>43688</v>
      </c>
      <c r="P6" s="54"/>
      <c r="Q6" s="49" t="s">
        <v>82</v>
      </c>
      <c r="R6" s="57" t="s">
        <v>6506</v>
      </c>
      <c r="S6" s="47"/>
    </row>
    <row r="7" spans="2:19" s="33" customFormat="1" ht="33" customHeight="1">
      <c r="B7" s="47" t="s">
        <v>220</v>
      </c>
      <c r="C7" s="48" t="s">
        <v>2279</v>
      </c>
      <c r="D7" s="49" t="s">
        <v>2280</v>
      </c>
      <c r="E7" s="50">
        <v>43602</v>
      </c>
      <c r="F7" s="49" t="s">
        <v>79</v>
      </c>
      <c r="G7" s="51">
        <v>20000</v>
      </c>
      <c r="H7" s="52">
        <f t="shared" si="0"/>
        <v>80</v>
      </c>
      <c r="I7" s="52">
        <f t="shared" si="1"/>
        <v>20</v>
      </c>
      <c r="J7" s="49"/>
      <c r="K7" s="53">
        <v>43695</v>
      </c>
      <c r="L7" s="54" t="s">
        <v>6501</v>
      </c>
      <c r="M7" s="55">
        <v>43682</v>
      </c>
      <c r="N7" s="56" t="s">
        <v>6502</v>
      </c>
      <c r="O7" s="55">
        <v>43688</v>
      </c>
      <c r="P7" s="54"/>
      <c r="Q7" s="49"/>
      <c r="R7" s="57" t="s">
        <v>3350</v>
      </c>
      <c r="S7" s="47"/>
    </row>
    <row r="8" spans="2:19" s="33" customFormat="1" ht="33" customHeight="1">
      <c r="B8" s="47" t="s">
        <v>78</v>
      </c>
      <c r="C8" s="48" t="s">
        <v>2282</v>
      </c>
      <c r="D8" s="49" t="s">
        <v>2283</v>
      </c>
      <c r="E8" s="50">
        <v>43602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43709</v>
      </c>
      <c r="L8" s="54" t="s">
        <v>6507</v>
      </c>
      <c r="M8" s="55">
        <v>43703</v>
      </c>
      <c r="N8" s="56" t="s">
        <v>6508</v>
      </c>
      <c r="O8" s="55">
        <v>43709</v>
      </c>
      <c r="P8" s="54"/>
      <c r="Q8" s="49" t="s">
        <v>82</v>
      </c>
      <c r="R8" s="57" t="s">
        <v>6509</v>
      </c>
      <c r="S8" s="47"/>
    </row>
    <row r="9" spans="2:19" s="33" customFormat="1" ht="33" customHeight="1">
      <c r="B9" s="47" t="s">
        <v>220</v>
      </c>
      <c r="C9" s="48" t="s">
        <v>6510</v>
      </c>
      <c r="D9" s="49" t="s">
        <v>3354</v>
      </c>
      <c r="E9" s="50">
        <v>43637</v>
      </c>
      <c r="F9" s="49" t="s">
        <v>79</v>
      </c>
      <c r="G9" s="51">
        <v>20000</v>
      </c>
      <c r="H9" s="52">
        <v>64</v>
      </c>
      <c r="I9" s="52">
        <v>16</v>
      </c>
      <c r="J9" s="49"/>
      <c r="K9" s="53">
        <v>43716</v>
      </c>
      <c r="L9" s="54" t="s">
        <v>6511</v>
      </c>
      <c r="M9" s="55">
        <v>43717</v>
      </c>
      <c r="N9" s="56" t="s">
        <v>5448</v>
      </c>
      <c r="O9" s="55">
        <v>43723</v>
      </c>
      <c r="P9" s="54"/>
      <c r="Q9" s="49"/>
      <c r="R9" s="57" t="s">
        <v>6512</v>
      </c>
      <c r="S9" s="47" t="s">
        <v>5465</v>
      </c>
    </row>
    <row r="10" spans="2:19" s="33" customFormat="1" ht="33" customHeight="1">
      <c r="B10" s="47" t="s">
        <v>78</v>
      </c>
      <c r="C10" s="48" t="s">
        <v>3356</v>
      </c>
      <c r="D10" s="49" t="s">
        <v>3357</v>
      </c>
      <c r="E10" s="50">
        <v>43637</v>
      </c>
      <c r="F10" s="49" t="s">
        <v>79</v>
      </c>
      <c r="G10" s="51">
        <v>20000</v>
      </c>
      <c r="H10" s="52">
        <f>SUM(G10/250)</f>
        <v>80</v>
      </c>
      <c r="I10" s="52">
        <f t="shared" ref="I10:I42" si="2">SUM(H10/4)</f>
        <v>20</v>
      </c>
      <c r="J10" s="49"/>
      <c r="K10" s="53">
        <v>43723</v>
      </c>
      <c r="L10" s="54" t="s">
        <v>3555</v>
      </c>
      <c r="M10" s="55">
        <v>43717</v>
      </c>
      <c r="N10" s="56" t="s">
        <v>6513</v>
      </c>
      <c r="O10" s="55">
        <v>43723</v>
      </c>
      <c r="P10" s="54"/>
      <c r="Q10" s="49" t="s">
        <v>82</v>
      </c>
      <c r="R10" s="57" t="s">
        <v>6514</v>
      </c>
      <c r="S10" s="47"/>
    </row>
    <row r="11" spans="2:19" s="33" customFormat="1" ht="33" customHeight="1">
      <c r="B11" s="47" t="s">
        <v>78</v>
      </c>
      <c r="C11" s="48" t="s">
        <v>3359</v>
      </c>
      <c r="D11" s="49" t="s">
        <v>3360</v>
      </c>
      <c r="E11" s="50">
        <v>43637</v>
      </c>
      <c r="F11" s="49" t="s">
        <v>79</v>
      </c>
      <c r="G11" s="51">
        <v>20000</v>
      </c>
      <c r="H11" s="52">
        <f>SUM(G11/250)</f>
        <v>80</v>
      </c>
      <c r="I11" s="52">
        <f t="shared" si="2"/>
        <v>20</v>
      </c>
      <c r="J11" s="49"/>
      <c r="K11" s="53">
        <v>43737</v>
      </c>
      <c r="L11" s="54" t="s">
        <v>3556</v>
      </c>
      <c r="M11" s="55">
        <v>43728</v>
      </c>
      <c r="N11" s="56" t="s">
        <v>6515</v>
      </c>
      <c r="O11" s="55">
        <v>43737</v>
      </c>
      <c r="P11" s="54"/>
      <c r="Q11" s="49" t="s">
        <v>82</v>
      </c>
      <c r="R11" s="57" t="s">
        <v>6516</v>
      </c>
      <c r="S11" s="47"/>
    </row>
    <row r="12" spans="2:19" s="33" customFormat="1" ht="33" customHeight="1">
      <c r="B12" s="47" t="s">
        <v>220</v>
      </c>
      <c r="C12" s="48" t="s">
        <v>4252</v>
      </c>
      <c r="D12" s="49" t="s">
        <v>4253</v>
      </c>
      <c r="E12" s="50">
        <v>43665</v>
      </c>
      <c r="F12" s="49" t="s">
        <v>79</v>
      </c>
      <c r="G12" s="51">
        <v>24000</v>
      </c>
      <c r="H12" s="52">
        <v>96</v>
      </c>
      <c r="I12" s="52">
        <f t="shared" si="2"/>
        <v>24</v>
      </c>
      <c r="J12" s="49"/>
      <c r="K12" s="53">
        <v>43744</v>
      </c>
      <c r="L12" s="54" t="s">
        <v>3556</v>
      </c>
      <c r="M12" s="55">
        <v>43728</v>
      </c>
      <c r="N12" s="56" t="s">
        <v>5449</v>
      </c>
      <c r="O12" s="55">
        <v>43737</v>
      </c>
      <c r="P12" s="54"/>
      <c r="Q12" s="49"/>
      <c r="R12" s="57" t="s">
        <v>6517</v>
      </c>
      <c r="S12" s="47" t="s">
        <v>5464</v>
      </c>
    </row>
    <row r="13" spans="2:19" s="33" customFormat="1" ht="33" customHeight="1">
      <c r="B13" s="47" t="s">
        <v>78</v>
      </c>
      <c r="C13" s="48" t="s">
        <v>4255</v>
      </c>
      <c r="D13" s="49" t="s">
        <v>4256</v>
      </c>
      <c r="E13" s="50">
        <v>43665</v>
      </c>
      <c r="F13" s="49" t="s">
        <v>79</v>
      </c>
      <c r="G13" s="51">
        <v>20000</v>
      </c>
      <c r="H13" s="52">
        <f t="shared" ref="H13:H29" si="3">SUM(G13/250)</f>
        <v>80</v>
      </c>
      <c r="I13" s="52">
        <f t="shared" si="2"/>
        <v>20</v>
      </c>
      <c r="J13" s="49"/>
      <c r="K13" s="53">
        <v>43744</v>
      </c>
      <c r="L13" s="54" t="s">
        <v>6518</v>
      </c>
      <c r="M13" s="55">
        <v>43738</v>
      </c>
      <c r="N13" s="56" t="s">
        <v>6519</v>
      </c>
      <c r="O13" s="55">
        <v>43744</v>
      </c>
      <c r="P13" s="54"/>
      <c r="Q13" s="49" t="s">
        <v>82</v>
      </c>
      <c r="R13" s="57" t="s">
        <v>6520</v>
      </c>
      <c r="S13" s="47"/>
    </row>
    <row r="14" spans="2:19" s="33" customFormat="1" ht="33" customHeight="1">
      <c r="B14" s="47" t="s">
        <v>78</v>
      </c>
      <c r="C14" s="48" t="s">
        <v>4258</v>
      </c>
      <c r="D14" s="49" t="s">
        <v>4259</v>
      </c>
      <c r="E14" s="50">
        <v>43665</v>
      </c>
      <c r="F14" s="49" t="s">
        <v>79</v>
      </c>
      <c r="G14" s="51">
        <v>20000</v>
      </c>
      <c r="H14" s="52">
        <f t="shared" si="3"/>
        <v>80</v>
      </c>
      <c r="I14" s="52">
        <f t="shared" si="2"/>
        <v>20</v>
      </c>
      <c r="J14" s="49"/>
      <c r="K14" s="53">
        <v>43758</v>
      </c>
      <c r="L14" s="54" t="s">
        <v>6521</v>
      </c>
      <c r="M14" s="55">
        <v>43749</v>
      </c>
      <c r="N14" s="56" t="s">
        <v>6522</v>
      </c>
      <c r="O14" s="55">
        <v>43758</v>
      </c>
      <c r="P14" s="54"/>
      <c r="Q14" s="49" t="s">
        <v>82</v>
      </c>
      <c r="R14" s="57" t="s">
        <v>6523</v>
      </c>
      <c r="S14" s="47"/>
    </row>
    <row r="15" spans="2:19" s="33" customFormat="1" ht="33" customHeight="1">
      <c r="B15" s="47" t="s">
        <v>78</v>
      </c>
      <c r="C15" s="48" t="s">
        <v>4261</v>
      </c>
      <c r="D15" s="49" t="s">
        <v>4262</v>
      </c>
      <c r="E15" s="50">
        <v>43665</v>
      </c>
      <c r="F15" s="49" t="s">
        <v>79</v>
      </c>
      <c r="G15" s="51">
        <v>20000</v>
      </c>
      <c r="H15" s="52">
        <f t="shared" si="3"/>
        <v>80</v>
      </c>
      <c r="I15" s="52">
        <f t="shared" si="2"/>
        <v>20</v>
      </c>
      <c r="J15" s="49"/>
      <c r="K15" s="53">
        <v>43765</v>
      </c>
      <c r="L15" s="54" t="s">
        <v>6521</v>
      </c>
      <c r="M15" s="212">
        <v>43749</v>
      </c>
      <c r="N15" s="213" t="s">
        <v>6522</v>
      </c>
      <c r="O15" s="212">
        <v>43758</v>
      </c>
      <c r="P15" s="54"/>
      <c r="Q15" s="49" t="s">
        <v>82</v>
      </c>
      <c r="R15" s="57" t="s">
        <v>6524</v>
      </c>
      <c r="S15" s="47" t="s">
        <v>6456</v>
      </c>
    </row>
    <row r="16" spans="2:19" s="33" customFormat="1" ht="33" customHeight="1">
      <c r="B16" s="47" t="s">
        <v>220</v>
      </c>
      <c r="C16" s="48" t="s">
        <v>4264</v>
      </c>
      <c r="D16" s="49" t="s">
        <v>4265</v>
      </c>
      <c r="E16" s="50">
        <v>43665</v>
      </c>
      <c r="F16" s="49" t="s">
        <v>79</v>
      </c>
      <c r="G16" s="51">
        <v>20000</v>
      </c>
      <c r="H16" s="52">
        <f t="shared" si="3"/>
        <v>80</v>
      </c>
      <c r="I16" s="52">
        <f t="shared" si="2"/>
        <v>20</v>
      </c>
      <c r="J16" s="49"/>
      <c r="K16" s="53">
        <v>43758</v>
      </c>
      <c r="L16" s="54" t="s">
        <v>6521</v>
      </c>
      <c r="M16" s="55">
        <v>43749</v>
      </c>
      <c r="N16" s="56" t="s">
        <v>6522</v>
      </c>
      <c r="O16" s="55">
        <v>43758</v>
      </c>
      <c r="P16" s="54"/>
      <c r="Q16" s="49"/>
      <c r="R16" s="57" t="s">
        <v>6525</v>
      </c>
      <c r="S16" s="47"/>
    </row>
    <row r="17" spans="2:19" s="30" customFormat="1" ht="33" customHeight="1">
      <c r="B17" s="46" t="s">
        <v>78</v>
      </c>
      <c r="C17" s="35" t="s">
        <v>5057</v>
      </c>
      <c r="D17" s="36" t="s">
        <v>6526</v>
      </c>
      <c r="E17" s="37">
        <v>43689</v>
      </c>
      <c r="F17" s="36" t="s">
        <v>79</v>
      </c>
      <c r="G17" s="39">
        <v>20000</v>
      </c>
      <c r="H17" s="38">
        <f t="shared" si="3"/>
        <v>80</v>
      </c>
      <c r="I17" s="38">
        <f t="shared" si="2"/>
        <v>20</v>
      </c>
      <c r="J17" s="36"/>
      <c r="K17" s="40">
        <v>43772</v>
      </c>
      <c r="L17" s="41" t="s">
        <v>6527</v>
      </c>
      <c r="M17" s="42">
        <v>43766</v>
      </c>
      <c r="N17" s="43" t="s">
        <v>6528</v>
      </c>
      <c r="O17" s="42">
        <v>43772</v>
      </c>
      <c r="P17" s="41"/>
      <c r="Q17" s="36"/>
      <c r="R17" s="44" t="s">
        <v>6529</v>
      </c>
      <c r="S17" s="46"/>
    </row>
    <row r="18" spans="2:19" s="30" customFormat="1" ht="33" customHeight="1">
      <c r="B18" s="46" t="s">
        <v>220</v>
      </c>
      <c r="C18" s="35" t="s">
        <v>5055</v>
      </c>
      <c r="D18" s="36" t="s">
        <v>6530</v>
      </c>
      <c r="E18" s="37">
        <v>43689</v>
      </c>
      <c r="F18" s="36" t="s">
        <v>79</v>
      </c>
      <c r="G18" s="39">
        <v>20000</v>
      </c>
      <c r="H18" s="38">
        <f t="shared" si="3"/>
        <v>80</v>
      </c>
      <c r="I18" s="38">
        <f t="shared" si="2"/>
        <v>20</v>
      </c>
      <c r="J18" s="36"/>
      <c r="K18" s="40">
        <v>43779</v>
      </c>
      <c r="L18" s="41" t="s">
        <v>6531</v>
      </c>
      <c r="M18" s="42">
        <v>43770</v>
      </c>
      <c r="N18" s="43" t="s">
        <v>6532</v>
      </c>
      <c r="O18" s="42">
        <v>43779</v>
      </c>
      <c r="P18" s="41"/>
      <c r="Q18" s="36"/>
      <c r="R18" s="44" t="s">
        <v>6533</v>
      </c>
      <c r="S18" s="46"/>
    </row>
    <row r="19" spans="2:19" s="30" customFormat="1" ht="33" customHeight="1">
      <c r="B19" s="46" t="s">
        <v>78</v>
      </c>
      <c r="C19" s="35" t="s">
        <v>5053</v>
      </c>
      <c r="D19" s="36" t="s">
        <v>6534</v>
      </c>
      <c r="E19" s="37">
        <v>43689</v>
      </c>
      <c r="F19" s="36" t="s">
        <v>79</v>
      </c>
      <c r="G19" s="39">
        <v>20000</v>
      </c>
      <c r="H19" s="38">
        <f t="shared" si="3"/>
        <v>80</v>
      </c>
      <c r="I19" s="38">
        <f t="shared" si="2"/>
        <v>20</v>
      </c>
      <c r="J19" s="36"/>
      <c r="K19" s="40">
        <v>43786</v>
      </c>
      <c r="L19" s="41" t="s">
        <v>6535</v>
      </c>
      <c r="M19" s="42">
        <v>43780</v>
      </c>
      <c r="N19" s="43" t="s">
        <v>6536</v>
      </c>
      <c r="O19" s="42">
        <v>43786</v>
      </c>
      <c r="P19" s="41"/>
      <c r="Q19" s="36"/>
      <c r="R19" s="44" t="s">
        <v>6537</v>
      </c>
      <c r="S19" s="46"/>
    </row>
    <row r="20" spans="2:19" s="30" customFormat="1" ht="33" customHeight="1">
      <c r="B20" s="46" t="s">
        <v>78</v>
      </c>
      <c r="C20" s="35" t="s">
        <v>5051</v>
      </c>
      <c r="D20" s="36" t="s">
        <v>6538</v>
      </c>
      <c r="E20" s="37">
        <v>43689</v>
      </c>
      <c r="F20" s="36" t="s">
        <v>79</v>
      </c>
      <c r="G20" s="39">
        <v>20000</v>
      </c>
      <c r="H20" s="38">
        <f t="shared" si="3"/>
        <v>80</v>
      </c>
      <c r="I20" s="38">
        <f t="shared" si="2"/>
        <v>20</v>
      </c>
      <c r="J20" s="36"/>
      <c r="K20" s="40">
        <v>43793</v>
      </c>
      <c r="L20" s="41" t="s">
        <v>6539</v>
      </c>
      <c r="M20" s="42">
        <v>43787</v>
      </c>
      <c r="N20" s="43" t="s">
        <v>6540</v>
      </c>
      <c r="O20" s="42">
        <v>43793</v>
      </c>
      <c r="P20" s="41"/>
      <c r="Q20" s="36"/>
      <c r="R20" s="44" t="s">
        <v>6541</v>
      </c>
      <c r="S20" s="46"/>
    </row>
    <row r="21" spans="2:19" s="30" customFormat="1" ht="33" customHeight="1">
      <c r="B21" s="46" t="s">
        <v>6542</v>
      </c>
      <c r="C21" s="35" t="s">
        <v>5049</v>
      </c>
      <c r="D21" s="36" t="s">
        <v>6543</v>
      </c>
      <c r="E21" s="37">
        <v>43689</v>
      </c>
      <c r="F21" s="36" t="s">
        <v>79</v>
      </c>
      <c r="G21" s="39">
        <v>20000</v>
      </c>
      <c r="H21" s="38">
        <f t="shared" si="3"/>
        <v>80</v>
      </c>
      <c r="I21" s="38">
        <f t="shared" si="2"/>
        <v>20</v>
      </c>
      <c r="J21" s="36"/>
      <c r="K21" s="40">
        <v>43800</v>
      </c>
      <c r="L21" s="41" t="s">
        <v>6544</v>
      </c>
      <c r="M21" s="42">
        <v>43795</v>
      </c>
      <c r="N21" s="43" t="s">
        <v>6545</v>
      </c>
      <c r="O21" s="42">
        <v>43800</v>
      </c>
      <c r="P21" s="41"/>
      <c r="Q21" s="36"/>
      <c r="R21" s="44" t="s">
        <v>6546</v>
      </c>
      <c r="S21" s="46"/>
    </row>
    <row r="22" spans="2:19" s="30" customFormat="1" ht="33" customHeight="1">
      <c r="B22" s="46" t="s">
        <v>220</v>
      </c>
      <c r="C22" s="35" t="s">
        <v>5047</v>
      </c>
      <c r="D22" s="36" t="s">
        <v>6547</v>
      </c>
      <c r="E22" s="37">
        <v>43689</v>
      </c>
      <c r="F22" s="36" t="s">
        <v>79</v>
      </c>
      <c r="G22" s="39">
        <v>20000</v>
      </c>
      <c r="H22" s="38">
        <f t="shared" si="3"/>
        <v>80</v>
      </c>
      <c r="I22" s="38">
        <f t="shared" si="2"/>
        <v>20</v>
      </c>
      <c r="J22" s="36"/>
      <c r="K22" s="40">
        <v>43793</v>
      </c>
      <c r="L22" s="41" t="s">
        <v>5902</v>
      </c>
      <c r="M22" s="42">
        <v>43787</v>
      </c>
      <c r="N22" s="43" t="s">
        <v>5901</v>
      </c>
      <c r="O22" s="42">
        <v>43793</v>
      </c>
      <c r="P22" s="41"/>
      <c r="Q22" s="36"/>
      <c r="R22" s="44" t="s">
        <v>5046</v>
      </c>
      <c r="S22" s="46"/>
    </row>
    <row r="23" spans="2:19" s="30" customFormat="1" ht="33" customHeight="1">
      <c r="B23" s="46" t="s">
        <v>126</v>
      </c>
      <c r="C23" s="35" t="s">
        <v>5899</v>
      </c>
      <c r="D23" s="36" t="s">
        <v>5898</v>
      </c>
      <c r="E23" s="37">
        <v>43724</v>
      </c>
      <c r="F23" s="36" t="s">
        <v>79</v>
      </c>
      <c r="G23" s="39">
        <v>20000</v>
      </c>
      <c r="H23" s="38">
        <f t="shared" si="3"/>
        <v>80</v>
      </c>
      <c r="I23" s="38">
        <f t="shared" si="2"/>
        <v>20</v>
      </c>
      <c r="J23" s="36"/>
      <c r="K23" s="40">
        <v>43807</v>
      </c>
      <c r="L23" s="41" t="s">
        <v>6046</v>
      </c>
      <c r="M23" s="42">
        <v>43801</v>
      </c>
      <c r="N23" s="43" t="s">
        <v>6548</v>
      </c>
      <c r="O23" s="42">
        <v>43807</v>
      </c>
      <c r="P23" s="41"/>
      <c r="Q23" s="36"/>
      <c r="R23" s="44" t="s">
        <v>6549</v>
      </c>
      <c r="S23" s="46"/>
    </row>
    <row r="24" spans="2:19" s="30" customFormat="1" ht="33" customHeight="1">
      <c r="B24" s="46" t="s">
        <v>6550</v>
      </c>
      <c r="C24" s="35" t="s">
        <v>5896</v>
      </c>
      <c r="D24" s="36" t="s">
        <v>5895</v>
      </c>
      <c r="E24" s="37">
        <v>43724</v>
      </c>
      <c r="F24" s="36" t="s">
        <v>6551</v>
      </c>
      <c r="G24" s="39">
        <v>30000</v>
      </c>
      <c r="H24" s="38">
        <f t="shared" si="3"/>
        <v>120</v>
      </c>
      <c r="I24" s="38">
        <f t="shared" si="2"/>
        <v>30</v>
      </c>
      <c r="J24" s="36"/>
      <c r="K24" s="40">
        <v>43814</v>
      </c>
      <c r="L24" s="41" t="s">
        <v>6552</v>
      </c>
      <c r="M24" s="42">
        <v>43808</v>
      </c>
      <c r="N24" s="43" t="s">
        <v>6553</v>
      </c>
      <c r="O24" s="42">
        <v>43814</v>
      </c>
      <c r="P24" s="41"/>
      <c r="Q24" s="36"/>
      <c r="R24" s="44" t="s">
        <v>6554</v>
      </c>
      <c r="S24" s="46"/>
    </row>
    <row r="25" spans="2:19" s="30" customFormat="1" ht="33" customHeight="1">
      <c r="B25" s="46" t="s">
        <v>220</v>
      </c>
      <c r="C25" s="35" t="s">
        <v>5892</v>
      </c>
      <c r="D25" s="36" t="s">
        <v>5891</v>
      </c>
      <c r="E25" s="37">
        <v>43724</v>
      </c>
      <c r="F25" s="36" t="s">
        <v>6555</v>
      </c>
      <c r="G25" s="39">
        <v>10000</v>
      </c>
      <c r="H25" s="38">
        <f t="shared" si="3"/>
        <v>40</v>
      </c>
      <c r="I25" s="38">
        <f t="shared" si="2"/>
        <v>10</v>
      </c>
      <c r="J25" s="36"/>
      <c r="K25" s="40">
        <v>43814</v>
      </c>
      <c r="L25" s="41" t="s">
        <v>5959</v>
      </c>
      <c r="M25" s="42">
        <v>43808</v>
      </c>
      <c r="N25" s="43" t="s">
        <v>6553</v>
      </c>
      <c r="O25" s="42">
        <v>43814</v>
      </c>
      <c r="P25" s="41"/>
      <c r="Q25" s="36"/>
      <c r="R25" s="44" t="s">
        <v>6556</v>
      </c>
      <c r="S25" s="46"/>
    </row>
    <row r="26" spans="2:19" s="30" customFormat="1" ht="33" customHeight="1">
      <c r="B26" s="46" t="s">
        <v>6550</v>
      </c>
      <c r="C26" s="35" t="s">
        <v>5889</v>
      </c>
      <c r="D26" s="36" t="s">
        <v>5888</v>
      </c>
      <c r="E26" s="37">
        <v>43724</v>
      </c>
      <c r="F26" s="36" t="s">
        <v>6555</v>
      </c>
      <c r="G26" s="39">
        <v>10000</v>
      </c>
      <c r="H26" s="38">
        <f t="shared" si="3"/>
        <v>40</v>
      </c>
      <c r="I26" s="38">
        <f t="shared" si="2"/>
        <v>10</v>
      </c>
      <c r="J26" s="36"/>
      <c r="K26" s="40">
        <v>43821</v>
      </c>
      <c r="L26" s="41" t="s">
        <v>5961</v>
      </c>
      <c r="M26" s="42">
        <v>43815</v>
      </c>
      <c r="N26" s="43" t="s">
        <v>6557</v>
      </c>
      <c r="O26" s="42">
        <v>43821</v>
      </c>
      <c r="P26" s="41"/>
      <c r="Q26" s="36"/>
      <c r="R26" s="44" t="s">
        <v>6558</v>
      </c>
      <c r="S26" s="46"/>
    </row>
    <row r="27" spans="2:19" s="30" customFormat="1" ht="33" customHeight="1">
      <c r="B27" s="46" t="s">
        <v>220</v>
      </c>
      <c r="C27" s="35" t="s">
        <v>5886</v>
      </c>
      <c r="D27" s="36" t="s">
        <v>5885</v>
      </c>
      <c r="E27" s="37">
        <v>43724</v>
      </c>
      <c r="F27" s="36" t="s">
        <v>6555</v>
      </c>
      <c r="G27" s="39">
        <v>10000</v>
      </c>
      <c r="H27" s="38">
        <f t="shared" si="3"/>
        <v>40</v>
      </c>
      <c r="I27" s="38">
        <f t="shared" si="2"/>
        <v>10</v>
      </c>
      <c r="J27" s="36"/>
      <c r="K27" s="40">
        <v>43821</v>
      </c>
      <c r="L27" s="41" t="s">
        <v>5961</v>
      </c>
      <c r="M27" s="42">
        <v>43815</v>
      </c>
      <c r="N27" s="43" t="s">
        <v>6557</v>
      </c>
      <c r="O27" s="42">
        <v>43821</v>
      </c>
      <c r="P27" s="41"/>
      <c r="Q27" s="36"/>
      <c r="R27" s="44" t="s">
        <v>6559</v>
      </c>
      <c r="S27" s="46"/>
    </row>
    <row r="28" spans="2:19" s="30" customFormat="1" ht="33" customHeight="1">
      <c r="B28" s="46" t="s">
        <v>6550</v>
      </c>
      <c r="C28" s="35" t="s">
        <v>5881</v>
      </c>
      <c r="D28" s="36" t="s">
        <v>5880</v>
      </c>
      <c r="E28" s="37">
        <v>43724</v>
      </c>
      <c r="F28" s="36" t="s">
        <v>79</v>
      </c>
      <c r="G28" s="39">
        <v>20000</v>
      </c>
      <c r="H28" s="38">
        <f t="shared" si="3"/>
        <v>80</v>
      </c>
      <c r="I28" s="38">
        <f t="shared" si="2"/>
        <v>20</v>
      </c>
      <c r="J28" s="36"/>
      <c r="K28" s="40">
        <v>43828</v>
      </c>
      <c r="L28" s="41" t="s">
        <v>5962</v>
      </c>
      <c r="M28" s="42">
        <v>43822</v>
      </c>
      <c r="N28" s="43" t="s">
        <v>6560</v>
      </c>
      <c r="O28" s="42">
        <v>43828</v>
      </c>
      <c r="P28" s="41"/>
      <c r="Q28" s="36"/>
      <c r="R28" s="44" t="s">
        <v>6561</v>
      </c>
      <c r="S28" s="46"/>
    </row>
    <row r="29" spans="2:19" s="147" customFormat="1" ht="33" customHeight="1">
      <c r="B29" s="103" t="s">
        <v>6550</v>
      </c>
      <c r="C29" s="104" t="s">
        <v>6562</v>
      </c>
      <c r="D29" s="105" t="s">
        <v>6563</v>
      </c>
      <c r="E29" s="106">
        <v>43752</v>
      </c>
      <c r="F29" s="105" t="s">
        <v>6564</v>
      </c>
      <c r="G29" s="108">
        <v>40000</v>
      </c>
      <c r="H29" s="107">
        <f t="shared" si="3"/>
        <v>160</v>
      </c>
      <c r="I29" s="107">
        <f t="shared" si="2"/>
        <v>40</v>
      </c>
      <c r="J29" s="105"/>
      <c r="K29" s="109">
        <v>43835</v>
      </c>
      <c r="L29" s="110"/>
      <c r="M29" s="111"/>
      <c r="N29" s="112"/>
      <c r="O29" s="111"/>
      <c r="P29" s="110"/>
      <c r="Q29" s="105"/>
      <c r="R29" s="114" t="s">
        <v>6565</v>
      </c>
      <c r="S29" s="103"/>
    </row>
    <row r="30" spans="2:19" s="147" customFormat="1" ht="33" customHeight="1">
      <c r="B30" s="103" t="s">
        <v>6550</v>
      </c>
      <c r="C30" s="104" t="s">
        <v>6566</v>
      </c>
      <c r="D30" s="105" t="s">
        <v>6567</v>
      </c>
      <c r="E30" s="106">
        <v>43752</v>
      </c>
      <c r="F30" s="105" t="s">
        <v>79</v>
      </c>
      <c r="G30" s="108">
        <v>20000</v>
      </c>
      <c r="H30" s="107">
        <f t="shared" ref="H30:H32" si="4">SUM(G30/250)</f>
        <v>80</v>
      </c>
      <c r="I30" s="107">
        <f t="shared" ref="I30:I32" si="5">SUM(H30/4)</f>
        <v>20</v>
      </c>
      <c r="J30" s="105"/>
      <c r="K30" s="109">
        <v>43842</v>
      </c>
      <c r="L30" s="110"/>
      <c r="M30" s="111"/>
      <c r="N30" s="112"/>
      <c r="O30" s="111"/>
      <c r="P30" s="110"/>
      <c r="Q30" s="105"/>
      <c r="R30" s="114" t="s">
        <v>6568</v>
      </c>
      <c r="S30" s="103"/>
    </row>
    <row r="31" spans="2:19" s="147" customFormat="1" ht="33" customHeight="1">
      <c r="B31" s="103" t="s">
        <v>220</v>
      </c>
      <c r="C31" s="104" t="s">
        <v>6569</v>
      </c>
      <c r="D31" s="105" t="s">
        <v>6570</v>
      </c>
      <c r="E31" s="106">
        <v>43752</v>
      </c>
      <c r="F31" s="105" t="s">
        <v>79</v>
      </c>
      <c r="G31" s="108">
        <v>20000</v>
      </c>
      <c r="H31" s="107">
        <f t="shared" si="4"/>
        <v>80</v>
      </c>
      <c r="I31" s="107">
        <f t="shared" si="5"/>
        <v>20</v>
      </c>
      <c r="J31" s="105"/>
      <c r="K31" s="109">
        <v>43849</v>
      </c>
      <c r="L31" s="110"/>
      <c r="M31" s="111"/>
      <c r="N31" s="112"/>
      <c r="O31" s="111"/>
      <c r="P31" s="110"/>
      <c r="Q31" s="105"/>
      <c r="R31" s="114" t="s">
        <v>6571</v>
      </c>
      <c r="S31" s="103"/>
    </row>
    <row r="32" spans="2:19" s="147" customFormat="1" ht="33" customHeight="1">
      <c r="B32" s="103" t="s">
        <v>6550</v>
      </c>
      <c r="C32" s="104" t="s">
        <v>6572</v>
      </c>
      <c r="D32" s="105" t="s">
        <v>6573</v>
      </c>
      <c r="E32" s="106">
        <v>43752</v>
      </c>
      <c r="F32" s="105" t="s">
        <v>79</v>
      </c>
      <c r="G32" s="108">
        <v>20000</v>
      </c>
      <c r="H32" s="107">
        <f t="shared" si="4"/>
        <v>80</v>
      </c>
      <c r="I32" s="107">
        <f t="shared" si="5"/>
        <v>20</v>
      </c>
      <c r="J32" s="105"/>
      <c r="K32" s="109">
        <v>43856</v>
      </c>
      <c r="L32" s="110"/>
      <c r="M32" s="111"/>
      <c r="N32" s="112"/>
      <c r="O32" s="111"/>
      <c r="P32" s="110"/>
      <c r="Q32" s="105"/>
      <c r="R32" s="114" t="s">
        <v>6574</v>
      </c>
      <c r="S32" s="103"/>
    </row>
    <row r="33" spans="2:19" s="96" customFormat="1" ht="33" customHeight="1">
      <c r="B33" s="47" t="s">
        <v>17</v>
      </c>
      <c r="C33" s="48" t="s">
        <v>6575</v>
      </c>
      <c r="D33" s="49" t="s">
        <v>2300</v>
      </c>
      <c r="E33" s="50">
        <v>43602</v>
      </c>
      <c r="F33" s="52" t="s">
        <v>6576</v>
      </c>
      <c r="G33" s="51">
        <v>9200</v>
      </c>
      <c r="H33" s="52">
        <f>SUM(G33/230)</f>
        <v>40</v>
      </c>
      <c r="I33" s="52">
        <f t="shared" si="2"/>
        <v>10</v>
      </c>
      <c r="J33" s="49"/>
      <c r="K33" s="53">
        <v>43695</v>
      </c>
      <c r="L33" s="54" t="s">
        <v>6577</v>
      </c>
      <c r="M33" s="55">
        <v>43683</v>
      </c>
      <c r="N33" s="56" t="s">
        <v>6578</v>
      </c>
      <c r="O33" s="55">
        <v>43688</v>
      </c>
      <c r="P33" s="58"/>
      <c r="Q33" s="52" t="s">
        <v>82</v>
      </c>
      <c r="R33" s="57" t="s">
        <v>6579</v>
      </c>
      <c r="S33" s="47" t="s">
        <v>2764</v>
      </c>
    </row>
    <row r="34" spans="2:19" s="96" customFormat="1" ht="33" customHeight="1">
      <c r="B34" s="47" t="s">
        <v>17</v>
      </c>
      <c r="C34" s="48" t="s">
        <v>3702</v>
      </c>
      <c r="D34" s="49" t="s">
        <v>3703</v>
      </c>
      <c r="E34" s="50">
        <v>43643</v>
      </c>
      <c r="F34" s="52" t="s">
        <v>6576</v>
      </c>
      <c r="G34" s="51">
        <v>4600</v>
      </c>
      <c r="H34" s="52">
        <f>SUM(G34/230)</f>
        <v>20</v>
      </c>
      <c r="I34" s="52">
        <f t="shared" si="2"/>
        <v>5</v>
      </c>
      <c r="J34" s="49"/>
      <c r="K34" s="53">
        <v>43688</v>
      </c>
      <c r="L34" s="54" t="s">
        <v>6577</v>
      </c>
      <c r="M34" s="55">
        <v>43683</v>
      </c>
      <c r="N34" s="56" t="s">
        <v>6578</v>
      </c>
      <c r="O34" s="55">
        <v>43688</v>
      </c>
      <c r="P34" s="58"/>
      <c r="Q34" s="52" t="s">
        <v>82</v>
      </c>
      <c r="R34" s="57"/>
      <c r="S34" s="47"/>
    </row>
    <row r="35" spans="2:19" s="96" customFormat="1" ht="33" customHeight="1">
      <c r="B35" s="47" t="s">
        <v>17</v>
      </c>
      <c r="C35" s="48" t="s">
        <v>6580</v>
      </c>
      <c r="D35" s="49" t="s">
        <v>3377</v>
      </c>
      <c r="E35" s="50">
        <v>43637</v>
      </c>
      <c r="F35" s="52" t="s">
        <v>6576</v>
      </c>
      <c r="G35" s="51">
        <v>9200</v>
      </c>
      <c r="H35" s="52">
        <v>36</v>
      </c>
      <c r="I35" s="52">
        <f t="shared" si="2"/>
        <v>9</v>
      </c>
      <c r="J35" s="49"/>
      <c r="K35" s="53">
        <v>43716</v>
      </c>
      <c r="L35" s="54" t="s">
        <v>5459</v>
      </c>
      <c r="M35" s="55">
        <v>43718</v>
      </c>
      <c r="N35" s="56" t="s">
        <v>5460</v>
      </c>
      <c r="O35" s="55">
        <v>43723</v>
      </c>
      <c r="P35" s="58"/>
      <c r="Q35" s="52"/>
      <c r="R35" s="57" t="s">
        <v>6581</v>
      </c>
      <c r="S35" s="47" t="s">
        <v>5457</v>
      </c>
    </row>
    <row r="36" spans="2:19" s="96" customFormat="1" ht="33" customHeight="1">
      <c r="B36" s="47" t="s">
        <v>17</v>
      </c>
      <c r="C36" s="48" t="s">
        <v>6582</v>
      </c>
      <c r="D36" s="49" t="s">
        <v>3380</v>
      </c>
      <c r="E36" s="50">
        <v>43637</v>
      </c>
      <c r="F36" s="52" t="s">
        <v>6576</v>
      </c>
      <c r="G36" s="51">
        <v>9200</v>
      </c>
      <c r="H36" s="52">
        <f>SUM(G36/230)</f>
        <v>40</v>
      </c>
      <c r="I36" s="52">
        <f t="shared" si="2"/>
        <v>10</v>
      </c>
      <c r="J36" s="49"/>
      <c r="K36" s="53">
        <v>43744</v>
      </c>
      <c r="L36" s="54" t="s">
        <v>6583</v>
      </c>
      <c r="M36" s="55">
        <v>43732</v>
      </c>
      <c r="N36" s="56" t="s">
        <v>6584</v>
      </c>
      <c r="O36" s="55">
        <v>43737</v>
      </c>
      <c r="P36" s="58"/>
      <c r="Q36" s="52"/>
      <c r="R36" s="57" t="s">
        <v>6585</v>
      </c>
      <c r="S36" s="47"/>
    </row>
    <row r="37" spans="2:19" s="67" customFormat="1" ht="33" customHeight="1">
      <c r="B37" s="46" t="s">
        <v>17</v>
      </c>
      <c r="C37" s="35" t="s">
        <v>5033</v>
      </c>
      <c r="D37" s="36" t="s">
        <v>6586</v>
      </c>
      <c r="E37" s="37">
        <v>43689</v>
      </c>
      <c r="F37" s="38" t="s">
        <v>6587</v>
      </c>
      <c r="G37" s="39">
        <v>4600</v>
      </c>
      <c r="H37" s="38">
        <f>SUM(G37/230)</f>
        <v>20</v>
      </c>
      <c r="I37" s="38">
        <f t="shared" si="2"/>
        <v>5</v>
      </c>
      <c r="J37" s="36"/>
      <c r="K37" s="40">
        <v>43800</v>
      </c>
      <c r="L37" s="41" t="s">
        <v>6588</v>
      </c>
      <c r="M37" s="42">
        <v>43767</v>
      </c>
      <c r="N37" s="43" t="s">
        <v>6589</v>
      </c>
      <c r="O37" s="42">
        <v>43772</v>
      </c>
      <c r="P37" s="45"/>
      <c r="Q37" s="38" t="s">
        <v>82</v>
      </c>
      <c r="R37" s="44" t="s">
        <v>6590</v>
      </c>
      <c r="S37" s="46"/>
    </row>
    <row r="38" spans="2:19" s="96" customFormat="1" ht="33" customHeight="1">
      <c r="B38" s="47" t="s">
        <v>17</v>
      </c>
      <c r="C38" s="48" t="s">
        <v>5346</v>
      </c>
      <c r="D38" s="49" t="s">
        <v>6591</v>
      </c>
      <c r="E38" s="50">
        <v>43700</v>
      </c>
      <c r="F38" s="52" t="s">
        <v>6592</v>
      </c>
      <c r="G38" s="51">
        <v>7360</v>
      </c>
      <c r="H38" s="52">
        <v>32</v>
      </c>
      <c r="I38" s="52">
        <f t="shared" si="2"/>
        <v>8</v>
      </c>
      <c r="J38" s="49"/>
      <c r="K38" s="53">
        <v>43744</v>
      </c>
      <c r="L38" s="54" t="s">
        <v>4481</v>
      </c>
      <c r="M38" s="55">
        <v>43732</v>
      </c>
      <c r="N38" s="56" t="s">
        <v>6593</v>
      </c>
      <c r="O38" s="55">
        <v>43737</v>
      </c>
      <c r="P38" s="58"/>
      <c r="Q38" s="52" t="s">
        <v>82</v>
      </c>
      <c r="R38" s="57" t="s">
        <v>5347</v>
      </c>
      <c r="S38" s="47" t="s">
        <v>5695</v>
      </c>
    </row>
    <row r="39" spans="2:19" s="67" customFormat="1" ht="33" customHeight="1">
      <c r="B39" s="46" t="s">
        <v>17</v>
      </c>
      <c r="C39" s="35" t="s">
        <v>5348</v>
      </c>
      <c r="D39" s="36" t="s">
        <v>6594</v>
      </c>
      <c r="E39" s="37">
        <v>43700</v>
      </c>
      <c r="F39" s="38" t="s">
        <v>6576</v>
      </c>
      <c r="G39" s="39">
        <v>6440</v>
      </c>
      <c r="H39" s="38">
        <f t="shared" ref="H39:H55" si="6">SUM(G39/230)</f>
        <v>28</v>
      </c>
      <c r="I39" s="38">
        <f t="shared" si="2"/>
        <v>7</v>
      </c>
      <c r="J39" s="36"/>
      <c r="K39" s="40">
        <v>43765</v>
      </c>
      <c r="L39" s="41" t="s">
        <v>6595</v>
      </c>
      <c r="M39" s="42">
        <v>43767</v>
      </c>
      <c r="N39" s="43" t="s">
        <v>6589</v>
      </c>
      <c r="O39" s="42">
        <v>43772</v>
      </c>
      <c r="P39" s="45"/>
      <c r="Q39" s="38" t="s">
        <v>82</v>
      </c>
      <c r="R39" s="44" t="s">
        <v>6596</v>
      </c>
      <c r="S39" s="46"/>
    </row>
    <row r="40" spans="2:19" s="67" customFormat="1" ht="33" customHeight="1">
      <c r="B40" s="46" t="s">
        <v>17</v>
      </c>
      <c r="C40" s="35" t="s">
        <v>5861</v>
      </c>
      <c r="D40" s="36" t="s">
        <v>5860</v>
      </c>
      <c r="E40" s="37">
        <v>43724</v>
      </c>
      <c r="F40" s="38" t="s">
        <v>6576</v>
      </c>
      <c r="G40" s="39">
        <v>9200</v>
      </c>
      <c r="H40" s="38">
        <f t="shared" si="6"/>
        <v>40</v>
      </c>
      <c r="I40" s="38">
        <f t="shared" si="2"/>
        <v>10</v>
      </c>
      <c r="J40" s="36"/>
      <c r="K40" s="40">
        <v>43814</v>
      </c>
      <c r="L40" s="41" t="s">
        <v>6597</v>
      </c>
      <c r="M40" s="42">
        <v>43809</v>
      </c>
      <c r="N40" s="43" t="s">
        <v>6598</v>
      </c>
      <c r="O40" s="42">
        <v>43814</v>
      </c>
      <c r="P40" s="45"/>
      <c r="Q40" s="38" t="s">
        <v>82</v>
      </c>
      <c r="R40" s="44" t="s">
        <v>6599</v>
      </c>
      <c r="S40" s="46"/>
    </row>
    <row r="41" spans="2:19" s="117" customFormat="1" ht="33" customHeight="1">
      <c r="B41" s="103" t="s">
        <v>17</v>
      </c>
      <c r="C41" s="104" t="s">
        <v>6600</v>
      </c>
      <c r="D41" s="105" t="s">
        <v>6601</v>
      </c>
      <c r="E41" s="106">
        <v>43752</v>
      </c>
      <c r="F41" s="107" t="s">
        <v>84</v>
      </c>
      <c r="G41" s="108">
        <v>7360</v>
      </c>
      <c r="H41" s="107">
        <f t="shared" si="6"/>
        <v>32</v>
      </c>
      <c r="I41" s="107">
        <f t="shared" si="2"/>
        <v>8</v>
      </c>
      <c r="J41" s="105"/>
      <c r="K41" s="109">
        <v>43842</v>
      </c>
      <c r="L41" s="110"/>
      <c r="M41" s="111"/>
      <c r="N41" s="112"/>
      <c r="O41" s="111"/>
      <c r="P41" s="113"/>
      <c r="Q41" s="107" t="s">
        <v>82</v>
      </c>
      <c r="R41" s="114" t="s">
        <v>6602</v>
      </c>
      <c r="S41" s="103"/>
    </row>
    <row r="42" spans="2:19" s="96" customFormat="1" ht="33" customHeight="1">
      <c r="B42" s="47" t="s">
        <v>81</v>
      </c>
      <c r="C42" s="48" t="s">
        <v>3406</v>
      </c>
      <c r="D42" s="49" t="s">
        <v>3407</v>
      </c>
      <c r="E42" s="50">
        <v>43637</v>
      </c>
      <c r="F42" s="52" t="s">
        <v>6576</v>
      </c>
      <c r="G42" s="51">
        <v>12880</v>
      </c>
      <c r="H42" s="52">
        <f t="shared" si="6"/>
        <v>56</v>
      </c>
      <c r="I42" s="52">
        <f t="shared" si="2"/>
        <v>14</v>
      </c>
      <c r="J42" s="52"/>
      <c r="K42" s="53">
        <v>43723</v>
      </c>
      <c r="L42" s="54" t="s">
        <v>5462</v>
      </c>
      <c r="M42" s="55">
        <v>43725</v>
      </c>
      <c r="N42" s="56" t="s">
        <v>5463</v>
      </c>
      <c r="O42" s="55">
        <v>43730</v>
      </c>
      <c r="P42" s="58"/>
      <c r="Q42" s="47"/>
      <c r="R42" s="57" t="s">
        <v>6603</v>
      </c>
      <c r="S42" s="47" t="s">
        <v>6604</v>
      </c>
    </row>
    <row r="43" spans="2:19" s="96" customFormat="1" ht="33" customHeight="1">
      <c r="B43" s="47" t="s">
        <v>81</v>
      </c>
      <c r="C43" s="48" t="s">
        <v>6605</v>
      </c>
      <c r="D43" s="49" t="s">
        <v>3407</v>
      </c>
      <c r="E43" s="50">
        <v>43637</v>
      </c>
      <c r="F43" s="52" t="s">
        <v>6576</v>
      </c>
      <c r="G43" s="51">
        <v>920</v>
      </c>
      <c r="H43" s="52">
        <f t="shared" si="6"/>
        <v>4</v>
      </c>
      <c r="I43" s="52">
        <v>1</v>
      </c>
      <c r="J43" s="52"/>
      <c r="K43" s="53">
        <v>43723</v>
      </c>
      <c r="L43" s="54" t="s">
        <v>5459</v>
      </c>
      <c r="M43" s="55">
        <v>43718</v>
      </c>
      <c r="N43" s="56" t="s">
        <v>5460</v>
      </c>
      <c r="O43" s="55">
        <v>43723</v>
      </c>
      <c r="P43" s="58"/>
      <c r="Q43" s="47"/>
      <c r="R43" s="57" t="s">
        <v>6603</v>
      </c>
      <c r="S43" s="47" t="s">
        <v>6604</v>
      </c>
    </row>
    <row r="44" spans="2:19" s="96" customFormat="1" ht="33" customHeight="1">
      <c r="B44" s="47" t="s">
        <v>81</v>
      </c>
      <c r="C44" s="48" t="s">
        <v>3409</v>
      </c>
      <c r="D44" s="49" t="s">
        <v>3743</v>
      </c>
      <c r="E44" s="50">
        <v>43665</v>
      </c>
      <c r="F44" s="52" t="s">
        <v>6576</v>
      </c>
      <c r="G44" s="51">
        <v>9200</v>
      </c>
      <c r="H44" s="52">
        <f t="shared" si="6"/>
        <v>40</v>
      </c>
      <c r="I44" s="52">
        <f t="shared" ref="I44:I55" si="7">SUM(H44/4)</f>
        <v>10</v>
      </c>
      <c r="J44" s="52"/>
      <c r="K44" s="53">
        <v>43667</v>
      </c>
      <c r="L44" s="54" t="s">
        <v>6606</v>
      </c>
      <c r="M44" s="55">
        <v>43718</v>
      </c>
      <c r="N44" s="56" t="s">
        <v>6607</v>
      </c>
      <c r="O44" s="55">
        <v>43667</v>
      </c>
      <c r="P44" s="58"/>
      <c r="Q44" s="47"/>
      <c r="R44" s="57"/>
      <c r="S44" s="47"/>
    </row>
    <row r="45" spans="2:19" s="96" customFormat="1" ht="33" customHeight="1">
      <c r="B45" s="47" t="s">
        <v>81</v>
      </c>
      <c r="C45" s="48" t="s">
        <v>4318</v>
      </c>
      <c r="D45" s="49" t="s">
        <v>4319</v>
      </c>
      <c r="E45" s="50">
        <v>43665</v>
      </c>
      <c r="F45" s="52" t="s">
        <v>6576</v>
      </c>
      <c r="G45" s="51">
        <v>9200</v>
      </c>
      <c r="H45" s="52">
        <f t="shared" si="6"/>
        <v>40</v>
      </c>
      <c r="I45" s="52">
        <f t="shared" si="7"/>
        <v>10</v>
      </c>
      <c r="J45" s="52"/>
      <c r="K45" s="53">
        <v>43751</v>
      </c>
      <c r="L45" s="54" t="s">
        <v>6608</v>
      </c>
      <c r="M45" s="55">
        <v>43746</v>
      </c>
      <c r="N45" s="56" t="s">
        <v>6609</v>
      </c>
      <c r="O45" s="55">
        <v>43751</v>
      </c>
      <c r="P45" s="58"/>
      <c r="Q45" s="47"/>
      <c r="R45" s="57" t="s">
        <v>6610</v>
      </c>
      <c r="S45" s="47"/>
    </row>
    <row r="46" spans="2:19" s="96" customFormat="1" ht="33" customHeight="1">
      <c r="B46" s="47" t="s">
        <v>81</v>
      </c>
      <c r="C46" s="48" t="s">
        <v>4321</v>
      </c>
      <c r="D46" s="49" t="s">
        <v>4322</v>
      </c>
      <c r="E46" s="50">
        <v>43665</v>
      </c>
      <c r="F46" s="52" t="s">
        <v>6576</v>
      </c>
      <c r="G46" s="51">
        <v>8740</v>
      </c>
      <c r="H46" s="52">
        <f t="shared" si="6"/>
        <v>38</v>
      </c>
      <c r="I46" s="52">
        <f t="shared" si="7"/>
        <v>9.5</v>
      </c>
      <c r="J46" s="52"/>
      <c r="K46" s="53">
        <v>43765</v>
      </c>
      <c r="L46" s="54" t="s">
        <v>4479</v>
      </c>
      <c r="M46" s="55">
        <v>43753</v>
      </c>
      <c r="N46" s="56" t="s">
        <v>6611</v>
      </c>
      <c r="O46" s="55">
        <v>43758</v>
      </c>
      <c r="P46" s="58"/>
      <c r="Q46" s="47"/>
      <c r="R46" s="57" t="s">
        <v>6612</v>
      </c>
      <c r="S46" s="47"/>
    </row>
    <row r="47" spans="2:19" s="67" customFormat="1" ht="33" customHeight="1">
      <c r="B47" s="46" t="s">
        <v>81</v>
      </c>
      <c r="C47" s="35" t="s">
        <v>6613</v>
      </c>
      <c r="D47" s="36" t="s">
        <v>5849</v>
      </c>
      <c r="E47" s="37">
        <v>43714</v>
      </c>
      <c r="F47" s="38" t="s">
        <v>6592</v>
      </c>
      <c r="G47" s="39">
        <v>4600</v>
      </c>
      <c r="H47" s="38">
        <f t="shared" si="6"/>
        <v>20</v>
      </c>
      <c r="I47" s="38">
        <f t="shared" si="7"/>
        <v>5</v>
      </c>
      <c r="J47" s="38"/>
      <c r="K47" s="40">
        <v>43765</v>
      </c>
      <c r="L47" s="41" t="s">
        <v>6614</v>
      </c>
      <c r="M47" s="42">
        <v>43767</v>
      </c>
      <c r="N47" s="43" t="s">
        <v>6615</v>
      </c>
      <c r="O47" s="42">
        <v>43772</v>
      </c>
      <c r="P47" s="45"/>
      <c r="Q47" s="46"/>
      <c r="R47" s="44" t="s">
        <v>6616</v>
      </c>
      <c r="S47" s="46"/>
    </row>
    <row r="48" spans="2:19" s="67" customFormat="1" ht="33" customHeight="1">
      <c r="B48" s="46" t="s">
        <v>81</v>
      </c>
      <c r="C48" s="35" t="s">
        <v>5006</v>
      </c>
      <c r="D48" s="36" t="s">
        <v>5005</v>
      </c>
      <c r="E48" s="37">
        <v>43689</v>
      </c>
      <c r="F48" s="38" t="s">
        <v>6592</v>
      </c>
      <c r="G48" s="39">
        <v>9200</v>
      </c>
      <c r="H48" s="38">
        <f t="shared" si="6"/>
        <v>40</v>
      </c>
      <c r="I48" s="38">
        <f t="shared" si="7"/>
        <v>10</v>
      </c>
      <c r="J48" s="38"/>
      <c r="K48" s="40">
        <v>43786</v>
      </c>
      <c r="L48" s="41" t="s">
        <v>6438</v>
      </c>
      <c r="M48" s="42">
        <v>43781</v>
      </c>
      <c r="N48" s="43" t="s">
        <v>6617</v>
      </c>
      <c r="O48" s="42">
        <v>43786</v>
      </c>
      <c r="P48" s="45"/>
      <c r="Q48" s="46"/>
      <c r="R48" s="44" t="s">
        <v>6618</v>
      </c>
      <c r="S48" s="46"/>
    </row>
    <row r="49" spans="2:19" s="67" customFormat="1" ht="33" customHeight="1">
      <c r="B49" s="46" t="s">
        <v>81</v>
      </c>
      <c r="C49" s="35" t="s">
        <v>5003</v>
      </c>
      <c r="D49" s="36" t="s">
        <v>5002</v>
      </c>
      <c r="E49" s="37">
        <v>43689</v>
      </c>
      <c r="F49" s="38" t="s">
        <v>6592</v>
      </c>
      <c r="G49" s="39">
        <v>9200</v>
      </c>
      <c r="H49" s="38">
        <f t="shared" si="6"/>
        <v>40</v>
      </c>
      <c r="I49" s="38">
        <f t="shared" si="7"/>
        <v>10</v>
      </c>
      <c r="J49" s="38"/>
      <c r="K49" s="40">
        <v>43800</v>
      </c>
      <c r="L49" s="41" t="s">
        <v>6439</v>
      </c>
      <c r="M49" s="42">
        <v>43795</v>
      </c>
      <c r="N49" s="43" t="s">
        <v>6619</v>
      </c>
      <c r="O49" s="42">
        <v>43800</v>
      </c>
      <c r="P49" s="45"/>
      <c r="Q49" s="46"/>
      <c r="R49" s="44" t="s">
        <v>6620</v>
      </c>
      <c r="S49" s="46"/>
    </row>
    <row r="50" spans="2:19" s="67" customFormat="1" ht="33" customHeight="1">
      <c r="B50" s="46" t="s">
        <v>81</v>
      </c>
      <c r="C50" s="35" t="s">
        <v>5842</v>
      </c>
      <c r="D50" s="36" t="s">
        <v>6621</v>
      </c>
      <c r="E50" s="37">
        <v>43724</v>
      </c>
      <c r="F50" s="38" t="s">
        <v>6576</v>
      </c>
      <c r="G50" s="39">
        <v>13800</v>
      </c>
      <c r="H50" s="38">
        <f t="shared" si="6"/>
        <v>60</v>
      </c>
      <c r="I50" s="38">
        <f t="shared" si="7"/>
        <v>15</v>
      </c>
      <c r="J50" s="38"/>
      <c r="K50" s="40">
        <v>43821</v>
      </c>
      <c r="L50" s="41" t="s">
        <v>6440</v>
      </c>
      <c r="M50" s="42">
        <v>43816</v>
      </c>
      <c r="N50" s="43" t="s">
        <v>6622</v>
      </c>
      <c r="O50" s="42">
        <v>43821</v>
      </c>
      <c r="P50" s="45"/>
      <c r="Q50" s="46"/>
      <c r="R50" s="44" t="s">
        <v>6623</v>
      </c>
      <c r="S50" s="46"/>
    </row>
    <row r="51" spans="2:19" s="67" customFormat="1" ht="33" customHeight="1">
      <c r="B51" s="122" t="s">
        <v>81</v>
      </c>
      <c r="C51" s="126" t="s">
        <v>6469</v>
      </c>
      <c r="D51" s="105" t="s">
        <v>6624</v>
      </c>
      <c r="E51" s="128">
        <v>43743</v>
      </c>
      <c r="F51" s="124" t="s">
        <v>6592</v>
      </c>
      <c r="G51" s="129">
        <v>4600</v>
      </c>
      <c r="H51" s="124">
        <f t="shared" si="6"/>
        <v>20</v>
      </c>
      <c r="I51" s="124">
        <f t="shared" si="7"/>
        <v>5</v>
      </c>
      <c r="J51" s="124"/>
      <c r="K51" s="130">
        <v>43779</v>
      </c>
      <c r="L51" s="119" t="s">
        <v>6625</v>
      </c>
      <c r="M51" s="120">
        <v>43774</v>
      </c>
      <c r="N51" s="121" t="s">
        <v>6626</v>
      </c>
      <c r="O51" s="120">
        <v>43789</v>
      </c>
      <c r="P51" s="123"/>
      <c r="Q51" s="122"/>
      <c r="R51" s="125" t="s">
        <v>6627</v>
      </c>
      <c r="S51" s="122"/>
    </row>
    <row r="52" spans="2:19" s="117" customFormat="1" ht="33" customHeight="1">
      <c r="B52" s="103" t="s">
        <v>81</v>
      </c>
      <c r="C52" s="104" t="s">
        <v>6628</v>
      </c>
      <c r="D52" s="105" t="s">
        <v>6629</v>
      </c>
      <c r="E52" s="106">
        <v>43752</v>
      </c>
      <c r="F52" s="107" t="s">
        <v>84</v>
      </c>
      <c r="G52" s="108">
        <v>18400</v>
      </c>
      <c r="H52" s="107">
        <f t="shared" si="6"/>
        <v>80</v>
      </c>
      <c r="I52" s="107">
        <f t="shared" si="7"/>
        <v>20</v>
      </c>
      <c r="J52" s="107"/>
      <c r="K52" s="109">
        <v>43842</v>
      </c>
      <c r="L52" s="110"/>
      <c r="M52" s="111"/>
      <c r="N52" s="112"/>
      <c r="O52" s="111"/>
      <c r="P52" s="113"/>
      <c r="Q52" s="103"/>
      <c r="R52" s="114" t="s">
        <v>6630</v>
      </c>
      <c r="S52" s="103"/>
    </row>
    <row r="53" spans="2:19" s="96" customFormat="1" ht="33" customHeight="1">
      <c r="B53" s="47" t="s">
        <v>6631</v>
      </c>
      <c r="C53" s="48" t="s">
        <v>6632</v>
      </c>
      <c r="D53" s="49" t="s">
        <v>705</v>
      </c>
      <c r="E53" s="50">
        <v>43532</v>
      </c>
      <c r="F53" s="52" t="s">
        <v>6592</v>
      </c>
      <c r="G53" s="51">
        <v>920</v>
      </c>
      <c r="H53" s="52">
        <f t="shared" si="6"/>
        <v>4</v>
      </c>
      <c r="I53" s="52">
        <f t="shared" si="7"/>
        <v>1</v>
      </c>
      <c r="J53" s="52"/>
      <c r="K53" s="53">
        <v>43609</v>
      </c>
      <c r="L53" s="54" t="s">
        <v>773</v>
      </c>
      <c r="M53" s="55">
        <v>43601</v>
      </c>
      <c r="N53" s="56" t="s">
        <v>774</v>
      </c>
      <c r="O53" s="55">
        <v>43605</v>
      </c>
      <c r="P53" s="58"/>
      <c r="Q53" s="47"/>
      <c r="R53" s="57"/>
      <c r="S53" s="47" t="s">
        <v>6633</v>
      </c>
    </row>
    <row r="54" spans="2:19" s="96" customFormat="1" ht="33" customHeight="1">
      <c r="B54" s="47" t="s">
        <v>6634</v>
      </c>
      <c r="C54" s="48" t="s">
        <v>2333</v>
      </c>
      <c r="D54" s="49" t="s">
        <v>2334</v>
      </c>
      <c r="E54" s="50">
        <v>43602</v>
      </c>
      <c r="F54" s="52" t="s">
        <v>6592</v>
      </c>
      <c r="G54" s="51">
        <v>460</v>
      </c>
      <c r="H54" s="52">
        <f t="shared" si="6"/>
        <v>2</v>
      </c>
      <c r="I54" s="52">
        <f t="shared" si="7"/>
        <v>0.5</v>
      </c>
      <c r="J54" s="52"/>
      <c r="K54" s="53">
        <v>43681</v>
      </c>
      <c r="L54" s="54" t="s">
        <v>6441</v>
      </c>
      <c r="M54" s="55">
        <v>43676</v>
      </c>
      <c r="N54" s="56" t="s">
        <v>6635</v>
      </c>
      <c r="O54" s="55">
        <v>43681</v>
      </c>
      <c r="P54" s="58"/>
      <c r="Q54" s="47"/>
      <c r="R54" s="57" t="s">
        <v>6636</v>
      </c>
      <c r="S54" s="47" t="s">
        <v>3549</v>
      </c>
    </row>
    <row r="55" spans="2:19" s="96" customFormat="1" ht="33" customHeight="1">
      <c r="B55" s="47" t="s">
        <v>6634</v>
      </c>
      <c r="C55" s="48" t="s">
        <v>4329</v>
      </c>
      <c r="D55" s="49" t="s">
        <v>4330</v>
      </c>
      <c r="E55" s="50">
        <v>43665</v>
      </c>
      <c r="F55" s="52" t="s">
        <v>6592</v>
      </c>
      <c r="G55" s="51">
        <v>460</v>
      </c>
      <c r="H55" s="52">
        <f t="shared" si="6"/>
        <v>2</v>
      </c>
      <c r="I55" s="52">
        <f t="shared" si="7"/>
        <v>0.5</v>
      </c>
      <c r="J55" s="52"/>
      <c r="K55" s="53">
        <v>43765</v>
      </c>
      <c r="L55" s="54" t="s">
        <v>4479</v>
      </c>
      <c r="M55" s="55">
        <v>43753</v>
      </c>
      <c r="N55" s="56" t="s">
        <v>6637</v>
      </c>
      <c r="O55" s="55">
        <v>43758</v>
      </c>
      <c r="P55" s="58"/>
      <c r="Q55" s="47"/>
      <c r="R55" s="57" t="s">
        <v>6616</v>
      </c>
      <c r="S55" s="47"/>
    </row>
    <row r="56" spans="2:19" s="33" customFormat="1" ht="33" customHeight="1">
      <c r="B56" s="47" t="s">
        <v>6638</v>
      </c>
      <c r="C56" s="48" t="s">
        <v>2360</v>
      </c>
      <c r="D56" s="49" t="s">
        <v>6639</v>
      </c>
      <c r="E56" s="50">
        <v>43602</v>
      </c>
      <c r="F56" s="52" t="s">
        <v>6592</v>
      </c>
      <c r="G56" s="51">
        <v>2560</v>
      </c>
      <c r="H56" s="52">
        <f t="shared" ref="H56:H61" si="8">SUM(G56/20)</f>
        <v>128</v>
      </c>
      <c r="I56" s="52">
        <f t="shared" ref="I56:I61" si="9">SUM(H56/32)</f>
        <v>4</v>
      </c>
      <c r="J56" s="59"/>
      <c r="K56" s="53">
        <v>43695</v>
      </c>
      <c r="L56" s="54" t="s">
        <v>2505</v>
      </c>
      <c r="M56" s="55">
        <v>43683</v>
      </c>
      <c r="N56" s="56" t="s">
        <v>6640</v>
      </c>
      <c r="O56" s="55">
        <v>43688</v>
      </c>
      <c r="P56" s="58"/>
      <c r="Q56" s="60" t="s">
        <v>89</v>
      </c>
      <c r="R56" s="57" t="s">
        <v>6641</v>
      </c>
      <c r="S56" s="47"/>
    </row>
    <row r="57" spans="2:19" s="33" customFormat="1" ht="33" customHeight="1">
      <c r="B57" s="47" t="s">
        <v>6638</v>
      </c>
      <c r="C57" s="48" t="s">
        <v>3429</v>
      </c>
      <c r="D57" s="49" t="s">
        <v>3430</v>
      </c>
      <c r="E57" s="50">
        <v>43637</v>
      </c>
      <c r="F57" s="52" t="s">
        <v>6592</v>
      </c>
      <c r="G57" s="51">
        <v>3840</v>
      </c>
      <c r="H57" s="52">
        <f t="shared" si="8"/>
        <v>192</v>
      </c>
      <c r="I57" s="52">
        <f t="shared" si="9"/>
        <v>6</v>
      </c>
      <c r="J57" s="59"/>
      <c r="K57" s="53">
        <v>43723</v>
      </c>
      <c r="L57" s="54" t="s">
        <v>5459</v>
      </c>
      <c r="M57" s="55">
        <v>43718</v>
      </c>
      <c r="N57" s="56" t="s">
        <v>6642</v>
      </c>
      <c r="O57" s="55">
        <v>43723</v>
      </c>
      <c r="P57" s="58"/>
      <c r="Q57" s="60" t="s">
        <v>89</v>
      </c>
      <c r="R57" s="57" t="s">
        <v>6643</v>
      </c>
      <c r="S57" s="47"/>
    </row>
    <row r="58" spans="2:19" s="33" customFormat="1" ht="33" customHeight="1">
      <c r="B58" s="47" t="s">
        <v>6638</v>
      </c>
      <c r="C58" s="48" t="s">
        <v>4344</v>
      </c>
      <c r="D58" s="49" t="s">
        <v>4345</v>
      </c>
      <c r="E58" s="50">
        <v>43665</v>
      </c>
      <c r="F58" s="52" t="s">
        <v>6592</v>
      </c>
      <c r="G58" s="51">
        <v>3200</v>
      </c>
      <c r="H58" s="52">
        <f t="shared" si="8"/>
        <v>160</v>
      </c>
      <c r="I58" s="52">
        <f t="shared" si="9"/>
        <v>5</v>
      </c>
      <c r="J58" s="59"/>
      <c r="K58" s="53">
        <v>43758</v>
      </c>
      <c r="L58" s="54" t="s">
        <v>4479</v>
      </c>
      <c r="M58" s="55">
        <v>43753</v>
      </c>
      <c r="N58" s="56" t="s">
        <v>6637</v>
      </c>
      <c r="O58" s="55">
        <v>43758</v>
      </c>
      <c r="P58" s="58"/>
      <c r="Q58" s="60" t="s">
        <v>89</v>
      </c>
      <c r="R58" s="57" t="s">
        <v>6644</v>
      </c>
      <c r="S58" s="47"/>
    </row>
    <row r="59" spans="2:19" s="30" customFormat="1" ht="33" customHeight="1">
      <c r="B59" s="46" t="s">
        <v>6638</v>
      </c>
      <c r="C59" s="35" t="s">
        <v>4969</v>
      </c>
      <c r="D59" s="36" t="s">
        <v>4968</v>
      </c>
      <c r="E59" s="37">
        <v>43689</v>
      </c>
      <c r="F59" s="38" t="s">
        <v>6592</v>
      </c>
      <c r="G59" s="39">
        <v>3840</v>
      </c>
      <c r="H59" s="38">
        <f t="shared" si="8"/>
        <v>192</v>
      </c>
      <c r="I59" s="38">
        <f t="shared" si="9"/>
        <v>6</v>
      </c>
      <c r="J59" s="61"/>
      <c r="K59" s="40">
        <v>43786</v>
      </c>
      <c r="L59" s="41" t="s">
        <v>6438</v>
      </c>
      <c r="M59" s="42">
        <v>43781</v>
      </c>
      <c r="N59" s="43" t="s">
        <v>6617</v>
      </c>
      <c r="O59" s="42">
        <v>43786</v>
      </c>
      <c r="P59" s="45"/>
      <c r="Q59" s="62" t="s">
        <v>89</v>
      </c>
      <c r="R59" s="44" t="s">
        <v>6645</v>
      </c>
      <c r="S59" s="46"/>
    </row>
    <row r="60" spans="2:19" s="30" customFormat="1" ht="33" customHeight="1">
      <c r="B60" s="46" t="s">
        <v>6638</v>
      </c>
      <c r="C60" s="35" t="s">
        <v>5818</v>
      </c>
      <c r="D60" s="36" t="s">
        <v>5817</v>
      </c>
      <c r="E60" s="37">
        <v>43724</v>
      </c>
      <c r="F60" s="38" t="s">
        <v>6592</v>
      </c>
      <c r="G60" s="39">
        <v>3840</v>
      </c>
      <c r="H60" s="38">
        <f t="shared" si="8"/>
        <v>192</v>
      </c>
      <c r="I60" s="38">
        <f t="shared" si="9"/>
        <v>6</v>
      </c>
      <c r="J60" s="61"/>
      <c r="K60" s="40">
        <v>43814</v>
      </c>
      <c r="L60" s="41" t="s">
        <v>6442</v>
      </c>
      <c r="M60" s="42">
        <v>43809</v>
      </c>
      <c r="N60" s="43" t="s">
        <v>6646</v>
      </c>
      <c r="O60" s="42">
        <v>43814</v>
      </c>
      <c r="P60" s="45"/>
      <c r="Q60" s="62" t="s">
        <v>89</v>
      </c>
      <c r="R60" s="44" t="s">
        <v>6647</v>
      </c>
      <c r="S60" s="46"/>
    </row>
    <row r="61" spans="2:19" s="147" customFormat="1" ht="33" customHeight="1">
      <c r="B61" s="103" t="s">
        <v>6638</v>
      </c>
      <c r="C61" s="104" t="s">
        <v>6648</v>
      </c>
      <c r="D61" s="105" t="s">
        <v>6649</v>
      </c>
      <c r="E61" s="106">
        <v>43752</v>
      </c>
      <c r="F61" s="107" t="s">
        <v>6592</v>
      </c>
      <c r="G61" s="108">
        <v>3840</v>
      </c>
      <c r="H61" s="107">
        <f t="shared" si="8"/>
        <v>192</v>
      </c>
      <c r="I61" s="107">
        <f t="shared" si="9"/>
        <v>6</v>
      </c>
      <c r="J61" s="148"/>
      <c r="K61" s="109">
        <v>43842</v>
      </c>
      <c r="L61" s="110"/>
      <c r="M61" s="111"/>
      <c r="N61" s="112"/>
      <c r="O61" s="111"/>
      <c r="P61" s="113"/>
      <c r="Q61" s="149" t="s">
        <v>89</v>
      </c>
      <c r="R61" s="114" t="s">
        <v>6650</v>
      </c>
      <c r="S61" s="103"/>
    </row>
    <row r="62" spans="2:19" s="33" customFormat="1" ht="33" customHeight="1">
      <c r="B62" s="47" t="s">
        <v>38</v>
      </c>
      <c r="C62" s="48" t="s">
        <v>225</v>
      </c>
      <c r="D62" s="49" t="s">
        <v>587</v>
      </c>
      <c r="E62" s="50">
        <v>43519</v>
      </c>
      <c r="F62" s="52" t="s">
        <v>6651</v>
      </c>
      <c r="G62" s="64">
        <v>640</v>
      </c>
      <c r="H62" s="52">
        <f>SUBTOTAL(9,G62)/20</f>
        <v>32</v>
      </c>
      <c r="I62" s="52">
        <f>H62/32</f>
        <v>1</v>
      </c>
      <c r="J62" s="52"/>
      <c r="K62" s="53">
        <v>43583</v>
      </c>
      <c r="L62" s="54" t="s">
        <v>565</v>
      </c>
      <c r="M62" s="55">
        <v>43578</v>
      </c>
      <c r="N62" s="56" t="s">
        <v>6652</v>
      </c>
      <c r="O62" s="55">
        <v>43583</v>
      </c>
      <c r="P62" s="58"/>
      <c r="Q62" s="52"/>
      <c r="R62" s="63" t="s">
        <v>6653</v>
      </c>
      <c r="S62" s="47"/>
    </row>
    <row r="63" spans="2:19" s="30" customFormat="1" ht="33" customHeight="1">
      <c r="B63" s="122" t="s">
        <v>6654</v>
      </c>
      <c r="C63" s="126" t="s">
        <v>226</v>
      </c>
      <c r="D63" s="127" t="s">
        <v>1194</v>
      </c>
      <c r="E63" s="128">
        <v>43567</v>
      </c>
      <c r="F63" s="124" t="s">
        <v>6651</v>
      </c>
      <c r="G63" s="152">
        <v>640</v>
      </c>
      <c r="H63" s="124">
        <f>SUBTOTAL(9,G63)/20</f>
        <v>32</v>
      </c>
      <c r="I63" s="124">
        <f>H63/32</f>
        <v>1</v>
      </c>
      <c r="J63" s="124"/>
      <c r="K63" s="130">
        <v>43758</v>
      </c>
      <c r="L63" s="119" t="s">
        <v>6434</v>
      </c>
      <c r="M63" s="120">
        <v>43759</v>
      </c>
      <c r="N63" s="121" t="s">
        <v>6655</v>
      </c>
      <c r="O63" s="120">
        <v>43765</v>
      </c>
      <c r="P63" s="215" t="s">
        <v>6491</v>
      </c>
      <c r="Q63" s="124"/>
      <c r="R63" s="134" t="s">
        <v>6656</v>
      </c>
      <c r="S63" s="122"/>
    </row>
    <row r="64" spans="2:19" s="33" customFormat="1" ht="33" customHeight="1">
      <c r="B64" s="47" t="s">
        <v>6657</v>
      </c>
      <c r="C64" s="48" t="s">
        <v>2378</v>
      </c>
      <c r="D64" s="49" t="s">
        <v>2379</v>
      </c>
      <c r="E64" s="50">
        <v>43602</v>
      </c>
      <c r="F64" s="52" t="s">
        <v>6651</v>
      </c>
      <c r="G64" s="64">
        <v>760</v>
      </c>
      <c r="H64" s="52">
        <f>SUBTOTAL(9,G64)/190</f>
        <v>4</v>
      </c>
      <c r="I64" s="52">
        <f>H64/4</f>
        <v>1</v>
      </c>
      <c r="J64" s="52"/>
      <c r="K64" s="53">
        <v>43702</v>
      </c>
      <c r="L64" s="54" t="s">
        <v>6435</v>
      </c>
      <c r="M64" s="55">
        <v>43718</v>
      </c>
      <c r="N64" s="56" t="s">
        <v>6658</v>
      </c>
      <c r="O64" s="55">
        <v>43702</v>
      </c>
      <c r="P64" s="58"/>
      <c r="Q64" s="52"/>
      <c r="R64" s="63" t="s">
        <v>6659</v>
      </c>
      <c r="S64" s="47"/>
    </row>
    <row r="65" spans="2:19" s="30" customFormat="1" ht="33" customHeight="1">
      <c r="B65" s="46" t="s">
        <v>6660</v>
      </c>
      <c r="C65" s="35" t="s">
        <v>2430</v>
      </c>
      <c r="D65" s="36" t="s">
        <v>3457</v>
      </c>
      <c r="E65" s="37">
        <v>43637</v>
      </c>
      <c r="F65" s="38" t="s">
        <v>6661</v>
      </c>
      <c r="G65" s="65">
        <v>760</v>
      </c>
      <c r="H65" s="38">
        <f>SUBTOTAL(9,G65)/190</f>
        <v>4</v>
      </c>
      <c r="I65" s="38">
        <f>H65/4</f>
        <v>1</v>
      </c>
      <c r="J65" s="38"/>
      <c r="K65" s="40">
        <v>43731</v>
      </c>
      <c r="L65" s="41" t="s">
        <v>6436</v>
      </c>
      <c r="M65" s="42">
        <v>43725</v>
      </c>
      <c r="N65" s="43" t="s">
        <v>6662</v>
      </c>
      <c r="O65" s="42">
        <v>43730</v>
      </c>
      <c r="P65" s="45"/>
      <c r="Q65" s="38"/>
      <c r="R65" s="66" t="s">
        <v>6663</v>
      </c>
      <c r="S65" s="46"/>
    </row>
    <row r="66" spans="2:19" s="30" customFormat="1" ht="33" customHeight="1">
      <c r="B66" s="122" t="s">
        <v>6657</v>
      </c>
      <c r="C66" s="126" t="s">
        <v>2527</v>
      </c>
      <c r="D66" s="127" t="s">
        <v>4369</v>
      </c>
      <c r="E66" s="128">
        <v>43657</v>
      </c>
      <c r="F66" s="124" t="s">
        <v>6651</v>
      </c>
      <c r="G66" s="152">
        <v>760</v>
      </c>
      <c r="H66" s="124">
        <f>SUBTOTAL(9,G66)/190</f>
        <v>4</v>
      </c>
      <c r="I66" s="124">
        <f>H66/4</f>
        <v>1</v>
      </c>
      <c r="J66" s="124"/>
      <c r="K66" s="130">
        <v>43758</v>
      </c>
      <c r="L66" s="119" t="s">
        <v>6434</v>
      </c>
      <c r="M66" s="120">
        <v>43759</v>
      </c>
      <c r="N66" s="121" t="s">
        <v>4549</v>
      </c>
      <c r="O66" s="120">
        <v>43765</v>
      </c>
      <c r="P66" s="123"/>
      <c r="Q66" s="124"/>
      <c r="R66" s="134" t="s">
        <v>6664</v>
      </c>
      <c r="S66" s="122"/>
    </row>
    <row r="67" spans="2:19" s="30" customFormat="1" ht="33" customHeight="1">
      <c r="B67" s="46" t="s">
        <v>6660</v>
      </c>
      <c r="C67" s="35" t="s">
        <v>2528</v>
      </c>
      <c r="D67" s="36" t="s">
        <v>6665</v>
      </c>
      <c r="E67" s="37">
        <v>43700</v>
      </c>
      <c r="F67" s="38" t="s">
        <v>6651</v>
      </c>
      <c r="G67" s="65">
        <v>760</v>
      </c>
      <c r="H67" s="38">
        <f>SUBTOTAL(9,G67)/190</f>
        <v>4</v>
      </c>
      <c r="I67" s="38">
        <f>H67/4</f>
        <v>1</v>
      </c>
      <c r="J67" s="38"/>
      <c r="K67" s="40">
        <v>43823</v>
      </c>
      <c r="L67" s="41" t="s">
        <v>6666</v>
      </c>
      <c r="M67" s="42">
        <v>43816</v>
      </c>
      <c r="N67" s="43" t="s">
        <v>6622</v>
      </c>
      <c r="O67" s="42">
        <v>43821</v>
      </c>
      <c r="P67" s="45"/>
      <c r="Q67" s="38"/>
      <c r="R67" s="66" t="s">
        <v>6667</v>
      </c>
      <c r="S67" s="46"/>
    </row>
    <row r="68" spans="2:19" s="30" customFormat="1" ht="33" customHeight="1">
      <c r="B68" s="46" t="s">
        <v>6660</v>
      </c>
      <c r="C68" s="35" t="s">
        <v>2529</v>
      </c>
      <c r="D68" s="36" t="s">
        <v>6668</v>
      </c>
      <c r="E68" s="37">
        <v>43724</v>
      </c>
      <c r="F68" s="38" t="s">
        <v>6651</v>
      </c>
      <c r="G68" s="65">
        <v>760</v>
      </c>
      <c r="H68" s="38">
        <f>SUBTOTAL(9,G68)/190</f>
        <v>4</v>
      </c>
      <c r="I68" s="38">
        <f>H68/4</f>
        <v>1</v>
      </c>
      <c r="J68" s="38"/>
      <c r="K68" s="40">
        <v>43842</v>
      </c>
      <c r="L68" s="41" t="s">
        <v>6443</v>
      </c>
      <c r="M68" s="42">
        <v>43472</v>
      </c>
      <c r="N68" s="43" t="s">
        <v>6669</v>
      </c>
      <c r="O68" s="42">
        <v>43477</v>
      </c>
      <c r="P68" s="45"/>
      <c r="Q68" s="38"/>
      <c r="R68" s="66" t="s">
        <v>6670</v>
      </c>
      <c r="S68" s="46"/>
    </row>
    <row r="69" spans="2:19" s="33" customFormat="1" ht="33" customHeight="1">
      <c r="B69" s="47" t="s">
        <v>6671</v>
      </c>
      <c r="C69" s="48" t="s">
        <v>430</v>
      </c>
      <c r="D69" s="49" t="s">
        <v>2696</v>
      </c>
      <c r="E69" s="50">
        <v>43609</v>
      </c>
      <c r="F69" s="52" t="s">
        <v>77</v>
      </c>
      <c r="G69" s="51">
        <v>7680</v>
      </c>
      <c r="H69" s="52">
        <f t="shared" ref="H69:H74" si="10">SUM(G69/240)</f>
        <v>32</v>
      </c>
      <c r="I69" s="52">
        <f t="shared" ref="I69:I74" si="11">SUM(H69/4)</f>
        <v>8</v>
      </c>
      <c r="J69" s="52"/>
      <c r="K69" s="53">
        <v>43702</v>
      </c>
      <c r="L69" s="54" t="s">
        <v>2509</v>
      </c>
      <c r="M69" s="55">
        <v>43718</v>
      </c>
      <c r="N69" s="56" t="s">
        <v>2498</v>
      </c>
      <c r="O69" s="55">
        <v>43702</v>
      </c>
      <c r="P69" s="58"/>
      <c r="Q69" s="52"/>
      <c r="R69" s="118" t="s">
        <v>6672</v>
      </c>
      <c r="S69" s="47"/>
    </row>
    <row r="70" spans="2:19" s="33" customFormat="1" ht="33" customHeight="1">
      <c r="B70" s="47" t="s">
        <v>6671</v>
      </c>
      <c r="C70" s="48" t="s">
        <v>519</v>
      </c>
      <c r="D70" s="49" t="s">
        <v>3473</v>
      </c>
      <c r="E70" s="50">
        <v>43637</v>
      </c>
      <c r="F70" s="52" t="s">
        <v>77</v>
      </c>
      <c r="G70" s="51">
        <v>9600</v>
      </c>
      <c r="H70" s="52">
        <f t="shared" si="10"/>
        <v>40</v>
      </c>
      <c r="I70" s="52">
        <f t="shared" si="11"/>
        <v>10</v>
      </c>
      <c r="J70" s="52"/>
      <c r="K70" s="53">
        <v>43716</v>
      </c>
      <c r="L70" s="54" t="s">
        <v>6444</v>
      </c>
      <c r="M70" s="55">
        <v>43718</v>
      </c>
      <c r="N70" s="56" t="s">
        <v>6673</v>
      </c>
      <c r="O70" s="55">
        <v>43716</v>
      </c>
      <c r="P70" s="58"/>
      <c r="Q70" s="52"/>
      <c r="R70" s="118" t="s">
        <v>6674</v>
      </c>
      <c r="S70" s="47"/>
    </row>
    <row r="71" spans="2:19" s="33" customFormat="1" ht="33" customHeight="1">
      <c r="B71" s="47" t="s">
        <v>6671</v>
      </c>
      <c r="C71" s="48" t="s">
        <v>520</v>
      </c>
      <c r="D71" s="49" t="s">
        <v>4386</v>
      </c>
      <c r="E71" s="50">
        <v>43665</v>
      </c>
      <c r="F71" s="52" t="s">
        <v>77</v>
      </c>
      <c r="G71" s="51">
        <v>5760</v>
      </c>
      <c r="H71" s="52">
        <f t="shared" si="10"/>
        <v>24</v>
      </c>
      <c r="I71" s="52">
        <f t="shared" si="11"/>
        <v>6</v>
      </c>
      <c r="J71" s="52"/>
      <c r="K71" s="53">
        <v>43765</v>
      </c>
      <c r="L71" s="54" t="s">
        <v>4479</v>
      </c>
      <c r="M71" s="55">
        <v>43753</v>
      </c>
      <c r="N71" s="56" t="s">
        <v>6611</v>
      </c>
      <c r="O71" s="55">
        <v>43758</v>
      </c>
      <c r="P71" s="58"/>
      <c r="Q71" s="52"/>
      <c r="R71" s="118" t="s">
        <v>6675</v>
      </c>
      <c r="S71" s="47"/>
    </row>
    <row r="72" spans="2:19" s="30" customFormat="1" ht="33" customHeight="1">
      <c r="B72" s="46" t="s">
        <v>6671</v>
      </c>
      <c r="C72" s="35" t="s">
        <v>586</v>
      </c>
      <c r="D72" s="36" t="s">
        <v>4932</v>
      </c>
      <c r="E72" s="37">
        <v>43689</v>
      </c>
      <c r="F72" s="38" t="s">
        <v>77</v>
      </c>
      <c r="G72" s="39">
        <v>5760</v>
      </c>
      <c r="H72" s="38">
        <f t="shared" si="10"/>
        <v>24</v>
      </c>
      <c r="I72" s="38">
        <f t="shared" si="11"/>
        <v>6</v>
      </c>
      <c r="J72" s="38"/>
      <c r="K72" s="40">
        <v>43793</v>
      </c>
      <c r="L72" s="41" t="s">
        <v>5439</v>
      </c>
      <c r="M72" s="42">
        <v>43788</v>
      </c>
      <c r="N72" s="43" t="s">
        <v>6676</v>
      </c>
      <c r="O72" s="42">
        <v>43793</v>
      </c>
      <c r="P72" s="45"/>
      <c r="Q72" s="38"/>
      <c r="R72" s="115" t="s">
        <v>6677</v>
      </c>
      <c r="S72" s="46"/>
    </row>
    <row r="73" spans="2:19" s="30" customFormat="1" ht="33" customHeight="1">
      <c r="B73" s="122" t="s">
        <v>6678</v>
      </c>
      <c r="C73" s="126" t="s">
        <v>6679</v>
      </c>
      <c r="D73" s="127" t="s">
        <v>5789</v>
      </c>
      <c r="E73" s="128">
        <v>43714</v>
      </c>
      <c r="F73" s="124" t="s">
        <v>77</v>
      </c>
      <c r="G73" s="210">
        <v>960</v>
      </c>
      <c r="H73" s="201">
        <f t="shared" si="10"/>
        <v>4</v>
      </c>
      <c r="I73" s="201">
        <f t="shared" si="11"/>
        <v>1</v>
      </c>
      <c r="J73" s="124"/>
      <c r="K73" s="130">
        <v>43793</v>
      </c>
      <c r="L73" s="119" t="s">
        <v>5439</v>
      </c>
      <c r="M73" s="120">
        <v>43788</v>
      </c>
      <c r="N73" s="121" t="s">
        <v>5440</v>
      </c>
      <c r="O73" s="120">
        <v>43793</v>
      </c>
      <c r="P73" s="123"/>
      <c r="Q73" s="124"/>
      <c r="R73" s="133" t="s">
        <v>6680</v>
      </c>
      <c r="S73" s="122"/>
    </row>
    <row r="74" spans="2:19" s="30" customFormat="1" ht="33" customHeight="1">
      <c r="B74" s="46" t="s">
        <v>5786</v>
      </c>
      <c r="C74" s="35" t="s">
        <v>6681</v>
      </c>
      <c r="D74" s="36" t="s">
        <v>5784</v>
      </c>
      <c r="E74" s="37">
        <v>43724</v>
      </c>
      <c r="F74" s="38" t="s">
        <v>77</v>
      </c>
      <c r="G74" s="39">
        <v>8640</v>
      </c>
      <c r="H74" s="38">
        <f t="shared" si="10"/>
        <v>36</v>
      </c>
      <c r="I74" s="38">
        <f t="shared" si="11"/>
        <v>9</v>
      </c>
      <c r="J74" s="38"/>
      <c r="K74" s="40">
        <v>43814</v>
      </c>
      <c r="L74" s="41" t="s">
        <v>6442</v>
      </c>
      <c r="M74" s="42">
        <v>43809</v>
      </c>
      <c r="N74" s="43" t="s">
        <v>5963</v>
      </c>
      <c r="O74" s="42">
        <v>43814</v>
      </c>
      <c r="P74" s="45"/>
      <c r="Q74" s="38"/>
      <c r="R74" s="115" t="s">
        <v>6682</v>
      </c>
      <c r="S74" s="46"/>
    </row>
    <row r="75" spans="2:19" s="34" customFormat="1" ht="33" customHeight="1">
      <c r="B75" s="47" t="s">
        <v>6683</v>
      </c>
      <c r="C75" s="48" t="s">
        <v>2378</v>
      </c>
      <c r="D75" s="49" t="s">
        <v>6684</v>
      </c>
      <c r="E75" s="50">
        <v>43602</v>
      </c>
      <c r="F75" s="52" t="s">
        <v>218</v>
      </c>
      <c r="G75" s="51">
        <v>3200</v>
      </c>
      <c r="H75" s="52">
        <f t="shared" ref="H75:H100" si="12">SUM(G75/20)</f>
        <v>160</v>
      </c>
      <c r="I75" s="52">
        <f t="shared" ref="I75:I100" si="13">SUM(H75/32)</f>
        <v>5</v>
      </c>
      <c r="J75" s="52"/>
      <c r="K75" s="53">
        <v>43688</v>
      </c>
      <c r="L75" s="54" t="s">
        <v>2505</v>
      </c>
      <c r="M75" s="55">
        <v>43718</v>
      </c>
      <c r="N75" s="56" t="s">
        <v>6640</v>
      </c>
      <c r="O75" s="55">
        <v>43688</v>
      </c>
      <c r="P75" s="58"/>
      <c r="Q75" s="52" t="s">
        <v>2762</v>
      </c>
      <c r="R75" s="63" t="s">
        <v>211</v>
      </c>
      <c r="S75" s="47" t="s">
        <v>2764</v>
      </c>
    </row>
    <row r="76" spans="2:19" s="34" customFormat="1" ht="33" customHeight="1">
      <c r="B76" s="47" t="s">
        <v>6683</v>
      </c>
      <c r="C76" s="48" t="s">
        <v>2430</v>
      </c>
      <c r="D76" s="199" t="s">
        <v>6685</v>
      </c>
      <c r="E76" s="50">
        <v>43602</v>
      </c>
      <c r="F76" s="52" t="s">
        <v>218</v>
      </c>
      <c r="G76" s="51">
        <v>3200</v>
      </c>
      <c r="H76" s="52">
        <f t="shared" si="12"/>
        <v>160</v>
      </c>
      <c r="I76" s="52">
        <f t="shared" si="13"/>
        <v>5</v>
      </c>
      <c r="J76" s="52"/>
      <c r="K76" s="53">
        <v>43702</v>
      </c>
      <c r="L76" s="54" t="s">
        <v>2509</v>
      </c>
      <c r="M76" s="55">
        <v>43697</v>
      </c>
      <c r="N76" s="56" t="s">
        <v>6686</v>
      </c>
      <c r="O76" s="55">
        <v>43702</v>
      </c>
      <c r="P76" s="58"/>
      <c r="Q76" s="52" t="s">
        <v>2517</v>
      </c>
      <c r="R76" s="63" t="s">
        <v>211</v>
      </c>
      <c r="S76" s="52"/>
    </row>
    <row r="77" spans="2:19" s="34" customFormat="1" ht="33" customHeight="1">
      <c r="B77" s="47" t="s">
        <v>6683</v>
      </c>
      <c r="C77" s="48" t="s">
        <v>3499</v>
      </c>
      <c r="D77" s="199" t="s">
        <v>3500</v>
      </c>
      <c r="E77" s="50">
        <v>43637</v>
      </c>
      <c r="F77" s="52" t="s">
        <v>218</v>
      </c>
      <c r="G77" s="51">
        <v>3200</v>
      </c>
      <c r="H77" s="52">
        <f t="shared" si="12"/>
        <v>160</v>
      </c>
      <c r="I77" s="52">
        <f t="shared" si="13"/>
        <v>5</v>
      </c>
      <c r="J77" s="52"/>
      <c r="K77" s="53">
        <v>43730</v>
      </c>
      <c r="L77" s="54" t="s">
        <v>5462</v>
      </c>
      <c r="M77" s="55">
        <v>43725</v>
      </c>
      <c r="N77" s="56" t="s">
        <v>6662</v>
      </c>
      <c r="O77" s="55">
        <v>43730</v>
      </c>
      <c r="P77" s="58"/>
      <c r="Q77" s="52" t="s">
        <v>6687</v>
      </c>
      <c r="R77" s="63" t="s">
        <v>211</v>
      </c>
      <c r="S77" s="52"/>
    </row>
    <row r="78" spans="2:19" s="34" customFormat="1" ht="33" customHeight="1">
      <c r="B78" s="47" t="s">
        <v>6683</v>
      </c>
      <c r="C78" s="48" t="s">
        <v>3501</v>
      </c>
      <c r="D78" s="199" t="s">
        <v>3502</v>
      </c>
      <c r="E78" s="50">
        <v>43637</v>
      </c>
      <c r="F78" s="52" t="s">
        <v>218</v>
      </c>
      <c r="G78" s="51">
        <v>3200</v>
      </c>
      <c r="H78" s="52">
        <f t="shared" si="12"/>
        <v>160</v>
      </c>
      <c r="I78" s="52">
        <f t="shared" si="13"/>
        <v>5</v>
      </c>
      <c r="J78" s="52"/>
      <c r="K78" s="53">
        <v>43737</v>
      </c>
      <c r="L78" s="54" t="s">
        <v>5205</v>
      </c>
      <c r="M78" s="55">
        <v>43732</v>
      </c>
      <c r="N78" s="56" t="s">
        <v>6688</v>
      </c>
      <c r="O78" s="55">
        <v>43737</v>
      </c>
      <c r="P78" s="58"/>
      <c r="Q78" s="52" t="s">
        <v>5427</v>
      </c>
      <c r="R78" s="63" t="s">
        <v>211</v>
      </c>
      <c r="S78" s="52"/>
    </row>
    <row r="79" spans="2:19" s="34" customFormat="1" ht="33" customHeight="1">
      <c r="B79" s="47" t="s">
        <v>6683</v>
      </c>
      <c r="C79" s="48" t="s">
        <v>4103</v>
      </c>
      <c r="D79" s="199" t="s">
        <v>4408</v>
      </c>
      <c r="E79" s="50">
        <v>43657</v>
      </c>
      <c r="F79" s="52" t="s">
        <v>218</v>
      </c>
      <c r="G79" s="51">
        <v>3200</v>
      </c>
      <c r="H79" s="52">
        <f t="shared" si="12"/>
        <v>160</v>
      </c>
      <c r="I79" s="52">
        <f t="shared" si="13"/>
        <v>5</v>
      </c>
      <c r="J79" s="52"/>
      <c r="K79" s="53">
        <v>43723</v>
      </c>
      <c r="L79" s="54" t="s">
        <v>5459</v>
      </c>
      <c r="M79" s="55">
        <v>43718</v>
      </c>
      <c r="N79" s="56" t="s">
        <v>6642</v>
      </c>
      <c r="O79" s="55">
        <v>43723</v>
      </c>
      <c r="P79" s="58"/>
      <c r="Q79" s="52" t="s">
        <v>6689</v>
      </c>
      <c r="R79" s="63" t="s">
        <v>211</v>
      </c>
      <c r="S79" s="52"/>
    </row>
    <row r="80" spans="2:19" s="34" customFormat="1" ht="33" customHeight="1">
      <c r="B80" s="47" t="s">
        <v>6683</v>
      </c>
      <c r="C80" s="48" t="s">
        <v>4410</v>
      </c>
      <c r="D80" s="199" t="s">
        <v>4411</v>
      </c>
      <c r="E80" s="50">
        <v>43665</v>
      </c>
      <c r="F80" s="52" t="s">
        <v>218</v>
      </c>
      <c r="G80" s="51">
        <v>3200</v>
      </c>
      <c r="H80" s="52">
        <f t="shared" si="12"/>
        <v>160</v>
      </c>
      <c r="I80" s="52">
        <f t="shared" si="13"/>
        <v>5</v>
      </c>
      <c r="J80" s="52"/>
      <c r="K80" s="53">
        <v>43751</v>
      </c>
      <c r="L80" s="54" t="s">
        <v>4475</v>
      </c>
      <c r="M80" s="55">
        <v>43746</v>
      </c>
      <c r="N80" s="56" t="s">
        <v>6690</v>
      </c>
      <c r="O80" s="55">
        <v>43751</v>
      </c>
      <c r="P80" s="58"/>
      <c r="Q80" s="63" t="s">
        <v>6691</v>
      </c>
      <c r="R80" s="63" t="s">
        <v>6692</v>
      </c>
      <c r="S80" s="52"/>
    </row>
    <row r="81" spans="2:20" s="34" customFormat="1" ht="33" customHeight="1">
      <c r="B81" s="47" t="s">
        <v>6683</v>
      </c>
      <c r="C81" s="48" t="s">
        <v>4412</v>
      </c>
      <c r="D81" s="199" t="s">
        <v>4413</v>
      </c>
      <c r="E81" s="50">
        <v>43665</v>
      </c>
      <c r="F81" s="52" t="s">
        <v>218</v>
      </c>
      <c r="G81" s="51">
        <v>3200</v>
      </c>
      <c r="H81" s="52">
        <f t="shared" si="12"/>
        <v>160</v>
      </c>
      <c r="I81" s="52">
        <f t="shared" si="13"/>
        <v>5</v>
      </c>
      <c r="J81" s="52"/>
      <c r="K81" s="53">
        <v>43758</v>
      </c>
      <c r="L81" s="54" t="s">
        <v>4479</v>
      </c>
      <c r="M81" s="55">
        <v>43753</v>
      </c>
      <c r="N81" s="56" t="s">
        <v>6637</v>
      </c>
      <c r="O81" s="55">
        <v>43758</v>
      </c>
      <c r="P81" s="58"/>
      <c r="Q81" s="63" t="s">
        <v>4818</v>
      </c>
      <c r="R81" s="63" t="s">
        <v>6692</v>
      </c>
      <c r="S81" s="47"/>
    </row>
    <row r="82" spans="2:20" s="32" customFormat="1" ht="33" customHeight="1">
      <c r="B82" s="46" t="s">
        <v>6683</v>
      </c>
      <c r="C82" s="35" t="s">
        <v>4414</v>
      </c>
      <c r="D82" s="190" t="s">
        <v>4415</v>
      </c>
      <c r="E82" s="37">
        <v>43665</v>
      </c>
      <c r="F82" s="38" t="s">
        <v>218</v>
      </c>
      <c r="G82" s="39">
        <v>3200</v>
      </c>
      <c r="H82" s="38">
        <f t="shared" si="12"/>
        <v>160</v>
      </c>
      <c r="I82" s="38">
        <f t="shared" si="13"/>
        <v>5</v>
      </c>
      <c r="J82" s="38"/>
      <c r="K82" s="40">
        <v>43765</v>
      </c>
      <c r="L82" s="41" t="s">
        <v>6614</v>
      </c>
      <c r="M82" s="42">
        <v>43767</v>
      </c>
      <c r="N82" s="43" t="s">
        <v>6615</v>
      </c>
      <c r="O82" s="42">
        <v>43772</v>
      </c>
      <c r="P82" s="45"/>
      <c r="Q82" s="66" t="s">
        <v>4817</v>
      </c>
      <c r="R82" s="66" t="s">
        <v>6692</v>
      </c>
      <c r="S82" s="46"/>
    </row>
    <row r="83" spans="2:20" s="32" customFormat="1" ht="33" customHeight="1">
      <c r="B83" s="46" t="s">
        <v>6683</v>
      </c>
      <c r="C83" s="35" t="s">
        <v>4550</v>
      </c>
      <c r="D83" s="190" t="s">
        <v>6693</v>
      </c>
      <c r="E83" s="37">
        <v>43679</v>
      </c>
      <c r="F83" s="38" t="s">
        <v>218</v>
      </c>
      <c r="G83" s="39">
        <v>3200</v>
      </c>
      <c r="H83" s="38">
        <f t="shared" si="12"/>
        <v>160</v>
      </c>
      <c r="I83" s="38">
        <f t="shared" si="13"/>
        <v>5</v>
      </c>
      <c r="J83" s="38"/>
      <c r="K83" s="40">
        <v>43765</v>
      </c>
      <c r="L83" s="41" t="s">
        <v>6614</v>
      </c>
      <c r="M83" s="42">
        <v>43767</v>
      </c>
      <c r="N83" s="43" t="s">
        <v>6615</v>
      </c>
      <c r="O83" s="42">
        <v>43772</v>
      </c>
      <c r="P83" s="45"/>
      <c r="Q83" s="66" t="s">
        <v>4817</v>
      </c>
      <c r="R83" s="66" t="s">
        <v>6692</v>
      </c>
      <c r="S83" s="46"/>
    </row>
    <row r="84" spans="2:20" s="32" customFormat="1" ht="33" customHeight="1">
      <c r="B84" s="46" t="s">
        <v>6683</v>
      </c>
      <c r="C84" s="35" t="s">
        <v>4899</v>
      </c>
      <c r="D84" s="190" t="s">
        <v>6694</v>
      </c>
      <c r="E84" s="37">
        <v>43689</v>
      </c>
      <c r="F84" s="38" t="s">
        <v>218</v>
      </c>
      <c r="G84" s="39">
        <v>3200</v>
      </c>
      <c r="H84" s="38">
        <f t="shared" si="12"/>
        <v>160</v>
      </c>
      <c r="I84" s="38">
        <f t="shared" si="13"/>
        <v>5</v>
      </c>
      <c r="J84" s="38"/>
      <c r="K84" s="40">
        <v>43779</v>
      </c>
      <c r="L84" s="41" t="s">
        <v>6428</v>
      </c>
      <c r="M84" s="42">
        <v>43774</v>
      </c>
      <c r="N84" s="43" t="s">
        <v>6626</v>
      </c>
      <c r="O84" s="42">
        <v>43779</v>
      </c>
      <c r="P84" s="45"/>
      <c r="Q84" s="66" t="s">
        <v>6695</v>
      </c>
      <c r="R84" s="66" t="s">
        <v>211</v>
      </c>
      <c r="S84" s="38"/>
    </row>
    <row r="85" spans="2:20" s="32" customFormat="1" ht="33" customHeight="1">
      <c r="B85" s="46" t="s">
        <v>6683</v>
      </c>
      <c r="C85" s="35" t="s">
        <v>4897</v>
      </c>
      <c r="D85" s="190" t="s">
        <v>6696</v>
      </c>
      <c r="E85" s="37">
        <v>43689</v>
      </c>
      <c r="F85" s="38" t="s">
        <v>218</v>
      </c>
      <c r="G85" s="39">
        <v>3200</v>
      </c>
      <c r="H85" s="38">
        <f t="shared" si="12"/>
        <v>160</v>
      </c>
      <c r="I85" s="38">
        <f t="shared" si="13"/>
        <v>5</v>
      </c>
      <c r="J85" s="38"/>
      <c r="K85" s="40">
        <v>43793</v>
      </c>
      <c r="L85" s="41" t="s">
        <v>5439</v>
      </c>
      <c r="M85" s="42">
        <v>43788</v>
      </c>
      <c r="N85" s="43" t="s">
        <v>6697</v>
      </c>
      <c r="O85" s="42">
        <v>43793</v>
      </c>
      <c r="P85" s="45"/>
      <c r="Q85" s="66" t="s">
        <v>6698</v>
      </c>
      <c r="R85" s="66" t="s">
        <v>211</v>
      </c>
      <c r="S85" s="38"/>
    </row>
    <row r="86" spans="2:20" s="32" customFormat="1" ht="33" customHeight="1">
      <c r="B86" s="46" t="s">
        <v>6683</v>
      </c>
      <c r="C86" s="35" t="s">
        <v>5762</v>
      </c>
      <c r="D86" s="190" t="s">
        <v>6699</v>
      </c>
      <c r="E86" s="37">
        <v>43724</v>
      </c>
      <c r="F86" s="38" t="s">
        <v>218</v>
      </c>
      <c r="G86" s="39">
        <v>3200</v>
      </c>
      <c r="H86" s="38">
        <f t="shared" si="12"/>
        <v>160</v>
      </c>
      <c r="I86" s="38">
        <f t="shared" si="13"/>
        <v>5</v>
      </c>
      <c r="J86" s="38"/>
      <c r="K86" s="40">
        <v>43800</v>
      </c>
      <c r="L86" s="41" t="s">
        <v>6700</v>
      </c>
      <c r="M86" s="42">
        <v>43795</v>
      </c>
      <c r="N86" s="43" t="s">
        <v>6619</v>
      </c>
      <c r="O86" s="42">
        <v>43800</v>
      </c>
      <c r="P86" s="45"/>
      <c r="Q86" s="66"/>
      <c r="R86" s="66" t="s">
        <v>211</v>
      </c>
      <c r="S86" s="38"/>
    </row>
    <row r="87" spans="2:20" s="32" customFormat="1" ht="33" customHeight="1">
      <c r="B87" s="46" t="s">
        <v>6683</v>
      </c>
      <c r="C87" s="35" t="s">
        <v>5761</v>
      </c>
      <c r="D87" s="190" t="s">
        <v>6701</v>
      </c>
      <c r="E87" s="37">
        <v>43724</v>
      </c>
      <c r="F87" s="38" t="s">
        <v>218</v>
      </c>
      <c r="G87" s="39">
        <v>3200</v>
      </c>
      <c r="H87" s="38">
        <f t="shared" si="12"/>
        <v>160</v>
      </c>
      <c r="I87" s="38">
        <f t="shared" si="13"/>
        <v>5</v>
      </c>
      <c r="J87" s="38"/>
      <c r="K87" s="40">
        <v>43814</v>
      </c>
      <c r="L87" s="41" t="s">
        <v>6442</v>
      </c>
      <c r="M87" s="42">
        <v>43809</v>
      </c>
      <c r="N87" s="43" t="s">
        <v>5963</v>
      </c>
      <c r="O87" s="42">
        <v>43814</v>
      </c>
      <c r="P87" s="45"/>
      <c r="Q87" s="66"/>
      <c r="R87" s="66" t="s">
        <v>211</v>
      </c>
      <c r="S87" s="38"/>
    </row>
    <row r="88" spans="2:20" s="32" customFormat="1" ht="33" customHeight="1">
      <c r="B88" s="46" t="s">
        <v>6683</v>
      </c>
      <c r="C88" s="35" t="s">
        <v>5759</v>
      </c>
      <c r="D88" s="190" t="s">
        <v>5758</v>
      </c>
      <c r="E88" s="37">
        <v>43724</v>
      </c>
      <c r="F88" s="38" t="s">
        <v>218</v>
      </c>
      <c r="G88" s="39">
        <v>6400</v>
      </c>
      <c r="H88" s="38">
        <f t="shared" si="12"/>
        <v>320</v>
      </c>
      <c r="I88" s="38">
        <f t="shared" si="13"/>
        <v>10</v>
      </c>
      <c r="J88" s="38"/>
      <c r="K88" s="40">
        <v>43821</v>
      </c>
      <c r="L88" s="41" t="s">
        <v>6702</v>
      </c>
      <c r="M88" s="42">
        <v>43816</v>
      </c>
      <c r="N88" s="43" t="s">
        <v>6703</v>
      </c>
      <c r="O88" s="42">
        <v>43821</v>
      </c>
      <c r="P88" s="45"/>
      <c r="Q88" s="66"/>
      <c r="R88" s="66" t="s">
        <v>211</v>
      </c>
      <c r="S88" s="38"/>
      <c r="T88" s="32" t="s">
        <v>6457</v>
      </c>
    </row>
    <row r="89" spans="2:20" s="32" customFormat="1" ht="33" customHeight="1">
      <c r="B89" s="46" t="s">
        <v>6374</v>
      </c>
      <c r="C89" s="35" t="s">
        <v>6189</v>
      </c>
      <c r="D89" s="190" t="s">
        <v>6704</v>
      </c>
      <c r="E89" s="37">
        <v>43728</v>
      </c>
      <c r="F89" s="38" t="s">
        <v>218</v>
      </c>
      <c r="G89" s="39">
        <v>3200</v>
      </c>
      <c r="H89" s="38">
        <f t="shared" si="12"/>
        <v>160</v>
      </c>
      <c r="I89" s="38">
        <f t="shared" si="13"/>
        <v>5</v>
      </c>
      <c r="J89" s="38"/>
      <c r="K89" s="40">
        <v>43828</v>
      </c>
      <c r="L89" s="41" t="s">
        <v>6705</v>
      </c>
      <c r="M89" s="42">
        <v>43823</v>
      </c>
      <c r="N89" s="43" t="s">
        <v>6706</v>
      </c>
      <c r="O89" s="42">
        <v>43828</v>
      </c>
      <c r="P89" s="45"/>
      <c r="Q89" s="66"/>
      <c r="R89" s="66" t="s">
        <v>211</v>
      </c>
      <c r="S89" s="38"/>
    </row>
    <row r="90" spans="2:20" s="153" customFormat="1" ht="33" customHeight="1">
      <c r="B90" s="103" t="s">
        <v>6374</v>
      </c>
      <c r="C90" s="104" t="s">
        <v>6707</v>
      </c>
      <c r="D90" s="105" t="s">
        <v>6708</v>
      </c>
      <c r="E90" s="106">
        <v>43752</v>
      </c>
      <c r="F90" s="107" t="s">
        <v>218</v>
      </c>
      <c r="G90" s="108">
        <v>3200</v>
      </c>
      <c r="H90" s="107">
        <f t="shared" si="12"/>
        <v>160</v>
      </c>
      <c r="I90" s="107">
        <f t="shared" si="13"/>
        <v>5</v>
      </c>
      <c r="J90" s="107"/>
      <c r="K90" s="109">
        <v>43849</v>
      </c>
      <c r="L90" s="110"/>
      <c r="M90" s="111"/>
      <c r="N90" s="112"/>
      <c r="O90" s="111"/>
      <c r="P90" s="113"/>
      <c r="Q90" s="116"/>
      <c r="R90" s="116" t="s">
        <v>211</v>
      </c>
      <c r="S90" s="107"/>
    </row>
    <row r="91" spans="2:20" s="153" customFormat="1" ht="33" customHeight="1">
      <c r="B91" s="103" t="s">
        <v>6374</v>
      </c>
      <c r="C91" s="104" t="s">
        <v>6709</v>
      </c>
      <c r="D91" s="105" t="s">
        <v>6710</v>
      </c>
      <c r="E91" s="106">
        <v>43752</v>
      </c>
      <c r="F91" s="107" t="s">
        <v>218</v>
      </c>
      <c r="G91" s="108">
        <v>3200</v>
      </c>
      <c r="H91" s="107">
        <f t="shared" si="12"/>
        <v>160</v>
      </c>
      <c r="I91" s="107">
        <f t="shared" si="13"/>
        <v>5</v>
      </c>
      <c r="J91" s="107"/>
      <c r="K91" s="109">
        <v>43856</v>
      </c>
      <c r="L91" s="110"/>
      <c r="M91" s="111"/>
      <c r="N91" s="112"/>
      <c r="O91" s="111"/>
      <c r="P91" s="113"/>
      <c r="Q91" s="116"/>
      <c r="R91" s="116" t="s">
        <v>211</v>
      </c>
      <c r="S91" s="107"/>
    </row>
    <row r="92" spans="2:20" s="34" customFormat="1" ht="33" customHeight="1">
      <c r="B92" s="47" t="s">
        <v>5451</v>
      </c>
      <c r="C92" s="48" t="s">
        <v>2088</v>
      </c>
      <c r="D92" s="49" t="s">
        <v>6711</v>
      </c>
      <c r="E92" s="50">
        <v>43595</v>
      </c>
      <c r="F92" s="52" t="s">
        <v>6712</v>
      </c>
      <c r="G92" s="51">
        <v>640</v>
      </c>
      <c r="H92" s="52">
        <f t="shared" si="12"/>
        <v>32</v>
      </c>
      <c r="I92" s="52">
        <f t="shared" si="13"/>
        <v>1</v>
      </c>
      <c r="J92" s="52"/>
      <c r="K92" s="53">
        <v>43709</v>
      </c>
      <c r="L92" s="54" t="s">
        <v>6444</v>
      </c>
      <c r="M92" s="55">
        <v>43711</v>
      </c>
      <c r="N92" s="56" t="s">
        <v>6713</v>
      </c>
      <c r="O92" s="55">
        <v>43716</v>
      </c>
      <c r="P92" s="58"/>
      <c r="Q92" s="63" t="s">
        <v>2548</v>
      </c>
      <c r="R92" s="63" t="s">
        <v>211</v>
      </c>
      <c r="S92" s="47" t="s">
        <v>6714</v>
      </c>
    </row>
    <row r="93" spans="2:20" s="34" customFormat="1" ht="33" customHeight="1">
      <c r="B93" s="47" t="s">
        <v>6715</v>
      </c>
      <c r="C93" s="48" t="s">
        <v>208</v>
      </c>
      <c r="D93" s="199" t="s">
        <v>6716</v>
      </c>
      <c r="E93" s="50">
        <v>43602</v>
      </c>
      <c r="F93" s="52" t="s">
        <v>6712</v>
      </c>
      <c r="G93" s="51">
        <v>640</v>
      </c>
      <c r="H93" s="52">
        <f t="shared" si="12"/>
        <v>32</v>
      </c>
      <c r="I93" s="52">
        <f t="shared" si="13"/>
        <v>1</v>
      </c>
      <c r="J93" s="52"/>
      <c r="K93" s="214">
        <v>43737</v>
      </c>
      <c r="L93" s="54" t="s">
        <v>5462</v>
      </c>
      <c r="M93" s="55">
        <v>43725</v>
      </c>
      <c r="N93" s="56" t="s">
        <v>5463</v>
      </c>
      <c r="O93" s="55">
        <v>43730</v>
      </c>
      <c r="P93" s="58"/>
      <c r="Q93" s="63" t="s">
        <v>6717</v>
      </c>
      <c r="R93" s="63" t="s">
        <v>211</v>
      </c>
      <c r="S93" s="52" t="s">
        <v>5467</v>
      </c>
    </row>
    <row r="94" spans="2:20" s="34" customFormat="1" ht="33" customHeight="1">
      <c r="B94" s="47" t="s">
        <v>5451</v>
      </c>
      <c r="C94" s="48" t="s">
        <v>6718</v>
      </c>
      <c r="D94" s="199" t="s">
        <v>6719</v>
      </c>
      <c r="E94" s="50">
        <v>43693</v>
      </c>
      <c r="F94" s="52" t="s">
        <v>6712</v>
      </c>
      <c r="G94" s="51">
        <v>640</v>
      </c>
      <c r="H94" s="52">
        <f t="shared" si="12"/>
        <v>32</v>
      </c>
      <c r="I94" s="52">
        <f t="shared" si="13"/>
        <v>1</v>
      </c>
      <c r="J94" s="52"/>
      <c r="K94" s="214">
        <v>43737</v>
      </c>
      <c r="L94" s="54" t="s">
        <v>5462</v>
      </c>
      <c r="M94" s="55">
        <v>43725</v>
      </c>
      <c r="N94" s="56" t="s">
        <v>5463</v>
      </c>
      <c r="O94" s="55">
        <v>43730</v>
      </c>
      <c r="P94" s="58"/>
      <c r="Q94" s="63" t="s">
        <v>6717</v>
      </c>
      <c r="R94" s="63" t="s">
        <v>211</v>
      </c>
      <c r="S94" s="52" t="s">
        <v>6720</v>
      </c>
    </row>
    <row r="95" spans="2:20" s="34" customFormat="1" ht="33" customHeight="1">
      <c r="B95" s="47" t="s">
        <v>5451</v>
      </c>
      <c r="C95" s="48" t="s">
        <v>212</v>
      </c>
      <c r="D95" s="199" t="s">
        <v>6721</v>
      </c>
      <c r="E95" s="50">
        <v>43602</v>
      </c>
      <c r="F95" s="52" t="s">
        <v>6712</v>
      </c>
      <c r="G95" s="51">
        <v>640</v>
      </c>
      <c r="H95" s="52">
        <f t="shared" si="12"/>
        <v>32</v>
      </c>
      <c r="I95" s="52">
        <f t="shared" si="13"/>
        <v>1</v>
      </c>
      <c r="J95" s="52"/>
      <c r="K95" s="53">
        <v>43779</v>
      </c>
      <c r="L95" s="54" t="s">
        <v>6722</v>
      </c>
      <c r="M95" s="55">
        <v>43753</v>
      </c>
      <c r="N95" s="56" t="s">
        <v>6637</v>
      </c>
      <c r="O95" s="55">
        <v>43758</v>
      </c>
      <c r="P95" s="58"/>
      <c r="Q95" s="52" t="s">
        <v>4823</v>
      </c>
      <c r="R95" s="63" t="s">
        <v>211</v>
      </c>
      <c r="S95" s="47"/>
    </row>
    <row r="96" spans="2:20" s="34" customFormat="1" ht="33" customHeight="1">
      <c r="B96" s="47" t="s">
        <v>5451</v>
      </c>
      <c r="C96" s="48" t="s">
        <v>2531</v>
      </c>
      <c r="D96" s="199" t="s">
        <v>4426</v>
      </c>
      <c r="E96" s="50">
        <v>43665</v>
      </c>
      <c r="F96" s="52" t="s">
        <v>6712</v>
      </c>
      <c r="G96" s="51">
        <v>1920</v>
      </c>
      <c r="H96" s="52">
        <f t="shared" si="12"/>
        <v>96</v>
      </c>
      <c r="I96" s="52">
        <f t="shared" si="13"/>
        <v>3</v>
      </c>
      <c r="J96" s="52"/>
      <c r="K96" s="53">
        <v>43745</v>
      </c>
      <c r="L96" s="54" t="s">
        <v>4481</v>
      </c>
      <c r="M96" s="55">
        <v>43742</v>
      </c>
      <c r="N96" s="56" t="s">
        <v>6723</v>
      </c>
      <c r="O96" s="55">
        <v>43746</v>
      </c>
      <c r="P96" s="58"/>
      <c r="Q96" s="63" t="s">
        <v>6691</v>
      </c>
      <c r="R96" s="63" t="s">
        <v>211</v>
      </c>
      <c r="S96" s="52"/>
    </row>
    <row r="97" spans="2:19" s="34" customFormat="1" ht="33" customHeight="1">
      <c r="B97" s="47" t="s">
        <v>5451</v>
      </c>
      <c r="C97" s="48" t="s">
        <v>5417</v>
      </c>
      <c r="D97" s="199" t="s">
        <v>6724</v>
      </c>
      <c r="E97" s="50">
        <v>43700</v>
      </c>
      <c r="F97" s="52" t="s">
        <v>6712</v>
      </c>
      <c r="G97" s="51">
        <v>640</v>
      </c>
      <c r="H97" s="52">
        <f t="shared" si="12"/>
        <v>32</v>
      </c>
      <c r="I97" s="52">
        <f t="shared" si="13"/>
        <v>1</v>
      </c>
      <c r="J97" s="52"/>
      <c r="K97" s="53">
        <v>43758</v>
      </c>
      <c r="L97" s="54" t="s">
        <v>6725</v>
      </c>
      <c r="M97" s="55">
        <v>43746</v>
      </c>
      <c r="N97" s="56" t="s">
        <v>6690</v>
      </c>
      <c r="O97" s="55">
        <v>43751</v>
      </c>
      <c r="P97" s="58"/>
      <c r="Q97" s="52" t="s">
        <v>6726</v>
      </c>
      <c r="R97" s="63" t="s">
        <v>211</v>
      </c>
      <c r="S97" s="47"/>
    </row>
    <row r="98" spans="2:19" s="34" customFormat="1" ht="33" customHeight="1">
      <c r="B98" s="47" t="s">
        <v>5451</v>
      </c>
      <c r="C98" s="48" t="s">
        <v>6727</v>
      </c>
      <c r="D98" s="199" t="s">
        <v>6728</v>
      </c>
      <c r="E98" s="50">
        <v>43735</v>
      </c>
      <c r="F98" s="52" t="s">
        <v>6712</v>
      </c>
      <c r="G98" s="51">
        <v>640</v>
      </c>
      <c r="H98" s="52">
        <f t="shared" si="12"/>
        <v>32</v>
      </c>
      <c r="I98" s="52">
        <f t="shared" si="13"/>
        <v>1</v>
      </c>
      <c r="J98" s="52"/>
      <c r="K98" s="53">
        <v>43758</v>
      </c>
      <c r="L98" s="54" t="s">
        <v>6722</v>
      </c>
      <c r="M98" s="55">
        <v>43753</v>
      </c>
      <c r="N98" s="56" t="s">
        <v>6637</v>
      </c>
      <c r="O98" s="55">
        <v>43758</v>
      </c>
      <c r="P98" s="58"/>
      <c r="Q98" s="52"/>
      <c r="R98" s="63" t="s">
        <v>211</v>
      </c>
      <c r="S98" s="47"/>
    </row>
    <row r="99" spans="2:19" s="32" customFormat="1" ht="33" customHeight="1">
      <c r="B99" s="46" t="s">
        <v>6715</v>
      </c>
      <c r="C99" s="35" t="s">
        <v>5418</v>
      </c>
      <c r="D99" s="190" t="s">
        <v>6729</v>
      </c>
      <c r="E99" s="37">
        <v>43700</v>
      </c>
      <c r="F99" s="38" t="s">
        <v>6712</v>
      </c>
      <c r="G99" s="39">
        <v>1280</v>
      </c>
      <c r="H99" s="38">
        <f t="shared" si="12"/>
        <v>64</v>
      </c>
      <c r="I99" s="38">
        <f t="shared" si="13"/>
        <v>2</v>
      </c>
      <c r="J99" s="38"/>
      <c r="K99" s="40">
        <v>43772</v>
      </c>
      <c r="L99" s="41" t="s">
        <v>6614</v>
      </c>
      <c r="M99" s="42">
        <v>43767</v>
      </c>
      <c r="N99" s="43" t="s">
        <v>6432</v>
      </c>
      <c r="O99" s="42">
        <v>43772</v>
      </c>
      <c r="P99" s="45"/>
      <c r="Q99" s="38" t="s">
        <v>6730</v>
      </c>
      <c r="R99" s="66" t="s">
        <v>211</v>
      </c>
      <c r="S99" s="38"/>
    </row>
    <row r="100" spans="2:19" s="32" customFormat="1" ht="33" customHeight="1">
      <c r="B100" s="122" t="s">
        <v>5451</v>
      </c>
      <c r="C100" s="126" t="s">
        <v>6731</v>
      </c>
      <c r="D100" s="187" t="s">
        <v>6732</v>
      </c>
      <c r="E100" s="128">
        <v>43742</v>
      </c>
      <c r="F100" s="124" t="s">
        <v>6712</v>
      </c>
      <c r="G100" s="129">
        <v>640</v>
      </c>
      <c r="H100" s="124">
        <f t="shared" si="12"/>
        <v>32</v>
      </c>
      <c r="I100" s="124">
        <f t="shared" si="13"/>
        <v>1</v>
      </c>
      <c r="J100" s="124"/>
      <c r="K100" s="130">
        <v>43772</v>
      </c>
      <c r="L100" s="119" t="s">
        <v>6614</v>
      </c>
      <c r="M100" s="120">
        <v>43767</v>
      </c>
      <c r="N100" s="121" t="s">
        <v>6432</v>
      </c>
      <c r="O100" s="120">
        <v>43772</v>
      </c>
      <c r="P100" s="123"/>
      <c r="Q100" s="124"/>
      <c r="R100" s="134" t="s">
        <v>211</v>
      </c>
      <c r="S100" s="124"/>
    </row>
    <row r="101" spans="2:19" s="32" customFormat="1" ht="33" customHeight="1">
      <c r="B101" s="46" t="s">
        <v>5451</v>
      </c>
      <c r="C101" s="35" t="s">
        <v>6733</v>
      </c>
      <c r="D101" s="190" t="s">
        <v>5735</v>
      </c>
      <c r="E101" s="37">
        <v>43724</v>
      </c>
      <c r="F101" s="38" t="s">
        <v>5734</v>
      </c>
      <c r="G101" s="39">
        <v>1280</v>
      </c>
      <c r="H101" s="38">
        <f>SUM(G101/20)</f>
        <v>64</v>
      </c>
      <c r="I101" s="38">
        <f>SUM(H101/32)</f>
        <v>2</v>
      </c>
      <c r="J101" s="38"/>
      <c r="K101" s="109">
        <v>43779</v>
      </c>
      <c r="L101" s="41" t="s">
        <v>6734</v>
      </c>
      <c r="M101" s="42">
        <v>43781</v>
      </c>
      <c r="N101" s="43" t="s">
        <v>6433</v>
      </c>
      <c r="O101" s="42">
        <v>43786</v>
      </c>
      <c r="P101" s="45"/>
      <c r="Q101" s="38"/>
      <c r="R101" s="66" t="s">
        <v>211</v>
      </c>
      <c r="S101" s="38"/>
    </row>
    <row r="102" spans="2:19" s="32" customFormat="1" ht="33" customHeight="1">
      <c r="B102" s="46" t="s">
        <v>5451</v>
      </c>
      <c r="C102" s="35" t="s">
        <v>6735</v>
      </c>
      <c r="D102" s="190" t="s">
        <v>6736</v>
      </c>
      <c r="E102" s="37">
        <v>43735</v>
      </c>
      <c r="F102" s="38" t="s">
        <v>6712</v>
      </c>
      <c r="G102" s="39">
        <v>640</v>
      </c>
      <c r="H102" s="38">
        <f t="shared" ref="H102:H107" si="14">SUM(G102/20)</f>
        <v>32</v>
      </c>
      <c r="I102" s="38">
        <f t="shared" ref="I102:I107" si="15">SUM(H102/32)</f>
        <v>1</v>
      </c>
      <c r="J102" s="38"/>
      <c r="K102" s="40">
        <v>43779</v>
      </c>
      <c r="L102" s="41" t="s">
        <v>6734</v>
      </c>
      <c r="M102" s="42">
        <v>43781</v>
      </c>
      <c r="N102" s="43" t="s">
        <v>6433</v>
      </c>
      <c r="O102" s="42">
        <v>43786</v>
      </c>
      <c r="P102" s="45"/>
      <c r="Q102" s="38"/>
      <c r="R102" s="66" t="s">
        <v>211</v>
      </c>
      <c r="S102" s="38"/>
    </row>
    <row r="103" spans="2:19" s="32" customFormat="1" ht="33" customHeight="1">
      <c r="B103" s="46" t="s">
        <v>5451</v>
      </c>
      <c r="C103" s="35" t="s">
        <v>225</v>
      </c>
      <c r="D103" s="190" t="s">
        <v>6737</v>
      </c>
      <c r="E103" s="37">
        <v>43728</v>
      </c>
      <c r="F103" s="38" t="s">
        <v>5734</v>
      </c>
      <c r="G103" s="39">
        <v>1280</v>
      </c>
      <c r="H103" s="38">
        <f t="shared" si="14"/>
        <v>64</v>
      </c>
      <c r="I103" s="38">
        <f t="shared" si="15"/>
        <v>2</v>
      </c>
      <c r="J103" s="38"/>
      <c r="K103" s="40">
        <v>43786</v>
      </c>
      <c r="L103" s="41" t="s">
        <v>6734</v>
      </c>
      <c r="M103" s="42">
        <v>43781</v>
      </c>
      <c r="N103" s="43" t="s">
        <v>6433</v>
      </c>
      <c r="O103" s="42">
        <v>43786</v>
      </c>
      <c r="P103" s="45"/>
      <c r="Q103" s="38"/>
      <c r="R103" s="66" t="s">
        <v>211</v>
      </c>
      <c r="S103" s="38"/>
    </row>
    <row r="104" spans="2:19" s="32" customFormat="1" ht="33" customHeight="1">
      <c r="B104" s="122" t="s">
        <v>5451</v>
      </c>
      <c r="C104" s="126" t="s">
        <v>226</v>
      </c>
      <c r="D104" s="187" t="s">
        <v>6738</v>
      </c>
      <c r="E104" s="128">
        <v>43742</v>
      </c>
      <c r="F104" s="124" t="s">
        <v>6712</v>
      </c>
      <c r="G104" s="129">
        <v>3200</v>
      </c>
      <c r="H104" s="124">
        <f t="shared" si="14"/>
        <v>160</v>
      </c>
      <c r="I104" s="124">
        <f t="shared" si="15"/>
        <v>5</v>
      </c>
      <c r="J104" s="124"/>
      <c r="K104" s="130">
        <v>43808</v>
      </c>
      <c r="L104" s="119" t="s">
        <v>6739</v>
      </c>
      <c r="M104" s="120">
        <v>43802</v>
      </c>
      <c r="N104" s="121" t="s">
        <v>6740</v>
      </c>
      <c r="O104" s="120">
        <v>43807</v>
      </c>
      <c r="P104" s="123"/>
      <c r="Q104" s="124"/>
      <c r="R104" s="134" t="s">
        <v>211</v>
      </c>
      <c r="S104" s="124"/>
    </row>
    <row r="105" spans="2:19" s="32" customFormat="1" ht="33" customHeight="1">
      <c r="B105" s="122" t="s">
        <v>5451</v>
      </c>
      <c r="C105" s="126" t="s">
        <v>233</v>
      </c>
      <c r="D105" s="187" t="s">
        <v>6475</v>
      </c>
      <c r="E105" s="128">
        <v>43742</v>
      </c>
      <c r="F105" s="124" t="s">
        <v>6712</v>
      </c>
      <c r="G105" s="129">
        <v>1920</v>
      </c>
      <c r="H105" s="124">
        <f t="shared" si="14"/>
        <v>96</v>
      </c>
      <c r="I105" s="124">
        <f t="shared" si="15"/>
        <v>3</v>
      </c>
      <c r="J105" s="124"/>
      <c r="K105" s="130">
        <v>43821</v>
      </c>
      <c r="L105" s="119" t="s">
        <v>6702</v>
      </c>
      <c r="M105" s="120">
        <v>43816</v>
      </c>
      <c r="N105" s="121" t="s">
        <v>6703</v>
      </c>
      <c r="O105" s="120">
        <v>43821</v>
      </c>
      <c r="P105" s="123"/>
      <c r="Q105" s="124"/>
      <c r="R105" s="134" t="s">
        <v>211</v>
      </c>
      <c r="S105" s="124"/>
    </row>
    <row r="106" spans="2:19" s="153" customFormat="1" ht="33" customHeight="1">
      <c r="B106" s="103" t="s">
        <v>5451</v>
      </c>
      <c r="C106" s="104" t="s">
        <v>285</v>
      </c>
      <c r="D106" s="105" t="s">
        <v>6741</v>
      </c>
      <c r="E106" s="106">
        <v>43752</v>
      </c>
      <c r="F106" s="107" t="s">
        <v>6712</v>
      </c>
      <c r="G106" s="108">
        <v>1920</v>
      </c>
      <c r="H106" s="107">
        <f t="shared" si="14"/>
        <v>96</v>
      </c>
      <c r="I106" s="107">
        <f t="shared" si="15"/>
        <v>3</v>
      </c>
      <c r="J106" s="107"/>
      <c r="K106" s="109">
        <v>43842</v>
      </c>
      <c r="L106" s="110"/>
      <c r="M106" s="111"/>
      <c r="N106" s="112"/>
      <c r="O106" s="111"/>
      <c r="P106" s="113"/>
      <c r="Q106" s="107"/>
      <c r="R106" s="116" t="s">
        <v>211</v>
      </c>
      <c r="S106" s="107"/>
    </row>
    <row r="107" spans="2:19" s="153" customFormat="1" ht="33" customHeight="1">
      <c r="B107" s="103" t="s">
        <v>5451</v>
      </c>
      <c r="C107" s="104" t="s">
        <v>331</v>
      </c>
      <c r="D107" s="105" t="s">
        <v>6742</v>
      </c>
      <c r="E107" s="106">
        <v>43752</v>
      </c>
      <c r="F107" s="107" t="s">
        <v>6712</v>
      </c>
      <c r="G107" s="108">
        <v>2560</v>
      </c>
      <c r="H107" s="107">
        <f t="shared" si="14"/>
        <v>128</v>
      </c>
      <c r="I107" s="107">
        <f t="shared" si="15"/>
        <v>4</v>
      </c>
      <c r="J107" s="107"/>
      <c r="K107" s="109">
        <v>43856</v>
      </c>
      <c r="L107" s="110"/>
      <c r="M107" s="111"/>
      <c r="N107" s="112"/>
      <c r="O107" s="111"/>
      <c r="P107" s="113"/>
      <c r="Q107" s="107"/>
      <c r="R107" s="116" t="s">
        <v>211</v>
      </c>
      <c r="S107" s="107"/>
    </row>
    <row r="108" spans="2:19" s="33" customFormat="1" ht="33" customHeight="1">
      <c r="B108" s="47" t="s">
        <v>2514</v>
      </c>
      <c r="C108" s="48" t="s">
        <v>6743</v>
      </c>
      <c r="D108" s="49" t="s">
        <v>6744</v>
      </c>
      <c r="E108" s="50">
        <v>43602</v>
      </c>
      <c r="F108" s="52" t="s">
        <v>2516</v>
      </c>
      <c r="G108" s="51">
        <v>1520</v>
      </c>
      <c r="H108" s="52">
        <v>8</v>
      </c>
      <c r="I108" s="52">
        <v>2</v>
      </c>
      <c r="J108" s="52"/>
      <c r="K108" s="53">
        <v>43702</v>
      </c>
      <c r="L108" s="54" t="s">
        <v>6745</v>
      </c>
      <c r="M108" s="55">
        <v>43697</v>
      </c>
      <c r="N108" s="56" t="s">
        <v>6686</v>
      </c>
      <c r="O108" s="55">
        <v>43702</v>
      </c>
      <c r="P108" s="58"/>
      <c r="Q108" s="52"/>
      <c r="R108" s="63" t="s">
        <v>6746</v>
      </c>
      <c r="S108" s="47"/>
    </row>
    <row r="109" spans="2:19" s="30" customFormat="1" ht="33" customHeight="1">
      <c r="B109" s="122" t="s">
        <v>2514</v>
      </c>
      <c r="C109" s="126" t="s">
        <v>285</v>
      </c>
      <c r="D109" s="127" t="s">
        <v>4436</v>
      </c>
      <c r="E109" s="128">
        <v>43665</v>
      </c>
      <c r="F109" s="124" t="s">
        <v>2516</v>
      </c>
      <c r="G109" s="129">
        <v>1520</v>
      </c>
      <c r="H109" s="124">
        <v>8</v>
      </c>
      <c r="I109" s="124">
        <v>2</v>
      </c>
      <c r="J109" s="124"/>
      <c r="K109" s="130">
        <v>43758</v>
      </c>
      <c r="L109" s="119" t="s">
        <v>6747</v>
      </c>
      <c r="M109" s="120">
        <v>43759</v>
      </c>
      <c r="N109" s="121" t="s">
        <v>4549</v>
      </c>
      <c r="O109" s="120">
        <v>43765</v>
      </c>
      <c r="P109" s="123"/>
      <c r="Q109" s="124"/>
      <c r="R109" s="134" t="s">
        <v>6748</v>
      </c>
      <c r="S109" s="122"/>
    </row>
    <row r="110" spans="2:19" s="30" customFormat="1" ht="33" customHeight="1">
      <c r="B110" s="46" t="s">
        <v>2514</v>
      </c>
      <c r="C110" s="35" t="s">
        <v>331</v>
      </c>
      <c r="D110" s="36" t="s">
        <v>4864</v>
      </c>
      <c r="E110" s="37">
        <v>43689</v>
      </c>
      <c r="F110" s="38" t="s">
        <v>2516</v>
      </c>
      <c r="G110" s="39">
        <v>1520</v>
      </c>
      <c r="H110" s="38">
        <v>8</v>
      </c>
      <c r="I110" s="38">
        <v>2</v>
      </c>
      <c r="J110" s="38"/>
      <c r="K110" s="40">
        <v>43802</v>
      </c>
      <c r="L110" s="41" t="s">
        <v>6749</v>
      </c>
      <c r="M110" s="42">
        <v>43795</v>
      </c>
      <c r="N110" s="43" t="s">
        <v>6619</v>
      </c>
      <c r="O110" s="42">
        <v>43800</v>
      </c>
      <c r="P110" s="45"/>
      <c r="Q110" s="38"/>
      <c r="R110" s="66" t="s">
        <v>6750</v>
      </c>
      <c r="S110" s="46"/>
    </row>
    <row r="111" spans="2:19" s="30" customFormat="1" ht="33" customHeight="1">
      <c r="B111" s="46" t="s">
        <v>6751</v>
      </c>
      <c r="C111" s="35" t="s">
        <v>431</v>
      </c>
      <c r="D111" s="36" t="s">
        <v>6752</v>
      </c>
      <c r="E111" s="37">
        <v>43637</v>
      </c>
      <c r="F111" s="38" t="s">
        <v>236</v>
      </c>
      <c r="G111" s="39">
        <v>3200</v>
      </c>
      <c r="H111" s="38">
        <f t="shared" ref="H111:H116" si="16">SUM(G111/200)</f>
        <v>16</v>
      </c>
      <c r="I111" s="38">
        <f t="shared" ref="I111:I116" si="17">SUM(H111/4)</f>
        <v>4</v>
      </c>
      <c r="J111" s="38"/>
      <c r="K111" s="40">
        <v>43730</v>
      </c>
      <c r="L111" s="41" t="s">
        <v>6753</v>
      </c>
      <c r="M111" s="42">
        <v>43725</v>
      </c>
      <c r="N111" s="43" t="s">
        <v>6662</v>
      </c>
      <c r="O111" s="42">
        <v>43730</v>
      </c>
      <c r="P111" s="45"/>
      <c r="Q111" s="38"/>
      <c r="R111" s="66"/>
      <c r="S111" s="46"/>
    </row>
    <row r="112" spans="2:19" s="30" customFormat="1" ht="33" customHeight="1">
      <c r="B112" s="46" t="s">
        <v>6751</v>
      </c>
      <c r="C112" s="35" t="s">
        <v>523</v>
      </c>
      <c r="D112" s="36" t="s">
        <v>4452</v>
      </c>
      <c r="E112" s="37">
        <v>43665</v>
      </c>
      <c r="F112" s="38" t="s">
        <v>236</v>
      </c>
      <c r="G112" s="39">
        <v>3200</v>
      </c>
      <c r="H112" s="38">
        <f t="shared" si="16"/>
        <v>16</v>
      </c>
      <c r="I112" s="38">
        <f t="shared" si="17"/>
        <v>4</v>
      </c>
      <c r="J112" s="38"/>
      <c r="K112" s="40">
        <v>43751</v>
      </c>
      <c r="L112" s="41" t="s">
        <v>6754</v>
      </c>
      <c r="M112" s="42">
        <v>43746</v>
      </c>
      <c r="N112" s="43" t="s">
        <v>6690</v>
      </c>
      <c r="O112" s="42">
        <v>43751</v>
      </c>
      <c r="P112" s="45"/>
      <c r="Q112" s="38" t="s">
        <v>6777</v>
      </c>
      <c r="R112" s="66"/>
      <c r="S112" s="46" t="s">
        <v>5686</v>
      </c>
    </row>
    <row r="113" spans="2:19" s="30" customFormat="1" ht="33" customHeight="1">
      <c r="B113" s="46" t="s">
        <v>6751</v>
      </c>
      <c r="C113" s="35" t="s">
        <v>589</v>
      </c>
      <c r="D113" s="36" t="s">
        <v>4835</v>
      </c>
      <c r="E113" s="37">
        <v>43689</v>
      </c>
      <c r="F113" s="38" t="s">
        <v>236</v>
      </c>
      <c r="G113" s="39">
        <v>2400</v>
      </c>
      <c r="H113" s="38">
        <f t="shared" si="16"/>
        <v>12</v>
      </c>
      <c r="I113" s="38">
        <f t="shared" si="17"/>
        <v>3</v>
      </c>
      <c r="J113" s="38"/>
      <c r="K113" s="40">
        <v>43793</v>
      </c>
      <c r="L113" s="41" t="s">
        <v>6756</v>
      </c>
      <c r="M113" s="42">
        <v>43788</v>
      </c>
      <c r="N113" s="43" t="s">
        <v>6697</v>
      </c>
      <c r="O113" s="42">
        <v>43793</v>
      </c>
      <c r="P113" s="45"/>
      <c r="Q113" s="38" t="s">
        <v>6776</v>
      </c>
      <c r="R113" s="66" t="s">
        <v>6757</v>
      </c>
      <c r="S113" s="46" t="s">
        <v>5428</v>
      </c>
    </row>
    <row r="114" spans="2:19" s="30" customFormat="1" ht="33" customHeight="1">
      <c r="B114" s="46" t="s">
        <v>6751</v>
      </c>
      <c r="C114" s="35" t="s">
        <v>2078</v>
      </c>
      <c r="D114" s="36" t="s">
        <v>5711</v>
      </c>
      <c r="E114" s="37">
        <v>43724</v>
      </c>
      <c r="F114" s="38" t="s">
        <v>236</v>
      </c>
      <c r="G114" s="39">
        <v>4000</v>
      </c>
      <c r="H114" s="38">
        <f t="shared" si="16"/>
        <v>20</v>
      </c>
      <c r="I114" s="38">
        <f t="shared" si="17"/>
        <v>5</v>
      </c>
      <c r="J114" s="38"/>
      <c r="K114" s="40">
        <v>43814</v>
      </c>
      <c r="L114" s="41" t="s">
        <v>6758</v>
      </c>
      <c r="M114" s="42">
        <v>43809</v>
      </c>
      <c r="N114" s="43" t="s">
        <v>5963</v>
      </c>
      <c r="O114" s="42">
        <v>43814</v>
      </c>
      <c r="P114" s="45"/>
      <c r="Q114" s="38" t="s">
        <v>6776</v>
      </c>
      <c r="R114" s="66"/>
      <c r="S114" s="46"/>
    </row>
    <row r="115" spans="2:19" s="30" customFormat="1" ht="33" customHeight="1">
      <c r="B115" s="122" t="s">
        <v>6751</v>
      </c>
      <c r="C115" s="126" t="s">
        <v>2079</v>
      </c>
      <c r="D115" s="105" t="s">
        <v>6759</v>
      </c>
      <c r="E115" s="128">
        <v>43743</v>
      </c>
      <c r="F115" s="124" t="s">
        <v>236</v>
      </c>
      <c r="G115" s="129">
        <v>3200</v>
      </c>
      <c r="H115" s="124">
        <f t="shared" si="16"/>
        <v>16</v>
      </c>
      <c r="I115" s="124">
        <f t="shared" si="17"/>
        <v>4</v>
      </c>
      <c r="J115" s="124"/>
      <c r="K115" s="130">
        <v>43804</v>
      </c>
      <c r="L115" s="119" t="s">
        <v>6749</v>
      </c>
      <c r="M115" s="120">
        <v>43795</v>
      </c>
      <c r="N115" s="121" t="s">
        <v>6619</v>
      </c>
      <c r="O115" s="120">
        <v>43800</v>
      </c>
      <c r="P115" s="123"/>
      <c r="Q115" s="124" t="s">
        <v>6776</v>
      </c>
      <c r="R115" s="134"/>
      <c r="S115" s="122"/>
    </row>
    <row r="116" spans="2:19" s="147" customFormat="1" ht="33" customHeight="1">
      <c r="B116" s="103" t="s">
        <v>6751</v>
      </c>
      <c r="C116" s="104" t="s">
        <v>2378</v>
      </c>
      <c r="D116" s="105" t="s">
        <v>6760</v>
      </c>
      <c r="E116" s="106">
        <v>43752</v>
      </c>
      <c r="F116" s="107" t="s">
        <v>236</v>
      </c>
      <c r="G116" s="108">
        <v>3200</v>
      </c>
      <c r="H116" s="107">
        <f t="shared" si="16"/>
        <v>16</v>
      </c>
      <c r="I116" s="107">
        <f t="shared" si="17"/>
        <v>4</v>
      </c>
      <c r="J116" s="107"/>
      <c r="K116" s="109">
        <v>43842</v>
      </c>
      <c r="L116" s="110" t="s">
        <v>6145</v>
      </c>
      <c r="M116" s="111"/>
      <c r="N116" s="112"/>
      <c r="O116" s="111"/>
      <c r="P116" s="113"/>
      <c r="Q116" s="107" t="s">
        <v>6250</v>
      </c>
      <c r="R116" s="116"/>
      <c r="S116" s="103"/>
    </row>
    <row r="117" spans="2:19">
      <c r="E117" s="175"/>
      <c r="L117" s="11"/>
      <c r="M117"/>
      <c r="N117"/>
      <c r="O117"/>
      <c r="P117" s="13"/>
      <c r="R117" s="19"/>
      <c r="S117" s="28"/>
    </row>
    <row r="118" spans="2:19" s="19" customFormat="1" hidden="1">
      <c r="B118"/>
      <c r="C118" s="15"/>
      <c r="D118" s="1"/>
      <c r="L118" s="178" t="s">
        <v>1825</v>
      </c>
      <c r="M118" s="178" t="s">
        <v>1826</v>
      </c>
      <c r="N118" s="178" t="s">
        <v>1827</v>
      </c>
      <c r="O118" s="178" t="s">
        <v>1828</v>
      </c>
      <c r="P118" s="179" t="s">
        <v>6761</v>
      </c>
      <c r="Q118" s="179" t="s">
        <v>6762</v>
      </c>
      <c r="R118" s="179" t="s">
        <v>1831</v>
      </c>
      <c r="S118" s="179"/>
    </row>
    <row r="119" spans="2:19" s="19" customFormat="1" hidden="1">
      <c r="B119"/>
      <c r="C119" s="15"/>
      <c r="D119" s="1"/>
      <c r="L119" s="180" t="s">
        <v>6763</v>
      </c>
      <c r="M119" s="181" t="s">
        <v>1833</v>
      </c>
      <c r="N119" s="181" t="s">
        <v>1834</v>
      </c>
      <c r="O119" s="182" t="s">
        <v>1835</v>
      </c>
      <c r="P119" s="183">
        <v>1000</v>
      </c>
      <c r="Q119" s="183">
        <v>4</v>
      </c>
      <c r="R119" s="184">
        <v>43598</v>
      </c>
      <c r="S119" s="181" t="s">
        <v>99</v>
      </c>
    </row>
    <row r="120" spans="2:19" s="19" customFormat="1" hidden="1">
      <c r="B120"/>
      <c r="C120" s="15"/>
      <c r="D120" s="1"/>
      <c r="L120" s="180" t="s">
        <v>6763</v>
      </c>
      <c r="M120" s="181" t="s">
        <v>1836</v>
      </c>
      <c r="N120" s="181" t="s">
        <v>1834</v>
      </c>
      <c r="O120" s="182" t="s">
        <v>1835</v>
      </c>
      <c r="P120" s="183">
        <v>6000</v>
      </c>
      <c r="Q120" s="183">
        <v>24</v>
      </c>
      <c r="R120" s="184">
        <v>43598</v>
      </c>
      <c r="S120" s="181" t="s">
        <v>99</v>
      </c>
    </row>
    <row r="121" spans="2:19" s="19" customFormat="1" hidden="1">
      <c r="B121"/>
      <c r="C121" s="15"/>
      <c r="D121" s="1"/>
      <c r="L121" s="180" t="s">
        <v>6763</v>
      </c>
      <c r="M121" s="181" t="s">
        <v>1837</v>
      </c>
      <c r="N121" s="181" t="s">
        <v>1834</v>
      </c>
      <c r="O121" s="182" t="s">
        <v>1835</v>
      </c>
      <c r="P121" s="183">
        <v>5000</v>
      </c>
      <c r="Q121" s="183">
        <v>20</v>
      </c>
      <c r="R121" s="185" t="s">
        <v>6764</v>
      </c>
      <c r="S121" s="180" t="s">
        <v>6765</v>
      </c>
    </row>
    <row r="122" spans="2:19" s="19" customFormat="1" hidden="1">
      <c r="B122"/>
      <c r="C122" s="15"/>
      <c r="D122" s="1"/>
      <c r="L122" s="180" t="s">
        <v>6763</v>
      </c>
      <c r="M122" s="181" t="s">
        <v>1840</v>
      </c>
      <c r="N122" s="181" t="s">
        <v>1834</v>
      </c>
      <c r="O122" s="182" t="s">
        <v>1835</v>
      </c>
      <c r="P122" s="183">
        <v>5000</v>
      </c>
      <c r="Q122" s="183">
        <v>20</v>
      </c>
      <c r="R122" s="184">
        <v>43605</v>
      </c>
      <c r="S122" s="181" t="s">
        <v>99</v>
      </c>
    </row>
    <row r="123" spans="2:19" s="19" customFormat="1" hidden="1">
      <c r="B123"/>
      <c r="C123" s="15"/>
      <c r="D123" s="1"/>
      <c r="L123" s="180" t="s">
        <v>6763</v>
      </c>
      <c r="M123" s="181" t="s">
        <v>1841</v>
      </c>
      <c r="N123" s="181" t="s">
        <v>1834</v>
      </c>
      <c r="O123" s="182" t="s">
        <v>1835</v>
      </c>
      <c r="P123" s="183">
        <v>7000</v>
      </c>
      <c r="Q123" s="183">
        <v>28</v>
      </c>
      <c r="R123" s="184">
        <v>43605</v>
      </c>
      <c r="S123" s="181" t="s">
        <v>99</v>
      </c>
    </row>
    <row r="124" spans="2:19" hidden="1">
      <c r="L124" s="180" t="s">
        <v>6766</v>
      </c>
      <c r="M124" s="181" t="s">
        <v>1843</v>
      </c>
      <c r="N124" s="181" t="s">
        <v>1844</v>
      </c>
      <c r="O124" s="182" t="s">
        <v>1835</v>
      </c>
      <c r="P124" s="183">
        <v>2000</v>
      </c>
      <c r="Q124" s="183">
        <v>8</v>
      </c>
      <c r="R124" s="184">
        <v>43598</v>
      </c>
      <c r="S124" s="181" t="s">
        <v>99</v>
      </c>
    </row>
    <row r="125" spans="2:19" hidden="1">
      <c r="L125" s="180" t="s">
        <v>6766</v>
      </c>
      <c r="M125" s="181" t="s">
        <v>1845</v>
      </c>
      <c r="N125" s="181" t="s">
        <v>1844</v>
      </c>
      <c r="O125" s="182" t="s">
        <v>1835</v>
      </c>
      <c r="P125" s="183">
        <v>2000</v>
      </c>
      <c r="Q125" s="183">
        <v>8</v>
      </c>
      <c r="R125" s="184">
        <v>43598</v>
      </c>
      <c r="S125" s="181" t="s">
        <v>99</v>
      </c>
    </row>
    <row r="126" spans="2:19" hidden="1">
      <c r="L126" s="180" t="s">
        <v>6766</v>
      </c>
      <c r="M126" s="181" t="s">
        <v>1846</v>
      </c>
      <c r="N126" s="181" t="s">
        <v>1844</v>
      </c>
      <c r="O126" s="182" t="s">
        <v>1835</v>
      </c>
      <c r="P126" s="183">
        <v>10000</v>
      </c>
      <c r="Q126" s="183">
        <v>40</v>
      </c>
      <c r="R126" s="184">
        <v>43598</v>
      </c>
      <c r="S126" s="181" t="s">
        <v>99</v>
      </c>
    </row>
    <row r="127" spans="2:19" hidden="1">
      <c r="L127" s="180" t="s">
        <v>6766</v>
      </c>
      <c r="M127" s="181" t="s">
        <v>1847</v>
      </c>
      <c r="N127" s="181" t="s">
        <v>1844</v>
      </c>
      <c r="O127" s="182" t="s">
        <v>1835</v>
      </c>
      <c r="P127" s="183">
        <v>8000</v>
      </c>
      <c r="Q127" s="183">
        <v>32</v>
      </c>
      <c r="R127" s="184">
        <v>43598</v>
      </c>
      <c r="S127" s="180"/>
    </row>
    <row r="128" spans="2:19" hidden="1">
      <c r="L128" s="180" t="s">
        <v>6766</v>
      </c>
      <c r="M128" s="181" t="s">
        <v>1848</v>
      </c>
      <c r="N128" s="181" t="s">
        <v>1844</v>
      </c>
      <c r="O128" s="182" t="s">
        <v>1835</v>
      </c>
      <c r="P128" s="183">
        <v>10000</v>
      </c>
      <c r="Q128" s="183">
        <v>40</v>
      </c>
      <c r="R128" s="185" t="s">
        <v>6767</v>
      </c>
      <c r="S128" s="180" t="s">
        <v>6765</v>
      </c>
    </row>
    <row r="129" spans="12:19" hidden="1">
      <c r="L129" s="182" t="s">
        <v>6768</v>
      </c>
      <c r="M129" s="181" t="s">
        <v>1851</v>
      </c>
      <c r="N129" s="181" t="s">
        <v>1834</v>
      </c>
      <c r="O129" s="182" t="s">
        <v>1852</v>
      </c>
      <c r="P129" s="183">
        <v>5000</v>
      </c>
      <c r="Q129" s="183">
        <v>20</v>
      </c>
      <c r="R129" s="184">
        <v>43605</v>
      </c>
      <c r="S129" s="181" t="s">
        <v>99</v>
      </c>
    </row>
    <row r="130" spans="12:19" hidden="1">
      <c r="L130" s="180" t="s">
        <v>6769</v>
      </c>
      <c r="M130" s="181" t="s">
        <v>1851</v>
      </c>
      <c r="N130" s="181" t="s">
        <v>1844</v>
      </c>
      <c r="O130" s="182" t="s">
        <v>1835</v>
      </c>
      <c r="P130" s="183">
        <v>2000</v>
      </c>
      <c r="Q130" s="183">
        <v>8</v>
      </c>
      <c r="R130" s="184">
        <v>43605</v>
      </c>
      <c r="S130" s="181" t="s">
        <v>99</v>
      </c>
    </row>
    <row r="131" spans="12:19" hidden="1">
      <c r="L131" s="182" t="s">
        <v>6770</v>
      </c>
      <c r="M131" s="181" t="s">
        <v>1855</v>
      </c>
      <c r="N131" s="181" t="s">
        <v>1834</v>
      </c>
      <c r="O131" s="182" t="s">
        <v>1852</v>
      </c>
      <c r="P131" s="183">
        <v>6000</v>
      </c>
      <c r="Q131" s="183">
        <v>24</v>
      </c>
      <c r="R131" s="184">
        <v>43605</v>
      </c>
      <c r="S131" s="181" t="s">
        <v>99</v>
      </c>
    </row>
    <row r="132" spans="12:19" hidden="1">
      <c r="L132" s="182" t="s">
        <v>6770</v>
      </c>
      <c r="M132" s="181" t="s">
        <v>1856</v>
      </c>
      <c r="N132" s="181" t="s">
        <v>1834</v>
      </c>
      <c r="O132" s="182" t="s">
        <v>1852</v>
      </c>
      <c r="P132" s="183">
        <v>6000</v>
      </c>
      <c r="Q132" s="183">
        <v>24</v>
      </c>
      <c r="R132" s="185">
        <v>43605</v>
      </c>
      <c r="S132" s="180"/>
    </row>
    <row r="133" spans="12:19" hidden="1">
      <c r="L133" s="182" t="s">
        <v>6770</v>
      </c>
      <c r="M133" s="181" t="s">
        <v>1857</v>
      </c>
      <c r="N133" s="181" t="s">
        <v>1834</v>
      </c>
      <c r="O133" s="182" t="s">
        <v>1852</v>
      </c>
      <c r="P133" s="183">
        <v>6000</v>
      </c>
      <c r="Q133" s="183">
        <v>24</v>
      </c>
      <c r="R133" s="184" t="s">
        <v>6771</v>
      </c>
      <c r="S133" s="181" t="s">
        <v>6772</v>
      </c>
    </row>
    <row r="136" spans="12:19" ht="16.2">
      <c r="L136" s="186"/>
    </row>
    <row r="137" spans="12:19" ht="16.2">
      <c r="L137" s="186"/>
    </row>
    <row r="138" spans="12:19" ht="16.2">
      <c r="L138" s="186"/>
    </row>
    <row r="139" spans="12:19">
      <c r="Q139" t="s">
        <v>6773</v>
      </c>
    </row>
  </sheetData>
  <autoFilter ref="B2:R116" xr:uid="{00000000-0009-0000-0000-000002000000}">
    <sortState ref="B89:R144">
      <sortCondition descending="1" ref="L2:L148"/>
    </sortState>
  </autoFilter>
  <phoneticPr fontId="1"/>
  <pageMargins left="0.23622047244094491" right="0.23622047244094491" top="0.35433070866141736" bottom="0.35433070866141736" header="0.31496062992125984" footer="0.31496062992125984"/>
  <pageSetup paperSize="9" scale="44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81">
    <pageSetUpPr fitToPage="1"/>
  </sheetPr>
  <dimension ref="B1:T127"/>
  <sheetViews>
    <sheetView zoomScale="77" zoomScaleNormal="77" workbookViewId="0">
      <pane xSplit="4" ySplit="2" topLeftCell="E77" activePane="bottomRight" state="frozen"/>
      <selection pane="topRight" activeCell="E1" sqref="E1"/>
      <selection pane="bottomLeft" activeCell="A3" sqref="A3"/>
      <selection pane="bottomRight" activeCell="O104" sqref="O104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7.12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B2" s="194"/>
      <c r="C2" s="14" t="s">
        <v>9</v>
      </c>
      <c r="D2" s="5" t="s">
        <v>0</v>
      </c>
      <c r="E2" s="6" t="s">
        <v>93</v>
      </c>
      <c r="F2" s="6" t="s">
        <v>11</v>
      </c>
      <c r="G2" s="10" t="s">
        <v>1</v>
      </c>
      <c r="H2" s="6" t="s">
        <v>15</v>
      </c>
      <c r="I2" s="6" t="s">
        <v>16</v>
      </c>
      <c r="J2" s="6" t="s">
        <v>95</v>
      </c>
      <c r="K2" s="12" t="s">
        <v>7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85</v>
      </c>
      <c r="Q2" s="6" t="s">
        <v>8</v>
      </c>
      <c r="R2" s="16" t="s">
        <v>6</v>
      </c>
      <c r="S2" s="16" t="s">
        <v>80</v>
      </c>
    </row>
    <row r="3" spans="2:19" s="33" customFormat="1" ht="33" customHeight="1">
      <c r="B3" s="47" t="s">
        <v>78</v>
      </c>
      <c r="C3" s="48" t="s">
        <v>1178</v>
      </c>
      <c r="D3" s="49" t="s">
        <v>1179</v>
      </c>
      <c r="E3" s="50">
        <v>43567</v>
      </c>
      <c r="F3" s="49" t="s">
        <v>91</v>
      </c>
      <c r="G3" s="51">
        <v>10000</v>
      </c>
      <c r="H3" s="52">
        <f t="shared" ref="H3:H8" si="0">SUM(G3/250)</f>
        <v>40</v>
      </c>
      <c r="I3" s="52">
        <f t="shared" ref="I3:I8" si="1">SUM(H3/4)</f>
        <v>10</v>
      </c>
      <c r="J3" s="49"/>
      <c r="K3" s="53">
        <v>43674</v>
      </c>
      <c r="L3" s="54" t="s">
        <v>2503</v>
      </c>
      <c r="M3" s="55">
        <v>43682</v>
      </c>
      <c r="N3" s="56" t="s">
        <v>2493</v>
      </c>
      <c r="O3" s="55">
        <v>43688</v>
      </c>
      <c r="P3" s="54"/>
      <c r="Q3" s="49" t="s">
        <v>82</v>
      </c>
      <c r="R3" s="57" t="s">
        <v>2271</v>
      </c>
      <c r="S3" s="47" t="s">
        <v>2539</v>
      </c>
    </row>
    <row r="4" spans="2:19" s="33" customFormat="1" ht="33" customHeight="1">
      <c r="B4" s="47" t="s">
        <v>220</v>
      </c>
      <c r="C4" s="48" t="s">
        <v>1181</v>
      </c>
      <c r="D4" s="49" t="s">
        <v>1182</v>
      </c>
      <c r="E4" s="50">
        <v>43567</v>
      </c>
      <c r="F4" s="49" t="s">
        <v>91</v>
      </c>
      <c r="G4" s="51">
        <v>10000</v>
      </c>
      <c r="H4" s="52">
        <f t="shared" si="0"/>
        <v>40</v>
      </c>
      <c r="I4" s="52">
        <f t="shared" si="1"/>
        <v>10</v>
      </c>
      <c r="J4" s="49"/>
      <c r="K4" s="53">
        <v>43674</v>
      </c>
      <c r="L4" s="54" t="s">
        <v>2503</v>
      </c>
      <c r="M4" s="55">
        <v>43682</v>
      </c>
      <c r="N4" s="56" t="s">
        <v>2493</v>
      </c>
      <c r="O4" s="55">
        <v>43688</v>
      </c>
      <c r="P4" s="54"/>
      <c r="Q4" s="49"/>
      <c r="R4" s="57" t="s">
        <v>1183</v>
      </c>
      <c r="S4" s="47" t="s">
        <v>2539</v>
      </c>
    </row>
    <row r="5" spans="2:19" s="33" customFormat="1" ht="33" customHeight="1">
      <c r="B5" s="47" t="s">
        <v>78</v>
      </c>
      <c r="C5" s="48" t="s">
        <v>2273</v>
      </c>
      <c r="D5" s="49" t="s">
        <v>2274</v>
      </c>
      <c r="E5" s="50">
        <v>43602</v>
      </c>
      <c r="F5" s="49" t="s">
        <v>79</v>
      </c>
      <c r="G5" s="51">
        <v>20000</v>
      </c>
      <c r="H5" s="52">
        <f t="shared" si="0"/>
        <v>80</v>
      </c>
      <c r="I5" s="52">
        <f t="shared" si="1"/>
        <v>20</v>
      </c>
      <c r="J5" s="49"/>
      <c r="K5" s="53">
        <v>43688</v>
      </c>
      <c r="L5" s="54" t="s">
        <v>2503</v>
      </c>
      <c r="M5" s="55">
        <v>43682</v>
      </c>
      <c r="N5" s="56" t="s">
        <v>2493</v>
      </c>
      <c r="O5" s="55">
        <v>43688</v>
      </c>
      <c r="P5" s="54"/>
      <c r="Q5" s="49" t="s">
        <v>82</v>
      </c>
      <c r="R5" s="57" t="s">
        <v>2275</v>
      </c>
      <c r="S5" s="47"/>
    </row>
    <row r="6" spans="2:19" s="33" customFormat="1" ht="33" customHeight="1">
      <c r="B6" s="47" t="s">
        <v>78</v>
      </c>
      <c r="C6" s="48" t="s">
        <v>2276</v>
      </c>
      <c r="D6" s="49" t="s">
        <v>2277</v>
      </c>
      <c r="E6" s="50">
        <v>43602</v>
      </c>
      <c r="F6" s="49" t="s">
        <v>79</v>
      </c>
      <c r="G6" s="51">
        <v>20000</v>
      </c>
      <c r="H6" s="52">
        <f t="shared" si="0"/>
        <v>80</v>
      </c>
      <c r="I6" s="52">
        <f t="shared" si="1"/>
        <v>20</v>
      </c>
      <c r="J6" s="49"/>
      <c r="K6" s="53">
        <v>43695</v>
      </c>
      <c r="L6" s="54" t="s">
        <v>2503</v>
      </c>
      <c r="M6" s="55">
        <v>43682</v>
      </c>
      <c r="N6" s="56" t="s">
        <v>2493</v>
      </c>
      <c r="O6" s="55">
        <v>43688</v>
      </c>
      <c r="P6" s="54"/>
      <c r="Q6" s="49" t="s">
        <v>82</v>
      </c>
      <c r="R6" s="57" t="s">
        <v>2278</v>
      </c>
      <c r="S6" s="47"/>
    </row>
    <row r="7" spans="2:19" s="33" customFormat="1" ht="33" customHeight="1">
      <c r="B7" s="47" t="s">
        <v>220</v>
      </c>
      <c r="C7" s="48" t="s">
        <v>2279</v>
      </c>
      <c r="D7" s="49" t="s">
        <v>2280</v>
      </c>
      <c r="E7" s="50">
        <v>43602</v>
      </c>
      <c r="F7" s="49" t="s">
        <v>79</v>
      </c>
      <c r="G7" s="51">
        <v>20000</v>
      </c>
      <c r="H7" s="52">
        <f t="shared" si="0"/>
        <v>80</v>
      </c>
      <c r="I7" s="52">
        <f t="shared" si="1"/>
        <v>20</v>
      </c>
      <c r="J7" s="49"/>
      <c r="K7" s="53">
        <v>43695</v>
      </c>
      <c r="L7" s="54" t="s">
        <v>2503</v>
      </c>
      <c r="M7" s="55">
        <v>43682</v>
      </c>
      <c r="N7" s="56" t="s">
        <v>2493</v>
      </c>
      <c r="O7" s="55">
        <v>43688</v>
      </c>
      <c r="P7" s="54"/>
      <c r="Q7" s="49"/>
      <c r="R7" s="57" t="s">
        <v>2281</v>
      </c>
      <c r="S7" s="47"/>
    </row>
    <row r="8" spans="2:19" s="33" customFormat="1" ht="33" customHeight="1">
      <c r="B8" s="47" t="s">
        <v>78</v>
      </c>
      <c r="C8" s="48" t="s">
        <v>2282</v>
      </c>
      <c r="D8" s="49" t="s">
        <v>2283</v>
      </c>
      <c r="E8" s="50">
        <v>43602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43709</v>
      </c>
      <c r="L8" s="54" t="s">
        <v>2504</v>
      </c>
      <c r="M8" s="55">
        <v>43703</v>
      </c>
      <c r="N8" s="56" t="s">
        <v>2494</v>
      </c>
      <c r="O8" s="55">
        <v>43709</v>
      </c>
      <c r="P8" s="54"/>
      <c r="Q8" s="49" t="s">
        <v>82</v>
      </c>
      <c r="R8" s="57" t="s">
        <v>2284</v>
      </c>
      <c r="S8" s="47"/>
    </row>
    <row r="9" spans="2:19" s="33" customFormat="1" ht="33" customHeight="1">
      <c r="B9" s="47" t="s">
        <v>220</v>
      </c>
      <c r="C9" s="48" t="s">
        <v>4821</v>
      </c>
      <c r="D9" s="49" t="s">
        <v>3354</v>
      </c>
      <c r="E9" s="50">
        <v>43637</v>
      </c>
      <c r="F9" s="49" t="s">
        <v>79</v>
      </c>
      <c r="G9" s="51">
        <v>20000</v>
      </c>
      <c r="H9" s="52">
        <v>64</v>
      </c>
      <c r="I9" s="52">
        <v>16</v>
      </c>
      <c r="J9" s="49"/>
      <c r="K9" s="53">
        <v>43716</v>
      </c>
      <c r="L9" s="54" t="s">
        <v>5447</v>
      </c>
      <c r="M9" s="55">
        <v>43717</v>
      </c>
      <c r="N9" s="56" t="s">
        <v>5448</v>
      </c>
      <c r="O9" s="55">
        <v>43723</v>
      </c>
      <c r="P9" s="54"/>
      <c r="Q9" s="49"/>
      <c r="R9" s="57" t="s">
        <v>3355</v>
      </c>
      <c r="S9" s="47" t="s">
        <v>5465</v>
      </c>
    </row>
    <row r="10" spans="2:19" s="33" customFormat="1" ht="33" customHeight="1">
      <c r="B10" s="47" t="s">
        <v>78</v>
      </c>
      <c r="C10" s="48" t="s">
        <v>3356</v>
      </c>
      <c r="D10" s="49" t="s">
        <v>3357</v>
      </c>
      <c r="E10" s="50">
        <v>43637</v>
      </c>
      <c r="F10" s="49" t="s">
        <v>79</v>
      </c>
      <c r="G10" s="51">
        <v>20000</v>
      </c>
      <c r="H10" s="52">
        <f>SUM(G10/250)</f>
        <v>80</v>
      </c>
      <c r="I10" s="52">
        <f t="shared" ref="I10:I37" si="2">SUM(H10/4)</f>
        <v>20</v>
      </c>
      <c r="J10" s="49"/>
      <c r="K10" s="53">
        <v>43723</v>
      </c>
      <c r="L10" s="54" t="s">
        <v>3555</v>
      </c>
      <c r="M10" s="55">
        <v>43717</v>
      </c>
      <c r="N10" s="56" t="s">
        <v>3551</v>
      </c>
      <c r="O10" s="55">
        <v>43723</v>
      </c>
      <c r="P10" s="54"/>
      <c r="Q10" s="49" t="s">
        <v>82</v>
      </c>
      <c r="R10" s="57" t="s">
        <v>3358</v>
      </c>
      <c r="S10" s="47"/>
    </row>
    <row r="11" spans="2:19" s="33" customFormat="1" ht="33" customHeight="1">
      <c r="B11" s="47" t="s">
        <v>78</v>
      </c>
      <c r="C11" s="48" t="s">
        <v>3359</v>
      </c>
      <c r="D11" s="49" t="s">
        <v>3360</v>
      </c>
      <c r="E11" s="50">
        <v>43637</v>
      </c>
      <c r="F11" s="49" t="s">
        <v>79</v>
      </c>
      <c r="G11" s="51">
        <v>20000</v>
      </c>
      <c r="H11" s="52">
        <f>SUM(G11/250)</f>
        <v>80</v>
      </c>
      <c r="I11" s="52">
        <f t="shared" si="2"/>
        <v>20</v>
      </c>
      <c r="J11" s="49"/>
      <c r="K11" s="53">
        <v>43737</v>
      </c>
      <c r="L11" s="54" t="s">
        <v>3556</v>
      </c>
      <c r="M11" s="55">
        <v>43728</v>
      </c>
      <c r="N11" s="56" t="s">
        <v>4164</v>
      </c>
      <c r="O11" s="55">
        <v>43737</v>
      </c>
      <c r="P11" s="54"/>
      <c r="Q11" s="49" t="s">
        <v>82</v>
      </c>
      <c r="R11" s="57" t="s">
        <v>3969</v>
      </c>
      <c r="S11" s="47"/>
    </row>
    <row r="12" spans="2:19" s="33" customFormat="1" ht="33" customHeight="1">
      <c r="B12" s="47" t="s">
        <v>220</v>
      </c>
      <c r="C12" s="48" t="s">
        <v>4252</v>
      </c>
      <c r="D12" s="49" t="s">
        <v>4253</v>
      </c>
      <c r="E12" s="50">
        <v>43665</v>
      </c>
      <c r="F12" s="49" t="s">
        <v>79</v>
      </c>
      <c r="G12" s="51">
        <v>24000</v>
      </c>
      <c r="H12" s="52">
        <v>96</v>
      </c>
      <c r="I12" s="52">
        <f t="shared" si="2"/>
        <v>24</v>
      </c>
      <c r="J12" s="49"/>
      <c r="K12" s="53">
        <v>43744</v>
      </c>
      <c r="L12" s="54" t="s">
        <v>3556</v>
      </c>
      <c r="M12" s="55">
        <v>43728</v>
      </c>
      <c r="N12" s="56" t="s">
        <v>5449</v>
      </c>
      <c r="O12" s="55">
        <v>43737</v>
      </c>
      <c r="P12" s="54"/>
      <c r="Q12" s="49"/>
      <c r="R12" s="57" t="s">
        <v>4254</v>
      </c>
      <c r="S12" s="47" t="s">
        <v>5464</v>
      </c>
    </row>
    <row r="13" spans="2:19" s="33" customFormat="1" ht="33" customHeight="1">
      <c r="B13" s="47" t="s">
        <v>78</v>
      </c>
      <c r="C13" s="48" t="s">
        <v>4255</v>
      </c>
      <c r="D13" s="49" t="s">
        <v>4256</v>
      </c>
      <c r="E13" s="50">
        <v>43665</v>
      </c>
      <c r="F13" s="49" t="s">
        <v>79</v>
      </c>
      <c r="G13" s="51">
        <v>20000</v>
      </c>
      <c r="H13" s="52">
        <f t="shared" ref="H13:H28" si="3">SUM(G13/250)</f>
        <v>80</v>
      </c>
      <c r="I13" s="52">
        <f t="shared" si="2"/>
        <v>20</v>
      </c>
      <c r="J13" s="49"/>
      <c r="K13" s="53">
        <v>43744</v>
      </c>
      <c r="L13" s="54" t="s">
        <v>4473</v>
      </c>
      <c r="M13" s="55">
        <v>43738</v>
      </c>
      <c r="N13" s="56" t="s">
        <v>4466</v>
      </c>
      <c r="O13" s="55">
        <v>43744</v>
      </c>
      <c r="P13" s="54"/>
      <c r="Q13" s="49" t="s">
        <v>82</v>
      </c>
      <c r="R13" s="57" t="s">
        <v>4257</v>
      </c>
      <c r="S13" s="47"/>
    </row>
    <row r="14" spans="2:19" s="33" customFormat="1" ht="33" customHeight="1">
      <c r="B14" s="47" t="s">
        <v>78</v>
      </c>
      <c r="C14" s="48" t="s">
        <v>4258</v>
      </c>
      <c r="D14" s="49" t="s">
        <v>4259</v>
      </c>
      <c r="E14" s="50">
        <v>43665</v>
      </c>
      <c r="F14" s="49" t="s">
        <v>79</v>
      </c>
      <c r="G14" s="51">
        <v>20000</v>
      </c>
      <c r="H14" s="52">
        <f t="shared" si="3"/>
        <v>80</v>
      </c>
      <c r="I14" s="52">
        <f t="shared" si="2"/>
        <v>20</v>
      </c>
      <c r="J14" s="49"/>
      <c r="K14" s="53">
        <v>43758</v>
      </c>
      <c r="L14" s="54" t="s">
        <v>4484</v>
      </c>
      <c r="M14" s="55">
        <v>43749</v>
      </c>
      <c r="N14" s="56" t="s">
        <v>4467</v>
      </c>
      <c r="O14" s="55">
        <v>43758</v>
      </c>
      <c r="P14" s="54"/>
      <c r="Q14" s="49" t="s">
        <v>82</v>
      </c>
      <c r="R14" s="57" t="s">
        <v>4260</v>
      </c>
      <c r="S14" s="47"/>
    </row>
    <row r="15" spans="2:19" s="33" customFormat="1" ht="33" customHeight="1">
      <c r="B15" s="47" t="s">
        <v>78</v>
      </c>
      <c r="C15" s="48" t="s">
        <v>4261</v>
      </c>
      <c r="D15" s="49" t="s">
        <v>4262</v>
      </c>
      <c r="E15" s="50">
        <v>43665</v>
      </c>
      <c r="F15" s="49" t="s">
        <v>79</v>
      </c>
      <c r="G15" s="51">
        <v>20000</v>
      </c>
      <c r="H15" s="52">
        <f t="shared" si="3"/>
        <v>80</v>
      </c>
      <c r="I15" s="52">
        <f t="shared" si="2"/>
        <v>20</v>
      </c>
      <c r="J15" s="49"/>
      <c r="K15" s="53">
        <v>43765</v>
      </c>
      <c r="L15" s="54" t="s">
        <v>4484</v>
      </c>
      <c r="M15" s="212">
        <v>43749</v>
      </c>
      <c r="N15" s="213" t="s">
        <v>4467</v>
      </c>
      <c r="O15" s="212">
        <v>43758</v>
      </c>
      <c r="P15" s="54"/>
      <c r="Q15" s="49" t="s">
        <v>82</v>
      </c>
      <c r="R15" s="57" t="s">
        <v>4263</v>
      </c>
      <c r="S15" s="47" t="s">
        <v>6456</v>
      </c>
    </row>
    <row r="16" spans="2:19" s="33" customFormat="1" ht="33" customHeight="1">
      <c r="B16" s="47" t="s">
        <v>220</v>
      </c>
      <c r="C16" s="48" t="s">
        <v>4264</v>
      </c>
      <c r="D16" s="49" t="s">
        <v>4265</v>
      </c>
      <c r="E16" s="50">
        <v>43665</v>
      </c>
      <c r="F16" s="49" t="s">
        <v>79</v>
      </c>
      <c r="G16" s="51">
        <v>20000</v>
      </c>
      <c r="H16" s="52">
        <f t="shared" si="3"/>
        <v>80</v>
      </c>
      <c r="I16" s="52">
        <f t="shared" si="2"/>
        <v>20</v>
      </c>
      <c r="J16" s="49"/>
      <c r="K16" s="53">
        <v>43758</v>
      </c>
      <c r="L16" s="54" t="s">
        <v>4484</v>
      </c>
      <c r="M16" s="55">
        <v>43749</v>
      </c>
      <c r="N16" s="56" t="s">
        <v>4467</v>
      </c>
      <c r="O16" s="55">
        <v>43758</v>
      </c>
      <c r="P16" s="54"/>
      <c r="Q16" s="49"/>
      <c r="R16" s="57" t="s">
        <v>5058</v>
      </c>
      <c r="S16" s="47"/>
    </row>
    <row r="17" spans="2:19" s="30" customFormat="1" ht="33" customHeight="1">
      <c r="B17" s="46" t="s">
        <v>78</v>
      </c>
      <c r="C17" s="35" t="s">
        <v>5057</v>
      </c>
      <c r="D17" s="36" t="s">
        <v>5192</v>
      </c>
      <c r="E17" s="37">
        <v>43689</v>
      </c>
      <c r="F17" s="36" t="s">
        <v>79</v>
      </c>
      <c r="G17" s="39">
        <v>20000</v>
      </c>
      <c r="H17" s="38">
        <f t="shared" si="3"/>
        <v>80</v>
      </c>
      <c r="I17" s="38">
        <f t="shared" si="2"/>
        <v>20</v>
      </c>
      <c r="J17" s="36"/>
      <c r="K17" s="40">
        <v>43772</v>
      </c>
      <c r="L17" s="41" t="s">
        <v>5182</v>
      </c>
      <c r="M17" s="42">
        <v>43766</v>
      </c>
      <c r="N17" s="43" t="s">
        <v>5175</v>
      </c>
      <c r="O17" s="42">
        <v>43772</v>
      </c>
      <c r="P17" s="41"/>
      <c r="Q17" s="36"/>
      <c r="R17" s="44" t="s">
        <v>5056</v>
      </c>
      <c r="S17" s="46"/>
    </row>
    <row r="18" spans="2:19" s="30" customFormat="1" ht="33" customHeight="1">
      <c r="B18" s="46" t="s">
        <v>220</v>
      </c>
      <c r="C18" s="35" t="s">
        <v>5055</v>
      </c>
      <c r="D18" s="36" t="s">
        <v>5193</v>
      </c>
      <c r="E18" s="37">
        <v>43689</v>
      </c>
      <c r="F18" s="36" t="s">
        <v>79</v>
      </c>
      <c r="G18" s="39">
        <v>20000</v>
      </c>
      <c r="H18" s="38">
        <f t="shared" si="3"/>
        <v>80</v>
      </c>
      <c r="I18" s="38">
        <f t="shared" si="2"/>
        <v>20</v>
      </c>
      <c r="J18" s="36"/>
      <c r="K18" s="40">
        <v>43779</v>
      </c>
      <c r="L18" s="41" t="s">
        <v>5183</v>
      </c>
      <c r="M18" s="42">
        <v>43770</v>
      </c>
      <c r="N18" s="43" t="s">
        <v>5176</v>
      </c>
      <c r="O18" s="42">
        <v>43779</v>
      </c>
      <c r="P18" s="41"/>
      <c r="Q18" s="36"/>
      <c r="R18" s="44" t="s">
        <v>5054</v>
      </c>
      <c r="S18" s="46"/>
    </row>
    <row r="19" spans="2:19" s="30" customFormat="1" ht="33" customHeight="1">
      <c r="B19" s="46" t="s">
        <v>78</v>
      </c>
      <c r="C19" s="35" t="s">
        <v>5053</v>
      </c>
      <c r="D19" s="36" t="s">
        <v>5194</v>
      </c>
      <c r="E19" s="37">
        <v>43689</v>
      </c>
      <c r="F19" s="36" t="s">
        <v>79</v>
      </c>
      <c r="G19" s="39">
        <v>20000</v>
      </c>
      <c r="H19" s="38">
        <f t="shared" si="3"/>
        <v>80</v>
      </c>
      <c r="I19" s="38">
        <f t="shared" si="2"/>
        <v>20</v>
      </c>
      <c r="J19" s="36"/>
      <c r="K19" s="40">
        <v>43786</v>
      </c>
      <c r="L19" s="41" t="s">
        <v>5184</v>
      </c>
      <c r="M19" s="42">
        <v>43780</v>
      </c>
      <c r="N19" s="43" t="s">
        <v>5177</v>
      </c>
      <c r="O19" s="42">
        <v>43786</v>
      </c>
      <c r="P19" s="41"/>
      <c r="Q19" s="36"/>
      <c r="R19" s="44" t="s">
        <v>5052</v>
      </c>
      <c r="S19" s="46"/>
    </row>
    <row r="20" spans="2:19" s="30" customFormat="1" ht="33" customHeight="1">
      <c r="B20" s="46" t="s">
        <v>78</v>
      </c>
      <c r="C20" s="35" t="s">
        <v>5051</v>
      </c>
      <c r="D20" s="36" t="s">
        <v>5195</v>
      </c>
      <c r="E20" s="37">
        <v>43689</v>
      </c>
      <c r="F20" s="36" t="s">
        <v>79</v>
      </c>
      <c r="G20" s="39">
        <v>20000</v>
      </c>
      <c r="H20" s="38">
        <f t="shared" si="3"/>
        <v>80</v>
      </c>
      <c r="I20" s="38">
        <f t="shared" si="2"/>
        <v>20</v>
      </c>
      <c r="J20" s="36"/>
      <c r="K20" s="40">
        <v>43793</v>
      </c>
      <c r="L20" s="41" t="s">
        <v>5185</v>
      </c>
      <c r="M20" s="42">
        <v>43787</v>
      </c>
      <c r="N20" s="43" t="s">
        <v>5178</v>
      </c>
      <c r="O20" s="42">
        <v>43793</v>
      </c>
      <c r="P20" s="41"/>
      <c r="Q20" s="36"/>
      <c r="R20" s="44" t="s">
        <v>5050</v>
      </c>
      <c r="S20" s="46"/>
    </row>
    <row r="21" spans="2:19" s="30" customFormat="1" ht="33" customHeight="1">
      <c r="B21" s="46" t="s">
        <v>126</v>
      </c>
      <c r="C21" s="35" t="s">
        <v>5049</v>
      </c>
      <c r="D21" s="36" t="s">
        <v>5196</v>
      </c>
      <c r="E21" s="37">
        <v>43689</v>
      </c>
      <c r="F21" s="36" t="s">
        <v>79</v>
      </c>
      <c r="G21" s="39">
        <v>20000</v>
      </c>
      <c r="H21" s="38">
        <f t="shared" si="3"/>
        <v>80</v>
      </c>
      <c r="I21" s="38">
        <f t="shared" si="2"/>
        <v>20</v>
      </c>
      <c r="J21" s="36"/>
      <c r="K21" s="40">
        <v>43800</v>
      </c>
      <c r="L21" s="41" t="s">
        <v>5186</v>
      </c>
      <c r="M21" s="42">
        <v>43795</v>
      </c>
      <c r="N21" s="43" t="s">
        <v>5179</v>
      </c>
      <c r="O21" s="42">
        <v>43800</v>
      </c>
      <c r="P21" s="41"/>
      <c r="Q21" s="36"/>
      <c r="R21" s="44" t="s">
        <v>5320</v>
      </c>
      <c r="S21" s="46"/>
    </row>
    <row r="22" spans="2:19" s="30" customFormat="1" ht="33" customHeight="1">
      <c r="B22" s="46" t="s">
        <v>220</v>
      </c>
      <c r="C22" s="35" t="s">
        <v>5047</v>
      </c>
      <c r="D22" s="36" t="s">
        <v>5197</v>
      </c>
      <c r="E22" s="37">
        <v>43689</v>
      </c>
      <c r="F22" s="36" t="s">
        <v>79</v>
      </c>
      <c r="G22" s="39">
        <v>20000</v>
      </c>
      <c r="H22" s="38">
        <f t="shared" si="3"/>
        <v>80</v>
      </c>
      <c r="I22" s="38">
        <f t="shared" si="2"/>
        <v>20</v>
      </c>
      <c r="J22" s="36"/>
      <c r="K22" s="40">
        <v>43793</v>
      </c>
      <c r="L22" s="41" t="s">
        <v>5185</v>
      </c>
      <c r="M22" s="42">
        <v>43787</v>
      </c>
      <c r="N22" s="43" t="s">
        <v>5178</v>
      </c>
      <c r="O22" s="42">
        <v>43793</v>
      </c>
      <c r="P22" s="41"/>
      <c r="Q22" s="36"/>
      <c r="R22" s="44" t="s">
        <v>5046</v>
      </c>
      <c r="S22" s="46"/>
    </row>
    <row r="23" spans="2:19" s="30" customFormat="1" ht="33" customHeight="1">
      <c r="B23" s="46" t="s">
        <v>126</v>
      </c>
      <c r="C23" s="35" t="s">
        <v>5899</v>
      </c>
      <c r="D23" s="36" t="s">
        <v>5898</v>
      </c>
      <c r="E23" s="37">
        <v>43724</v>
      </c>
      <c r="F23" s="36" t="s">
        <v>79</v>
      </c>
      <c r="G23" s="39">
        <v>20000</v>
      </c>
      <c r="H23" s="38">
        <f t="shared" si="3"/>
        <v>80</v>
      </c>
      <c r="I23" s="38">
        <f t="shared" si="2"/>
        <v>20</v>
      </c>
      <c r="J23" s="36"/>
      <c r="K23" s="40">
        <v>43807</v>
      </c>
      <c r="L23" s="41" t="s">
        <v>5958</v>
      </c>
      <c r="M23" s="42">
        <v>43801</v>
      </c>
      <c r="N23" s="43" t="s">
        <v>5969</v>
      </c>
      <c r="O23" s="42">
        <v>43807</v>
      </c>
      <c r="P23" s="41"/>
      <c r="Q23" s="36"/>
      <c r="R23" s="44" t="s">
        <v>5897</v>
      </c>
      <c r="S23" s="46"/>
    </row>
    <row r="24" spans="2:19" s="30" customFormat="1" ht="33" customHeight="1">
      <c r="B24" s="46" t="s">
        <v>126</v>
      </c>
      <c r="C24" s="35" t="s">
        <v>5896</v>
      </c>
      <c r="D24" s="36" t="s">
        <v>5895</v>
      </c>
      <c r="E24" s="37">
        <v>43724</v>
      </c>
      <c r="F24" s="36" t="s">
        <v>5894</v>
      </c>
      <c r="G24" s="39">
        <v>30000</v>
      </c>
      <c r="H24" s="38">
        <f t="shared" si="3"/>
        <v>120</v>
      </c>
      <c r="I24" s="38">
        <f t="shared" si="2"/>
        <v>30</v>
      </c>
      <c r="J24" s="36"/>
      <c r="K24" s="40">
        <v>43814</v>
      </c>
      <c r="L24" s="41" t="s">
        <v>5960</v>
      </c>
      <c r="M24" s="42">
        <v>43808</v>
      </c>
      <c r="N24" s="43" t="s">
        <v>5970</v>
      </c>
      <c r="O24" s="42">
        <v>43814</v>
      </c>
      <c r="P24" s="41"/>
      <c r="Q24" s="36"/>
      <c r="R24" s="44" t="s">
        <v>5893</v>
      </c>
      <c r="S24" s="46"/>
    </row>
    <row r="25" spans="2:19" s="30" customFormat="1" ht="33" customHeight="1">
      <c r="B25" s="46" t="s">
        <v>220</v>
      </c>
      <c r="C25" s="35" t="s">
        <v>5892</v>
      </c>
      <c r="D25" s="36" t="s">
        <v>5891</v>
      </c>
      <c r="E25" s="37">
        <v>43724</v>
      </c>
      <c r="F25" s="36" t="s">
        <v>5884</v>
      </c>
      <c r="G25" s="39">
        <v>10000</v>
      </c>
      <c r="H25" s="38">
        <f t="shared" si="3"/>
        <v>40</v>
      </c>
      <c r="I25" s="38">
        <f t="shared" si="2"/>
        <v>10</v>
      </c>
      <c r="J25" s="36"/>
      <c r="K25" s="40">
        <v>43814</v>
      </c>
      <c r="L25" s="41" t="s">
        <v>5959</v>
      </c>
      <c r="M25" s="42">
        <v>43808</v>
      </c>
      <c r="N25" s="43" t="s">
        <v>5970</v>
      </c>
      <c r="O25" s="42">
        <v>43814</v>
      </c>
      <c r="P25" s="41"/>
      <c r="Q25" s="36"/>
      <c r="R25" s="44" t="s">
        <v>5890</v>
      </c>
      <c r="S25" s="46"/>
    </row>
    <row r="26" spans="2:19" s="30" customFormat="1" ht="33" customHeight="1">
      <c r="B26" s="46" t="s">
        <v>126</v>
      </c>
      <c r="C26" s="35" t="s">
        <v>5889</v>
      </c>
      <c r="D26" s="36" t="s">
        <v>5888</v>
      </c>
      <c r="E26" s="37">
        <v>43724</v>
      </c>
      <c r="F26" s="36" t="s">
        <v>5884</v>
      </c>
      <c r="G26" s="39">
        <v>10000</v>
      </c>
      <c r="H26" s="38">
        <f t="shared" si="3"/>
        <v>40</v>
      </c>
      <c r="I26" s="38">
        <f t="shared" si="2"/>
        <v>10</v>
      </c>
      <c r="J26" s="36"/>
      <c r="K26" s="40">
        <v>43821</v>
      </c>
      <c r="L26" s="41" t="s">
        <v>5961</v>
      </c>
      <c r="M26" s="42">
        <v>43815</v>
      </c>
      <c r="N26" s="43" t="s">
        <v>5971</v>
      </c>
      <c r="O26" s="42">
        <v>43821</v>
      </c>
      <c r="P26" s="41"/>
      <c r="Q26" s="36"/>
      <c r="R26" s="44" t="s">
        <v>5887</v>
      </c>
      <c r="S26" s="46"/>
    </row>
    <row r="27" spans="2:19" s="30" customFormat="1" ht="33" customHeight="1">
      <c r="B27" s="46" t="s">
        <v>220</v>
      </c>
      <c r="C27" s="35" t="s">
        <v>5886</v>
      </c>
      <c r="D27" s="36" t="s">
        <v>5885</v>
      </c>
      <c r="E27" s="37">
        <v>43724</v>
      </c>
      <c r="F27" s="36" t="s">
        <v>5884</v>
      </c>
      <c r="G27" s="39">
        <v>10000</v>
      </c>
      <c r="H27" s="38">
        <f t="shared" si="3"/>
        <v>40</v>
      </c>
      <c r="I27" s="38">
        <f t="shared" si="2"/>
        <v>10</v>
      </c>
      <c r="J27" s="36"/>
      <c r="K27" s="40">
        <v>43821</v>
      </c>
      <c r="L27" s="41" t="s">
        <v>5961</v>
      </c>
      <c r="M27" s="42">
        <v>43815</v>
      </c>
      <c r="N27" s="43" t="s">
        <v>5971</v>
      </c>
      <c r="O27" s="42">
        <v>43821</v>
      </c>
      <c r="P27" s="41"/>
      <c r="Q27" s="36"/>
      <c r="R27" s="44" t="s">
        <v>5883</v>
      </c>
      <c r="S27" s="46"/>
    </row>
    <row r="28" spans="2:19" s="30" customFormat="1" ht="33" customHeight="1">
      <c r="B28" s="46" t="s">
        <v>126</v>
      </c>
      <c r="C28" s="35" t="s">
        <v>5881</v>
      </c>
      <c r="D28" s="36" t="s">
        <v>5880</v>
      </c>
      <c r="E28" s="37">
        <v>43724</v>
      </c>
      <c r="F28" s="36" t="s">
        <v>79</v>
      </c>
      <c r="G28" s="39">
        <v>20000</v>
      </c>
      <c r="H28" s="38">
        <f t="shared" si="3"/>
        <v>80</v>
      </c>
      <c r="I28" s="38">
        <f t="shared" si="2"/>
        <v>20</v>
      </c>
      <c r="J28" s="36"/>
      <c r="K28" s="40">
        <v>43828</v>
      </c>
      <c r="L28" s="41" t="s">
        <v>5962</v>
      </c>
      <c r="M28" s="42">
        <v>43822</v>
      </c>
      <c r="N28" s="43" t="s">
        <v>5972</v>
      </c>
      <c r="O28" s="42">
        <v>43828</v>
      </c>
      <c r="P28" s="41"/>
      <c r="Q28" s="36"/>
      <c r="R28" s="44" t="s">
        <v>5879</v>
      </c>
      <c r="S28" s="46"/>
    </row>
    <row r="29" spans="2:19" s="96" customFormat="1" ht="33" customHeight="1">
      <c r="B29" s="47" t="s">
        <v>17</v>
      </c>
      <c r="C29" s="48" t="s">
        <v>2769</v>
      </c>
      <c r="D29" s="49" t="s">
        <v>2300</v>
      </c>
      <c r="E29" s="50">
        <v>43602</v>
      </c>
      <c r="F29" s="52" t="s">
        <v>213</v>
      </c>
      <c r="G29" s="51">
        <v>9200</v>
      </c>
      <c r="H29" s="52">
        <f>SUM(G29/230)</f>
        <v>40</v>
      </c>
      <c r="I29" s="52">
        <f t="shared" si="2"/>
        <v>10</v>
      </c>
      <c r="J29" s="49"/>
      <c r="K29" s="53">
        <v>43695</v>
      </c>
      <c r="L29" s="54" t="s">
        <v>2506</v>
      </c>
      <c r="M29" s="55">
        <v>43683</v>
      </c>
      <c r="N29" s="56" t="s">
        <v>2763</v>
      </c>
      <c r="O29" s="55">
        <v>43688</v>
      </c>
      <c r="P29" s="58"/>
      <c r="Q29" s="52" t="s">
        <v>82</v>
      </c>
      <c r="R29" s="57" t="s">
        <v>2302</v>
      </c>
      <c r="S29" s="47" t="s">
        <v>2764</v>
      </c>
    </row>
    <row r="30" spans="2:19" s="96" customFormat="1" ht="33" customHeight="1">
      <c r="B30" s="47" t="s">
        <v>17</v>
      </c>
      <c r="C30" s="48" t="s">
        <v>3702</v>
      </c>
      <c r="D30" s="49" t="s">
        <v>3703</v>
      </c>
      <c r="E30" s="50">
        <v>43643</v>
      </c>
      <c r="F30" s="52" t="s">
        <v>213</v>
      </c>
      <c r="G30" s="51">
        <v>4600</v>
      </c>
      <c r="H30" s="52">
        <f>SUM(G30/230)</f>
        <v>20</v>
      </c>
      <c r="I30" s="52">
        <f t="shared" si="2"/>
        <v>5</v>
      </c>
      <c r="J30" s="49"/>
      <c r="K30" s="53">
        <v>43688</v>
      </c>
      <c r="L30" s="54" t="s">
        <v>2506</v>
      </c>
      <c r="M30" s="55">
        <v>43683</v>
      </c>
      <c r="N30" s="56" t="s">
        <v>2763</v>
      </c>
      <c r="O30" s="55">
        <v>43688</v>
      </c>
      <c r="P30" s="58"/>
      <c r="Q30" s="52" t="s">
        <v>82</v>
      </c>
      <c r="R30" s="57"/>
      <c r="S30" s="47"/>
    </row>
    <row r="31" spans="2:19" s="96" customFormat="1" ht="33" customHeight="1">
      <c r="B31" s="47" t="s">
        <v>17</v>
      </c>
      <c r="C31" s="48" t="s">
        <v>3376</v>
      </c>
      <c r="D31" s="49" t="s">
        <v>3377</v>
      </c>
      <c r="E31" s="50">
        <v>43637</v>
      </c>
      <c r="F31" s="52" t="s">
        <v>213</v>
      </c>
      <c r="G31" s="51">
        <v>9200</v>
      </c>
      <c r="H31" s="52">
        <v>36</v>
      </c>
      <c r="I31" s="52">
        <f t="shared" si="2"/>
        <v>9</v>
      </c>
      <c r="J31" s="49"/>
      <c r="K31" s="53">
        <v>43716</v>
      </c>
      <c r="L31" s="54" t="s">
        <v>5459</v>
      </c>
      <c r="M31" s="55">
        <v>43718</v>
      </c>
      <c r="N31" s="56" t="s">
        <v>5460</v>
      </c>
      <c r="O31" s="55">
        <v>43723</v>
      </c>
      <c r="P31" s="58"/>
      <c r="Q31" s="52"/>
      <c r="R31" s="57" t="s">
        <v>3378</v>
      </c>
      <c r="S31" s="47" t="s">
        <v>5457</v>
      </c>
    </row>
    <row r="32" spans="2:19" s="96" customFormat="1" ht="33" customHeight="1">
      <c r="B32" s="47" t="s">
        <v>17</v>
      </c>
      <c r="C32" s="48" t="s">
        <v>3379</v>
      </c>
      <c r="D32" s="49" t="s">
        <v>3380</v>
      </c>
      <c r="E32" s="50">
        <v>43637</v>
      </c>
      <c r="F32" s="52" t="s">
        <v>213</v>
      </c>
      <c r="G32" s="51">
        <v>9200</v>
      </c>
      <c r="H32" s="52">
        <f>SUM(G32/230)</f>
        <v>40</v>
      </c>
      <c r="I32" s="52">
        <f t="shared" si="2"/>
        <v>10</v>
      </c>
      <c r="J32" s="49"/>
      <c r="K32" s="53">
        <v>43744</v>
      </c>
      <c r="L32" s="54" t="s">
        <v>3569</v>
      </c>
      <c r="M32" s="55">
        <v>43732</v>
      </c>
      <c r="N32" s="56" t="s">
        <v>5697</v>
      </c>
      <c r="O32" s="55">
        <v>43737</v>
      </c>
      <c r="P32" s="58"/>
      <c r="Q32" s="52"/>
      <c r="R32" s="57" t="s">
        <v>3381</v>
      </c>
      <c r="S32" s="47"/>
    </row>
    <row r="33" spans="2:19" s="67" customFormat="1" ht="33" customHeight="1">
      <c r="B33" s="46" t="s">
        <v>17</v>
      </c>
      <c r="C33" s="35" t="s">
        <v>5033</v>
      </c>
      <c r="D33" s="36" t="s">
        <v>5032</v>
      </c>
      <c r="E33" s="37">
        <v>43689</v>
      </c>
      <c r="F33" s="38" t="s">
        <v>213</v>
      </c>
      <c r="G33" s="39">
        <v>4600</v>
      </c>
      <c r="H33" s="38">
        <f>SUM(G33/230)</f>
        <v>20</v>
      </c>
      <c r="I33" s="38">
        <f t="shared" si="2"/>
        <v>5</v>
      </c>
      <c r="J33" s="36"/>
      <c r="K33" s="40">
        <v>43800</v>
      </c>
      <c r="L33" s="41" t="s">
        <v>6482</v>
      </c>
      <c r="M33" s="42">
        <v>43767</v>
      </c>
      <c r="N33" s="43" t="s">
        <v>4165</v>
      </c>
      <c r="O33" s="42">
        <v>43772</v>
      </c>
      <c r="P33" s="45"/>
      <c r="Q33" s="38" t="s">
        <v>82</v>
      </c>
      <c r="R33" s="44" t="s">
        <v>5345</v>
      </c>
      <c r="S33" s="46"/>
    </row>
    <row r="34" spans="2:19" s="96" customFormat="1" ht="33" customHeight="1">
      <c r="B34" s="47" t="s">
        <v>17</v>
      </c>
      <c r="C34" s="48" t="s">
        <v>5346</v>
      </c>
      <c r="D34" s="49" t="s">
        <v>5454</v>
      </c>
      <c r="E34" s="50">
        <v>43700</v>
      </c>
      <c r="F34" s="52" t="s">
        <v>213</v>
      </c>
      <c r="G34" s="51">
        <v>7360</v>
      </c>
      <c r="H34" s="52">
        <v>32</v>
      </c>
      <c r="I34" s="52">
        <f t="shared" si="2"/>
        <v>8</v>
      </c>
      <c r="J34" s="49"/>
      <c r="K34" s="53">
        <v>43744</v>
      </c>
      <c r="L34" s="54" t="s">
        <v>4481</v>
      </c>
      <c r="M34" s="55">
        <v>43732</v>
      </c>
      <c r="N34" s="56" t="s">
        <v>5697</v>
      </c>
      <c r="O34" s="55">
        <v>43737</v>
      </c>
      <c r="P34" s="58"/>
      <c r="Q34" s="52" t="s">
        <v>82</v>
      </c>
      <c r="R34" s="57" t="s">
        <v>5347</v>
      </c>
      <c r="S34" s="47" t="s">
        <v>5695</v>
      </c>
    </row>
    <row r="35" spans="2:19" s="67" customFormat="1" ht="33" customHeight="1">
      <c r="B35" s="46" t="s">
        <v>17</v>
      </c>
      <c r="C35" s="35" t="s">
        <v>5348</v>
      </c>
      <c r="D35" s="36" t="s">
        <v>5691</v>
      </c>
      <c r="E35" s="37">
        <v>43700</v>
      </c>
      <c r="F35" s="38" t="s">
        <v>213</v>
      </c>
      <c r="G35" s="39">
        <v>6440</v>
      </c>
      <c r="H35" s="38">
        <f t="shared" ref="H35:H49" si="4">SUM(G35/230)</f>
        <v>28</v>
      </c>
      <c r="I35" s="38">
        <f t="shared" si="2"/>
        <v>7</v>
      </c>
      <c r="J35" s="36"/>
      <c r="K35" s="40">
        <v>43765</v>
      </c>
      <c r="L35" s="41" t="s">
        <v>6482</v>
      </c>
      <c r="M35" s="42">
        <v>43767</v>
      </c>
      <c r="N35" s="43" t="s">
        <v>4165</v>
      </c>
      <c r="O35" s="42">
        <v>43772</v>
      </c>
      <c r="P35" s="45"/>
      <c r="Q35" s="38" t="s">
        <v>82</v>
      </c>
      <c r="R35" s="44" t="s">
        <v>5349</v>
      </c>
      <c r="S35" s="46"/>
    </row>
    <row r="36" spans="2:19" s="67" customFormat="1" ht="33" customHeight="1">
      <c r="B36" s="46" t="s">
        <v>17</v>
      </c>
      <c r="C36" s="35" t="s">
        <v>5861</v>
      </c>
      <c r="D36" s="36" t="s">
        <v>5860</v>
      </c>
      <c r="E36" s="37">
        <v>43724</v>
      </c>
      <c r="F36" s="38" t="s">
        <v>213</v>
      </c>
      <c r="G36" s="39">
        <v>9200</v>
      </c>
      <c r="H36" s="38">
        <f t="shared" si="4"/>
        <v>40</v>
      </c>
      <c r="I36" s="38">
        <f t="shared" si="2"/>
        <v>10</v>
      </c>
      <c r="J36" s="36"/>
      <c r="K36" s="40">
        <v>43814</v>
      </c>
      <c r="L36" s="41" t="s">
        <v>5974</v>
      </c>
      <c r="M36" s="42">
        <v>43809</v>
      </c>
      <c r="N36" s="43" t="s">
        <v>5964</v>
      </c>
      <c r="O36" s="42">
        <v>43814</v>
      </c>
      <c r="P36" s="45"/>
      <c r="Q36" s="38" t="s">
        <v>82</v>
      </c>
      <c r="R36" s="44" t="s">
        <v>5859</v>
      </c>
      <c r="S36" s="46"/>
    </row>
    <row r="37" spans="2:19" s="96" customFormat="1" ht="33" customHeight="1">
      <c r="B37" s="47" t="s">
        <v>81</v>
      </c>
      <c r="C37" s="48" t="s">
        <v>3406</v>
      </c>
      <c r="D37" s="49" t="s">
        <v>3407</v>
      </c>
      <c r="E37" s="50">
        <v>43637</v>
      </c>
      <c r="F37" s="52" t="s">
        <v>213</v>
      </c>
      <c r="G37" s="51">
        <v>12880</v>
      </c>
      <c r="H37" s="52">
        <f t="shared" si="4"/>
        <v>56</v>
      </c>
      <c r="I37" s="52">
        <f t="shared" si="2"/>
        <v>14</v>
      </c>
      <c r="J37" s="52"/>
      <c r="K37" s="53">
        <v>43723</v>
      </c>
      <c r="L37" s="54" t="s">
        <v>5462</v>
      </c>
      <c r="M37" s="55">
        <v>43725</v>
      </c>
      <c r="N37" s="56" t="s">
        <v>5463</v>
      </c>
      <c r="O37" s="55">
        <v>43730</v>
      </c>
      <c r="P37" s="58"/>
      <c r="Q37" s="47"/>
      <c r="R37" s="57" t="s">
        <v>3408</v>
      </c>
      <c r="S37" s="47" t="s">
        <v>5458</v>
      </c>
    </row>
    <row r="38" spans="2:19" s="96" customFormat="1" ht="33" customHeight="1">
      <c r="B38" s="47" t="s">
        <v>81</v>
      </c>
      <c r="C38" s="48" t="s">
        <v>3570</v>
      </c>
      <c r="D38" s="49" t="s">
        <v>3407</v>
      </c>
      <c r="E38" s="50">
        <v>43637</v>
      </c>
      <c r="F38" s="52" t="s">
        <v>213</v>
      </c>
      <c r="G38" s="51">
        <v>920</v>
      </c>
      <c r="H38" s="52">
        <f t="shared" si="4"/>
        <v>4</v>
      </c>
      <c r="I38" s="52">
        <v>1</v>
      </c>
      <c r="J38" s="52"/>
      <c r="K38" s="53">
        <v>43723</v>
      </c>
      <c r="L38" s="54" t="s">
        <v>5459</v>
      </c>
      <c r="M38" s="55">
        <v>43718</v>
      </c>
      <c r="N38" s="56" t="s">
        <v>5460</v>
      </c>
      <c r="O38" s="55">
        <v>43723</v>
      </c>
      <c r="P38" s="58"/>
      <c r="Q38" s="47"/>
      <c r="R38" s="57" t="s">
        <v>3408</v>
      </c>
      <c r="S38" s="47" t="s">
        <v>5458</v>
      </c>
    </row>
    <row r="39" spans="2:19" s="96" customFormat="1" ht="33" customHeight="1">
      <c r="B39" s="47" t="s">
        <v>81</v>
      </c>
      <c r="C39" s="48" t="s">
        <v>3409</v>
      </c>
      <c r="D39" s="49" t="s">
        <v>3743</v>
      </c>
      <c r="E39" s="50">
        <v>43665</v>
      </c>
      <c r="F39" s="52" t="s">
        <v>213</v>
      </c>
      <c r="G39" s="51">
        <v>9200</v>
      </c>
      <c r="H39" s="52">
        <f t="shared" si="4"/>
        <v>40</v>
      </c>
      <c r="I39" s="52">
        <f t="shared" ref="I39:I49" si="5">SUM(H39/4)</f>
        <v>10</v>
      </c>
      <c r="J39" s="52"/>
      <c r="K39" s="53">
        <v>43667</v>
      </c>
      <c r="L39" s="54" t="s">
        <v>3564</v>
      </c>
      <c r="M39" s="55">
        <v>43718</v>
      </c>
      <c r="N39" s="56" t="s">
        <v>836</v>
      </c>
      <c r="O39" s="55">
        <v>43667</v>
      </c>
      <c r="P39" s="58"/>
      <c r="Q39" s="47"/>
      <c r="R39" s="57"/>
      <c r="S39" s="47"/>
    </row>
    <row r="40" spans="2:19" s="96" customFormat="1" ht="33" customHeight="1">
      <c r="B40" s="47" t="s">
        <v>81</v>
      </c>
      <c r="C40" s="48" t="s">
        <v>4318</v>
      </c>
      <c r="D40" s="49" t="s">
        <v>4319</v>
      </c>
      <c r="E40" s="50">
        <v>43665</v>
      </c>
      <c r="F40" s="52" t="s">
        <v>213</v>
      </c>
      <c r="G40" s="51">
        <v>9200</v>
      </c>
      <c r="H40" s="52">
        <f t="shared" si="4"/>
        <v>40</v>
      </c>
      <c r="I40" s="52">
        <f t="shared" si="5"/>
        <v>10</v>
      </c>
      <c r="J40" s="52"/>
      <c r="K40" s="53">
        <v>43751</v>
      </c>
      <c r="L40" s="54" t="s">
        <v>4476</v>
      </c>
      <c r="M40" s="55">
        <v>43746</v>
      </c>
      <c r="N40" s="56" t="s">
        <v>4469</v>
      </c>
      <c r="O40" s="55">
        <v>43751</v>
      </c>
      <c r="P40" s="58"/>
      <c r="Q40" s="47"/>
      <c r="R40" s="57" t="s">
        <v>4320</v>
      </c>
      <c r="S40" s="47"/>
    </row>
    <row r="41" spans="2:19" s="96" customFormat="1" ht="33" customHeight="1">
      <c r="B41" s="47" t="s">
        <v>81</v>
      </c>
      <c r="C41" s="48" t="s">
        <v>4321</v>
      </c>
      <c r="D41" s="49" t="s">
        <v>4322</v>
      </c>
      <c r="E41" s="50">
        <v>43665</v>
      </c>
      <c r="F41" s="52" t="s">
        <v>213</v>
      </c>
      <c r="G41" s="51">
        <v>8740</v>
      </c>
      <c r="H41" s="52">
        <f t="shared" si="4"/>
        <v>38</v>
      </c>
      <c r="I41" s="52">
        <f t="shared" si="5"/>
        <v>9.5</v>
      </c>
      <c r="J41" s="52"/>
      <c r="K41" s="53">
        <v>43765</v>
      </c>
      <c r="L41" s="54" t="s">
        <v>4479</v>
      </c>
      <c r="M41" s="55">
        <v>43753</v>
      </c>
      <c r="N41" s="56" t="s">
        <v>4471</v>
      </c>
      <c r="O41" s="55">
        <v>43758</v>
      </c>
      <c r="P41" s="58"/>
      <c r="Q41" s="47"/>
      <c r="R41" s="57" t="s">
        <v>4323</v>
      </c>
      <c r="S41" s="47"/>
    </row>
    <row r="42" spans="2:19" s="67" customFormat="1" ht="33" customHeight="1">
      <c r="B42" s="46" t="s">
        <v>81</v>
      </c>
      <c r="C42" s="35" t="s">
        <v>5639</v>
      </c>
      <c r="D42" s="36" t="s">
        <v>5849</v>
      </c>
      <c r="E42" s="37">
        <v>43714</v>
      </c>
      <c r="F42" s="38" t="s">
        <v>213</v>
      </c>
      <c r="G42" s="39">
        <v>4600</v>
      </c>
      <c r="H42" s="38">
        <f t="shared" si="4"/>
        <v>20</v>
      </c>
      <c r="I42" s="38">
        <f t="shared" si="5"/>
        <v>5</v>
      </c>
      <c r="J42" s="38"/>
      <c r="K42" s="40">
        <v>43765</v>
      </c>
      <c r="L42" s="41" t="s">
        <v>6482</v>
      </c>
      <c r="M42" s="42">
        <v>43767</v>
      </c>
      <c r="N42" s="43" t="s">
        <v>4165</v>
      </c>
      <c r="O42" s="42">
        <v>43772</v>
      </c>
      <c r="P42" s="45"/>
      <c r="Q42" s="46"/>
      <c r="R42" s="44" t="s">
        <v>4323</v>
      </c>
      <c r="S42" s="46"/>
    </row>
    <row r="43" spans="2:19" s="67" customFormat="1" ht="33" customHeight="1">
      <c r="B43" s="46" t="s">
        <v>81</v>
      </c>
      <c r="C43" s="35" t="s">
        <v>5006</v>
      </c>
      <c r="D43" s="36" t="s">
        <v>5005</v>
      </c>
      <c r="E43" s="37">
        <v>43689</v>
      </c>
      <c r="F43" s="38" t="s">
        <v>213</v>
      </c>
      <c r="G43" s="39">
        <v>9200</v>
      </c>
      <c r="H43" s="38">
        <f t="shared" si="4"/>
        <v>40</v>
      </c>
      <c r="I43" s="38">
        <f t="shared" si="5"/>
        <v>10</v>
      </c>
      <c r="J43" s="38"/>
      <c r="K43" s="40">
        <v>43786</v>
      </c>
      <c r="L43" s="41" t="s">
        <v>6438</v>
      </c>
      <c r="M43" s="42">
        <v>43781</v>
      </c>
      <c r="N43" s="43" t="s">
        <v>5173</v>
      </c>
      <c r="O43" s="42">
        <v>43786</v>
      </c>
      <c r="P43" s="45"/>
      <c r="Q43" s="46"/>
      <c r="R43" s="44" t="s">
        <v>5004</v>
      </c>
      <c r="S43" s="46"/>
    </row>
    <row r="44" spans="2:19" s="67" customFormat="1" ht="33" customHeight="1">
      <c r="B44" s="46" t="s">
        <v>81</v>
      </c>
      <c r="C44" s="35" t="s">
        <v>5003</v>
      </c>
      <c r="D44" s="36" t="s">
        <v>5002</v>
      </c>
      <c r="E44" s="37">
        <v>43689</v>
      </c>
      <c r="F44" s="38" t="s">
        <v>213</v>
      </c>
      <c r="G44" s="39">
        <v>9200</v>
      </c>
      <c r="H44" s="38">
        <f t="shared" si="4"/>
        <v>40</v>
      </c>
      <c r="I44" s="38">
        <f t="shared" si="5"/>
        <v>10</v>
      </c>
      <c r="J44" s="38"/>
      <c r="K44" s="40">
        <v>43800</v>
      </c>
      <c r="L44" s="41" t="s">
        <v>6439</v>
      </c>
      <c r="M44" s="42">
        <v>43795</v>
      </c>
      <c r="N44" s="43" t="s">
        <v>5179</v>
      </c>
      <c r="O44" s="42">
        <v>43800</v>
      </c>
      <c r="P44" s="45"/>
      <c r="Q44" s="46"/>
      <c r="R44" s="44" t="s">
        <v>5001</v>
      </c>
      <c r="S44" s="46"/>
    </row>
    <row r="45" spans="2:19" s="67" customFormat="1" ht="33" customHeight="1">
      <c r="B45" s="46" t="s">
        <v>81</v>
      </c>
      <c r="C45" s="35" t="s">
        <v>5842</v>
      </c>
      <c r="D45" s="36" t="s">
        <v>5841</v>
      </c>
      <c r="E45" s="37">
        <v>43724</v>
      </c>
      <c r="F45" s="38" t="s">
        <v>213</v>
      </c>
      <c r="G45" s="39">
        <v>13800</v>
      </c>
      <c r="H45" s="38">
        <f t="shared" si="4"/>
        <v>60</v>
      </c>
      <c r="I45" s="38">
        <f t="shared" si="5"/>
        <v>15</v>
      </c>
      <c r="J45" s="38"/>
      <c r="K45" s="40">
        <v>43821</v>
      </c>
      <c r="L45" s="41" t="s">
        <v>6440</v>
      </c>
      <c r="M45" s="42">
        <v>43816</v>
      </c>
      <c r="N45" s="43" t="s">
        <v>5965</v>
      </c>
      <c r="O45" s="42">
        <v>43821</v>
      </c>
      <c r="P45" s="45"/>
      <c r="Q45" s="46"/>
      <c r="R45" s="44" t="s">
        <v>5840</v>
      </c>
      <c r="S45" s="46"/>
    </row>
    <row r="46" spans="2:19" s="67" customFormat="1" ht="33" customHeight="1">
      <c r="B46" s="122" t="s">
        <v>81</v>
      </c>
      <c r="C46" s="126" t="s">
        <v>6469</v>
      </c>
      <c r="D46" s="127"/>
      <c r="E46" s="128">
        <v>43743</v>
      </c>
      <c r="F46" s="124" t="s">
        <v>213</v>
      </c>
      <c r="G46" s="129">
        <v>4600</v>
      </c>
      <c r="H46" s="124">
        <f t="shared" si="4"/>
        <v>20</v>
      </c>
      <c r="I46" s="124">
        <f t="shared" si="5"/>
        <v>5</v>
      </c>
      <c r="J46" s="124"/>
      <c r="K46" s="130">
        <v>43779</v>
      </c>
      <c r="L46" s="119" t="s">
        <v>6486</v>
      </c>
      <c r="M46" s="120">
        <v>43774</v>
      </c>
      <c r="N46" s="121" t="s">
        <v>6481</v>
      </c>
      <c r="O46" s="120">
        <v>43789</v>
      </c>
      <c r="P46" s="123"/>
      <c r="Q46" s="122"/>
      <c r="R46" s="125" t="s">
        <v>6470</v>
      </c>
      <c r="S46" s="122"/>
    </row>
    <row r="47" spans="2:19" s="96" customFormat="1" ht="33" customHeight="1">
      <c r="B47" s="47" t="s">
        <v>704</v>
      </c>
      <c r="C47" s="48" t="s">
        <v>209</v>
      </c>
      <c r="D47" s="49" t="s">
        <v>705</v>
      </c>
      <c r="E47" s="50">
        <v>43532</v>
      </c>
      <c r="F47" s="52" t="s">
        <v>213</v>
      </c>
      <c r="G47" s="51">
        <v>920</v>
      </c>
      <c r="H47" s="52">
        <f t="shared" si="4"/>
        <v>4</v>
      </c>
      <c r="I47" s="52">
        <f t="shared" si="5"/>
        <v>1</v>
      </c>
      <c r="J47" s="52"/>
      <c r="K47" s="53">
        <v>43609</v>
      </c>
      <c r="L47" s="54" t="s">
        <v>773</v>
      </c>
      <c r="M47" s="55">
        <v>43601</v>
      </c>
      <c r="N47" s="56" t="s">
        <v>774</v>
      </c>
      <c r="O47" s="55">
        <v>43605</v>
      </c>
      <c r="P47" s="58"/>
      <c r="Q47" s="47"/>
      <c r="R47" s="57"/>
      <c r="S47" s="47" t="s">
        <v>706</v>
      </c>
    </row>
    <row r="48" spans="2:19" s="96" customFormat="1" ht="33" customHeight="1">
      <c r="B48" s="47" t="s">
        <v>517</v>
      </c>
      <c r="C48" s="48" t="s">
        <v>2333</v>
      </c>
      <c r="D48" s="49" t="s">
        <v>2334</v>
      </c>
      <c r="E48" s="50">
        <v>43602</v>
      </c>
      <c r="F48" s="52" t="s">
        <v>213</v>
      </c>
      <c r="G48" s="51">
        <v>460</v>
      </c>
      <c r="H48" s="52">
        <f t="shared" si="4"/>
        <v>2</v>
      </c>
      <c r="I48" s="52">
        <f t="shared" si="5"/>
        <v>0.5</v>
      </c>
      <c r="J48" s="52"/>
      <c r="K48" s="53">
        <v>43681</v>
      </c>
      <c r="L48" s="54" t="s">
        <v>6441</v>
      </c>
      <c r="M48" s="55">
        <v>43676</v>
      </c>
      <c r="N48" s="56" t="s">
        <v>2497</v>
      </c>
      <c r="O48" s="55">
        <v>43681</v>
      </c>
      <c r="P48" s="58"/>
      <c r="Q48" s="47"/>
      <c r="R48" s="57" t="s">
        <v>3548</v>
      </c>
      <c r="S48" s="47" t="s">
        <v>3549</v>
      </c>
    </row>
    <row r="49" spans="2:19" s="96" customFormat="1" ht="33" customHeight="1">
      <c r="B49" s="47" t="s">
        <v>517</v>
      </c>
      <c r="C49" s="48" t="s">
        <v>4329</v>
      </c>
      <c r="D49" s="49" t="s">
        <v>4330</v>
      </c>
      <c r="E49" s="50">
        <v>43665</v>
      </c>
      <c r="F49" s="52" t="s">
        <v>213</v>
      </c>
      <c r="G49" s="51">
        <v>460</v>
      </c>
      <c r="H49" s="52">
        <f t="shared" si="4"/>
        <v>2</v>
      </c>
      <c r="I49" s="52">
        <f t="shared" si="5"/>
        <v>0.5</v>
      </c>
      <c r="J49" s="52"/>
      <c r="K49" s="53">
        <v>43765</v>
      </c>
      <c r="L49" s="54" t="s">
        <v>4479</v>
      </c>
      <c r="M49" s="55">
        <v>43753</v>
      </c>
      <c r="N49" s="56" t="s">
        <v>4471</v>
      </c>
      <c r="O49" s="55">
        <v>43758</v>
      </c>
      <c r="P49" s="58"/>
      <c r="Q49" s="47"/>
      <c r="R49" s="57" t="s">
        <v>4323</v>
      </c>
      <c r="S49" s="47"/>
    </row>
    <row r="50" spans="2:19" s="33" customFormat="1" ht="33" customHeight="1">
      <c r="B50" s="47" t="s">
        <v>222</v>
      </c>
      <c r="C50" s="48" t="s">
        <v>2360</v>
      </c>
      <c r="D50" s="49" t="s">
        <v>2534</v>
      </c>
      <c r="E50" s="50">
        <v>43602</v>
      </c>
      <c r="F50" s="52" t="s">
        <v>213</v>
      </c>
      <c r="G50" s="51">
        <v>2560</v>
      </c>
      <c r="H50" s="52">
        <f>SUM(G50/20)</f>
        <v>128</v>
      </c>
      <c r="I50" s="52">
        <f>SUM(H50/32)</f>
        <v>4</v>
      </c>
      <c r="J50" s="59"/>
      <c r="K50" s="53">
        <v>43695</v>
      </c>
      <c r="L50" s="54" t="s">
        <v>2505</v>
      </c>
      <c r="M50" s="55">
        <v>43683</v>
      </c>
      <c r="N50" s="56" t="s">
        <v>2763</v>
      </c>
      <c r="O50" s="55">
        <v>43688</v>
      </c>
      <c r="P50" s="58"/>
      <c r="Q50" s="60" t="s">
        <v>89</v>
      </c>
      <c r="R50" s="57" t="s">
        <v>2688</v>
      </c>
      <c r="S50" s="47"/>
    </row>
    <row r="51" spans="2:19" s="33" customFormat="1" ht="33" customHeight="1">
      <c r="B51" s="47" t="s">
        <v>222</v>
      </c>
      <c r="C51" s="48" t="s">
        <v>3429</v>
      </c>
      <c r="D51" s="49" t="s">
        <v>3430</v>
      </c>
      <c r="E51" s="50">
        <v>43637</v>
      </c>
      <c r="F51" s="52" t="s">
        <v>213</v>
      </c>
      <c r="G51" s="51">
        <v>3840</v>
      </c>
      <c r="H51" s="52">
        <f>SUM(G51/20)</f>
        <v>192</v>
      </c>
      <c r="I51" s="52">
        <f>SUM(H51/32)</f>
        <v>6</v>
      </c>
      <c r="J51" s="59"/>
      <c r="K51" s="53">
        <v>43723</v>
      </c>
      <c r="L51" s="54" t="s">
        <v>5459</v>
      </c>
      <c r="M51" s="55">
        <v>43718</v>
      </c>
      <c r="N51" s="56" t="s">
        <v>3559</v>
      </c>
      <c r="O51" s="55">
        <v>43723</v>
      </c>
      <c r="P51" s="58"/>
      <c r="Q51" s="60" t="s">
        <v>89</v>
      </c>
      <c r="R51" s="57" t="s">
        <v>3431</v>
      </c>
      <c r="S51" s="47"/>
    </row>
    <row r="52" spans="2:19" s="33" customFormat="1" ht="33" customHeight="1">
      <c r="B52" s="47" t="s">
        <v>222</v>
      </c>
      <c r="C52" s="48" t="s">
        <v>4344</v>
      </c>
      <c r="D52" s="49" t="s">
        <v>4345</v>
      </c>
      <c r="E52" s="50">
        <v>43665</v>
      </c>
      <c r="F52" s="52" t="s">
        <v>213</v>
      </c>
      <c r="G52" s="51">
        <v>3200</v>
      </c>
      <c r="H52" s="52">
        <f>SUM(G52/20)</f>
        <v>160</v>
      </c>
      <c r="I52" s="52">
        <f>SUM(H52/32)</f>
        <v>5</v>
      </c>
      <c r="J52" s="59"/>
      <c r="K52" s="53">
        <v>43758</v>
      </c>
      <c r="L52" s="54" t="s">
        <v>4479</v>
      </c>
      <c r="M52" s="55">
        <v>43753</v>
      </c>
      <c r="N52" s="56" t="s">
        <v>4471</v>
      </c>
      <c r="O52" s="55">
        <v>43758</v>
      </c>
      <c r="P52" s="58"/>
      <c r="Q52" s="60" t="s">
        <v>89</v>
      </c>
      <c r="R52" s="57" t="s">
        <v>4347</v>
      </c>
      <c r="S52" s="47"/>
    </row>
    <row r="53" spans="2:19" s="30" customFormat="1" ht="33" customHeight="1">
      <c r="B53" s="46" t="s">
        <v>222</v>
      </c>
      <c r="C53" s="35" t="s">
        <v>4969</v>
      </c>
      <c r="D53" s="36" t="s">
        <v>4968</v>
      </c>
      <c r="E53" s="37">
        <v>43689</v>
      </c>
      <c r="F53" s="38" t="s">
        <v>213</v>
      </c>
      <c r="G53" s="39">
        <v>3840</v>
      </c>
      <c r="H53" s="38">
        <f>SUM(G53/20)</f>
        <v>192</v>
      </c>
      <c r="I53" s="38">
        <f>SUM(H53/32)</f>
        <v>6</v>
      </c>
      <c r="J53" s="61"/>
      <c r="K53" s="40">
        <v>43786</v>
      </c>
      <c r="L53" s="41" t="s">
        <v>6438</v>
      </c>
      <c r="M53" s="42">
        <v>43781</v>
      </c>
      <c r="N53" s="43" t="s">
        <v>5173</v>
      </c>
      <c r="O53" s="42">
        <v>43786</v>
      </c>
      <c r="P53" s="45"/>
      <c r="Q53" s="62" t="s">
        <v>89</v>
      </c>
      <c r="R53" s="44" t="s">
        <v>4966</v>
      </c>
      <c r="S53" s="46"/>
    </row>
    <row r="54" spans="2:19" s="30" customFormat="1" ht="33" customHeight="1">
      <c r="B54" s="46" t="s">
        <v>222</v>
      </c>
      <c r="C54" s="35" t="s">
        <v>5818</v>
      </c>
      <c r="D54" s="36" t="s">
        <v>5817</v>
      </c>
      <c r="E54" s="37">
        <v>43724</v>
      </c>
      <c r="F54" s="38" t="s">
        <v>213</v>
      </c>
      <c r="G54" s="39">
        <v>3840</v>
      </c>
      <c r="H54" s="38">
        <f>SUM(G54/20)</f>
        <v>192</v>
      </c>
      <c r="I54" s="38">
        <f>SUM(H54/32)</f>
        <v>6</v>
      </c>
      <c r="J54" s="61"/>
      <c r="K54" s="40">
        <v>43814</v>
      </c>
      <c r="L54" s="41" t="s">
        <v>6442</v>
      </c>
      <c r="M54" s="42">
        <v>43809</v>
      </c>
      <c r="N54" s="43" t="s">
        <v>5964</v>
      </c>
      <c r="O54" s="42">
        <v>43814</v>
      </c>
      <c r="P54" s="45"/>
      <c r="Q54" s="62" t="s">
        <v>89</v>
      </c>
      <c r="R54" s="44" t="s">
        <v>5815</v>
      </c>
      <c r="S54" s="46"/>
    </row>
    <row r="55" spans="2:19" s="33" customFormat="1" ht="33" customHeight="1">
      <c r="B55" s="47" t="s">
        <v>38</v>
      </c>
      <c r="C55" s="48" t="s">
        <v>225</v>
      </c>
      <c r="D55" s="49" t="s">
        <v>587</v>
      </c>
      <c r="E55" s="50">
        <v>43519</v>
      </c>
      <c r="F55" s="52" t="s">
        <v>214</v>
      </c>
      <c r="G55" s="64">
        <v>640</v>
      </c>
      <c r="H55" s="52">
        <f>SUBTOTAL(9,G55)/20</f>
        <v>32</v>
      </c>
      <c r="I55" s="52">
        <f>H55/32</f>
        <v>1</v>
      </c>
      <c r="J55" s="52"/>
      <c r="K55" s="53">
        <v>43583</v>
      </c>
      <c r="L55" s="54" t="s">
        <v>565</v>
      </c>
      <c r="M55" s="55">
        <v>43578</v>
      </c>
      <c r="N55" s="56" t="s">
        <v>447</v>
      </c>
      <c r="O55" s="55">
        <v>43583</v>
      </c>
      <c r="P55" s="58"/>
      <c r="Q55" s="52"/>
      <c r="R55" s="63" t="s">
        <v>515</v>
      </c>
      <c r="S55" s="47"/>
    </row>
    <row r="56" spans="2:19" s="30" customFormat="1" ht="33" customHeight="1">
      <c r="B56" s="122" t="s">
        <v>4485</v>
      </c>
      <c r="C56" s="126" t="s">
        <v>226</v>
      </c>
      <c r="D56" s="127" t="s">
        <v>1194</v>
      </c>
      <c r="E56" s="128">
        <v>43567</v>
      </c>
      <c r="F56" s="124" t="s">
        <v>214</v>
      </c>
      <c r="G56" s="152">
        <v>640</v>
      </c>
      <c r="H56" s="124">
        <f>SUBTOTAL(9,G56)/20</f>
        <v>32</v>
      </c>
      <c r="I56" s="124">
        <f>H56/32</f>
        <v>1</v>
      </c>
      <c r="J56" s="124"/>
      <c r="K56" s="130">
        <v>43758</v>
      </c>
      <c r="L56" s="119" t="s">
        <v>6434</v>
      </c>
      <c r="M56" s="120">
        <v>43759</v>
      </c>
      <c r="N56" s="121" t="s">
        <v>6490</v>
      </c>
      <c r="O56" s="120">
        <v>43765</v>
      </c>
      <c r="P56" s="215" t="s">
        <v>6491</v>
      </c>
      <c r="Q56" s="124"/>
      <c r="R56" s="134" t="s">
        <v>4607</v>
      </c>
      <c r="S56" s="122"/>
    </row>
    <row r="57" spans="2:19" s="33" customFormat="1" ht="33" customHeight="1">
      <c r="B57" s="47" t="s">
        <v>5438</v>
      </c>
      <c r="C57" s="48" t="s">
        <v>2378</v>
      </c>
      <c r="D57" s="49" t="s">
        <v>2379</v>
      </c>
      <c r="E57" s="50">
        <v>43602</v>
      </c>
      <c r="F57" s="52" t="s">
        <v>214</v>
      </c>
      <c r="G57" s="64">
        <v>760</v>
      </c>
      <c r="H57" s="52">
        <f>SUBTOTAL(9,G57)/190</f>
        <v>4</v>
      </c>
      <c r="I57" s="52">
        <f>H57/4</f>
        <v>1</v>
      </c>
      <c r="J57" s="52"/>
      <c r="K57" s="53">
        <v>43702</v>
      </c>
      <c r="L57" s="54" t="s">
        <v>6435</v>
      </c>
      <c r="M57" s="55">
        <v>43718</v>
      </c>
      <c r="N57" s="56" t="s">
        <v>2499</v>
      </c>
      <c r="O57" s="55">
        <v>43702</v>
      </c>
      <c r="P57" s="58"/>
      <c r="Q57" s="52"/>
      <c r="R57" s="63" t="s">
        <v>2380</v>
      </c>
      <c r="S57" s="47"/>
    </row>
    <row r="58" spans="2:19" s="30" customFormat="1" ht="33" customHeight="1">
      <c r="B58" s="46" t="s">
        <v>5438</v>
      </c>
      <c r="C58" s="35" t="s">
        <v>2430</v>
      </c>
      <c r="D58" s="36" t="s">
        <v>3457</v>
      </c>
      <c r="E58" s="37">
        <v>43637</v>
      </c>
      <c r="F58" s="38" t="s">
        <v>214</v>
      </c>
      <c r="G58" s="65">
        <v>760</v>
      </c>
      <c r="H58" s="38">
        <f>SUBTOTAL(9,G58)/190</f>
        <v>4</v>
      </c>
      <c r="I58" s="38">
        <f>H58/4</f>
        <v>1</v>
      </c>
      <c r="J58" s="38"/>
      <c r="K58" s="40">
        <v>43731</v>
      </c>
      <c r="L58" s="41" t="s">
        <v>6436</v>
      </c>
      <c r="M58" s="42">
        <v>43725</v>
      </c>
      <c r="N58" s="43" t="s">
        <v>2546</v>
      </c>
      <c r="O58" s="42">
        <v>43730</v>
      </c>
      <c r="P58" s="45"/>
      <c r="Q58" s="38"/>
      <c r="R58" s="66" t="s">
        <v>2335</v>
      </c>
      <c r="S58" s="46"/>
    </row>
    <row r="59" spans="2:19" s="30" customFormat="1" ht="33" customHeight="1">
      <c r="B59" s="122" t="s">
        <v>5438</v>
      </c>
      <c r="C59" s="126" t="s">
        <v>2527</v>
      </c>
      <c r="D59" s="127" t="s">
        <v>4369</v>
      </c>
      <c r="E59" s="128">
        <v>43657</v>
      </c>
      <c r="F59" s="124" t="s">
        <v>214</v>
      </c>
      <c r="G59" s="152">
        <v>760</v>
      </c>
      <c r="H59" s="124">
        <f>SUBTOTAL(9,G59)/190</f>
        <v>4</v>
      </c>
      <c r="I59" s="124">
        <f>H59/4</f>
        <v>1</v>
      </c>
      <c r="J59" s="124"/>
      <c r="K59" s="130">
        <v>43758</v>
      </c>
      <c r="L59" s="119" t="s">
        <v>6434</v>
      </c>
      <c r="M59" s="120">
        <v>43759</v>
      </c>
      <c r="N59" s="121" t="s">
        <v>4549</v>
      </c>
      <c r="O59" s="120">
        <v>43765</v>
      </c>
      <c r="P59" s="123"/>
      <c r="Q59" s="124"/>
      <c r="R59" s="134" t="s">
        <v>4066</v>
      </c>
      <c r="S59" s="122"/>
    </row>
    <row r="60" spans="2:19" s="30" customFormat="1" ht="33" customHeight="1">
      <c r="B60" s="46" t="s">
        <v>5438</v>
      </c>
      <c r="C60" s="35" t="s">
        <v>2528</v>
      </c>
      <c r="D60" s="36" t="s">
        <v>5456</v>
      </c>
      <c r="E60" s="37">
        <v>43700</v>
      </c>
      <c r="F60" s="38" t="s">
        <v>214</v>
      </c>
      <c r="G60" s="65">
        <v>760</v>
      </c>
      <c r="H60" s="38">
        <f>SUBTOTAL(9,G60)/190</f>
        <v>4</v>
      </c>
      <c r="I60" s="38">
        <f>H60/4</f>
        <v>1</v>
      </c>
      <c r="J60" s="38"/>
      <c r="K60" s="40">
        <v>43823</v>
      </c>
      <c r="L60" s="41" t="s">
        <v>6455</v>
      </c>
      <c r="M60" s="42">
        <v>43816</v>
      </c>
      <c r="N60" s="43" t="s">
        <v>5965</v>
      </c>
      <c r="O60" s="42">
        <v>43821</v>
      </c>
      <c r="P60" s="45"/>
      <c r="Q60" s="38"/>
      <c r="R60" s="66" t="s">
        <v>6346</v>
      </c>
      <c r="S60" s="46"/>
    </row>
    <row r="61" spans="2:19" s="30" customFormat="1" ht="33" customHeight="1">
      <c r="B61" s="46" t="s">
        <v>5438</v>
      </c>
      <c r="C61" s="35" t="s">
        <v>2529</v>
      </c>
      <c r="D61" s="36" t="s">
        <v>5800</v>
      </c>
      <c r="E61" s="37">
        <v>43724</v>
      </c>
      <c r="F61" s="38" t="s">
        <v>214</v>
      </c>
      <c r="G61" s="65">
        <v>760</v>
      </c>
      <c r="H61" s="38">
        <f>SUBTOTAL(9,G61)/190</f>
        <v>4</v>
      </c>
      <c r="I61" s="38">
        <f>H61/4</f>
        <v>1</v>
      </c>
      <c r="J61" s="38"/>
      <c r="K61" s="40">
        <v>43842</v>
      </c>
      <c r="L61" s="41" t="s">
        <v>6443</v>
      </c>
      <c r="M61" s="42">
        <v>43472</v>
      </c>
      <c r="N61" s="43" t="s">
        <v>6450</v>
      </c>
      <c r="O61" s="42">
        <v>43477</v>
      </c>
      <c r="P61" s="45"/>
      <c r="Q61" s="38"/>
      <c r="R61" s="66" t="s">
        <v>6349</v>
      </c>
      <c r="S61" s="46"/>
    </row>
    <row r="62" spans="2:19" s="33" customFormat="1" ht="33" customHeight="1">
      <c r="B62" s="47" t="s">
        <v>3576</v>
      </c>
      <c r="C62" s="48" t="s">
        <v>430</v>
      </c>
      <c r="D62" s="49" t="s">
        <v>2696</v>
      </c>
      <c r="E62" s="50">
        <v>43609</v>
      </c>
      <c r="F62" s="52" t="s">
        <v>77</v>
      </c>
      <c r="G62" s="51">
        <v>7680</v>
      </c>
      <c r="H62" s="52">
        <f t="shared" ref="H62:H67" si="6">SUM(G62/240)</f>
        <v>32</v>
      </c>
      <c r="I62" s="52">
        <f t="shared" ref="I62:I67" si="7">SUM(H62/4)</f>
        <v>8</v>
      </c>
      <c r="J62" s="52"/>
      <c r="K62" s="53">
        <v>43702</v>
      </c>
      <c r="L62" s="54" t="s">
        <v>2509</v>
      </c>
      <c r="M62" s="55">
        <v>43718</v>
      </c>
      <c r="N62" s="56" t="s">
        <v>2498</v>
      </c>
      <c r="O62" s="55">
        <v>43702</v>
      </c>
      <c r="P62" s="58"/>
      <c r="Q62" s="52"/>
      <c r="R62" s="118" t="s">
        <v>2525</v>
      </c>
      <c r="S62" s="47"/>
    </row>
    <row r="63" spans="2:19" s="33" customFormat="1" ht="33" customHeight="1">
      <c r="B63" s="47" t="s">
        <v>3576</v>
      </c>
      <c r="C63" s="48" t="s">
        <v>519</v>
      </c>
      <c r="D63" s="49" t="s">
        <v>3473</v>
      </c>
      <c r="E63" s="50">
        <v>43637</v>
      </c>
      <c r="F63" s="52" t="s">
        <v>77</v>
      </c>
      <c r="G63" s="51">
        <v>9600</v>
      </c>
      <c r="H63" s="52">
        <f t="shared" si="6"/>
        <v>40</v>
      </c>
      <c r="I63" s="52">
        <f t="shared" si="7"/>
        <v>10</v>
      </c>
      <c r="J63" s="52"/>
      <c r="K63" s="53">
        <v>43716</v>
      </c>
      <c r="L63" s="54" t="s">
        <v>6444</v>
      </c>
      <c r="M63" s="55">
        <v>43718</v>
      </c>
      <c r="N63" s="56" t="s">
        <v>3557</v>
      </c>
      <c r="O63" s="55">
        <v>43716</v>
      </c>
      <c r="P63" s="58"/>
      <c r="Q63" s="52"/>
      <c r="R63" s="118" t="s">
        <v>3474</v>
      </c>
      <c r="S63" s="47"/>
    </row>
    <row r="64" spans="2:19" s="33" customFormat="1" ht="33" customHeight="1">
      <c r="B64" s="47" t="s">
        <v>3576</v>
      </c>
      <c r="C64" s="48" t="s">
        <v>520</v>
      </c>
      <c r="D64" s="49" t="s">
        <v>4386</v>
      </c>
      <c r="E64" s="50">
        <v>43665</v>
      </c>
      <c r="F64" s="52" t="s">
        <v>77</v>
      </c>
      <c r="G64" s="51">
        <v>5760</v>
      </c>
      <c r="H64" s="52">
        <f t="shared" si="6"/>
        <v>24</v>
      </c>
      <c r="I64" s="52">
        <f t="shared" si="7"/>
        <v>6</v>
      </c>
      <c r="J64" s="52"/>
      <c r="K64" s="53">
        <v>43765</v>
      </c>
      <c r="L64" s="54" t="s">
        <v>4479</v>
      </c>
      <c r="M64" s="55">
        <v>43753</v>
      </c>
      <c r="N64" s="56" t="s">
        <v>4471</v>
      </c>
      <c r="O64" s="55">
        <v>43758</v>
      </c>
      <c r="P64" s="58"/>
      <c r="Q64" s="52"/>
      <c r="R64" s="118" t="s">
        <v>4387</v>
      </c>
      <c r="S64" s="47"/>
    </row>
    <row r="65" spans="2:19" s="30" customFormat="1" ht="33" customHeight="1">
      <c r="B65" s="46" t="s">
        <v>3576</v>
      </c>
      <c r="C65" s="35" t="s">
        <v>586</v>
      </c>
      <c r="D65" s="36" t="s">
        <v>4932</v>
      </c>
      <c r="E65" s="37">
        <v>43689</v>
      </c>
      <c r="F65" s="38" t="s">
        <v>77</v>
      </c>
      <c r="G65" s="39">
        <v>5760</v>
      </c>
      <c r="H65" s="38">
        <f t="shared" si="6"/>
        <v>24</v>
      </c>
      <c r="I65" s="38">
        <f t="shared" si="7"/>
        <v>6</v>
      </c>
      <c r="J65" s="38"/>
      <c r="K65" s="40">
        <v>43793</v>
      </c>
      <c r="L65" s="41" t="s">
        <v>5439</v>
      </c>
      <c r="M65" s="42">
        <v>43788</v>
      </c>
      <c r="N65" s="43" t="s">
        <v>5174</v>
      </c>
      <c r="O65" s="42">
        <v>43793</v>
      </c>
      <c r="P65" s="45"/>
      <c r="Q65" s="38"/>
      <c r="R65" s="115" t="s">
        <v>4931</v>
      </c>
      <c r="S65" s="46"/>
    </row>
    <row r="66" spans="2:19" s="30" customFormat="1" ht="33" customHeight="1">
      <c r="B66" s="122" t="s">
        <v>3576</v>
      </c>
      <c r="C66" s="126" t="s">
        <v>5670</v>
      </c>
      <c r="D66" s="127" t="s">
        <v>5789</v>
      </c>
      <c r="E66" s="128">
        <v>43714</v>
      </c>
      <c r="F66" s="124" t="s">
        <v>77</v>
      </c>
      <c r="G66" s="210">
        <v>960</v>
      </c>
      <c r="H66" s="201">
        <f t="shared" si="6"/>
        <v>4</v>
      </c>
      <c r="I66" s="201">
        <f t="shared" si="7"/>
        <v>1</v>
      </c>
      <c r="J66" s="124"/>
      <c r="K66" s="130">
        <v>43793</v>
      </c>
      <c r="L66" s="119" t="s">
        <v>5439</v>
      </c>
      <c r="M66" s="120">
        <v>43788</v>
      </c>
      <c r="N66" s="121" t="s">
        <v>5440</v>
      </c>
      <c r="O66" s="120">
        <v>43793</v>
      </c>
      <c r="P66" s="123"/>
      <c r="Q66" s="124"/>
      <c r="R66" s="133" t="s">
        <v>4931</v>
      </c>
      <c r="S66" s="122"/>
    </row>
    <row r="67" spans="2:19" s="30" customFormat="1" ht="33" customHeight="1">
      <c r="B67" s="46" t="s">
        <v>5786</v>
      </c>
      <c r="C67" s="35" t="s">
        <v>5785</v>
      </c>
      <c r="D67" s="36" t="s">
        <v>5784</v>
      </c>
      <c r="E67" s="37">
        <v>43724</v>
      </c>
      <c r="F67" s="38" t="s">
        <v>77</v>
      </c>
      <c r="G67" s="39">
        <v>8640</v>
      </c>
      <c r="H67" s="38">
        <f t="shared" si="6"/>
        <v>36</v>
      </c>
      <c r="I67" s="38">
        <f t="shared" si="7"/>
        <v>9</v>
      </c>
      <c r="J67" s="38"/>
      <c r="K67" s="40">
        <v>43814</v>
      </c>
      <c r="L67" s="41" t="s">
        <v>6442</v>
      </c>
      <c r="M67" s="42">
        <v>43809</v>
      </c>
      <c r="N67" s="43" t="s">
        <v>5963</v>
      </c>
      <c r="O67" s="42">
        <v>43814</v>
      </c>
      <c r="P67" s="45"/>
      <c r="Q67" s="38"/>
      <c r="R67" s="115" t="s">
        <v>5783</v>
      </c>
      <c r="S67" s="46"/>
    </row>
    <row r="68" spans="2:19" s="34" customFormat="1" ht="33" customHeight="1">
      <c r="B68" s="47" t="s">
        <v>3577</v>
      </c>
      <c r="C68" s="48" t="s">
        <v>2378</v>
      </c>
      <c r="D68" s="49" t="s">
        <v>2518</v>
      </c>
      <c r="E68" s="50">
        <v>43602</v>
      </c>
      <c r="F68" s="52" t="s">
        <v>218</v>
      </c>
      <c r="G68" s="51">
        <v>3200</v>
      </c>
      <c r="H68" s="52">
        <f t="shared" ref="H68:H91" si="8">SUM(G68/20)</f>
        <v>160</v>
      </c>
      <c r="I68" s="52">
        <f t="shared" ref="I68:I91" si="9">SUM(H68/32)</f>
        <v>5</v>
      </c>
      <c r="J68" s="52"/>
      <c r="K68" s="53">
        <v>43688</v>
      </c>
      <c r="L68" s="54" t="s">
        <v>2505</v>
      </c>
      <c r="M68" s="55">
        <v>43718</v>
      </c>
      <c r="N68" s="56" t="s">
        <v>2763</v>
      </c>
      <c r="O68" s="55">
        <v>43688</v>
      </c>
      <c r="P68" s="58"/>
      <c r="Q68" s="52" t="s">
        <v>2762</v>
      </c>
      <c r="R68" s="63" t="s">
        <v>211</v>
      </c>
      <c r="S68" s="47" t="s">
        <v>2764</v>
      </c>
    </row>
    <row r="69" spans="2:19" s="34" customFormat="1" ht="33" customHeight="1">
      <c r="B69" s="47" t="s">
        <v>3577</v>
      </c>
      <c r="C69" s="48" t="s">
        <v>2430</v>
      </c>
      <c r="D69" s="199" t="s">
        <v>2520</v>
      </c>
      <c r="E69" s="50">
        <v>43602</v>
      </c>
      <c r="F69" s="52" t="s">
        <v>218</v>
      </c>
      <c r="G69" s="51">
        <v>3200</v>
      </c>
      <c r="H69" s="52">
        <f t="shared" si="8"/>
        <v>160</v>
      </c>
      <c r="I69" s="52">
        <f t="shared" si="9"/>
        <v>5</v>
      </c>
      <c r="J69" s="52"/>
      <c r="K69" s="53">
        <v>43702</v>
      </c>
      <c r="L69" s="54" t="s">
        <v>2509</v>
      </c>
      <c r="M69" s="55">
        <v>43697</v>
      </c>
      <c r="N69" s="56" t="s">
        <v>2499</v>
      </c>
      <c r="O69" s="55">
        <v>43702</v>
      </c>
      <c r="P69" s="58"/>
      <c r="Q69" s="52" t="s">
        <v>2517</v>
      </c>
      <c r="R69" s="63" t="s">
        <v>211</v>
      </c>
      <c r="S69" s="52"/>
    </row>
    <row r="70" spans="2:19" s="34" customFormat="1" ht="33" customHeight="1">
      <c r="B70" s="47" t="s">
        <v>3577</v>
      </c>
      <c r="C70" s="48" t="s">
        <v>3499</v>
      </c>
      <c r="D70" s="199" t="s">
        <v>3500</v>
      </c>
      <c r="E70" s="50">
        <v>43637</v>
      </c>
      <c r="F70" s="52" t="s">
        <v>218</v>
      </c>
      <c r="G70" s="51">
        <v>3200</v>
      </c>
      <c r="H70" s="52">
        <f t="shared" si="8"/>
        <v>160</v>
      </c>
      <c r="I70" s="52">
        <f t="shared" si="9"/>
        <v>5</v>
      </c>
      <c r="J70" s="52"/>
      <c r="K70" s="53">
        <v>43730</v>
      </c>
      <c r="L70" s="54" t="s">
        <v>5462</v>
      </c>
      <c r="M70" s="55">
        <v>43725</v>
      </c>
      <c r="N70" s="56" t="s">
        <v>2546</v>
      </c>
      <c r="O70" s="55">
        <v>43730</v>
      </c>
      <c r="P70" s="58"/>
      <c r="Q70" s="52" t="s">
        <v>5446</v>
      </c>
      <c r="R70" s="63" t="s">
        <v>211</v>
      </c>
      <c r="S70" s="52"/>
    </row>
    <row r="71" spans="2:19" s="34" customFormat="1" ht="33" customHeight="1">
      <c r="B71" s="47" t="s">
        <v>3577</v>
      </c>
      <c r="C71" s="48" t="s">
        <v>3501</v>
      </c>
      <c r="D71" s="199" t="s">
        <v>3502</v>
      </c>
      <c r="E71" s="50">
        <v>43637</v>
      </c>
      <c r="F71" s="52" t="s">
        <v>218</v>
      </c>
      <c r="G71" s="51">
        <v>3200</v>
      </c>
      <c r="H71" s="52">
        <f t="shared" si="8"/>
        <v>160</v>
      </c>
      <c r="I71" s="52">
        <f t="shared" si="9"/>
        <v>5</v>
      </c>
      <c r="J71" s="52"/>
      <c r="K71" s="53">
        <v>43737</v>
      </c>
      <c r="L71" s="54" t="s">
        <v>5205</v>
      </c>
      <c r="M71" s="55">
        <v>43732</v>
      </c>
      <c r="N71" s="56" t="s">
        <v>3562</v>
      </c>
      <c r="O71" s="55">
        <v>43737</v>
      </c>
      <c r="P71" s="58"/>
      <c r="Q71" s="52" t="s">
        <v>5427</v>
      </c>
      <c r="R71" s="63" t="s">
        <v>211</v>
      </c>
      <c r="S71" s="52"/>
    </row>
    <row r="72" spans="2:19" s="34" customFormat="1" ht="33" customHeight="1">
      <c r="B72" s="47" t="s">
        <v>3577</v>
      </c>
      <c r="C72" s="48" t="s">
        <v>4103</v>
      </c>
      <c r="D72" s="199" t="s">
        <v>4408</v>
      </c>
      <c r="E72" s="50">
        <v>43657</v>
      </c>
      <c r="F72" s="52" t="s">
        <v>218</v>
      </c>
      <c r="G72" s="51">
        <v>3200</v>
      </c>
      <c r="H72" s="52">
        <f t="shared" si="8"/>
        <v>160</v>
      </c>
      <c r="I72" s="52">
        <f t="shared" si="9"/>
        <v>5</v>
      </c>
      <c r="J72" s="52"/>
      <c r="K72" s="53">
        <v>43723</v>
      </c>
      <c r="L72" s="54" t="s">
        <v>5459</v>
      </c>
      <c r="M72" s="55">
        <v>43718</v>
      </c>
      <c r="N72" s="56" t="s">
        <v>3559</v>
      </c>
      <c r="O72" s="55">
        <v>43723</v>
      </c>
      <c r="P72" s="58"/>
      <c r="Q72" s="52" t="s">
        <v>4167</v>
      </c>
      <c r="R72" s="63" t="s">
        <v>211</v>
      </c>
      <c r="S72" s="52"/>
    </row>
    <row r="73" spans="2:19" s="34" customFormat="1" ht="33" customHeight="1">
      <c r="B73" s="47" t="s">
        <v>3577</v>
      </c>
      <c r="C73" s="48" t="s">
        <v>4410</v>
      </c>
      <c r="D73" s="199" t="s">
        <v>4411</v>
      </c>
      <c r="E73" s="50">
        <v>43665</v>
      </c>
      <c r="F73" s="52" t="s">
        <v>218</v>
      </c>
      <c r="G73" s="51">
        <v>3200</v>
      </c>
      <c r="H73" s="52">
        <f t="shared" si="8"/>
        <v>160</v>
      </c>
      <c r="I73" s="52">
        <f t="shared" si="9"/>
        <v>5</v>
      </c>
      <c r="J73" s="52"/>
      <c r="K73" s="53">
        <v>43751</v>
      </c>
      <c r="L73" s="54" t="s">
        <v>4475</v>
      </c>
      <c r="M73" s="55">
        <v>43746</v>
      </c>
      <c r="N73" s="56" t="s">
        <v>4469</v>
      </c>
      <c r="O73" s="55">
        <v>43751</v>
      </c>
      <c r="P73" s="58"/>
      <c r="Q73" s="63" t="s">
        <v>5445</v>
      </c>
      <c r="R73" s="63" t="s">
        <v>2542</v>
      </c>
      <c r="S73" s="52"/>
    </row>
    <row r="74" spans="2:19" s="34" customFormat="1" ht="33" customHeight="1">
      <c r="B74" s="47" t="s">
        <v>3577</v>
      </c>
      <c r="C74" s="48" t="s">
        <v>4412</v>
      </c>
      <c r="D74" s="199" t="s">
        <v>4413</v>
      </c>
      <c r="E74" s="50">
        <v>43665</v>
      </c>
      <c r="F74" s="52" t="s">
        <v>218</v>
      </c>
      <c r="G74" s="51">
        <v>3200</v>
      </c>
      <c r="H74" s="52">
        <f t="shared" si="8"/>
        <v>160</v>
      </c>
      <c r="I74" s="52">
        <f t="shared" si="9"/>
        <v>5</v>
      </c>
      <c r="J74" s="52"/>
      <c r="K74" s="53">
        <v>43758</v>
      </c>
      <c r="L74" s="54" t="s">
        <v>4479</v>
      </c>
      <c r="M74" s="55">
        <v>43753</v>
      </c>
      <c r="N74" s="56" t="s">
        <v>4471</v>
      </c>
      <c r="O74" s="55">
        <v>43758</v>
      </c>
      <c r="P74" s="58"/>
      <c r="Q74" s="63" t="s">
        <v>4818</v>
      </c>
      <c r="R74" s="63" t="s">
        <v>2542</v>
      </c>
      <c r="S74" s="47"/>
    </row>
    <row r="75" spans="2:19" s="32" customFormat="1" ht="33" customHeight="1">
      <c r="B75" s="46" t="s">
        <v>3577</v>
      </c>
      <c r="C75" s="35" t="s">
        <v>4414</v>
      </c>
      <c r="D75" s="190" t="s">
        <v>4415</v>
      </c>
      <c r="E75" s="37">
        <v>43665</v>
      </c>
      <c r="F75" s="38" t="s">
        <v>218</v>
      </c>
      <c r="G75" s="39">
        <v>3200</v>
      </c>
      <c r="H75" s="38">
        <f t="shared" si="8"/>
        <v>160</v>
      </c>
      <c r="I75" s="38">
        <f t="shared" si="9"/>
        <v>5</v>
      </c>
      <c r="J75" s="38"/>
      <c r="K75" s="40">
        <v>43765</v>
      </c>
      <c r="L75" s="41" t="s">
        <v>6482</v>
      </c>
      <c r="M75" s="42">
        <v>43767</v>
      </c>
      <c r="N75" s="43" t="s">
        <v>4165</v>
      </c>
      <c r="O75" s="42">
        <v>43772</v>
      </c>
      <c r="P75" s="45"/>
      <c r="Q75" s="66" t="s">
        <v>4817</v>
      </c>
      <c r="R75" s="66" t="s">
        <v>2542</v>
      </c>
      <c r="S75" s="46"/>
    </row>
    <row r="76" spans="2:19" s="32" customFormat="1" ht="33" customHeight="1">
      <c r="B76" s="46" t="s">
        <v>3577</v>
      </c>
      <c r="C76" s="35" t="s">
        <v>4550</v>
      </c>
      <c r="D76" s="190" t="s">
        <v>5433</v>
      </c>
      <c r="E76" s="37">
        <v>43679</v>
      </c>
      <c r="F76" s="38" t="s">
        <v>218</v>
      </c>
      <c r="G76" s="39">
        <v>3200</v>
      </c>
      <c r="H76" s="38">
        <f t="shared" si="8"/>
        <v>160</v>
      </c>
      <c r="I76" s="38">
        <f t="shared" si="9"/>
        <v>5</v>
      </c>
      <c r="J76" s="38"/>
      <c r="K76" s="40">
        <v>43765</v>
      </c>
      <c r="L76" s="41" t="s">
        <v>6482</v>
      </c>
      <c r="M76" s="42">
        <v>43767</v>
      </c>
      <c r="N76" s="43" t="s">
        <v>4165</v>
      </c>
      <c r="O76" s="42">
        <v>43772</v>
      </c>
      <c r="P76" s="45"/>
      <c r="Q76" s="66" t="s">
        <v>4817</v>
      </c>
      <c r="R76" s="66" t="s">
        <v>2542</v>
      </c>
      <c r="S76" s="46"/>
    </row>
    <row r="77" spans="2:19" s="32" customFormat="1" ht="33" customHeight="1">
      <c r="B77" s="46" t="s">
        <v>3577</v>
      </c>
      <c r="C77" s="35" t="s">
        <v>4899</v>
      </c>
      <c r="D77" s="190" t="s">
        <v>5692</v>
      </c>
      <c r="E77" s="37">
        <v>43689</v>
      </c>
      <c r="F77" s="38" t="s">
        <v>218</v>
      </c>
      <c r="G77" s="39">
        <v>3200</v>
      </c>
      <c r="H77" s="38">
        <f t="shared" si="8"/>
        <v>160</v>
      </c>
      <c r="I77" s="38">
        <f t="shared" si="9"/>
        <v>5</v>
      </c>
      <c r="J77" s="38"/>
      <c r="K77" s="40">
        <v>43779</v>
      </c>
      <c r="L77" s="41" t="s">
        <v>6428</v>
      </c>
      <c r="M77" s="42">
        <v>43774</v>
      </c>
      <c r="N77" s="43" t="s">
        <v>4815</v>
      </c>
      <c r="O77" s="42">
        <v>43779</v>
      </c>
      <c r="P77" s="45"/>
      <c r="Q77" s="66" t="s">
        <v>5444</v>
      </c>
      <c r="R77" s="66" t="s">
        <v>211</v>
      </c>
      <c r="S77" s="38"/>
    </row>
    <row r="78" spans="2:19" s="32" customFormat="1" ht="33" customHeight="1">
      <c r="B78" s="46" t="s">
        <v>3577</v>
      </c>
      <c r="C78" s="35" t="s">
        <v>4897</v>
      </c>
      <c r="D78" s="190" t="s">
        <v>5693</v>
      </c>
      <c r="E78" s="37">
        <v>43689</v>
      </c>
      <c r="F78" s="38" t="s">
        <v>218</v>
      </c>
      <c r="G78" s="39">
        <v>3200</v>
      </c>
      <c r="H78" s="38">
        <f t="shared" si="8"/>
        <v>160</v>
      </c>
      <c r="I78" s="38">
        <f t="shared" si="9"/>
        <v>5</v>
      </c>
      <c r="J78" s="38"/>
      <c r="K78" s="40">
        <v>43793</v>
      </c>
      <c r="L78" s="41" t="s">
        <v>5439</v>
      </c>
      <c r="M78" s="42">
        <v>43788</v>
      </c>
      <c r="N78" s="43" t="s">
        <v>5174</v>
      </c>
      <c r="O78" s="42">
        <v>43793</v>
      </c>
      <c r="P78" s="45"/>
      <c r="Q78" s="66" t="s">
        <v>5442</v>
      </c>
      <c r="R78" s="66" t="s">
        <v>211</v>
      </c>
      <c r="S78" s="38"/>
    </row>
    <row r="79" spans="2:19" s="32" customFormat="1" ht="33" customHeight="1">
      <c r="B79" s="46" t="s">
        <v>3577</v>
      </c>
      <c r="C79" s="35" t="s">
        <v>5762</v>
      </c>
      <c r="D79" s="190" t="s">
        <v>5979</v>
      </c>
      <c r="E79" s="37">
        <v>43724</v>
      </c>
      <c r="F79" s="38" t="s">
        <v>218</v>
      </c>
      <c r="G79" s="39">
        <v>3200</v>
      </c>
      <c r="H79" s="38">
        <f t="shared" si="8"/>
        <v>160</v>
      </c>
      <c r="I79" s="38">
        <f t="shared" si="9"/>
        <v>5</v>
      </c>
      <c r="J79" s="38"/>
      <c r="K79" s="40">
        <v>43800</v>
      </c>
      <c r="L79" s="41" t="s">
        <v>5189</v>
      </c>
      <c r="M79" s="42">
        <v>43795</v>
      </c>
      <c r="N79" s="43" t="s">
        <v>5179</v>
      </c>
      <c r="O79" s="42">
        <v>43800</v>
      </c>
      <c r="P79" s="45"/>
      <c r="Q79" s="66"/>
      <c r="R79" s="66" t="s">
        <v>211</v>
      </c>
      <c r="S79" s="38"/>
    </row>
    <row r="80" spans="2:19" s="32" customFormat="1" ht="33" customHeight="1">
      <c r="B80" s="46" t="s">
        <v>3577</v>
      </c>
      <c r="C80" s="35" t="s">
        <v>5761</v>
      </c>
      <c r="D80" s="190" t="s">
        <v>5980</v>
      </c>
      <c r="E80" s="37">
        <v>43724</v>
      </c>
      <c r="F80" s="38" t="s">
        <v>218</v>
      </c>
      <c r="G80" s="39">
        <v>3200</v>
      </c>
      <c r="H80" s="38">
        <f t="shared" si="8"/>
        <v>160</v>
      </c>
      <c r="I80" s="38">
        <f t="shared" si="9"/>
        <v>5</v>
      </c>
      <c r="J80" s="38"/>
      <c r="K80" s="40">
        <v>43814</v>
      </c>
      <c r="L80" s="41" t="s">
        <v>6442</v>
      </c>
      <c r="M80" s="42">
        <v>43809</v>
      </c>
      <c r="N80" s="43" t="s">
        <v>5963</v>
      </c>
      <c r="O80" s="42">
        <v>43814</v>
      </c>
      <c r="P80" s="45"/>
      <c r="Q80" s="66"/>
      <c r="R80" s="66" t="s">
        <v>211</v>
      </c>
      <c r="S80" s="38"/>
    </row>
    <row r="81" spans="2:20" s="32" customFormat="1" ht="33" customHeight="1">
      <c r="B81" s="46" t="s">
        <v>3577</v>
      </c>
      <c r="C81" s="35" t="s">
        <v>5759</v>
      </c>
      <c r="D81" s="190" t="s">
        <v>5758</v>
      </c>
      <c r="E81" s="37">
        <v>43724</v>
      </c>
      <c r="F81" s="38" t="s">
        <v>218</v>
      </c>
      <c r="G81" s="39">
        <v>6400</v>
      </c>
      <c r="H81" s="38">
        <f t="shared" si="8"/>
        <v>320</v>
      </c>
      <c r="I81" s="38">
        <f t="shared" si="9"/>
        <v>10</v>
      </c>
      <c r="J81" s="38"/>
      <c r="K81" s="40">
        <v>43821</v>
      </c>
      <c r="L81" s="41" t="s">
        <v>5975</v>
      </c>
      <c r="M81" s="42">
        <v>43816</v>
      </c>
      <c r="N81" s="43" t="s">
        <v>5965</v>
      </c>
      <c r="O81" s="42">
        <v>43821</v>
      </c>
      <c r="P81" s="45"/>
      <c r="Q81" s="66"/>
      <c r="R81" s="66" t="s">
        <v>211</v>
      </c>
      <c r="S81" s="38"/>
      <c r="T81" s="32" t="s">
        <v>6457</v>
      </c>
    </row>
    <row r="82" spans="2:20" s="32" customFormat="1" ht="33" customHeight="1">
      <c r="B82" s="46" t="s">
        <v>6374</v>
      </c>
      <c r="C82" s="35" t="s">
        <v>6189</v>
      </c>
      <c r="D82" s="190" t="s">
        <v>6242</v>
      </c>
      <c r="E82" s="37">
        <v>43728</v>
      </c>
      <c r="F82" s="38" t="s">
        <v>218</v>
      </c>
      <c r="G82" s="39">
        <v>3200</v>
      </c>
      <c r="H82" s="38">
        <v>160</v>
      </c>
      <c r="I82" s="38">
        <v>5</v>
      </c>
      <c r="J82" s="38"/>
      <c r="K82" s="40">
        <v>43828</v>
      </c>
      <c r="L82" s="41" t="s">
        <v>5976</v>
      </c>
      <c r="M82" s="42">
        <v>43823</v>
      </c>
      <c r="N82" s="43" t="s">
        <v>5966</v>
      </c>
      <c r="O82" s="42">
        <v>43828</v>
      </c>
      <c r="P82" s="45"/>
      <c r="Q82" s="66"/>
      <c r="R82" s="66" t="s">
        <v>211</v>
      </c>
      <c r="S82" s="38"/>
    </row>
    <row r="83" spans="2:20" s="34" customFormat="1" ht="33" customHeight="1">
      <c r="B83" s="47" t="s">
        <v>5451</v>
      </c>
      <c r="C83" s="48" t="s">
        <v>2088</v>
      </c>
      <c r="D83" s="49" t="s">
        <v>2089</v>
      </c>
      <c r="E83" s="50">
        <v>43595</v>
      </c>
      <c r="F83" s="52" t="s">
        <v>228</v>
      </c>
      <c r="G83" s="51">
        <v>640</v>
      </c>
      <c r="H83" s="52">
        <f t="shared" si="8"/>
        <v>32</v>
      </c>
      <c r="I83" s="52">
        <f t="shared" si="9"/>
        <v>1</v>
      </c>
      <c r="J83" s="52"/>
      <c r="K83" s="53">
        <v>43709</v>
      </c>
      <c r="L83" s="54" t="s">
        <v>6444</v>
      </c>
      <c r="M83" s="55">
        <v>43711</v>
      </c>
      <c r="N83" s="56" t="s">
        <v>3557</v>
      </c>
      <c r="O83" s="55">
        <v>43716</v>
      </c>
      <c r="P83" s="58"/>
      <c r="Q83" s="63" t="s">
        <v>2548</v>
      </c>
      <c r="R83" s="63" t="s">
        <v>211</v>
      </c>
      <c r="S83" s="47" t="s">
        <v>4822</v>
      </c>
    </row>
    <row r="84" spans="2:20" s="34" customFormat="1" ht="33" customHeight="1">
      <c r="B84" s="47" t="s">
        <v>3580</v>
      </c>
      <c r="C84" s="48" t="s">
        <v>208</v>
      </c>
      <c r="D84" s="199" t="s">
        <v>2443</v>
      </c>
      <c r="E84" s="50">
        <v>43602</v>
      </c>
      <c r="F84" s="52" t="s">
        <v>228</v>
      </c>
      <c r="G84" s="51">
        <v>640</v>
      </c>
      <c r="H84" s="52">
        <f t="shared" si="8"/>
        <v>32</v>
      </c>
      <c r="I84" s="52">
        <f t="shared" si="9"/>
        <v>1</v>
      </c>
      <c r="J84" s="52"/>
      <c r="K84" s="214">
        <v>43737</v>
      </c>
      <c r="L84" s="54" t="s">
        <v>5462</v>
      </c>
      <c r="M84" s="55">
        <v>43725</v>
      </c>
      <c r="N84" s="56" t="s">
        <v>5463</v>
      </c>
      <c r="O84" s="55">
        <v>43730</v>
      </c>
      <c r="P84" s="58"/>
      <c r="Q84" s="63" t="s">
        <v>5466</v>
      </c>
      <c r="R84" s="63" t="s">
        <v>211</v>
      </c>
      <c r="S84" s="52" t="s">
        <v>5467</v>
      </c>
    </row>
    <row r="85" spans="2:20" s="34" customFormat="1" ht="33" customHeight="1">
      <c r="B85" s="47" t="s">
        <v>5451</v>
      </c>
      <c r="C85" s="48" t="s">
        <v>942</v>
      </c>
      <c r="D85" s="199" t="s">
        <v>5416</v>
      </c>
      <c r="E85" s="50">
        <v>43693</v>
      </c>
      <c r="F85" s="52" t="s">
        <v>228</v>
      </c>
      <c r="G85" s="51">
        <v>640</v>
      </c>
      <c r="H85" s="52">
        <f t="shared" si="8"/>
        <v>32</v>
      </c>
      <c r="I85" s="52">
        <f t="shared" si="9"/>
        <v>1</v>
      </c>
      <c r="J85" s="52"/>
      <c r="K85" s="214">
        <v>43737</v>
      </c>
      <c r="L85" s="54" t="s">
        <v>5462</v>
      </c>
      <c r="M85" s="55">
        <v>43725</v>
      </c>
      <c r="N85" s="56" t="s">
        <v>5463</v>
      </c>
      <c r="O85" s="55">
        <v>43730</v>
      </c>
      <c r="P85" s="58"/>
      <c r="Q85" s="63" t="s">
        <v>5466</v>
      </c>
      <c r="R85" s="63" t="s">
        <v>211</v>
      </c>
      <c r="S85" s="52" t="s">
        <v>5468</v>
      </c>
    </row>
    <row r="86" spans="2:20" s="34" customFormat="1" ht="33" customHeight="1">
      <c r="B86" s="47" t="s">
        <v>5451</v>
      </c>
      <c r="C86" s="48" t="s">
        <v>212</v>
      </c>
      <c r="D86" s="199" t="s">
        <v>2444</v>
      </c>
      <c r="E86" s="50">
        <v>43602</v>
      </c>
      <c r="F86" s="52" t="s">
        <v>228</v>
      </c>
      <c r="G86" s="51">
        <v>640</v>
      </c>
      <c r="H86" s="52">
        <f t="shared" si="8"/>
        <v>32</v>
      </c>
      <c r="I86" s="52">
        <f t="shared" si="9"/>
        <v>1</v>
      </c>
      <c r="J86" s="52"/>
      <c r="K86" s="53">
        <v>43779</v>
      </c>
      <c r="L86" s="54" t="s">
        <v>4480</v>
      </c>
      <c r="M86" s="55">
        <v>43753</v>
      </c>
      <c r="N86" s="56" t="s">
        <v>4471</v>
      </c>
      <c r="O86" s="55">
        <v>43758</v>
      </c>
      <c r="P86" s="58"/>
      <c r="Q86" s="52" t="s">
        <v>4823</v>
      </c>
      <c r="R86" s="63" t="s">
        <v>211</v>
      </c>
      <c r="S86" s="47"/>
    </row>
    <row r="87" spans="2:20" s="34" customFormat="1" ht="33" customHeight="1">
      <c r="B87" s="47" t="s">
        <v>5451</v>
      </c>
      <c r="C87" s="48" t="s">
        <v>2531</v>
      </c>
      <c r="D87" s="199" t="s">
        <v>4426</v>
      </c>
      <c r="E87" s="50">
        <v>43665</v>
      </c>
      <c r="F87" s="52" t="s">
        <v>228</v>
      </c>
      <c r="G87" s="51">
        <v>1920</v>
      </c>
      <c r="H87" s="52">
        <f t="shared" si="8"/>
        <v>96</v>
      </c>
      <c r="I87" s="52">
        <f t="shared" si="9"/>
        <v>3</v>
      </c>
      <c r="J87" s="52"/>
      <c r="K87" s="53">
        <v>43745</v>
      </c>
      <c r="L87" s="54" t="s">
        <v>4481</v>
      </c>
      <c r="M87" s="55">
        <v>43742</v>
      </c>
      <c r="N87" s="56" t="s">
        <v>6426</v>
      </c>
      <c r="O87" s="55">
        <v>43746</v>
      </c>
      <c r="P87" s="58"/>
      <c r="Q87" s="63" t="s">
        <v>5445</v>
      </c>
      <c r="R87" s="63" t="s">
        <v>211</v>
      </c>
      <c r="S87" s="52"/>
    </row>
    <row r="88" spans="2:20" s="34" customFormat="1" ht="33" customHeight="1">
      <c r="B88" s="47" t="s">
        <v>5451</v>
      </c>
      <c r="C88" s="48" t="s">
        <v>5417</v>
      </c>
      <c r="D88" s="199" t="s">
        <v>5450</v>
      </c>
      <c r="E88" s="50">
        <v>43700</v>
      </c>
      <c r="F88" s="52" t="s">
        <v>228</v>
      </c>
      <c r="G88" s="51">
        <v>640</v>
      </c>
      <c r="H88" s="52">
        <f t="shared" si="8"/>
        <v>32</v>
      </c>
      <c r="I88" s="52">
        <f t="shared" si="9"/>
        <v>1</v>
      </c>
      <c r="J88" s="52"/>
      <c r="K88" s="53">
        <v>43758</v>
      </c>
      <c r="L88" s="54" t="s">
        <v>4476</v>
      </c>
      <c r="M88" s="55">
        <v>43746</v>
      </c>
      <c r="N88" s="56" t="s">
        <v>4469</v>
      </c>
      <c r="O88" s="55">
        <v>43751</v>
      </c>
      <c r="P88" s="58"/>
      <c r="Q88" s="52" t="s">
        <v>5441</v>
      </c>
      <c r="R88" s="63" t="s">
        <v>211</v>
      </c>
      <c r="S88" s="47"/>
    </row>
    <row r="89" spans="2:20" s="34" customFormat="1" ht="33" customHeight="1">
      <c r="B89" s="47" t="s">
        <v>5451</v>
      </c>
      <c r="C89" s="48" t="s">
        <v>6389</v>
      </c>
      <c r="D89" s="199" t="s">
        <v>6471</v>
      </c>
      <c r="E89" s="50">
        <v>43735</v>
      </c>
      <c r="F89" s="52" t="s">
        <v>228</v>
      </c>
      <c r="G89" s="51">
        <v>640</v>
      </c>
      <c r="H89" s="52">
        <f t="shared" si="8"/>
        <v>32</v>
      </c>
      <c r="I89" s="52">
        <f t="shared" si="9"/>
        <v>1</v>
      </c>
      <c r="J89" s="52"/>
      <c r="K89" s="53">
        <v>43758</v>
      </c>
      <c r="L89" s="54" t="s">
        <v>4480</v>
      </c>
      <c r="M89" s="55">
        <v>43753</v>
      </c>
      <c r="N89" s="56" t="s">
        <v>4471</v>
      </c>
      <c r="O89" s="55">
        <v>43758</v>
      </c>
      <c r="P89" s="58"/>
      <c r="Q89" s="52"/>
      <c r="R89" s="63" t="s">
        <v>211</v>
      </c>
      <c r="S89" s="47"/>
    </row>
    <row r="90" spans="2:20" s="32" customFormat="1" ht="33" customHeight="1">
      <c r="B90" s="46" t="s">
        <v>3580</v>
      </c>
      <c r="C90" s="35" t="s">
        <v>5418</v>
      </c>
      <c r="D90" s="190" t="s">
        <v>5688</v>
      </c>
      <c r="E90" s="37">
        <v>43700</v>
      </c>
      <c r="F90" s="38" t="s">
        <v>228</v>
      </c>
      <c r="G90" s="39">
        <v>1280</v>
      </c>
      <c r="H90" s="38">
        <f t="shared" si="8"/>
        <v>64</v>
      </c>
      <c r="I90" s="38">
        <f t="shared" si="9"/>
        <v>2</v>
      </c>
      <c r="J90" s="38"/>
      <c r="K90" s="40">
        <v>43772</v>
      </c>
      <c r="L90" s="41" t="s">
        <v>6482</v>
      </c>
      <c r="M90" s="42">
        <v>43767</v>
      </c>
      <c r="N90" s="43" t="s">
        <v>6432</v>
      </c>
      <c r="O90" s="42">
        <v>43772</v>
      </c>
      <c r="P90" s="45"/>
      <c r="Q90" s="38" t="s">
        <v>5685</v>
      </c>
      <c r="R90" s="66" t="s">
        <v>211</v>
      </c>
      <c r="S90" s="38"/>
    </row>
    <row r="91" spans="2:20" s="32" customFormat="1" ht="33" customHeight="1">
      <c r="B91" s="122" t="s">
        <v>5451</v>
      </c>
      <c r="C91" s="126" t="s">
        <v>404</v>
      </c>
      <c r="D91" s="187" t="s">
        <v>6472</v>
      </c>
      <c r="E91" s="128">
        <v>43742</v>
      </c>
      <c r="F91" s="124" t="s">
        <v>228</v>
      </c>
      <c r="G91" s="129">
        <v>640</v>
      </c>
      <c r="H91" s="124">
        <f t="shared" si="8"/>
        <v>32</v>
      </c>
      <c r="I91" s="124">
        <f t="shared" si="9"/>
        <v>1</v>
      </c>
      <c r="J91" s="124"/>
      <c r="K91" s="130">
        <v>43772</v>
      </c>
      <c r="L91" s="119" t="s">
        <v>6482</v>
      </c>
      <c r="M91" s="120">
        <v>43767</v>
      </c>
      <c r="N91" s="121" t="s">
        <v>6432</v>
      </c>
      <c r="O91" s="120">
        <v>43772</v>
      </c>
      <c r="P91" s="123"/>
      <c r="Q91" s="124"/>
      <c r="R91" s="134" t="s">
        <v>211</v>
      </c>
      <c r="S91" s="124"/>
    </row>
    <row r="92" spans="2:20" s="32" customFormat="1" ht="33" customHeight="1">
      <c r="B92" s="46" t="s">
        <v>5451</v>
      </c>
      <c r="C92" s="35" t="s">
        <v>490</v>
      </c>
      <c r="D92" s="190" t="s">
        <v>5735</v>
      </c>
      <c r="E92" s="37">
        <v>43724</v>
      </c>
      <c r="F92" s="38" t="s">
        <v>5734</v>
      </c>
      <c r="G92" s="39">
        <v>1280</v>
      </c>
      <c r="H92" s="38">
        <f>SUM(G92/20)</f>
        <v>64</v>
      </c>
      <c r="I92" s="38">
        <f>SUM(H92/32)</f>
        <v>2</v>
      </c>
      <c r="J92" s="38"/>
      <c r="K92" s="40">
        <v>43779</v>
      </c>
      <c r="L92" s="41" t="s">
        <v>5187</v>
      </c>
      <c r="M92" s="42">
        <v>43781</v>
      </c>
      <c r="N92" s="43" t="s">
        <v>6433</v>
      </c>
      <c r="O92" s="42">
        <v>43786</v>
      </c>
      <c r="P92" s="45"/>
      <c r="Q92" s="38"/>
      <c r="R92" s="66" t="s">
        <v>211</v>
      </c>
      <c r="S92" s="38"/>
      <c r="T92" s="32" t="s">
        <v>6457</v>
      </c>
    </row>
    <row r="93" spans="2:20" s="32" customFormat="1" ht="33" customHeight="1">
      <c r="B93" s="46" t="s">
        <v>5451</v>
      </c>
      <c r="C93" s="35" t="s">
        <v>6392</v>
      </c>
      <c r="D93" s="190" t="s">
        <v>6473</v>
      </c>
      <c r="E93" s="37">
        <v>43735</v>
      </c>
      <c r="F93" s="38" t="s">
        <v>228</v>
      </c>
      <c r="G93" s="39">
        <v>640</v>
      </c>
      <c r="H93" s="38">
        <f t="shared" ref="H93:H96" si="10">SUM(G93/20)</f>
        <v>32</v>
      </c>
      <c r="I93" s="38">
        <f t="shared" ref="I93:I96" si="11">SUM(H93/32)</f>
        <v>1</v>
      </c>
      <c r="J93" s="38"/>
      <c r="K93" s="40">
        <v>43779</v>
      </c>
      <c r="L93" s="41" t="s">
        <v>5187</v>
      </c>
      <c r="M93" s="42">
        <v>43781</v>
      </c>
      <c r="N93" s="43" t="s">
        <v>6433</v>
      </c>
      <c r="O93" s="42">
        <v>43786</v>
      </c>
      <c r="P93" s="45"/>
      <c r="Q93" s="38"/>
      <c r="R93" s="66" t="s">
        <v>211</v>
      </c>
      <c r="S93" s="38"/>
    </row>
    <row r="94" spans="2:20" s="32" customFormat="1" ht="33" customHeight="1">
      <c r="B94" s="46" t="s">
        <v>5451</v>
      </c>
      <c r="C94" s="35" t="s">
        <v>225</v>
      </c>
      <c r="D94" s="190" t="s">
        <v>6240</v>
      </c>
      <c r="E94" s="37">
        <v>43728</v>
      </c>
      <c r="F94" s="38" t="s">
        <v>5734</v>
      </c>
      <c r="G94" s="39">
        <v>1280</v>
      </c>
      <c r="H94" s="38">
        <f t="shared" si="10"/>
        <v>64</v>
      </c>
      <c r="I94" s="38">
        <f t="shared" si="11"/>
        <v>2</v>
      </c>
      <c r="J94" s="38"/>
      <c r="K94" s="40">
        <v>43786</v>
      </c>
      <c r="L94" s="41" t="s">
        <v>5187</v>
      </c>
      <c r="M94" s="42">
        <v>43781</v>
      </c>
      <c r="N94" s="43" t="s">
        <v>6433</v>
      </c>
      <c r="O94" s="42">
        <v>43786</v>
      </c>
      <c r="P94" s="45"/>
      <c r="Q94" s="38"/>
      <c r="R94" s="66" t="s">
        <v>211</v>
      </c>
      <c r="S94" s="38"/>
    </row>
    <row r="95" spans="2:20" s="32" customFormat="1" ht="33" customHeight="1">
      <c r="B95" s="122" t="s">
        <v>5451</v>
      </c>
      <c r="C95" s="126" t="s">
        <v>226</v>
      </c>
      <c r="D95" s="187" t="s">
        <v>6474</v>
      </c>
      <c r="E95" s="128">
        <v>43742</v>
      </c>
      <c r="F95" s="124" t="s">
        <v>228</v>
      </c>
      <c r="G95" s="129">
        <v>3200</v>
      </c>
      <c r="H95" s="124">
        <f t="shared" si="10"/>
        <v>160</v>
      </c>
      <c r="I95" s="124">
        <f t="shared" si="11"/>
        <v>5</v>
      </c>
      <c r="J95" s="124"/>
      <c r="K95" s="130">
        <v>43808</v>
      </c>
      <c r="L95" s="119" t="s">
        <v>6487</v>
      </c>
      <c r="M95" s="120">
        <v>43802</v>
      </c>
      <c r="N95" s="121" t="s">
        <v>6483</v>
      </c>
      <c r="O95" s="120">
        <v>43807</v>
      </c>
      <c r="P95" s="123"/>
      <c r="Q95" s="124"/>
      <c r="R95" s="134" t="s">
        <v>211</v>
      </c>
      <c r="S95" s="124"/>
    </row>
    <row r="96" spans="2:20" s="32" customFormat="1" ht="33" customHeight="1">
      <c r="B96" s="122" t="s">
        <v>5451</v>
      </c>
      <c r="C96" s="126" t="s">
        <v>233</v>
      </c>
      <c r="D96" s="187" t="s">
        <v>6475</v>
      </c>
      <c r="E96" s="128">
        <v>43742</v>
      </c>
      <c r="F96" s="124" t="s">
        <v>228</v>
      </c>
      <c r="G96" s="129">
        <v>1920</v>
      </c>
      <c r="H96" s="124">
        <f t="shared" si="10"/>
        <v>96</v>
      </c>
      <c r="I96" s="124">
        <f t="shared" si="11"/>
        <v>3</v>
      </c>
      <c r="J96" s="124"/>
      <c r="K96" s="130">
        <v>43821</v>
      </c>
      <c r="L96" s="119" t="s">
        <v>6488</v>
      </c>
      <c r="M96" s="120">
        <v>43816</v>
      </c>
      <c r="N96" s="121" t="s">
        <v>6484</v>
      </c>
      <c r="O96" s="120">
        <v>43821</v>
      </c>
      <c r="P96" s="123"/>
      <c r="Q96" s="124"/>
      <c r="R96" s="134" t="s">
        <v>211</v>
      </c>
      <c r="S96" s="124"/>
    </row>
    <row r="97" spans="2:19" s="33" customFormat="1" ht="33" customHeight="1">
      <c r="B97" s="47" t="s">
        <v>2514</v>
      </c>
      <c r="C97" s="48" t="s">
        <v>2515</v>
      </c>
      <c r="D97" s="49" t="s">
        <v>2480</v>
      </c>
      <c r="E97" s="50">
        <v>43602</v>
      </c>
      <c r="F97" s="52" t="s">
        <v>2516</v>
      </c>
      <c r="G97" s="51">
        <v>1520</v>
      </c>
      <c r="H97" s="52">
        <v>8</v>
      </c>
      <c r="I97" s="52">
        <v>2</v>
      </c>
      <c r="J97" s="52"/>
      <c r="K97" s="53">
        <v>43702</v>
      </c>
      <c r="L97" s="54" t="s">
        <v>2512</v>
      </c>
      <c r="M97" s="55">
        <v>43697</v>
      </c>
      <c r="N97" s="56" t="s">
        <v>2499</v>
      </c>
      <c r="O97" s="55">
        <v>43702</v>
      </c>
      <c r="P97" s="58"/>
      <c r="Q97" s="52"/>
      <c r="R97" s="63" t="s">
        <v>4435</v>
      </c>
      <c r="S97" s="47"/>
    </row>
    <row r="98" spans="2:19" s="30" customFormat="1" ht="33" customHeight="1">
      <c r="B98" s="122" t="s">
        <v>2514</v>
      </c>
      <c r="C98" s="126" t="s">
        <v>285</v>
      </c>
      <c r="D98" s="127" t="s">
        <v>4436</v>
      </c>
      <c r="E98" s="128">
        <v>43665</v>
      </c>
      <c r="F98" s="124" t="s">
        <v>2516</v>
      </c>
      <c r="G98" s="129">
        <v>1520</v>
      </c>
      <c r="H98" s="124">
        <v>8</v>
      </c>
      <c r="I98" s="124">
        <v>2</v>
      </c>
      <c r="J98" s="124"/>
      <c r="K98" s="130">
        <v>43758</v>
      </c>
      <c r="L98" s="119" t="s">
        <v>4483</v>
      </c>
      <c r="M98" s="120">
        <v>43759</v>
      </c>
      <c r="N98" s="121" t="s">
        <v>4549</v>
      </c>
      <c r="O98" s="120">
        <v>43765</v>
      </c>
      <c r="P98" s="123"/>
      <c r="Q98" s="124"/>
      <c r="R98" s="134" t="s">
        <v>4437</v>
      </c>
      <c r="S98" s="122"/>
    </row>
    <row r="99" spans="2:19" s="30" customFormat="1" ht="33" customHeight="1">
      <c r="B99" s="46" t="s">
        <v>2514</v>
      </c>
      <c r="C99" s="35" t="s">
        <v>331</v>
      </c>
      <c r="D99" s="36" t="s">
        <v>4864</v>
      </c>
      <c r="E99" s="37">
        <v>43689</v>
      </c>
      <c r="F99" s="38" t="s">
        <v>2516</v>
      </c>
      <c r="G99" s="39">
        <v>1520</v>
      </c>
      <c r="H99" s="38">
        <v>8</v>
      </c>
      <c r="I99" s="38">
        <v>2</v>
      </c>
      <c r="J99" s="38"/>
      <c r="K99" s="40">
        <v>43802</v>
      </c>
      <c r="L99" s="41" t="s">
        <v>5191</v>
      </c>
      <c r="M99" s="42">
        <v>43795</v>
      </c>
      <c r="N99" s="43" t="s">
        <v>5179</v>
      </c>
      <c r="O99" s="42">
        <v>43800</v>
      </c>
      <c r="P99" s="45"/>
      <c r="Q99" s="38"/>
      <c r="R99" s="66" t="s">
        <v>5420</v>
      </c>
      <c r="S99" s="46"/>
    </row>
    <row r="100" spans="2:19" s="30" customFormat="1" ht="33" customHeight="1">
      <c r="B100" s="46" t="s">
        <v>3578</v>
      </c>
      <c r="C100" s="35" t="s">
        <v>431</v>
      </c>
      <c r="D100" s="36" t="s">
        <v>3536</v>
      </c>
      <c r="E100" s="37">
        <v>43637</v>
      </c>
      <c r="F100" s="38" t="s">
        <v>236</v>
      </c>
      <c r="G100" s="39">
        <v>3200</v>
      </c>
      <c r="H100" s="38">
        <f>SUM(G100/200)</f>
        <v>16</v>
      </c>
      <c r="I100" s="38">
        <f>SUM(H100/4)</f>
        <v>4</v>
      </c>
      <c r="J100" s="38"/>
      <c r="K100" s="40">
        <v>43730</v>
      </c>
      <c r="L100" s="41" t="s">
        <v>3571</v>
      </c>
      <c r="M100" s="42">
        <v>43725</v>
      </c>
      <c r="N100" s="43" t="s">
        <v>2546</v>
      </c>
      <c r="O100" s="42">
        <v>43730</v>
      </c>
      <c r="P100" s="45"/>
      <c r="Q100" s="38"/>
      <c r="R100" s="66"/>
      <c r="S100" s="46"/>
    </row>
    <row r="101" spans="2:19" s="30" customFormat="1" ht="33" customHeight="1">
      <c r="B101" s="46" t="s">
        <v>3578</v>
      </c>
      <c r="C101" s="35" t="s">
        <v>523</v>
      </c>
      <c r="D101" s="36" t="s">
        <v>4452</v>
      </c>
      <c r="E101" s="37">
        <v>43665</v>
      </c>
      <c r="F101" s="38" t="s">
        <v>236</v>
      </c>
      <c r="G101" s="39">
        <v>3200</v>
      </c>
      <c r="H101" s="38">
        <f>SUM(G101/200)</f>
        <v>16</v>
      </c>
      <c r="I101" s="38">
        <f>SUM(H101/4)</f>
        <v>4</v>
      </c>
      <c r="J101" s="38"/>
      <c r="K101" s="40">
        <v>43751</v>
      </c>
      <c r="L101" s="41" t="s">
        <v>4482</v>
      </c>
      <c r="M101" s="42">
        <v>43746</v>
      </c>
      <c r="N101" s="43" t="s">
        <v>4469</v>
      </c>
      <c r="O101" s="42">
        <v>43751</v>
      </c>
      <c r="P101" s="45"/>
      <c r="Q101" s="38" t="s">
        <v>5687</v>
      </c>
      <c r="R101" s="66"/>
      <c r="S101" s="46" t="s">
        <v>5686</v>
      </c>
    </row>
    <row r="102" spans="2:19" s="30" customFormat="1" ht="33" customHeight="1">
      <c r="B102" s="46" t="s">
        <v>3578</v>
      </c>
      <c r="C102" s="35" t="s">
        <v>589</v>
      </c>
      <c r="D102" s="36" t="s">
        <v>4835</v>
      </c>
      <c r="E102" s="37">
        <v>43689</v>
      </c>
      <c r="F102" s="38" t="s">
        <v>236</v>
      </c>
      <c r="G102" s="39">
        <v>2400</v>
      </c>
      <c r="H102" s="38">
        <f>SUM(G102/200)</f>
        <v>12</v>
      </c>
      <c r="I102" s="38">
        <f>SUM(H102/4)</f>
        <v>3</v>
      </c>
      <c r="J102" s="38"/>
      <c r="K102" s="40">
        <v>43793</v>
      </c>
      <c r="L102" s="41" t="s">
        <v>5190</v>
      </c>
      <c r="M102" s="42">
        <v>43788</v>
      </c>
      <c r="N102" s="43" t="s">
        <v>5174</v>
      </c>
      <c r="O102" s="42">
        <v>43793</v>
      </c>
      <c r="P102" s="45"/>
      <c r="Q102" s="38"/>
      <c r="R102" s="66" t="s">
        <v>4863</v>
      </c>
      <c r="S102" s="46" t="s">
        <v>5428</v>
      </c>
    </row>
    <row r="103" spans="2:19" s="30" customFormat="1" ht="33" customHeight="1">
      <c r="B103" s="46" t="s">
        <v>3578</v>
      </c>
      <c r="C103" s="35" t="s">
        <v>2078</v>
      </c>
      <c r="D103" s="36" t="s">
        <v>5711</v>
      </c>
      <c r="E103" s="37">
        <v>43724</v>
      </c>
      <c r="F103" s="38" t="s">
        <v>236</v>
      </c>
      <c r="G103" s="39">
        <v>4000</v>
      </c>
      <c r="H103" s="38">
        <f>SUM(G103/200)</f>
        <v>20</v>
      </c>
      <c r="I103" s="38">
        <f>SUM(H103/4)</f>
        <v>5</v>
      </c>
      <c r="J103" s="38"/>
      <c r="K103" s="40">
        <v>43814</v>
      </c>
      <c r="L103" s="41" t="s">
        <v>5977</v>
      </c>
      <c r="M103" s="42">
        <v>43809</v>
      </c>
      <c r="N103" s="43" t="s">
        <v>5963</v>
      </c>
      <c r="O103" s="42">
        <v>43814</v>
      </c>
      <c r="P103" s="45"/>
      <c r="Q103" s="38"/>
      <c r="R103" s="66"/>
      <c r="S103" s="46"/>
    </row>
    <row r="104" spans="2:19" s="30" customFormat="1" ht="33" customHeight="1">
      <c r="B104" s="122" t="s">
        <v>3578</v>
      </c>
      <c r="C104" s="126" t="s">
        <v>2079</v>
      </c>
      <c r="D104" s="127"/>
      <c r="E104" s="128">
        <v>43743</v>
      </c>
      <c r="F104" s="124" t="s">
        <v>236</v>
      </c>
      <c r="G104" s="129">
        <v>3200</v>
      </c>
      <c r="H104" s="124">
        <f>SUM(G104/200)</f>
        <v>16</v>
      </c>
      <c r="I104" s="124">
        <f>SUM(H104/4)</f>
        <v>4</v>
      </c>
      <c r="J104" s="124"/>
      <c r="K104" s="130">
        <v>43804</v>
      </c>
      <c r="L104" s="119" t="s">
        <v>6489</v>
      </c>
      <c r="M104" s="120">
        <v>43795</v>
      </c>
      <c r="N104" s="121" t="s">
        <v>6485</v>
      </c>
      <c r="O104" s="120">
        <v>43800</v>
      </c>
      <c r="P104" s="123"/>
      <c r="Q104" s="124"/>
      <c r="R104" s="134"/>
      <c r="S104" s="122"/>
    </row>
    <row r="105" spans="2:19" hidden="1">
      <c r="E105" s="175"/>
      <c r="L105" s="11"/>
      <c r="M105"/>
      <c r="N105"/>
      <c r="O105"/>
      <c r="P105" s="13"/>
      <c r="R105" s="19"/>
      <c r="S105" s="28"/>
    </row>
    <row r="106" spans="2:19" s="19" customFormat="1" hidden="1">
      <c r="B106"/>
      <c r="C106" s="15"/>
      <c r="D106" s="1"/>
      <c r="L106" s="178" t="s">
        <v>1825</v>
      </c>
      <c r="M106" s="178" t="s">
        <v>1826</v>
      </c>
      <c r="N106" s="178" t="s">
        <v>1827</v>
      </c>
      <c r="O106" s="178" t="s">
        <v>1828</v>
      </c>
      <c r="P106" s="179" t="s">
        <v>1829</v>
      </c>
      <c r="Q106" s="179" t="s">
        <v>1830</v>
      </c>
      <c r="R106" s="179" t="s">
        <v>1831</v>
      </c>
      <c r="S106" s="179"/>
    </row>
    <row r="107" spans="2:19" s="19" customFormat="1" hidden="1">
      <c r="B107"/>
      <c r="C107" s="15"/>
      <c r="D107" s="1"/>
      <c r="L107" s="180" t="s">
        <v>1832</v>
      </c>
      <c r="M107" s="181" t="s">
        <v>1833</v>
      </c>
      <c r="N107" s="181" t="s">
        <v>1834</v>
      </c>
      <c r="O107" s="182" t="s">
        <v>1835</v>
      </c>
      <c r="P107" s="183">
        <v>1000</v>
      </c>
      <c r="Q107" s="183">
        <v>4</v>
      </c>
      <c r="R107" s="184">
        <v>43598</v>
      </c>
      <c r="S107" s="181" t="s">
        <v>99</v>
      </c>
    </row>
    <row r="108" spans="2:19" s="19" customFormat="1" hidden="1">
      <c r="B108"/>
      <c r="C108" s="15"/>
      <c r="D108" s="1"/>
      <c r="L108" s="180" t="s">
        <v>1832</v>
      </c>
      <c r="M108" s="181" t="s">
        <v>1836</v>
      </c>
      <c r="N108" s="181" t="s">
        <v>1834</v>
      </c>
      <c r="O108" s="182" t="s">
        <v>1835</v>
      </c>
      <c r="P108" s="183">
        <v>6000</v>
      </c>
      <c r="Q108" s="183">
        <v>24</v>
      </c>
      <c r="R108" s="184">
        <v>43598</v>
      </c>
      <c r="S108" s="181" t="s">
        <v>99</v>
      </c>
    </row>
    <row r="109" spans="2:19" s="19" customFormat="1" hidden="1">
      <c r="B109"/>
      <c r="C109" s="15"/>
      <c r="D109" s="1"/>
      <c r="L109" s="180" t="s">
        <v>1832</v>
      </c>
      <c r="M109" s="181" t="s">
        <v>1837</v>
      </c>
      <c r="N109" s="181" t="s">
        <v>1834</v>
      </c>
      <c r="O109" s="182" t="s">
        <v>1835</v>
      </c>
      <c r="P109" s="183">
        <v>5000</v>
      </c>
      <c r="Q109" s="183">
        <v>20</v>
      </c>
      <c r="R109" s="185" t="s">
        <v>1838</v>
      </c>
      <c r="S109" s="180" t="s">
        <v>1839</v>
      </c>
    </row>
    <row r="110" spans="2:19" s="19" customFormat="1" hidden="1">
      <c r="B110"/>
      <c r="C110" s="15"/>
      <c r="D110" s="1"/>
      <c r="L110" s="180" t="s">
        <v>1832</v>
      </c>
      <c r="M110" s="181" t="s">
        <v>1840</v>
      </c>
      <c r="N110" s="181" t="s">
        <v>1834</v>
      </c>
      <c r="O110" s="182" t="s">
        <v>1835</v>
      </c>
      <c r="P110" s="183">
        <v>5000</v>
      </c>
      <c r="Q110" s="183">
        <v>20</v>
      </c>
      <c r="R110" s="184">
        <v>43605</v>
      </c>
      <c r="S110" s="181" t="s">
        <v>99</v>
      </c>
    </row>
    <row r="111" spans="2:19" s="19" customFormat="1" hidden="1">
      <c r="B111"/>
      <c r="C111" s="15"/>
      <c r="D111" s="1"/>
      <c r="L111" s="180" t="s">
        <v>1832</v>
      </c>
      <c r="M111" s="181" t="s">
        <v>1841</v>
      </c>
      <c r="N111" s="181" t="s">
        <v>1834</v>
      </c>
      <c r="O111" s="182" t="s">
        <v>1835</v>
      </c>
      <c r="P111" s="183">
        <v>7000</v>
      </c>
      <c r="Q111" s="183">
        <v>28</v>
      </c>
      <c r="R111" s="184">
        <v>43605</v>
      </c>
      <c r="S111" s="181" t="s">
        <v>99</v>
      </c>
    </row>
    <row r="112" spans="2:19" hidden="1">
      <c r="L112" s="180" t="s">
        <v>1842</v>
      </c>
      <c r="M112" s="181" t="s">
        <v>1843</v>
      </c>
      <c r="N112" s="181" t="s">
        <v>1844</v>
      </c>
      <c r="O112" s="182" t="s">
        <v>1835</v>
      </c>
      <c r="P112" s="183">
        <v>2000</v>
      </c>
      <c r="Q112" s="183">
        <v>8</v>
      </c>
      <c r="R112" s="184">
        <v>43598</v>
      </c>
      <c r="S112" s="181" t="s">
        <v>99</v>
      </c>
    </row>
    <row r="113" spans="12:19" hidden="1">
      <c r="L113" s="180" t="s">
        <v>1842</v>
      </c>
      <c r="M113" s="181" t="s">
        <v>1845</v>
      </c>
      <c r="N113" s="181" t="s">
        <v>1844</v>
      </c>
      <c r="O113" s="182" t="s">
        <v>1835</v>
      </c>
      <c r="P113" s="183">
        <v>2000</v>
      </c>
      <c r="Q113" s="183">
        <v>8</v>
      </c>
      <c r="R113" s="184">
        <v>43598</v>
      </c>
      <c r="S113" s="181" t="s">
        <v>99</v>
      </c>
    </row>
    <row r="114" spans="12:19" hidden="1">
      <c r="L114" s="180" t="s">
        <v>1842</v>
      </c>
      <c r="M114" s="181" t="s">
        <v>1846</v>
      </c>
      <c r="N114" s="181" t="s">
        <v>1844</v>
      </c>
      <c r="O114" s="182" t="s">
        <v>1835</v>
      </c>
      <c r="P114" s="183">
        <v>10000</v>
      </c>
      <c r="Q114" s="183">
        <v>40</v>
      </c>
      <c r="R114" s="184">
        <v>43598</v>
      </c>
      <c r="S114" s="181" t="s">
        <v>99</v>
      </c>
    </row>
    <row r="115" spans="12:19" hidden="1">
      <c r="L115" s="180" t="s">
        <v>1842</v>
      </c>
      <c r="M115" s="181" t="s">
        <v>1847</v>
      </c>
      <c r="N115" s="181" t="s">
        <v>1844</v>
      </c>
      <c r="O115" s="182" t="s">
        <v>1835</v>
      </c>
      <c r="P115" s="183">
        <v>8000</v>
      </c>
      <c r="Q115" s="183">
        <v>32</v>
      </c>
      <c r="R115" s="184">
        <v>43598</v>
      </c>
      <c r="S115" s="180"/>
    </row>
    <row r="116" spans="12:19" hidden="1">
      <c r="L116" s="180" t="s">
        <v>1842</v>
      </c>
      <c r="M116" s="181" t="s">
        <v>1848</v>
      </c>
      <c r="N116" s="181" t="s">
        <v>1844</v>
      </c>
      <c r="O116" s="182" t="s">
        <v>1835</v>
      </c>
      <c r="P116" s="183">
        <v>10000</v>
      </c>
      <c r="Q116" s="183">
        <v>40</v>
      </c>
      <c r="R116" s="185" t="s">
        <v>1849</v>
      </c>
      <c r="S116" s="180" t="s">
        <v>1839</v>
      </c>
    </row>
    <row r="117" spans="12:19" hidden="1">
      <c r="L117" s="182" t="s">
        <v>1850</v>
      </c>
      <c r="M117" s="181" t="s">
        <v>1851</v>
      </c>
      <c r="N117" s="181" t="s">
        <v>1834</v>
      </c>
      <c r="O117" s="182" t="s">
        <v>1852</v>
      </c>
      <c r="P117" s="183">
        <v>5000</v>
      </c>
      <c r="Q117" s="183">
        <v>20</v>
      </c>
      <c r="R117" s="184">
        <v>43605</v>
      </c>
      <c r="S117" s="181" t="s">
        <v>99</v>
      </c>
    </row>
    <row r="118" spans="12:19" hidden="1">
      <c r="L118" s="180" t="s">
        <v>6476</v>
      </c>
      <c r="M118" s="181" t="s">
        <v>1851</v>
      </c>
      <c r="N118" s="181" t="s">
        <v>1844</v>
      </c>
      <c r="O118" s="182" t="s">
        <v>1835</v>
      </c>
      <c r="P118" s="183">
        <v>2000</v>
      </c>
      <c r="Q118" s="183">
        <v>8</v>
      </c>
      <c r="R118" s="184">
        <v>43605</v>
      </c>
      <c r="S118" s="181" t="s">
        <v>99</v>
      </c>
    </row>
    <row r="119" spans="12:19" hidden="1">
      <c r="L119" s="182" t="s">
        <v>6477</v>
      </c>
      <c r="M119" s="181" t="s">
        <v>1855</v>
      </c>
      <c r="N119" s="181" t="s">
        <v>1834</v>
      </c>
      <c r="O119" s="182" t="s">
        <v>1852</v>
      </c>
      <c r="P119" s="183">
        <v>6000</v>
      </c>
      <c r="Q119" s="183">
        <v>24</v>
      </c>
      <c r="R119" s="184">
        <v>43605</v>
      </c>
      <c r="S119" s="181" t="s">
        <v>99</v>
      </c>
    </row>
    <row r="120" spans="12:19" hidden="1">
      <c r="L120" s="182" t="s">
        <v>6477</v>
      </c>
      <c r="M120" s="181" t="s">
        <v>1856</v>
      </c>
      <c r="N120" s="181" t="s">
        <v>1834</v>
      </c>
      <c r="O120" s="182" t="s">
        <v>1852</v>
      </c>
      <c r="P120" s="183">
        <v>6000</v>
      </c>
      <c r="Q120" s="183">
        <v>24</v>
      </c>
      <c r="R120" s="185">
        <v>43605</v>
      </c>
      <c r="S120" s="180"/>
    </row>
    <row r="121" spans="12:19" hidden="1">
      <c r="L121" s="182" t="s">
        <v>6477</v>
      </c>
      <c r="M121" s="181" t="s">
        <v>1857</v>
      </c>
      <c r="N121" s="181" t="s">
        <v>1834</v>
      </c>
      <c r="O121" s="182" t="s">
        <v>1852</v>
      </c>
      <c r="P121" s="183">
        <v>6000</v>
      </c>
      <c r="Q121" s="183">
        <v>24</v>
      </c>
      <c r="R121" s="184" t="s">
        <v>6478</v>
      </c>
      <c r="S121" s="181" t="s">
        <v>6479</v>
      </c>
    </row>
    <row r="124" spans="12:19" ht="16.2">
      <c r="L124" s="186"/>
    </row>
    <row r="125" spans="12:19" ht="16.2">
      <c r="L125" s="186"/>
    </row>
    <row r="126" spans="12:19" ht="16.2">
      <c r="L126" s="186"/>
    </row>
    <row r="127" spans="12:19">
      <c r="Q127" t="s">
        <v>6480</v>
      </c>
    </row>
  </sheetData>
  <autoFilter ref="B2:R104" xr:uid="{00000000-0009-0000-0000-000003000000}">
    <sortState ref="B89:R144">
      <sortCondition descending="1" ref="L2:L148"/>
    </sortState>
  </autoFilter>
  <phoneticPr fontId="1"/>
  <pageMargins left="0.23622047244094491" right="0.23622047244094491" top="0.35433070866141736" bottom="0.35433070866141736" header="0.31496062992125984" footer="0.31496062992125984"/>
  <pageSetup paperSize="9" scale="44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80">
    <pageSetUpPr fitToPage="1"/>
  </sheetPr>
  <dimension ref="B1:T124"/>
  <sheetViews>
    <sheetView zoomScale="77" zoomScaleNormal="77" workbookViewId="0">
      <pane xSplit="4" ySplit="2" topLeftCell="E77" activePane="bottomRight" state="frozen"/>
      <selection pane="topRight" activeCell="E1" sqref="E1"/>
      <selection pane="bottomLeft" activeCell="A3" sqref="A3"/>
      <selection pane="bottomRight" activeCell="K92" sqref="K92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7.12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B2" s="194"/>
      <c r="C2" s="14" t="s">
        <v>6252</v>
      </c>
      <c r="D2" s="5" t="s">
        <v>0</v>
      </c>
      <c r="E2" s="6" t="s">
        <v>6253</v>
      </c>
      <c r="F2" s="6" t="s">
        <v>6254</v>
      </c>
      <c r="G2" s="10" t="s">
        <v>1</v>
      </c>
      <c r="H2" s="6" t="s">
        <v>15</v>
      </c>
      <c r="I2" s="6" t="s">
        <v>16</v>
      </c>
      <c r="J2" s="6" t="s">
        <v>6255</v>
      </c>
      <c r="K2" s="12" t="s">
        <v>6256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6257</v>
      </c>
      <c r="Q2" s="6" t="s">
        <v>6258</v>
      </c>
      <c r="R2" s="16" t="s">
        <v>6</v>
      </c>
      <c r="S2" s="16" t="s">
        <v>6259</v>
      </c>
    </row>
    <row r="3" spans="2:19" s="33" customFormat="1" ht="33" customHeight="1">
      <c r="B3" s="47" t="s">
        <v>78</v>
      </c>
      <c r="C3" s="48" t="s">
        <v>1178</v>
      </c>
      <c r="D3" s="49" t="s">
        <v>1179</v>
      </c>
      <c r="E3" s="50">
        <v>43567</v>
      </c>
      <c r="F3" s="49" t="s">
        <v>6260</v>
      </c>
      <c r="G3" s="51">
        <v>10000</v>
      </c>
      <c r="H3" s="52">
        <f t="shared" ref="H3:H8" si="0">SUM(G3/250)</f>
        <v>40</v>
      </c>
      <c r="I3" s="52">
        <f t="shared" ref="I3:I8" si="1">SUM(H3/4)</f>
        <v>10</v>
      </c>
      <c r="J3" s="49"/>
      <c r="K3" s="53">
        <v>43674</v>
      </c>
      <c r="L3" s="54" t="s">
        <v>6261</v>
      </c>
      <c r="M3" s="55">
        <v>43682</v>
      </c>
      <c r="N3" s="56" t="s">
        <v>6262</v>
      </c>
      <c r="O3" s="55">
        <v>43688</v>
      </c>
      <c r="P3" s="54"/>
      <c r="Q3" s="49" t="s">
        <v>82</v>
      </c>
      <c r="R3" s="57" t="s">
        <v>6263</v>
      </c>
      <c r="S3" s="47" t="s">
        <v>2539</v>
      </c>
    </row>
    <row r="4" spans="2:19" s="33" customFormat="1" ht="33" customHeight="1">
      <c r="B4" s="47" t="s">
        <v>220</v>
      </c>
      <c r="C4" s="48" t="s">
        <v>1181</v>
      </c>
      <c r="D4" s="49" t="s">
        <v>1182</v>
      </c>
      <c r="E4" s="50">
        <v>43567</v>
      </c>
      <c r="F4" s="49" t="s">
        <v>6260</v>
      </c>
      <c r="G4" s="51">
        <v>10000</v>
      </c>
      <c r="H4" s="52">
        <f t="shared" si="0"/>
        <v>40</v>
      </c>
      <c r="I4" s="52">
        <f t="shared" si="1"/>
        <v>10</v>
      </c>
      <c r="J4" s="49"/>
      <c r="K4" s="53">
        <v>43674</v>
      </c>
      <c r="L4" s="54" t="s">
        <v>6261</v>
      </c>
      <c r="M4" s="55">
        <v>43682</v>
      </c>
      <c r="N4" s="56" t="s">
        <v>6262</v>
      </c>
      <c r="O4" s="55">
        <v>43688</v>
      </c>
      <c r="P4" s="54"/>
      <c r="Q4" s="49"/>
      <c r="R4" s="57" t="s">
        <v>6264</v>
      </c>
      <c r="S4" s="47" t="s">
        <v>2539</v>
      </c>
    </row>
    <row r="5" spans="2:19" s="33" customFormat="1" ht="33" customHeight="1">
      <c r="B5" s="47" t="s">
        <v>78</v>
      </c>
      <c r="C5" s="48" t="s">
        <v>2273</v>
      </c>
      <c r="D5" s="49" t="s">
        <v>2274</v>
      </c>
      <c r="E5" s="50">
        <v>43602</v>
      </c>
      <c r="F5" s="49" t="s">
        <v>79</v>
      </c>
      <c r="G5" s="51">
        <v>20000</v>
      </c>
      <c r="H5" s="52">
        <f t="shared" si="0"/>
        <v>80</v>
      </c>
      <c r="I5" s="52">
        <f t="shared" si="1"/>
        <v>20</v>
      </c>
      <c r="J5" s="49"/>
      <c r="K5" s="53">
        <v>43688</v>
      </c>
      <c r="L5" s="54" t="s">
        <v>6261</v>
      </c>
      <c r="M5" s="55">
        <v>43682</v>
      </c>
      <c r="N5" s="56" t="s">
        <v>6262</v>
      </c>
      <c r="O5" s="55">
        <v>43688</v>
      </c>
      <c r="P5" s="54"/>
      <c r="Q5" s="49" t="s">
        <v>82</v>
      </c>
      <c r="R5" s="57" t="s">
        <v>6265</v>
      </c>
      <c r="S5" s="47"/>
    </row>
    <row r="6" spans="2:19" s="33" customFormat="1" ht="33" customHeight="1">
      <c r="B6" s="47" t="s">
        <v>78</v>
      </c>
      <c r="C6" s="48" t="s">
        <v>2276</v>
      </c>
      <c r="D6" s="49" t="s">
        <v>2277</v>
      </c>
      <c r="E6" s="50">
        <v>43602</v>
      </c>
      <c r="F6" s="49" t="s">
        <v>79</v>
      </c>
      <c r="G6" s="51">
        <v>20000</v>
      </c>
      <c r="H6" s="52">
        <f t="shared" si="0"/>
        <v>80</v>
      </c>
      <c r="I6" s="52">
        <f t="shared" si="1"/>
        <v>20</v>
      </c>
      <c r="J6" s="49"/>
      <c r="K6" s="53">
        <v>43695</v>
      </c>
      <c r="L6" s="54" t="s">
        <v>6261</v>
      </c>
      <c r="M6" s="55">
        <v>43682</v>
      </c>
      <c r="N6" s="56" t="s">
        <v>6262</v>
      </c>
      <c r="O6" s="55">
        <v>43688</v>
      </c>
      <c r="P6" s="54"/>
      <c r="Q6" s="49" t="s">
        <v>82</v>
      </c>
      <c r="R6" s="57" t="s">
        <v>6266</v>
      </c>
      <c r="S6" s="47"/>
    </row>
    <row r="7" spans="2:19" s="33" customFormat="1" ht="33" customHeight="1">
      <c r="B7" s="47" t="s">
        <v>220</v>
      </c>
      <c r="C7" s="48" t="s">
        <v>2279</v>
      </c>
      <c r="D7" s="49" t="s">
        <v>2280</v>
      </c>
      <c r="E7" s="50">
        <v>43602</v>
      </c>
      <c r="F7" s="49" t="s">
        <v>79</v>
      </c>
      <c r="G7" s="51">
        <v>20000</v>
      </c>
      <c r="H7" s="52">
        <f t="shared" si="0"/>
        <v>80</v>
      </c>
      <c r="I7" s="52">
        <f t="shared" si="1"/>
        <v>20</v>
      </c>
      <c r="J7" s="49"/>
      <c r="K7" s="53">
        <v>43695</v>
      </c>
      <c r="L7" s="54" t="s">
        <v>6261</v>
      </c>
      <c r="M7" s="55">
        <v>43682</v>
      </c>
      <c r="N7" s="56" t="s">
        <v>6262</v>
      </c>
      <c r="O7" s="55">
        <v>43688</v>
      </c>
      <c r="P7" s="54"/>
      <c r="Q7" s="49"/>
      <c r="R7" s="57" t="s">
        <v>6267</v>
      </c>
      <c r="S7" s="47"/>
    </row>
    <row r="8" spans="2:19" s="33" customFormat="1" ht="33" customHeight="1">
      <c r="B8" s="47" t="s">
        <v>78</v>
      </c>
      <c r="C8" s="48" t="s">
        <v>2282</v>
      </c>
      <c r="D8" s="49" t="s">
        <v>2283</v>
      </c>
      <c r="E8" s="50">
        <v>43602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43709</v>
      </c>
      <c r="L8" s="54" t="s">
        <v>6268</v>
      </c>
      <c r="M8" s="55">
        <v>43703</v>
      </c>
      <c r="N8" s="56" t="s">
        <v>6269</v>
      </c>
      <c r="O8" s="55">
        <v>43709</v>
      </c>
      <c r="P8" s="54"/>
      <c r="Q8" s="49" t="s">
        <v>82</v>
      </c>
      <c r="R8" s="57" t="s">
        <v>6270</v>
      </c>
      <c r="S8" s="47"/>
    </row>
    <row r="9" spans="2:19" s="33" customFormat="1" ht="33" customHeight="1">
      <c r="B9" s="47" t="s">
        <v>220</v>
      </c>
      <c r="C9" s="48" t="s">
        <v>6271</v>
      </c>
      <c r="D9" s="49" t="s">
        <v>3354</v>
      </c>
      <c r="E9" s="50">
        <v>43637</v>
      </c>
      <c r="F9" s="49" t="s">
        <v>79</v>
      </c>
      <c r="G9" s="51">
        <v>20000</v>
      </c>
      <c r="H9" s="52">
        <v>64</v>
      </c>
      <c r="I9" s="52">
        <v>16</v>
      </c>
      <c r="J9" s="49"/>
      <c r="K9" s="53">
        <v>43716</v>
      </c>
      <c r="L9" s="54" t="s">
        <v>6272</v>
      </c>
      <c r="M9" s="55">
        <v>43717</v>
      </c>
      <c r="N9" s="56" t="s">
        <v>5448</v>
      </c>
      <c r="O9" s="55">
        <v>43723</v>
      </c>
      <c r="P9" s="54"/>
      <c r="Q9" s="49"/>
      <c r="R9" s="57" t="s">
        <v>6273</v>
      </c>
      <c r="S9" s="47" t="s">
        <v>5465</v>
      </c>
    </row>
    <row r="10" spans="2:19" s="33" customFormat="1" ht="33" customHeight="1">
      <c r="B10" s="47" t="s">
        <v>78</v>
      </c>
      <c r="C10" s="48" t="s">
        <v>3356</v>
      </c>
      <c r="D10" s="49" t="s">
        <v>3357</v>
      </c>
      <c r="E10" s="50">
        <v>43637</v>
      </c>
      <c r="F10" s="49" t="s">
        <v>79</v>
      </c>
      <c r="G10" s="51">
        <v>20000</v>
      </c>
      <c r="H10" s="52">
        <f>SUM(G10/250)</f>
        <v>80</v>
      </c>
      <c r="I10" s="52">
        <f t="shared" ref="I10:I37" si="2">SUM(H10/4)</f>
        <v>20</v>
      </c>
      <c r="J10" s="49"/>
      <c r="K10" s="53">
        <v>43723</v>
      </c>
      <c r="L10" s="54" t="s">
        <v>3555</v>
      </c>
      <c r="M10" s="55">
        <v>43717</v>
      </c>
      <c r="N10" s="56" t="s">
        <v>6274</v>
      </c>
      <c r="O10" s="55">
        <v>43723</v>
      </c>
      <c r="P10" s="54"/>
      <c r="Q10" s="49" t="s">
        <v>82</v>
      </c>
      <c r="R10" s="57" t="s">
        <v>6275</v>
      </c>
      <c r="S10" s="47"/>
    </row>
    <row r="11" spans="2:19" s="30" customFormat="1" ht="33" customHeight="1">
      <c r="B11" s="46" t="s">
        <v>78</v>
      </c>
      <c r="C11" s="35" t="s">
        <v>3359</v>
      </c>
      <c r="D11" s="36" t="s">
        <v>3360</v>
      </c>
      <c r="E11" s="37">
        <v>43637</v>
      </c>
      <c r="F11" s="36" t="s">
        <v>79</v>
      </c>
      <c r="G11" s="39">
        <v>20000</v>
      </c>
      <c r="H11" s="38">
        <f>SUM(G11/250)</f>
        <v>80</v>
      </c>
      <c r="I11" s="38">
        <f t="shared" si="2"/>
        <v>20</v>
      </c>
      <c r="J11" s="36"/>
      <c r="K11" s="40">
        <v>43737</v>
      </c>
      <c r="L11" s="41" t="s">
        <v>3556</v>
      </c>
      <c r="M11" s="42">
        <v>43728</v>
      </c>
      <c r="N11" s="43" t="s">
        <v>6276</v>
      </c>
      <c r="O11" s="42">
        <v>43737</v>
      </c>
      <c r="P11" s="41"/>
      <c r="Q11" s="36" t="s">
        <v>82</v>
      </c>
      <c r="R11" s="44" t="s">
        <v>6277</v>
      </c>
      <c r="S11" s="46"/>
    </row>
    <row r="12" spans="2:19" s="30" customFormat="1" ht="33" customHeight="1">
      <c r="B12" s="46" t="s">
        <v>220</v>
      </c>
      <c r="C12" s="35" t="s">
        <v>4252</v>
      </c>
      <c r="D12" s="36" t="s">
        <v>4253</v>
      </c>
      <c r="E12" s="37">
        <v>43665</v>
      </c>
      <c r="F12" s="36" t="s">
        <v>79</v>
      </c>
      <c r="G12" s="39">
        <v>24000</v>
      </c>
      <c r="H12" s="38">
        <v>96</v>
      </c>
      <c r="I12" s="38">
        <f t="shared" si="2"/>
        <v>24</v>
      </c>
      <c r="J12" s="36"/>
      <c r="K12" s="40">
        <v>43744</v>
      </c>
      <c r="L12" s="41" t="s">
        <v>3556</v>
      </c>
      <c r="M12" s="42">
        <v>43728</v>
      </c>
      <c r="N12" s="43" t="s">
        <v>5449</v>
      </c>
      <c r="O12" s="42">
        <v>43737</v>
      </c>
      <c r="P12" s="41"/>
      <c r="Q12" s="36"/>
      <c r="R12" s="44" t="s">
        <v>6278</v>
      </c>
      <c r="S12" s="46" t="s">
        <v>5464</v>
      </c>
    </row>
    <row r="13" spans="2:19" s="30" customFormat="1" ht="33" customHeight="1">
      <c r="B13" s="46" t="s">
        <v>78</v>
      </c>
      <c r="C13" s="35" t="s">
        <v>4255</v>
      </c>
      <c r="D13" s="36" t="s">
        <v>4256</v>
      </c>
      <c r="E13" s="37">
        <v>43665</v>
      </c>
      <c r="F13" s="36" t="s">
        <v>79</v>
      </c>
      <c r="G13" s="39">
        <v>20000</v>
      </c>
      <c r="H13" s="38">
        <f t="shared" ref="H13:H28" si="3">SUM(G13/250)</f>
        <v>80</v>
      </c>
      <c r="I13" s="38">
        <f t="shared" si="2"/>
        <v>20</v>
      </c>
      <c r="J13" s="36"/>
      <c r="K13" s="40">
        <v>43744</v>
      </c>
      <c r="L13" s="41" t="s">
        <v>6279</v>
      </c>
      <c r="M13" s="42">
        <v>43738</v>
      </c>
      <c r="N13" s="43" t="s">
        <v>6280</v>
      </c>
      <c r="O13" s="42">
        <v>43744</v>
      </c>
      <c r="P13" s="41"/>
      <c r="Q13" s="36" t="s">
        <v>82</v>
      </c>
      <c r="R13" s="44" t="s">
        <v>6281</v>
      </c>
      <c r="S13" s="46"/>
    </row>
    <row r="14" spans="2:19" s="30" customFormat="1" ht="33" customHeight="1">
      <c r="B14" s="46" t="s">
        <v>78</v>
      </c>
      <c r="C14" s="35" t="s">
        <v>4258</v>
      </c>
      <c r="D14" s="36" t="s">
        <v>4259</v>
      </c>
      <c r="E14" s="37">
        <v>43665</v>
      </c>
      <c r="F14" s="36" t="s">
        <v>79</v>
      </c>
      <c r="G14" s="39">
        <v>20000</v>
      </c>
      <c r="H14" s="38">
        <f t="shared" si="3"/>
        <v>80</v>
      </c>
      <c r="I14" s="38">
        <f t="shared" si="2"/>
        <v>20</v>
      </c>
      <c r="J14" s="36"/>
      <c r="K14" s="40">
        <v>43758</v>
      </c>
      <c r="L14" s="41" t="s">
        <v>6282</v>
      </c>
      <c r="M14" s="42">
        <v>43749</v>
      </c>
      <c r="N14" s="43" t="s">
        <v>6283</v>
      </c>
      <c r="O14" s="42">
        <v>43758</v>
      </c>
      <c r="P14" s="41"/>
      <c r="Q14" s="36" t="s">
        <v>82</v>
      </c>
      <c r="R14" s="44" t="s">
        <v>6284</v>
      </c>
      <c r="S14" s="46"/>
    </row>
    <row r="15" spans="2:19" s="30" customFormat="1" ht="33" customHeight="1">
      <c r="B15" s="122" t="s">
        <v>78</v>
      </c>
      <c r="C15" s="126" t="s">
        <v>4261</v>
      </c>
      <c r="D15" s="127" t="s">
        <v>4262</v>
      </c>
      <c r="E15" s="128">
        <v>43665</v>
      </c>
      <c r="F15" s="127" t="s">
        <v>79</v>
      </c>
      <c r="G15" s="129">
        <v>20000</v>
      </c>
      <c r="H15" s="124">
        <f t="shared" si="3"/>
        <v>80</v>
      </c>
      <c r="I15" s="124">
        <f t="shared" si="2"/>
        <v>20</v>
      </c>
      <c r="J15" s="127"/>
      <c r="K15" s="130">
        <v>43765</v>
      </c>
      <c r="L15" s="209" t="s">
        <v>6448</v>
      </c>
      <c r="M15" s="206">
        <v>43749</v>
      </c>
      <c r="N15" s="207" t="s">
        <v>6447</v>
      </c>
      <c r="O15" s="206">
        <v>43758</v>
      </c>
      <c r="P15" s="119"/>
      <c r="Q15" s="127" t="s">
        <v>82</v>
      </c>
      <c r="R15" s="125" t="s">
        <v>6285</v>
      </c>
      <c r="S15" s="208" t="s">
        <v>6456</v>
      </c>
    </row>
    <row r="16" spans="2:19" s="30" customFormat="1" ht="33" customHeight="1">
      <c r="B16" s="46" t="s">
        <v>220</v>
      </c>
      <c r="C16" s="35" t="s">
        <v>4264</v>
      </c>
      <c r="D16" s="36" t="s">
        <v>4265</v>
      </c>
      <c r="E16" s="37">
        <v>43665</v>
      </c>
      <c r="F16" s="36" t="s">
        <v>79</v>
      </c>
      <c r="G16" s="39">
        <v>20000</v>
      </c>
      <c r="H16" s="38">
        <f t="shared" si="3"/>
        <v>80</v>
      </c>
      <c r="I16" s="38">
        <f t="shared" si="2"/>
        <v>20</v>
      </c>
      <c r="J16" s="36"/>
      <c r="K16" s="40">
        <v>43758</v>
      </c>
      <c r="L16" s="41" t="s">
        <v>6282</v>
      </c>
      <c r="M16" s="42">
        <v>43749</v>
      </c>
      <c r="N16" s="43" t="s">
        <v>6283</v>
      </c>
      <c r="O16" s="42">
        <v>43758</v>
      </c>
      <c r="P16" s="41"/>
      <c r="Q16" s="36"/>
      <c r="R16" s="44" t="s">
        <v>6286</v>
      </c>
      <c r="S16" s="46"/>
    </row>
    <row r="17" spans="2:19" s="30" customFormat="1" ht="33" customHeight="1">
      <c r="B17" s="46" t="s">
        <v>78</v>
      </c>
      <c r="C17" s="35" t="s">
        <v>5057</v>
      </c>
      <c r="D17" s="36" t="s">
        <v>6287</v>
      </c>
      <c r="E17" s="37">
        <v>43689</v>
      </c>
      <c r="F17" s="36" t="s">
        <v>79</v>
      </c>
      <c r="G17" s="39">
        <v>20000</v>
      </c>
      <c r="H17" s="38">
        <f t="shared" si="3"/>
        <v>80</v>
      </c>
      <c r="I17" s="38">
        <f t="shared" si="2"/>
        <v>20</v>
      </c>
      <c r="J17" s="36"/>
      <c r="K17" s="211">
        <v>43772</v>
      </c>
      <c r="L17" s="41" t="s">
        <v>6288</v>
      </c>
      <c r="M17" s="42">
        <v>43766</v>
      </c>
      <c r="N17" s="43" t="s">
        <v>6289</v>
      </c>
      <c r="O17" s="42">
        <v>43772</v>
      </c>
      <c r="P17" s="41"/>
      <c r="Q17" s="36"/>
      <c r="R17" s="44" t="s">
        <v>5056</v>
      </c>
      <c r="S17" s="46"/>
    </row>
    <row r="18" spans="2:19" s="30" customFormat="1" ht="33" customHeight="1">
      <c r="B18" s="46" t="s">
        <v>220</v>
      </c>
      <c r="C18" s="35" t="s">
        <v>5055</v>
      </c>
      <c r="D18" s="36" t="s">
        <v>5916</v>
      </c>
      <c r="E18" s="37">
        <v>43689</v>
      </c>
      <c r="F18" s="36" t="s">
        <v>79</v>
      </c>
      <c r="G18" s="39">
        <v>20000</v>
      </c>
      <c r="H18" s="38">
        <f t="shared" si="3"/>
        <v>80</v>
      </c>
      <c r="I18" s="38">
        <f t="shared" si="2"/>
        <v>20</v>
      </c>
      <c r="J18" s="36"/>
      <c r="K18" s="211">
        <v>43779</v>
      </c>
      <c r="L18" s="41" t="s">
        <v>5915</v>
      </c>
      <c r="M18" s="42">
        <v>43770</v>
      </c>
      <c r="N18" s="43" t="s">
        <v>5914</v>
      </c>
      <c r="O18" s="42">
        <v>43779</v>
      </c>
      <c r="P18" s="41"/>
      <c r="Q18" s="36"/>
      <c r="R18" s="44" t="s">
        <v>5054</v>
      </c>
      <c r="S18" s="46"/>
    </row>
    <row r="19" spans="2:19" s="30" customFormat="1" ht="33" customHeight="1">
      <c r="B19" s="46" t="s">
        <v>78</v>
      </c>
      <c r="C19" s="35" t="s">
        <v>5053</v>
      </c>
      <c r="D19" s="36" t="s">
        <v>5912</v>
      </c>
      <c r="E19" s="37">
        <v>43689</v>
      </c>
      <c r="F19" s="36" t="s">
        <v>79</v>
      </c>
      <c r="G19" s="39">
        <v>20000</v>
      </c>
      <c r="H19" s="38">
        <f t="shared" si="3"/>
        <v>80</v>
      </c>
      <c r="I19" s="38">
        <f t="shared" si="2"/>
        <v>20</v>
      </c>
      <c r="J19" s="36"/>
      <c r="K19" s="211">
        <v>43786</v>
      </c>
      <c r="L19" s="41" t="s">
        <v>5911</v>
      </c>
      <c r="M19" s="42">
        <v>43780</v>
      </c>
      <c r="N19" s="43" t="s">
        <v>5910</v>
      </c>
      <c r="O19" s="42">
        <v>43786</v>
      </c>
      <c r="P19" s="41"/>
      <c r="Q19" s="36"/>
      <c r="R19" s="44" t="s">
        <v>5052</v>
      </c>
      <c r="S19" s="46"/>
    </row>
    <row r="20" spans="2:19" s="30" customFormat="1" ht="33" customHeight="1">
      <c r="B20" s="46" t="s">
        <v>78</v>
      </c>
      <c r="C20" s="35" t="s">
        <v>5051</v>
      </c>
      <c r="D20" s="36" t="s">
        <v>5571</v>
      </c>
      <c r="E20" s="37">
        <v>43689</v>
      </c>
      <c r="F20" s="36" t="s">
        <v>79</v>
      </c>
      <c r="G20" s="39">
        <v>20000</v>
      </c>
      <c r="H20" s="38">
        <f t="shared" si="3"/>
        <v>80</v>
      </c>
      <c r="I20" s="38">
        <f t="shared" si="2"/>
        <v>20</v>
      </c>
      <c r="J20" s="36"/>
      <c r="K20" s="40">
        <v>43793</v>
      </c>
      <c r="L20" s="41" t="s">
        <v>5185</v>
      </c>
      <c r="M20" s="42">
        <v>43787</v>
      </c>
      <c r="N20" s="43" t="s">
        <v>5435</v>
      </c>
      <c r="O20" s="42">
        <v>43793</v>
      </c>
      <c r="P20" s="41"/>
      <c r="Q20" s="36"/>
      <c r="R20" s="44" t="s">
        <v>5050</v>
      </c>
      <c r="S20" s="46"/>
    </row>
    <row r="21" spans="2:19" s="30" customFormat="1" ht="33" customHeight="1">
      <c r="B21" s="46" t="s">
        <v>126</v>
      </c>
      <c r="C21" s="35" t="s">
        <v>5049</v>
      </c>
      <c r="D21" s="36" t="s">
        <v>5317</v>
      </c>
      <c r="E21" s="37">
        <v>43689</v>
      </c>
      <c r="F21" s="36" t="s">
        <v>79</v>
      </c>
      <c r="G21" s="39">
        <v>20000</v>
      </c>
      <c r="H21" s="38">
        <f t="shared" si="3"/>
        <v>80</v>
      </c>
      <c r="I21" s="38">
        <f t="shared" si="2"/>
        <v>20</v>
      </c>
      <c r="J21" s="36"/>
      <c r="K21" s="40">
        <v>43800</v>
      </c>
      <c r="L21" s="41" t="s">
        <v>5318</v>
      </c>
      <c r="M21" s="42">
        <v>43795</v>
      </c>
      <c r="N21" s="43" t="s">
        <v>5319</v>
      </c>
      <c r="O21" s="42">
        <v>43800</v>
      </c>
      <c r="P21" s="41"/>
      <c r="Q21" s="36"/>
      <c r="R21" s="44" t="s">
        <v>5320</v>
      </c>
      <c r="S21" s="46"/>
    </row>
    <row r="22" spans="2:19" s="30" customFormat="1" ht="33" customHeight="1">
      <c r="B22" s="46" t="s">
        <v>220</v>
      </c>
      <c r="C22" s="35" t="s">
        <v>5047</v>
      </c>
      <c r="D22" s="36" t="s">
        <v>5321</v>
      </c>
      <c r="E22" s="37">
        <v>43689</v>
      </c>
      <c r="F22" s="36" t="s">
        <v>79</v>
      </c>
      <c r="G22" s="39">
        <v>20000</v>
      </c>
      <c r="H22" s="38">
        <f t="shared" si="3"/>
        <v>80</v>
      </c>
      <c r="I22" s="38">
        <f t="shared" si="2"/>
        <v>20</v>
      </c>
      <c r="J22" s="36"/>
      <c r="K22" s="40">
        <v>43793</v>
      </c>
      <c r="L22" s="41" t="s">
        <v>5185</v>
      </c>
      <c r="M22" s="42">
        <v>43787</v>
      </c>
      <c r="N22" s="43" t="s">
        <v>5435</v>
      </c>
      <c r="O22" s="42">
        <v>43793</v>
      </c>
      <c r="P22" s="41"/>
      <c r="Q22" s="36"/>
      <c r="R22" s="44" t="s">
        <v>5046</v>
      </c>
      <c r="S22" s="46"/>
    </row>
    <row r="23" spans="2:19" s="30" customFormat="1" ht="33" customHeight="1">
      <c r="B23" s="46" t="s">
        <v>126</v>
      </c>
      <c r="C23" s="35" t="s">
        <v>5899</v>
      </c>
      <c r="D23" s="36" t="s">
        <v>5898</v>
      </c>
      <c r="E23" s="37">
        <v>43724</v>
      </c>
      <c r="F23" s="36" t="s">
        <v>79</v>
      </c>
      <c r="G23" s="39">
        <v>20000</v>
      </c>
      <c r="H23" s="38">
        <f t="shared" si="3"/>
        <v>80</v>
      </c>
      <c r="I23" s="38">
        <f t="shared" si="2"/>
        <v>20</v>
      </c>
      <c r="J23" s="36"/>
      <c r="K23" s="40">
        <v>43807</v>
      </c>
      <c r="L23" s="41" t="s">
        <v>5958</v>
      </c>
      <c r="M23" s="42">
        <v>43801</v>
      </c>
      <c r="N23" s="43" t="s">
        <v>5969</v>
      </c>
      <c r="O23" s="42">
        <v>43807</v>
      </c>
      <c r="P23" s="41"/>
      <c r="Q23" s="36"/>
      <c r="R23" s="44" t="s">
        <v>5897</v>
      </c>
      <c r="S23" s="46"/>
    </row>
    <row r="24" spans="2:19" s="30" customFormat="1" ht="33" customHeight="1">
      <c r="B24" s="46" t="s">
        <v>126</v>
      </c>
      <c r="C24" s="35" t="s">
        <v>5896</v>
      </c>
      <c r="D24" s="36" t="s">
        <v>5895</v>
      </c>
      <c r="E24" s="37">
        <v>43724</v>
      </c>
      <c r="F24" s="36" t="s">
        <v>5894</v>
      </c>
      <c r="G24" s="39">
        <v>30000</v>
      </c>
      <c r="H24" s="38">
        <f t="shared" si="3"/>
        <v>120</v>
      </c>
      <c r="I24" s="38">
        <f t="shared" si="2"/>
        <v>30</v>
      </c>
      <c r="J24" s="36"/>
      <c r="K24" s="40">
        <v>43814</v>
      </c>
      <c r="L24" s="41" t="s">
        <v>5960</v>
      </c>
      <c r="M24" s="42">
        <v>43808</v>
      </c>
      <c r="N24" s="43" t="s">
        <v>5970</v>
      </c>
      <c r="O24" s="42">
        <v>43814</v>
      </c>
      <c r="P24" s="41"/>
      <c r="Q24" s="36"/>
      <c r="R24" s="44" t="s">
        <v>5893</v>
      </c>
      <c r="S24" s="46"/>
    </row>
    <row r="25" spans="2:19" s="30" customFormat="1" ht="33" customHeight="1">
      <c r="B25" s="46" t="s">
        <v>220</v>
      </c>
      <c r="C25" s="35" t="s">
        <v>5892</v>
      </c>
      <c r="D25" s="36" t="s">
        <v>5891</v>
      </c>
      <c r="E25" s="37">
        <v>43724</v>
      </c>
      <c r="F25" s="36" t="s">
        <v>5884</v>
      </c>
      <c r="G25" s="39">
        <v>10000</v>
      </c>
      <c r="H25" s="38">
        <f t="shared" si="3"/>
        <v>40</v>
      </c>
      <c r="I25" s="38">
        <f t="shared" si="2"/>
        <v>10</v>
      </c>
      <c r="J25" s="36"/>
      <c r="K25" s="40">
        <v>43814</v>
      </c>
      <c r="L25" s="41" t="s">
        <v>5959</v>
      </c>
      <c r="M25" s="42">
        <v>43808</v>
      </c>
      <c r="N25" s="43" t="s">
        <v>5970</v>
      </c>
      <c r="O25" s="42">
        <v>43814</v>
      </c>
      <c r="P25" s="41"/>
      <c r="Q25" s="36"/>
      <c r="R25" s="44" t="s">
        <v>5890</v>
      </c>
      <c r="S25" s="46"/>
    </row>
    <row r="26" spans="2:19" s="30" customFormat="1" ht="33" customHeight="1">
      <c r="B26" s="46" t="s">
        <v>126</v>
      </c>
      <c r="C26" s="35" t="s">
        <v>5889</v>
      </c>
      <c r="D26" s="36" t="s">
        <v>5888</v>
      </c>
      <c r="E26" s="37">
        <v>43724</v>
      </c>
      <c r="F26" s="36" t="s">
        <v>5884</v>
      </c>
      <c r="G26" s="39">
        <v>10000</v>
      </c>
      <c r="H26" s="38">
        <f t="shared" si="3"/>
        <v>40</v>
      </c>
      <c r="I26" s="38">
        <f t="shared" si="2"/>
        <v>10</v>
      </c>
      <c r="J26" s="36"/>
      <c r="K26" s="40">
        <v>43821</v>
      </c>
      <c r="L26" s="41" t="s">
        <v>5961</v>
      </c>
      <c r="M26" s="42">
        <v>43815</v>
      </c>
      <c r="N26" s="43" t="s">
        <v>5971</v>
      </c>
      <c r="O26" s="42">
        <v>43821</v>
      </c>
      <c r="P26" s="41"/>
      <c r="Q26" s="36"/>
      <c r="R26" s="44" t="s">
        <v>5887</v>
      </c>
      <c r="S26" s="46"/>
    </row>
    <row r="27" spans="2:19" s="30" customFormat="1" ht="33" customHeight="1">
      <c r="B27" s="46" t="s">
        <v>220</v>
      </c>
      <c r="C27" s="35" t="s">
        <v>5886</v>
      </c>
      <c r="D27" s="36" t="s">
        <v>5885</v>
      </c>
      <c r="E27" s="37">
        <v>43724</v>
      </c>
      <c r="F27" s="36" t="s">
        <v>5884</v>
      </c>
      <c r="G27" s="39">
        <v>10000</v>
      </c>
      <c r="H27" s="38">
        <f t="shared" si="3"/>
        <v>40</v>
      </c>
      <c r="I27" s="38">
        <f t="shared" si="2"/>
        <v>10</v>
      </c>
      <c r="J27" s="36"/>
      <c r="K27" s="40">
        <v>43821</v>
      </c>
      <c r="L27" s="41" t="s">
        <v>5961</v>
      </c>
      <c r="M27" s="42">
        <v>43815</v>
      </c>
      <c r="N27" s="43" t="s">
        <v>5971</v>
      </c>
      <c r="O27" s="42">
        <v>43821</v>
      </c>
      <c r="P27" s="41"/>
      <c r="Q27" s="36"/>
      <c r="R27" s="44" t="s">
        <v>5883</v>
      </c>
      <c r="S27" s="46"/>
    </row>
    <row r="28" spans="2:19" s="30" customFormat="1" ht="33" customHeight="1">
      <c r="B28" s="46" t="s">
        <v>126</v>
      </c>
      <c r="C28" s="35" t="s">
        <v>5881</v>
      </c>
      <c r="D28" s="36" t="s">
        <v>5880</v>
      </c>
      <c r="E28" s="37">
        <v>43724</v>
      </c>
      <c r="F28" s="36" t="s">
        <v>79</v>
      </c>
      <c r="G28" s="39">
        <v>20000</v>
      </c>
      <c r="H28" s="38">
        <f t="shared" si="3"/>
        <v>80</v>
      </c>
      <c r="I28" s="38">
        <f t="shared" si="2"/>
        <v>20</v>
      </c>
      <c r="J28" s="36"/>
      <c r="K28" s="40">
        <v>43828</v>
      </c>
      <c r="L28" s="41" t="s">
        <v>5962</v>
      </c>
      <c r="M28" s="42">
        <v>43822</v>
      </c>
      <c r="N28" s="43" t="s">
        <v>5972</v>
      </c>
      <c r="O28" s="42">
        <v>43828</v>
      </c>
      <c r="P28" s="41"/>
      <c r="Q28" s="36"/>
      <c r="R28" s="44" t="s">
        <v>5879</v>
      </c>
      <c r="S28" s="46"/>
    </row>
    <row r="29" spans="2:19" s="96" customFormat="1" ht="33" customHeight="1">
      <c r="B29" s="47" t="s">
        <v>17</v>
      </c>
      <c r="C29" s="48" t="s">
        <v>3698</v>
      </c>
      <c r="D29" s="49" t="s">
        <v>2300</v>
      </c>
      <c r="E29" s="50">
        <v>43602</v>
      </c>
      <c r="F29" s="52" t="s">
        <v>213</v>
      </c>
      <c r="G29" s="51">
        <v>9200</v>
      </c>
      <c r="H29" s="52">
        <f>SUM(G29/230)</f>
        <v>40</v>
      </c>
      <c r="I29" s="52">
        <f t="shared" si="2"/>
        <v>10</v>
      </c>
      <c r="J29" s="49"/>
      <c r="K29" s="53">
        <v>43695</v>
      </c>
      <c r="L29" s="54" t="s">
        <v>2642</v>
      </c>
      <c r="M29" s="55">
        <v>43683</v>
      </c>
      <c r="N29" s="56" t="s">
        <v>3204</v>
      </c>
      <c r="O29" s="55">
        <v>43688</v>
      </c>
      <c r="P29" s="58"/>
      <c r="Q29" s="52" t="s">
        <v>82</v>
      </c>
      <c r="R29" s="57" t="s">
        <v>2643</v>
      </c>
      <c r="S29" s="47" t="s">
        <v>2764</v>
      </c>
    </row>
    <row r="30" spans="2:19" s="96" customFormat="1" ht="33" customHeight="1">
      <c r="B30" s="47" t="s">
        <v>17</v>
      </c>
      <c r="C30" s="48" t="s">
        <v>3702</v>
      </c>
      <c r="D30" s="49" t="s">
        <v>3703</v>
      </c>
      <c r="E30" s="50">
        <v>43643</v>
      </c>
      <c r="F30" s="52" t="s">
        <v>213</v>
      </c>
      <c r="G30" s="51">
        <v>4600</v>
      </c>
      <c r="H30" s="52">
        <f>SUM(G30/230)</f>
        <v>20</v>
      </c>
      <c r="I30" s="52">
        <f t="shared" si="2"/>
        <v>5</v>
      </c>
      <c r="J30" s="49"/>
      <c r="K30" s="53">
        <v>43688</v>
      </c>
      <c r="L30" s="54" t="s">
        <v>2642</v>
      </c>
      <c r="M30" s="55">
        <v>43683</v>
      </c>
      <c r="N30" s="56" t="s">
        <v>3204</v>
      </c>
      <c r="O30" s="55">
        <v>43688</v>
      </c>
      <c r="P30" s="58"/>
      <c r="Q30" s="52" t="s">
        <v>82</v>
      </c>
      <c r="R30" s="57"/>
      <c r="S30" s="47"/>
    </row>
    <row r="31" spans="2:19" s="96" customFormat="1" ht="33" customHeight="1">
      <c r="B31" s="47" t="s">
        <v>17</v>
      </c>
      <c r="C31" s="48" t="s">
        <v>3704</v>
      </c>
      <c r="D31" s="49" t="s">
        <v>3377</v>
      </c>
      <c r="E31" s="50">
        <v>43637</v>
      </c>
      <c r="F31" s="52" t="s">
        <v>213</v>
      </c>
      <c r="G31" s="51">
        <v>9200</v>
      </c>
      <c r="H31" s="52">
        <v>36</v>
      </c>
      <c r="I31" s="52">
        <f t="shared" si="2"/>
        <v>9</v>
      </c>
      <c r="J31" s="49"/>
      <c r="K31" s="53">
        <v>43716</v>
      </c>
      <c r="L31" s="54" t="s">
        <v>5459</v>
      </c>
      <c r="M31" s="55">
        <v>43718</v>
      </c>
      <c r="N31" s="56" t="s">
        <v>5460</v>
      </c>
      <c r="O31" s="55">
        <v>43723</v>
      </c>
      <c r="P31" s="58"/>
      <c r="Q31" s="52"/>
      <c r="R31" s="57" t="s">
        <v>4686</v>
      </c>
      <c r="S31" s="47" t="s">
        <v>5457</v>
      </c>
    </row>
    <row r="32" spans="2:19" s="67" customFormat="1" ht="33" customHeight="1">
      <c r="B32" s="46" t="s">
        <v>17</v>
      </c>
      <c r="C32" s="35" t="s">
        <v>5035</v>
      </c>
      <c r="D32" s="36" t="s">
        <v>3380</v>
      </c>
      <c r="E32" s="37">
        <v>43637</v>
      </c>
      <c r="F32" s="38" t="s">
        <v>213</v>
      </c>
      <c r="G32" s="39">
        <v>9200</v>
      </c>
      <c r="H32" s="38">
        <f>SUM(G32/230)</f>
        <v>40</v>
      </c>
      <c r="I32" s="38">
        <f t="shared" si="2"/>
        <v>10</v>
      </c>
      <c r="J32" s="36"/>
      <c r="K32" s="40">
        <v>43744</v>
      </c>
      <c r="L32" s="41" t="s">
        <v>4114</v>
      </c>
      <c r="M32" s="42">
        <v>43732</v>
      </c>
      <c r="N32" s="43" t="s">
        <v>5864</v>
      </c>
      <c r="O32" s="42">
        <v>43737</v>
      </c>
      <c r="P32" s="45"/>
      <c r="Q32" s="38"/>
      <c r="R32" s="44" t="s">
        <v>5034</v>
      </c>
      <c r="S32" s="46" t="s">
        <v>5696</v>
      </c>
    </row>
    <row r="33" spans="2:19" s="67" customFormat="1" ht="33" customHeight="1">
      <c r="B33" s="122" t="s">
        <v>17</v>
      </c>
      <c r="C33" s="126" t="s">
        <v>5033</v>
      </c>
      <c r="D33" s="127" t="s">
        <v>5032</v>
      </c>
      <c r="E33" s="128">
        <v>43689</v>
      </c>
      <c r="F33" s="124" t="s">
        <v>213</v>
      </c>
      <c r="G33" s="129">
        <v>4600</v>
      </c>
      <c r="H33" s="124">
        <f>SUM(G33/230)</f>
        <v>20</v>
      </c>
      <c r="I33" s="124">
        <f t="shared" si="2"/>
        <v>5</v>
      </c>
      <c r="J33" s="127"/>
      <c r="K33" s="211">
        <v>43800</v>
      </c>
      <c r="L33" s="209" t="s">
        <v>6464</v>
      </c>
      <c r="M33" s="204">
        <v>43767</v>
      </c>
      <c r="N33" s="205" t="s">
        <v>6427</v>
      </c>
      <c r="O33" s="204">
        <v>43772</v>
      </c>
      <c r="P33" s="123"/>
      <c r="Q33" s="124" t="s">
        <v>82</v>
      </c>
      <c r="R33" s="125" t="s">
        <v>5345</v>
      </c>
      <c r="S33" s="122"/>
    </row>
    <row r="34" spans="2:19" s="67" customFormat="1" ht="33" customHeight="1">
      <c r="B34" s="46" t="s">
        <v>17</v>
      </c>
      <c r="C34" s="35" t="s">
        <v>5346</v>
      </c>
      <c r="D34" s="36" t="s">
        <v>5454</v>
      </c>
      <c r="E34" s="37">
        <v>43700</v>
      </c>
      <c r="F34" s="38" t="s">
        <v>213</v>
      </c>
      <c r="G34" s="39">
        <v>7360</v>
      </c>
      <c r="H34" s="38">
        <v>32</v>
      </c>
      <c r="I34" s="38">
        <f t="shared" si="2"/>
        <v>8</v>
      </c>
      <c r="J34" s="36"/>
      <c r="K34" s="40">
        <v>43744</v>
      </c>
      <c r="L34" s="41" t="s">
        <v>4481</v>
      </c>
      <c r="M34" s="42">
        <v>43732</v>
      </c>
      <c r="N34" s="43" t="s">
        <v>5864</v>
      </c>
      <c r="O34" s="42">
        <v>43737</v>
      </c>
      <c r="P34" s="45"/>
      <c r="Q34" s="38" t="s">
        <v>82</v>
      </c>
      <c r="R34" s="44" t="s">
        <v>5347</v>
      </c>
      <c r="S34" s="46" t="s">
        <v>5695</v>
      </c>
    </row>
    <row r="35" spans="2:19" s="67" customFormat="1" ht="33" customHeight="1">
      <c r="B35" s="122" t="s">
        <v>17</v>
      </c>
      <c r="C35" s="126" t="s">
        <v>5348</v>
      </c>
      <c r="D35" s="127" t="s">
        <v>5863</v>
      </c>
      <c r="E35" s="128">
        <v>43700</v>
      </c>
      <c r="F35" s="124" t="s">
        <v>213</v>
      </c>
      <c r="G35" s="129">
        <v>6440</v>
      </c>
      <c r="H35" s="124">
        <f t="shared" ref="H35:H48" si="4">SUM(G35/230)</f>
        <v>28</v>
      </c>
      <c r="I35" s="124">
        <f t="shared" si="2"/>
        <v>7</v>
      </c>
      <c r="J35" s="127"/>
      <c r="K35" s="211">
        <v>43765</v>
      </c>
      <c r="L35" s="209" t="s">
        <v>6464</v>
      </c>
      <c r="M35" s="204">
        <v>43767</v>
      </c>
      <c r="N35" s="205" t="s">
        <v>6427</v>
      </c>
      <c r="O35" s="204">
        <v>43772</v>
      </c>
      <c r="P35" s="123"/>
      <c r="Q35" s="124" t="s">
        <v>82</v>
      </c>
      <c r="R35" s="125" t="s">
        <v>6290</v>
      </c>
      <c r="S35" s="122"/>
    </row>
    <row r="36" spans="2:19" s="67" customFormat="1" ht="33" customHeight="1">
      <c r="B36" s="46" t="s">
        <v>17</v>
      </c>
      <c r="C36" s="35" t="s">
        <v>5861</v>
      </c>
      <c r="D36" s="36" t="s">
        <v>5860</v>
      </c>
      <c r="E36" s="37">
        <v>43724</v>
      </c>
      <c r="F36" s="38" t="s">
        <v>6291</v>
      </c>
      <c r="G36" s="39">
        <v>9200</v>
      </c>
      <c r="H36" s="38">
        <f t="shared" si="4"/>
        <v>40</v>
      </c>
      <c r="I36" s="38">
        <f t="shared" si="2"/>
        <v>10</v>
      </c>
      <c r="J36" s="36"/>
      <c r="K36" s="40">
        <v>43814</v>
      </c>
      <c r="L36" s="41" t="s">
        <v>6292</v>
      </c>
      <c r="M36" s="42">
        <v>43809</v>
      </c>
      <c r="N36" s="43" t="s">
        <v>6293</v>
      </c>
      <c r="O36" s="42">
        <v>43814</v>
      </c>
      <c r="P36" s="45"/>
      <c r="Q36" s="38" t="s">
        <v>82</v>
      </c>
      <c r="R36" s="44" t="s">
        <v>6294</v>
      </c>
      <c r="S36" s="46"/>
    </row>
    <row r="37" spans="2:19" s="96" customFormat="1" ht="33" customHeight="1">
      <c r="B37" s="47" t="s">
        <v>81</v>
      </c>
      <c r="C37" s="48" t="s">
        <v>3406</v>
      </c>
      <c r="D37" s="49" t="s">
        <v>3407</v>
      </c>
      <c r="E37" s="50">
        <v>43637</v>
      </c>
      <c r="F37" s="52" t="s">
        <v>6295</v>
      </c>
      <c r="G37" s="51">
        <v>12880</v>
      </c>
      <c r="H37" s="52">
        <f t="shared" si="4"/>
        <v>56</v>
      </c>
      <c r="I37" s="52">
        <f t="shared" si="2"/>
        <v>14</v>
      </c>
      <c r="J37" s="52"/>
      <c r="K37" s="53">
        <v>43723</v>
      </c>
      <c r="L37" s="54" t="s">
        <v>5462</v>
      </c>
      <c r="M37" s="55">
        <v>43725</v>
      </c>
      <c r="N37" s="56" t="s">
        <v>5463</v>
      </c>
      <c r="O37" s="55">
        <v>43730</v>
      </c>
      <c r="P37" s="58"/>
      <c r="Q37" s="47"/>
      <c r="R37" s="57" t="s">
        <v>6296</v>
      </c>
      <c r="S37" s="47" t="s">
        <v>6297</v>
      </c>
    </row>
    <row r="38" spans="2:19" s="96" customFormat="1" ht="33" customHeight="1">
      <c r="B38" s="47" t="s">
        <v>81</v>
      </c>
      <c r="C38" s="48" t="s">
        <v>6298</v>
      </c>
      <c r="D38" s="49" t="s">
        <v>3407</v>
      </c>
      <c r="E38" s="50">
        <v>43637</v>
      </c>
      <c r="F38" s="52" t="s">
        <v>6295</v>
      </c>
      <c r="G38" s="51">
        <v>920</v>
      </c>
      <c r="H38" s="52">
        <f t="shared" si="4"/>
        <v>4</v>
      </c>
      <c r="I38" s="52">
        <v>1</v>
      </c>
      <c r="J38" s="52"/>
      <c r="K38" s="53">
        <v>43723</v>
      </c>
      <c r="L38" s="54" t="s">
        <v>5459</v>
      </c>
      <c r="M38" s="55">
        <v>43718</v>
      </c>
      <c r="N38" s="56" t="s">
        <v>5460</v>
      </c>
      <c r="O38" s="55">
        <v>43723</v>
      </c>
      <c r="P38" s="58"/>
      <c r="Q38" s="47"/>
      <c r="R38" s="57" t="s">
        <v>6296</v>
      </c>
      <c r="S38" s="47" t="s">
        <v>6297</v>
      </c>
    </row>
    <row r="39" spans="2:19" s="96" customFormat="1" ht="33" customHeight="1">
      <c r="B39" s="47" t="s">
        <v>81</v>
      </c>
      <c r="C39" s="48" t="s">
        <v>3409</v>
      </c>
      <c r="D39" s="49" t="s">
        <v>3743</v>
      </c>
      <c r="E39" s="50">
        <v>43665</v>
      </c>
      <c r="F39" s="52" t="s">
        <v>6295</v>
      </c>
      <c r="G39" s="51">
        <v>9200</v>
      </c>
      <c r="H39" s="52">
        <f t="shared" si="4"/>
        <v>40</v>
      </c>
      <c r="I39" s="52">
        <f t="shared" ref="I39:I48" si="5">SUM(H39/4)</f>
        <v>10</v>
      </c>
      <c r="J39" s="52"/>
      <c r="K39" s="53">
        <v>43667</v>
      </c>
      <c r="L39" s="54" t="s">
        <v>6299</v>
      </c>
      <c r="M39" s="55">
        <v>43718</v>
      </c>
      <c r="N39" s="56" t="s">
        <v>6300</v>
      </c>
      <c r="O39" s="55">
        <v>43667</v>
      </c>
      <c r="P39" s="58"/>
      <c r="Q39" s="47"/>
      <c r="R39" s="57"/>
      <c r="S39" s="47"/>
    </row>
    <row r="40" spans="2:19" s="67" customFormat="1" ht="33" customHeight="1">
      <c r="B40" s="46" t="s">
        <v>81</v>
      </c>
      <c r="C40" s="35" t="s">
        <v>4318</v>
      </c>
      <c r="D40" s="36" t="s">
        <v>4319</v>
      </c>
      <c r="E40" s="37">
        <v>43665</v>
      </c>
      <c r="F40" s="38" t="s">
        <v>6295</v>
      </c>
      <c r="G40" s="39">
        <v>9200</v>
      </c>
      <c r="H40" s="38">
        <f t="shared" si="4"/>
        <v>40</v>
      </c>
      <c r="I40" s="38">
        <f t="shared" si="5"/>
        <v>10</v>
      </c>
      <c r="J40" s="38"/>
      <c r="K40" s="40">
        <v>43751</v>
      </c>
      <c r="L40" s="41" t="s">
        <v>6301</v>
      </c>
      <c r="M40" s="42">
        <v>43746</v>
      </c>
      <c r="N40" s="43" t="s">
        <v>6302</v>
      </c>
      <c r="O40" s="42">
        <v>43751</v>
      </c>
      <c r="P40" s="45"/>
      <c r="Q40" s="46"/>
      <c r="R40" s="44" t="s">
        <v>6303</v>
      </c>
      <c r="S40" s="46"/>
    </row>
    <row r="41" spans="2:19" s="67" customFormat="1" ht="33" customHeight="1">
      <c r="B41" s="122" t="s">
        <v>81</v>
      </c>
      <c r="C41" s="126" t="s">
        <v>4321</v>
      </c>
      <c r="D41" s="127" t="s">
        <v>4322</v>
      </c>
      <c r="E41" s="128">
        <v>43665</v>
      </c>
      <c r="F41" s="124" t="s">
        <v>6295</v>
      </c>
      <c r="G41" s="129">
        <v>8740</v>
      </c>
      <c r="H41" s="124">
        <f t="shared" si="4"/>
        <v>38</v>
      </c>
      <c r="I41" s="124">
        <f t="shared" si="5"/>
        <v>9.5</v>
      </c>
      <c r="J41" s="124"/>
      <c r="K41" s="211">
        <v>43765</v>
      </c>
      <c r="L41" s="209" t="s">
        <v>4479</v>
      </c>
      <c r="M41" s="204">
        <v>43753</v>
      </c>
      <c r="N41" s="205" t="s">
        <v>6425</v>
      </c>
      <c r="O41" s="204">
        <v>43758</v>
      </c>
      <c r="P41" s="123"/>
      <c r="Q41" s="122"/>
      <c r="R41" s="125" t="s">
        <v>6304</v>
      </c>
      <c r="S41" s="122"/>
    </row>
    <row r="42" spans="2:19" s="67" customFormat="1" ht="33" customHeight="1">
      <c r="B42" s="122" t="s">
        <v>81</v>
      </c>
      <c r="C42" s="126" t="s">
        <v>6305</v>
      </c>
      <c r="D42" s="127" t="s">
        <v>5849</v>
      </c>
      <c r="E42" s="128">
        <v>43714</v>
      </c>
      <c r="F42" s="124" t="s">
        <v>6295</v>
      </c>
      <c r="G42" s="129">
        <v>4600</v>
      </c>
      <c r="H42" s="124">
        <f t="shared" si="4"/>
        <v>20</v>
      </c>
      <c r="I42" s="124">
        <f t="shared" si="5"/>
        <v>5</v>
      </c>
      <c r="J42" s="124"/>
      <c r="K42" s="211">
        <v>43765</v>
      </c>
      <c r="L42" s="209" t="s">
        <v>6464</v>
      </c>
      <c r="M42" s="204">
        <v>43767</v>
      </c>
      <c r="N42" s="205" t="s">
        <v>6427</v>
      </c>
      <c r="O42" s="204">
        <v>43772</v>
      </c>
      <c r="P42" s="123"/>
      <c r="Q42" s="122"/>
      <c r="R42" s="125" t="s">
        <v>6304</v>
      </c>
      <c r="S42" s="122"/>
    </row>
    <row r="43" spans="2:19" s="67" customFormat="1" ht="33" customHeight="1">
      <c r="B43" s="46" t="s">
        <v>81</v>
      </c>
      <c r="C43" s="35" t="s">
        <v>5006</v>
      </c>
      <c r="D43" s="36" t="s">
        <v>5005</v>
      </c>
      <c r="E43" s="37">
        <v>43689</v>
      </c>
      <c r="F43" s="38" t="s">
        <v>6295</v>
      </c>
      <c r="G43" s="39">
        <v>9200</v>
      </c>
      <c r="H43" s="38">
        <f t="shared" si="4"/>
        <v>40</v>
      </c>
      <c r="I43" s="38">
        <f t="shared" si="5"/>
        <v>10</v>
      </c>
      <c r="J43" s="38"/>
      <c r="K43" s="211">
        <v>43786</v>
      </c>
      <c r="L43" s="41" t="s">
        <v>6438</v>
      </c>
      <c r="M43" s="42">
        <v>43781</v>
      </c>
      <c r="N43" s="43" t="s">
        <v>6306</v>
      </c>
      <c r="O43" s="42">
        <v>43786</v>
      </c>
      <c r="P43" s="45"/>
      <c r="Q43" s="46"/>
      <c r="R43" s="44" t="s">
        <v>6307</v>
      </c>
      <c r="S43" s="46"/>
    </row>
    <row r="44" spans="2:19" s="67" customFormat="1" ht="33" customHeight="1">
      <c r="B44" s="46" t="s">
        <v>81</v>
      </c>
      <c r="C44" s="35" t="s">
        <v>5003</v>
      </c>
      <c r="D44" s="36" t="s">
        <v>5002</v>
      </c>
      <c r="E44" s="37">
        <v>43689</v>
      </c>
      <c r="F44" s="38" t="s">
        <v>6295</v>
      </c>
      <c r="G44" s="39">
        <v>9200</v>
      </c>
      <c r="H44" s="38">
        <f t="shared" si="4"/>
        <v>40</v>
      </c>
      <c r="I44" s="38">
        <f t="shared" si="5"/>
        <v>10</v>
      </c>
      <c r="J44" s="38"/>
      <c r="K44" s="40">
        <v>43800</v>
      </c>
      <c r="L44" s="41" t="s">
        <v>6439</v>
      </c>
      <c r="M44" s="42">
        <v>43795</v>
      </c>
      <c r="N44" s="43" t="s">
        <v>6308</v>
      </c>
      <c r="O44" s="42">
        <v>43800</v>
      </c>
      <c r="P44" s="45"/>
      <c r="Q44" s="46"/>
      <c r="R44" s="44" t="s">
        <v>6309</v>
      </c>
      <c r="S44" s="46"/>
    </row>
    <row r="45" spans="2:19" s="67" customFormat="1" ht="33" customHeight="1">
      <c r="B45" s="46" t="s">
        <v>81</v>
      </c>
      <c r="C45" s="35" t="s">
        <v>5842</v>
      </c>
      <c r="D45" s="36" t="s">
        <v>6310</v>
      </c>
      <c r="E45" s="37">
        <v>43724</v>
      </c>
      <c r="F45" s="38" t="s">
        <v>6295</v>
      </c>
      <c r="G45" s="39">
        <v>13800</v>
      </c>
      <c r="H45" s="38">
        <f t="shared" si="4"/>
        <v>60</v>
      </c>
      <c r="I45" s="38">
        <f t="shared" si="5"/>
        <v>15</v>
      </c>
      <c r="J45" s="38"/>
      <c r="K45" s="40">
        <v>43821</v>
      </c>
      <c r="L45" s="41" t="s">
        <v>6440</v>
      </c>
      <c r="M45" s="42">
        <v>43816</v>
      </c>
      <c r="N45" s="43" t="s">
        <v>6311</v>
      </c>
      <c r="O45" s="42">
        <v>43821</v>
      </c>
      <c r="P45" s="45"/>
      <c r="Q45" s="46"/>
      <c r="R45" s="44" t="s">
        <v>6312</v>
      </c>
      <c r="S45" s="46"/>
    </row>
    <row r="46" spans="2:19" s="96" customFormat="1" ht="33" customHeight="1">
      <c r="B46" s="47" t="s">
        <v>6313</v>
      </c>
      <c r="C46" s="48" t="s">
        <v>6314</v>
      </c>
      <c r="D46" s="49" t="s">
        <v>705</v>
      </c>
      <c r="E46" s="50">
        <v>43532</v>
      </c>
      <c r="F46" s="52" t="s">
        <v>6295</v>
      </c>
      <c r="G46" s="51">
        <v>920</v>
      </c>
      <c r="H46" s="52">
        <f t="shared" si="4"/>
        <v>4</v>
      </c>
      <c r="I46" s="52">
        <f t="shared" si="5"/>
        <v>1</v>
      </c>
      <c r="J46" s="52"/>
      <c r="K46" s="53">
        <v>43609</v>
      </c>
      <c r="L46" s="54" t="s">
        <v>773</v>
      </c>
      <c r="M46" s="55">
        <v>43601</v>
      </c>
      <c r="N46" s="56" t="s">
        <v>774</v>
      </c>
      <c r="O46" s="55">
        <v>43605</v>
      </c>
      <c r="P46" s="58"/>
      <c r="Q46" s="47"/>
      <c r="R46" s="57"/>
      <c r="S46" s="47" t="s">
        <v>6315</v>
      </c>
    </row>
    <row r="47" spans="2:19" s="96" customFormat="1" ht="33" customHeight="1">
      <c r="B47" s="47" t="s">
        <v>6316</v>
      </c>
      <c r="C47" s="48" t="s">
        <v>2333</v>
      </c>
      <c r="D47" s="49" t="s">
        <v>2334</v>
      </c>
      <c r="E47" s="50">
        <v>43602</v>
      </c>
      <c r="F47" s="52" t="s">
        <v>6295</v>
      </c>
      <c r="G47" s="51">
        <v>460</v>
      </c>
      <c r="H47" s="52">
        <f t="shared" si="4"/>
        <v>2</v>
      </c>
      <c r="I47" s="52">
        <f t="shared" si="5"/>
        <v>0.5</v>
      </c>
      <c r="J47" s="52"/>
      <c r="K47" s="53">
        <v>43681</v>
      </c>
      <c r="L47" s="54" t="s">
        <v>6441</v>
      </c>
      <c r="M47" s="55">
        <v>43676</v>
      </c>
      <c r="N47" s="56" t="s">
        <v>6317</v>
      </c>
      <c r="O47" s="55">
        <v>43681</v>
      </c>
      <c r="P47" s="58"/>
      <c r="Q47" s="47"/>
      <c r="R47" s="57" t="s">
        <v>6318</v>
      </c>
      <c r="S47" s="47" t="s">
        <v>3549</v>
      </c>
    </row>
    <row r="48" spans="2:19" s="67" customFormat="1" ht="33" customHeight="1">
      <c r="B48" s="122" t="s">
        <v>6316</v>
      </c>
      <c r="C48" s="126" t="s">
        <v>4329</v>
      </c>
      <c r="D48" s="127" t="s">
        <v>4330</v>
      </c>
      <c r="E48" s="128">
        <v>43665</v>
      </c>
      <c r="F48" s="124" t="s">
        <v>6295</v>
      </c>
      <c r="G48" s="129">
        <v>460</v>
      </c>
      <c r="H48" s="124">
        <f t="shared" si="4"/>
        <v>2</v>
      </c>
      <c r="I48" s="124">
        <f t="shared" si="5"/>
        <v>0.5</v>
      </c>
      <c r="J48" s="124"/>
      <c r="K48" s="211">
        <v>43765</v>
      </c>
      <c r="L48" s="209" t="s">
        <v>4479</v>
      </c>
      <c r="M48" s="204">
        <v>43753</v>
      </c>
      <c r="N48" s="205" t="s">
        <v>6425</v>
      </c>
      <c r="O48" s="204">
        <v>43758</v>
      </c>
      <c r="P48" s="123"/>
      <c r="Q48" s="122"/>
      <c r="R48" s="125" t="s">
        <v>6304</v>
      </c>
      <c r="S48" s="122"/>
    </row>
    <row r="49" spans="2:19" s="33" customFormat="1" ht="33" customHeight="1">
      <c r="B49" s="47" t="s">
        <v>6319</v>
      </c>
      <c r="C49" s="48" t="s">
        <v>2360</v>
      </c>
      <c r="D49" s="49" t="s">
        <v>6320</v>
      </c>
      <c r="E49" s="50">
        <v>43602</v>
      </c>
      <c r="F49" s="52" t="s">
        <v>6295</v>
      </c>
      <c r="G49" s="51">
        <v>2560</v>
      </c>
      <c r="H49" s="52">
        <f>SUM(G49/20)</f>
        <v>128</v>
      </c>
      <c r="I49" s="52">
        <f>SUM(H49/32)</f>
        <v>4</v>
      </c>
      <c r="J49" s="59"/>
      <c r="K49" s="53">
        <v>43695</v>
      </c>
      <c r="L49" s="54" t="s">
        <v>2505</v>
      </c>
      <c r="M49" s="55">
        <v>43683</v>
      </c>
      <c r="N49" s="56" t="s">
        <v>6321</v>
      </c>
      <c r="O49" s="55">
        <v>43688</v>
      </c>
      <c r="P49" s="58"/>
      <c r="Q49" s="60" t="s">
        <v>89</v>
      </c>
      <c r="R49" s="57" t="s">
        <v>6322</v>
      </c>
      <c r="S49" s="47"/>
    </row>
    <row r="50" spans="2:19" s="33" customFormat="1" ht="33" customHeight="1">
      <c r="B50" s="47" t="s">
        <v>6319</v>
      </c>
      <c r="C50" s="48" t="s">
        <v>3429</v>
      </c>
      <c r="D50" s="49" t="s">
        <v>3430</v>
      </c>
      <c r="E50" s="50">
        <v>43637</v>
      </c>
      <c r="F50" s="52" t="s">
        <v>6295</v>
      </c>
      <c r="G50" s="51">
        <v>3840</v>
      </c>
      <c r="H50" s="52">
        <f>SUM(G50/20)</f>
        <v>192</v>
      </c>
      <c r="I50" s="52">
        <f>SUM(H50/32)</f>
        <v>6</v>
      </c>
      <c r="J50" s="59"/>
      <c r="K50" s="53">
        <v>43723</v>
      </c>
      <c r="L50" s="54" t="s">
        <v>5459</v>
      </c>
      <c r="M50" s="55">
        <v>43718</v>
      </c>
      <c r="N50" s="56" t="s">
        <v>6323</v>
      </c>
      <c r="O50" s="55">
        <v>43723</v>
      </c>
      <c r="P50" s="58"/>
      <c r="Q50" s="60" t="s">
        <v>89</v>
      </c>
      <c r="R50" s="57" t="s">
        <v>6324</v>
      </c>
      <c r="S50" s="47"/>
    </row>
    <row r="51" spans="2:19" s="30" customFormat="1" ht="33" customHeight="1">
      <c r="B51" s="122" t="s">
        <v>6319</v>
      </c>
      <c r="C51" s="126" t="s">
        <v>4344</v>
      </c>
      <c r="D51" s="127" t="s">
        <v>4345</v>
      </c>
      <c r="E51" s="128">
        <v>43665</v>
      </c>
      <c r="F51" s="124" t="s">
        <v>6295</v>
      </c>
      <c r="G51" s="129">
        <v>3200</v>
      </c>
      <c r="H51" s="124">
        <f>SUM(G51/20)</f>
        <v>160</v>
      </c>
      <c r="I51" s="124">
        <f>SUM(H51/32)</f>
        <v>5</v>
      </c>
      <c r="J51" s="131"/>
      <c r="K51" s="211">
        <v>43758</v>
      </c>
      <c r="L51" s="119" t="s">
        <v>4479</v>
      </c>
      <c r="M51" s="120">
        <v>43753</v>
      </c>
      <c r="N51" s="121" t="s">
        <v>6325</v>
      </c>
      <c r="O51" s="120">
        <v>43758</v>
      </c>
      <c r="P51" s="123"/>
      <c r="Q51" s="132" t="s">
        <v>89</v>
      </c>
      <c r="R51" s="125" t="s">
        <v>6326</v>
      </c>
      <c r="S51" s="122"/>
    </row>
    <row r="52" spans="2:19" s="30" customFormat="1" ht="33" customHeight="1">
      <c r="B52" s="46" t="s">
        <v>6319</v>
      </c>
      <c r="C52" s="35" t="s">
        <v>4969</v>
      </c>
      <c r="D52" s="36" t="s">
        <v>4968</v>
      </c>
      <c r="E52" s="37">
        <v>43689</v>
      </c>
      <c r="F52" s="38" t="s">
        <v>6295</v>
      </c>
      <c r="G52" s="39">
        <v>3840</v>
      </c>
      <c r="H52" s="38">
        <f>SUM(G52/20)</f>
        <v>192</v>
      </c>
      <c r="I52" s="38">
        <f>SUM(H52/32)</f>
        <v>6</v>
      </c>
      <c r="J52" s="61"/>
      <c r="K52" s="211">
        <v>43786</v>
      </c>
      <c r="L52" s="41" t="s">
        <v>6438</v>
      </c>
      <c r="M52" s="42">
        <v>43781</v>
      </c>
      <c r="N52" s="43" t="s">
        <v>6306</v>
      </c>
      <c r="O52" s="42">
        <v>43786</v>
      </c>
      <c r="P52" s="45"/>
      <c r="Q52" s="62" t="s">
        <v>89</v>
      </c>
      <c r="R52" s="44" t="s">
        <v>6327</v>
      </c>
      <c r="S52" s="46"/>
    </row>
    <row r="53" spans="2:19" s="30" customFormat="1" ht="33" customHeight="1">
      <c r="B53" s="46" t="s">
        <v>6319</v>
      </c>
      <c r="C53" s="35" t="s">
        <v>5818</v>
      </c>
      <c r="D53" s="36" t="s">
        <v>5817</v>
      </c>
      <c r="E53" s="37">
        <v>43724</v>
      </c>
      <c r="F53" s="38" t="s">
        <v>6295</v>
      </c>
      <c r="G53" s="39">
        <v>3840</v>
      </c>
      <c r="H53" s="38">
        <f>SUM(G53/20)</f>
        <v>192</v>
      </c>
      <c r="I53" s="38">
        <f>SUM(H53/32)</f>
        <v>6</v>
      </c>
      <c r="J53" s="61"/>
      <c r="K53" s="40">
        <v>43814</v>
      </c>
      <c r="L53" s="41" t="s">
        <v>6442</v>
      </c>
      <c r="M53" s="42">
        <v>43809</v>
      </c>
      <c r="N53" s="43" t="s">
        <v>6293</v>
      </c>
      <c r="O53" s="42">
        <v>43814</v>
      </c>
      <c r="P53" s="45"/>
      <c r="Q53" s="62" t="s">
        <v>89</v>
      </c>
      <c r="R53" s="44" t="s">
        <v>6328</v>
      </c>
      <c r="S53" s="46"/>
    </row>
    <row r="54" spans="2:19" s="33" customFormat="1" ht="33" customHeight="1">
      <c r="B54" s="47" t="s">
        <v>38</v>
      </c>
      <c r="C54" s="48" t="s">
        <v>225</v>
      </c>
      <c r="D54" s="49" t="s">
        <v>587</v>
      </c>
      <c r="E54" s="50">
        <v>43519</v>
      </c>
      <c r="F54" s="52" t="s">
        <v>6329</v>
      </c>
      <c r="G54" s="64">
        <v>640</v>
      </c>
      <c r="H54" s="52">
        <f>SUBTOTAL(9,G54)/20</f>
        <v>32</v>
      </c>
      <c r="I54" s="52">
        <f>H54/32</f>
        <v>1</v>
      </c>
      <c r="J54" s="52"/>
      <c r="K54" s="53">
        <v>43583</v>
      </c>
      <c r="L54" s="54" t="s">
        <v>565</v>
      </c>
      <c r="M54" s="55">
        <v>43578</v>
      </c>
      <c r="N54" s="56" t="s">
        <v>6330</v>
      </c>
      <c r="O54" s="55">
        <v>43583</v>
      </c>
      <c r="P54" s="58"/>
      <c r="Q54" s="52"/>
      <c r="R54" s="63" t="s">
        <v>6331</v>
      </c>
      <c r="S54" s="47"/>
    </row>
    <row r="55" spans="2:19" s="30" customFormat="1" ht="33" customHeight="1">
      <c r="B55" s="46" t="s">
        <v>6332</v>
      </c>
      <c r="C55" s="35" t="s">
        <v>226</v>
      </c>
      <c r="D55" s="36" t="s">
        <v>1194</v>
      </c>
      <c r="E55" s="37">
        <v>43567</v>
      </c>
      <c r="F55" s="38" t="s">
        <v>6329</v>
      </c>
      <c r="G55" s="65">
        <v>640</v>
      </c>
      <c r="H55" s="38">
        <f>SUBTOTAL(9,G55)/20</f>
        <v>32</v>
      </c>
      <c r="I55" s="38">
        <f>H55/32</f>
        <v>1</v>
      </c>
      <c r="J55" s="38"/>
      <c r="K55" s="40">
        <v>43758</v>
      </c>
      <c r="L55" s="209" t="s">
        <v>6434</v>
      </c>
      <c r="M55" s="42">
        <v>43753</v>
      </c>
      <c r="N55" s="43" t="s">
        <v>6437</v>
      </c>
      <c r="O55" s="42">
        <v>43758</v>
      </c>
      <c r="P55" s="45"/>
      <c r="Q55" s="38"/>
      <c r="R55" s="66" t="s">
        <v>6334</v>
      </c>
      <c r="S55" s="46"/>
    </row>
    <row r="56" spans="2:19" s="33" customFormat="1" ht="33" customHeight="1">
      <c r="B56" s="47" t="s">
        <v>6335</v>
      </c>
      <c r="C56" s="48" t="s">
        <v>2378</v>
      </c>
      <c r="D56" s="49" t="s">
        <v>2379</v>
      </c>
      <c r="E56" s="50">
        <v>43602</v>
      </c>
      <c r="F56" s="52" t="s">
        <v>6329</v>
      </c>
      <c r="G56" s="64">
        <v>760</v>
      </c>
      <c r="H56" s="52">
        <f>SUBTOTAL(9,G56)/190</f>
        <v>4</v>
      </c>
      <c r="I56" s="52">
        <f>H56/4</f>
        <v>1</v>
      </c>
      <c r="J56" s="52"/>
      <c r="K56" s="53">
        <v>43702</v>
      </c>
      <c r="L56" s="54" t="s">
        <v>6435</v>
      </c>
      <c r="M56" s="55">
        <v>43718</v>
      </c>
      <c r="N56" s="56" t="s">
        <v>6337</v>
      </c>
      <c r="O56" s="55">
        <v>43702</v>
      </c>
      <c r="P56" s="58"/>
      <c r="Q56" s="52"/>
      <c r="R56" s="63" t="s">
        <v>6338</v>
      </c>
      <c r="S56" s="47"/>
    </row>
    <row r="57" spans="2:19" s="33" customFormat="1" ht="33" customHeight="1">
      <c r="B57" s="47" t="s">
        <v>6335</v>
      </c>
      <c r="C57" s="48" t="s">
        <v>2430</v>
      </c>
      <c r="D57" s="49" t="s">
        <v>3457</v>
      </c>
      <c r="E57" s="50">
        <v>43637</v>
      </c>
      <c r="F57" s="52" t="s">
        <v>6329</v>
      </c>
      <c r="G57" s="64">
        <v>760</v>
      </c>
      <c r="H57" s="52">
        <f>SUBTOTAL(9,G57)/190</f>
        <v>4</v>
      </c>
      <c r="I57" s="52">
        <f>H57/4</f>
        <v>1</v>
      </c>
      <c r="J57" s="52"/>
      <c r="K57" s="53">
        <v>43731</v>
      </c>
      <c r="L57" s="54" t="s">
        <v>6436</v>
      </c>
      <c r="M57" s="55">
        <v>43725</v>
      </c>
      <c r="N57" s="56" t="s">
        <v>6339</v>
      </c>
      <c r="O57" s="55">
        <v>43730</v>
      </c>
      <c r="P57" s="58"/>
      <c r="Q57" s="52"/>
      <c r="R57" s="63" t="s">
        <v>6340</v>
      </c>
      <c r="S57" s="47"/>
    </row>
    <row r="58" spans="2:19" s="30" customFormat="1" ht="33" customHeight="1">
      <c r="B58" s="46" t="s">
        <v>6341</v>
      </c>
      <c r="C58" s="35" t="s">
        <v>2527</v>
      </c>
      <c r="D58" s="36" t="s">
        <v>4369</v>
      </c>
      <c r="E58" s="37">
        <v>43657</v>
      </c>
      <c r="F58" s="38" t="s">
        <v>6342</v>
      </c>
      <c r="G58" s="65">
        <v>760</v>
      </c>
      <c r="H58" s="38">
        <f>SUBTOTAL(9,G58)/190</f>
        <v>4</v>
      </c>
      <c r="I58" s="38">
        <f>H58/4</f>
        <v>1</v>
      </c>
      <c r="J58" s="38"/>
      <c r="K58" s="40">
        <v>43758</v>
      </c>
      <c r="L58" s="209" t="s">
        <v>6434</v>
      </c>
      <c r="M58" s="42">
        <v>43753</v>
      </c>
      <c r="N58" s="43" t="s">
        <v>4813</v>
      </c>
      <c r="O58" s="42">
        <v>43758</v>
      </c>
      <c r="P58" s="45"/>
      <c r="Q58" s="38"/>
      <c r="R58" s="66" t="s">
        <v>6343</v>
      </c>
      <c r="S58" s="46"/>
    </row>
    <row r="59" spans="2:19" s="30" customFormat="1" ht="33" customHeight="1">
      <c r="B59" s="122" t="s">
        <v>6344</v>
      </c>
      <c r="C59" s="126" t="s">
        <v>2528</v>
      </c>
      <c r="D59" s="127" t="s">
        <v>6345</v>
      </c>
      <c r="E59" s="128">
        <v>43700</v>
      </c>
      <c r="F59" s="124" t="s">
        <v>6342</v>
      </c>
      <c r="G59" s="152">
        <v>760</v>
      </c>
      <c r="H59" s="124">
        <f>SUBTOTAL(9,G59)/190</f>
        <v>4</v>
      </c>
      <c r="I59" s="124">
        <f>H59/4</f>
        <v>1</v>
      </c>
      <c r="J59" s="124"/>
      <c r="K59" s="130">
        <v>43823</v>
      </c>
      <c r="L59" s="209" t="s">
        <v>6455</v>
      </c>
      <c r="M59" s="204">
        <v>43816</v>
      </c>
      <c r="N59" s="205" t="s">
        <v>6449</v>
      </c>
      <c r="O59" s="204">
        <v>43821</v>
      </c>
      <c r="P59" s="123"/>
      <c r="Q59" s="124" t="s">
        <v>6467</v>
      </c>
      <c r="R59" s="134" t="s">
        <v>6346</v>
      </c>
      <c r="S59" s="122"/>
    </row>
    <row r="60" spans="2:19" s="30" customFormat="1" ht="33" customHeight="1">
      <c r="B60" s="122" t="s">
        <v>6344</v>
      </c>
      <c r="C60" s="126" t="s">
        <v>2529</v>
      </c>
      <c r="D60" s="127" t="s">
        <v>6347</v>
      </c>
      <c r="E60" s="128">
        <v>43724</v>
      </c>
      <c r="F60" s="124" t="s">
        <v>6348</v>
      </c>
      <c r="G60" s="152">
        <v>760</v>
      </c>
      <c r="H60" s="124">
        <f>SUBTOTAL(9,G60)/190</f>
        <v>4</v>
      </c>
      <c r="I60" s="124">
        <f>H60/4</f>
        <v>1</v>
      </c>
      <c r="J60" s="124"/>
      <c r="K60" s="130">
        <v>43842</v>
      </c>
      <c r="L60" s="209" t="s">
        <v>6443</v>
      </c>
      <c r="M60" s="204">
        <v>43472</v>
      </c>
      <c r="N60" s="205" t="s">
        <v>6450</v>
      </c>
      <c r="O60" s="204">
        <v>43477</v>
      </c>
      <c r="P60" s="123"/>
      <c r="Q60" s="124" t="s">
        <v>6467</v>
      </c>
      <c r="R60" s="134" t="s">
        <v>6349</v>
      </c>
      <c r="S60" s="122"/>
    </row>
    <row r="61" spans="2:19" s="33" customFormat="1" ht="33" customHeight="1">
      <c r="B61" s="47" t="s">
        <v>3803</v>
      </c>
      <c r="C61" s="48" t="s">
        <v>430</v>
      </c>
      <c r="D61" s="49" t="s">
        <v>2696</v>
      </c>
      <c r="E61" s="50">
        <v>43609</v>
      </c>
      <c r="F61" s="52" t="s">
        <v>77</v>
      </c>
      <c r="G61" s="51">
        <v>7680</v>
      </c>
      <c r="H61" s="52">
        <f t="shared" ref="H61:H66" si="6">SUM(G61/240)</f>
        <v>32</v>
      </c>
      <c r="I61" s="52">
        <f t="shared" ref="I61:I66" si="7">SUM(H61/4)</f>
        <v>8</v>
      </c>
      <c r="J61" s="52"/>
      <c r="K61" s="53">
        <v>43702</v>
      </c>
      <c r="L61" s="54" t="s">
        <v>2509</v>
      </c>
      <c r="M61" s="55">
        <v>43718</v>
      </c>
      <c r="N61" s="56" t="s">
        <v>2498</v>
      </c>
      <c r="O61" s="55">
        <v>43702</v>
      </c>
      <c r="P61" s="58"/>
      <c r="Q61" s="52"/>
      <c r="R61" s="118" t="s">
        <v>3183</v>
      </c>
      <c r="S61" s="47"/>
    </row>
    <row r="62" spans="2:19" s="33" customFormat="1" ht="33" customHeight="1">
      <c r="B62" s="47" t="s">
        <v>3803</v>
      </c>
      <c r="C62" s="48" t="s">
        <v>519</v>
      </c>
      <c r="D62" s="49" t="s">
        <v>3473</v>
      </c>
      <c r="E62" s="50">
        <v>43637</v>
      </c>
      <c r="F62" s="52" t="s">
        <v>77</v>
      </c>
      <c r="G62" s="51">
        <v>9600</v>
      </c>
      <c r="H62" s="52">
        <f t="shared" si="6"/>
        <v>40</v>
      </c>
      <c r="I62" s="52">
        <f t="shared" si="7"/>
        <v>10</v>
      </c>
      <c r="J62" s="52"/>
      <c r="K62" s="53">
        <v>43716</v>
      </c>
      <c r="L62" s="54" t="s">
        <v>6444</v>
      </c>
      <c r="M62" s="55">
        <v>43718</v>
      </c>
      <c r="N62" s="56" t="s">
        <v>3742</v>
      </c>
      <c r="O62" s="55">
        <v>43716</v>
      </c>
      <c r="P62" s="58"/>
      <c r="Q62" s="52"/>
      <c r="R62" s="118" t="s">
        <v>3474</v>
      </c>
      <c r="S62" s="47"/>
    </row>
    <row r="63" spans="2:19" s="30" customFormat="1" ht="33" customHeight="1">
      <c r="B63" s="122" t="s">
        <v>3803</v>
      </c>
      <c r="C63" s="126" t="s">
        <v>520</v>
      </c>
      <c r="D63" s="127" t="s">
        <v>4386</v>
      </c>
      <c r="E63" s="128">
        <v>43665</v>
      </c>
      <c r="F63" s="124" t="s">
        <v>77</v>
      </c>
      <c r="G63" s="129">
        <v>5760</v>
      </c>
      <c r="H63" s="124">
        <f t="shared" si="6"/>
        <v>24</v>
      </c>
      <c r="I63" s="124">
        <f t="shared" si="7"/>
        <v>6</v>
      </c>
      <c r="J63" s="124"/>
      <c r="K63" s="211">
        <v>43765</v>
      </c>
      <c r="L63" s="209" t="s">
        <v>4479</v>
      </c>
      <c r="M63" s="204">
        <v>43753</v>
      </c>
      <c r="N63" s="205" t="s">
        <v>6425</v>
      </c>
      <c r="O63" s="204">
        <v>43758</v>
      </c>
      <c r="P63" s="123"/>
      <c r="Q63" s="124"/>
      <c r="R63" s="133" t="s">
        <v>4933</v>
      </c>
      <c r="S63" s="122"/>
    </row>
    <row r="64" spans="2:19" s="30" customFormat="1" ht="33" customHeight="1">
      <c r="B64" s="46" t="s">
        <v>3803</v>
      </c>
      <c r="C64" s="35" t="s">
        <v>586</v>
      </c>
      <c r="D64" s="36" t="s">
        <v>4932</v>
      </c>
      <c r="E64" s="37">
        <v>43689</v>
      </c>
      <c r="F64" s="38" t="s">
        <v>77</v>
      </c>
      <c r="G64" s="39">
        <v>5760</v>
      </c>
      <c r="H64" s="38">
        <f t="shared" si="6"/>
        <v>24</v>
      </c>
      <c r="I64" s="38">
        <f t="shared" si="7"/>
        <v>6</v>
      </c>
      <c r="J64" s="38"/>
      <c r="K64" s="40">
        <v>43793</v>
      </c>
      <c r="L64" s="41" t="s">
        <v>5439</v>
      </c>
      <c r="M64" s="42">
        <v>43788</v>
      </c>
      <c r="N64" s="43" t="s">
        <v>5322</v>
      </c>
      <c r="O64" s="42">
        <v>43793</v>
      </c>
      <c r="P64" s="45"/>
      <c r="Q64" s="38"/>
      <c r="R64" s="115" t="s">
        <v>4931</v>
      </c>
      <c r="S64" s="46"/>
    </row>
    <row r="65" spans="2:20" s="30" customFormat="1" ht="33" customHeight="1">
      <c r="B65" s="46" t="s">
        <v>3803</v>
      </c>
      <c r="C65" s="35" t="s">
        <v>6350</v>
      </c>
      <c r="D65" s="36" t="s">
        <v>5789</v>
      </c>
      <c r="E65" s="37">
        <v>43714</v>
      </c>
      <c r="F65" s="38" t="s">
        <v>77</v>
      </c>
      <c r="G65" s="39">
        <v>1920</v>
      </c>
      <c r="H65" s="38">
        <f t="shared" si="6"/>
        <v>8</v>
      </c>
      <c r="I65" s="38">
        <f t="shared" si="7"/>
        <v>2</v>
      </c>
      <c r="J65" s="38"/>
      <c r="K65" s="40">
        <v>43793</v>
      </c>
      <c r="L65" s="41" t="s">
        <v>5439</v>
      </c>
      <c r="M65" s="42">
        <v>43788</v>
      </c>
      <c r="N65" s="43" t="s">
        <v>5440</v>
      </c>
      <c r="O65" s="42">
        <v>43793</v>
      </c>
      <c r="P65" s="45"/>
      <c r="Q65" s="38"/>
      <c r="R65" s="115" t="s">
        <v>6351</v>
      </c>
      <c r="S65" s="46"/>
    </row>
    <row r="66" spans="2:20" s="30" customFormat="1" ht="33" customHeight="1">
      <c r="B66" s="122" t="s">
        <v>5786</v>
      </c>
      <c r="C66" s="126" t="s">
        <v>6352</v>
      </c>
      <c r="D66" s="127" t="s">
        <v>5784</v>
      </c>
      <c r="E66" s="128">
        <v>43724</v>
      </c>
      <c r="F66" s="124" t="s">
        <v>77</v>
      </c>
      <c r="G66" s="129">
        <v>8640</v>
      </c>
      <c r="H66" s="124">
        <f t="shared" si="6"/>
        <v>36</v>
      </c>
      <c r="I66" s="124">
        <f t="shared" si="7"/>
        <v>9</v>
      </c>
      <c r="J66" s="124"/>
      <c r="K66" s="130">
        <v>43814</v>
      </c>
      <c r="L66" s="119" t="s">
        <v>6442</v>
      </c>
      <c r="M66" s="120">
        <v>43809</v>
      </c>
      <c r="N66" s="121" t="s">
        <v>5963</v>
      </c>
      <c r="O66" s="120">
        <v>43814</v>
      </c>
      <c r="P66" s="123"/>
      <c r="Q66" s="124"/>
      <c r="R66" s="133" t="s">
        <v>6353</v>
      </c>
      <c r="S66" s="122"/>
    </row>
    <row r="67" spans="2:20" s="34" customFormat="1" ht="33" customHeight="1">
      <c r="B67" s="47" t="s">
        <v>6354</v>
      </c>
      <c r="C67" s="48" t="s">
        <v>2378</v>
      </c>
      <c r="D67" s="49" t="s">
        <v>6355</v>
      </c>
      <c r="E67" s="50">
        <v>43602</v>
      </c>
      <c r="F67" s="52" t="s">
        <v>218</v>
      </c>
      <c r="G67" s="51">
        <v>3200</v>
      </c>
      <c r="H67" s="52">
        <f t="shared" ref="H67:H89" si="8">SUM(G67/20)</f>
        <v>160</v>
      </c>
      <c r="I67" s="52">
        <f t="shared" ref="I67:I89" si="9">SUM(H67/32)</f>
        <v>5</v>
      </c>
      <c r="J67" s="52"/>
      <c r="K67" s="53">
        <v>43688</v>
      </c>
      <c r="L67" s="54" t="s">
        <v>2505</v>
      </c>
      <c r="M67" s="55">
        <v>43718</v>
      </c>
      <c r="N67" s="56" t="s">
        <v>6321</v>
      </c>
      <c r="O67" s="55">
        <v>43688</v>
      </c>
      <c r="P67" s="58"/>
      <c r="Q67" s="52" t="s">
        <v>2762</v>
      </c>
      <c r="R67" s="63" t="s">
        <v>211</v>
      </c>
      <c r="S67" s="47" t="s">
        <v>2764</v>
      </c>
    </row>
    <row r="68" spans="2:20" s="34" customFormat="1" ht="33" customHeight="1">
      <c r="B68" s="47" t="s">
        <v>6354</v>
      </c>
      <c r="C68" s="48" t="s">
        <v>2430</v>
      </c>
      <c r="D68" s="199" t="s">
        <v>6356</v>
      </c>
      <c r="E68" s="50">
        <v>43602</v>
      </c>
      <c r="F68" s="52" t="s">
        <v>218</v>
      </c>
      <c r="G68" s="51">
        <v>3200</v>
      </c>
      <c r="H68" s="52">
        <f t="shared" si="8"/>
        <v>160</v>
      </c>
      <c r="I68" s="52">
        <f t="shared" si="9"/>
        <v>5</v>
      </c>
      <c r="J68" s="52"/>
      <c r="K68" s="53">
        <v>43702</v>
      </c>
      <c r="L68" s="54" t="s">
        <v>2509</v>
      </c>
      <c r="M68" s="55">
        <v>43697</v>
      </c>
      <c r="N68" s="56" t="s">
        <v>6337</v>
      </c>
      <c r="O68" s="55">
        <v>43702</v>
      </c>
      <c r="P68" s="58"/>
      <c r="Q68" s="52" t="s">
        <v>2517</v>
      </c>
      <c r="R68" s="63" t="s">
        <v>211</v>
      </c>
      <c r="S68" s="52"/>
    </row>
    <row r="69" spans="2:20" s="34" customFormat="1" ht="33" customHeight="1">
      <c r="B69" s="47" t="s">
        <v>6354</v>
      </c>
      <c r="C69" s="48" t="s">
        <v>3499</v>
      </c>
      <c r="D69" s="199" t="s">
        <v>3500</v>
      </c>
      <c r="E69" s="50">
        <v>43637</v>
      </c>
      <c r="F69" s="52" t="s">
        <v>218</v>
      </c>
      <c r="G69" s="51">
        <v>3200</v>
      </c>
      <c r="H69" s="52">
        <f t="shared" si="8"/>
        <v>160</v>
      </c>
      <c r="I69" s="52">
        <f t="shared" si="9"/>
        <v>5</v>
      </c>
      <c r="J69" s="52"/>
      <c r="K69" s="53">
        <v>43730</v>
      </c>
      <c r="L69" s="54" t="s">
        <v>5462</v>
      </c>
      <c r="M69" s="55">
        <v>43725</v>
      </c>
      <c r="N69" s="56" t="s">
        <v>6357</v>
      </c>
      <c r="O69" s="55">
        <v>43730</v>
      </c>
      <c r="P69" s="58"/>
      <c r="Q69" s="52" t="s">
        <v>6358</v>
      </c>
      <c r="R69" s="63" t="s">
        <v>211</v>
      </c>
      <c r="S69" s="52"/>
    </row>
    <row r="70" spans="2:20" s="34" customFormat="1" ht="33" customHeight="1">
      <c r="B70" s="47" t="s">
        <v>6354</v>
      </c>
      <c r="C70" s="48" t="s">
        <v>3501</v>
      </c>
      <c r="D70" s="199" t="s">
        <v>3502</v>
      </c>
      <c r="E70" s="50">
        <v>43637</v>
      </c>
      <c r="F70" s="52" t="s">
        <v>218</v>
      </c>
      <c r="G70" s="51">
        <v>3200</v>
      </c>
      <c r="H70" s="52">
        <f t="shared" si="8"/>
        <v>160</v>
      </c>
      <c r="I70" s="52">
        <f t="shared" si="9"/>
        <v>5</v>
      </c>
      <c r="J70" s="52"/>
      <c r="K70" s="53">
        <v>43737</v>
      </c>
      <c r="L70" s="54" t="s">
        <v>5205</v>
      </c>
      <c r="M70" s="55">
        <v>43732</v>
      </c>
      <c r="N70" s="56" t="s">
        <v>6359</v>
      </c>
      <c r="O70" s="55">
        <v>43737</v>
      </c>
      <c r="P70" s="58"/>
      <c r="Q70" s="52" t="s">
        <v>5427</v>
      </c>
      <c r="R70" s="63" t="s">
        <v>211</v>
      </c>
      <c r="S70" s="52"/>
    </row>
    <row r="71" spans="2:20" s="34" customFormat="1" ht="33" customHeight="1">
      <c r="B71" s="47" t="s">
        <v>6354</v>
      </c>
      <c r="C71" s="48" t="s">
        <v>4103</v>
      </c>
      <c r="D71" s="199" t="s">
        <v>4408</v>
      </c>
      <c r="E71" s="50">
        <v>43657</v>
      </c>
      <c r="F71" s="52" t="s">
        <v>218</v>
      </c>
      <c r="G71" s="51">
        <v>3200</v>
      </c>
      <c r="H71" s="52">
        <f t="shared" si="8"/>
        <v>160</v>
      </c>
      <c r="I71" s="52">
        <f t="shared" si="9"/>
        <v>5</v>
      </c>
      <c r="J71" s="52"/>
      <c r="K71" s="53">
        <v>43723</v>
      </c>
      <c r="L71" s="54" t="s">
        <v>5459</v>
      </c>
      <c r="M71" s="55">
        <v>43718</v>
      </c>
      <c r="N71" s="56" t="s">
        <v>6323</v>
      </c>
      <c r="O71" s="55">
        <v>43723</v>
      </c>
      <c r="P71" s="58"/>
      <c r="Q71" s="52" t="s">
        <v>6360</v>
      </c>
      <c r="R71" s="63" t="s">
        <v>211</v>
      </c>
      <c r="S71" s="52"/>
    </row>
    <row r="72" spans="2:20" s="32" customFormat="1" ht="33" customHeight="1">
      <c r="B72" s="46" t="s">
        <v>6354</v>
      </c>
      <c r="C72" s="35" t="s">
        <v>4410</v>
      </c>
      <c r="D72" s="190" t="s">
        <v>4411</v>
      </c>
      <c r="E72" s="37">
        <v>43665</v>
      </c>
      <c r="F72" s="38" t="s">
        <v>218</v>
      </c>
      <c r="G72" s="39">
        <v>3200</v>
      </c>
      <c r="H72" s="38">
        <f t="shared" si="8"/>
        <v>160</v>
      </c>
      <c r="I72" s="38">
        <f t="shared" si="9"/>
        <v>5</v>
      </c>
      <c r="J72" s="38"/>
      <c r="K72" s="40">
        <v>43751</v>
      </c>
      <c r="L72" s="41" t="s">
        <v>4475</v>
      </c>
      <c r="M72" s="42">
        <v>43746</v>
      </c>
      <c r="N72" s="43" t="s">
        <v>6302</v>
      </c>
      <c r="O72" s="42">
        <v>43751</v>
      </c>
      <c r="P72" s="45"/>
      <c r="Q72" s="66" t="s">
        <v>6361</v>
      </c>
      <c r="R72" s="66" t="s">
        <v>6362</v>
      </c>
      <c r="S72" s="38"/>
    </row>
    <row r="73" spans="2:20" s="32" customFormat="1" ht="33" customHeight="1">
      <c r="B73" s="122" t="s">
        <v>6354</v>
      </c>
      <c r="C73" s="126" t="s">
        <v>4412</v>
      </c>
      <c r="D73" s="187" t="s">
        <v>4413</v>
      </c>
      <c r="E73" s="128">
        <v>43665</v>
      </c>
      <c r="F73" s="124" t="s">
        <v>218</v>
      </c>
      <c r="G73" s="129">
        <v>3200</v>
      </c>
      <c r="H73" s="124">
        <f t="shared" si="8"/>
        <v>160</v>
      </c>
      <c r="I73" s="124">
        <f t="shared" si="9"/>
        <v>5</v>
      </c>
      <c r="J73" s="124"/>
      <c r="K73" s="211">
        <v>43758</v>
      </c>
      <c r="L73" s="209" t="s">
        <v>4479</v>
      </c>
      <c r="M73" s="120">
        <v>43753</v>
      </c>
      <c r="N73" s="121" t="s">
        <v>6325</v>
      </c>
      <c r="O73" s="120">
        <v>43758</v>
      </c>
      <c r="P73" s="123"/>
      <c r="Q73" s="134" t="s">
        <v>4818</v>
      </c>
      <c r="R73" s="134" t="s">
        <v>6362</v>
      </c>
      <c r="S73" s="122"/>
    </row>
    <row r="74" spans="2:20" s="32" customFormat="1" ht="33" customHeight="1">
      <c r="B74" s="122" t="s">
        <v>6354</v>
      </c>
      <c r="C74" s="126" t="s">
        <v>4414</v>
      </c>
      <c r="D74" s="187" t="s">
        <v>4415</v>
      </c>
      <c r="E74" s="128">
        <v>43665</v>
      </c>
      <c r="F74" s="124" t="s">
        <v>218</v>
      </c>
      <c r="G74" s="129">
        <v>3200</v>
      </c>
      <c r="H74" s="124">
        <f t="shared" si="8"/>
        <v>160</v>
      </c>
      <c r="I74" s="124">
        <f t="shared" si="9"/>
        <v>5</v>
      </c>
      <c r="J74" s="124"/>
      <c r="K74" s="211">
        <v>43765</v>
      </c>
      <c r="L74" s="209" t="s">
        <v>6464</v>
      </c>
      <c r="M74" s="204">
        <v>43767</v>
      </c>
      <c r="N74" s="205" t="s">
        <v>6427</v>
      </c>
      <c r="O74" s="204">
        <v>43772</v>
      </c>
      <c r="P74" s="123"/>
      <c r="Q74" s="134" t="s">
        <v>4817</v>
      </c>
      <c r="R74" s="134" t="s">
        <v>6362</v>
      </c>
      <c r="S74" s="122"/>
    </row>
    <row r="75" spans="2:20" s="32" customFormat="1" ht="33" customHeight="1">
      <c r="B75" s="122" t="s">
        <v>6354</v>
      </c>
      <c r="C75" s="126" t="s">
        <v>4550</v>
      </c>
      <c r="D75" s="187" t="s">
        <v>6363</v>
      </c>
      <c r="E75" s="128">
        <v>43679</v>
      </c>
      <c r="F75" s="124" t="s">
        <v>218</v>
      </c>
      <c r="G75" s="129">
        <v>3200</v>
      </c>
      <c r="H75" s="124">
        <f t="shared" si="8"/>
        <v>160</v>
      </c>
      <c r="I75" s="124">
        <f t="shared" si="9"/>
        <v>5</v>
      </c>
      <c r="J75" s="124"/>
      <c r="K75" s="211">
        <v>43765</v>
      </c>
      <c r="L75" s="209" t="s">
        <v>6464</v>
      </c>
      <c r="M75" s="204">
        <v>43767</v>
      </c>
      <c r="N75" s="205" t="s">
        <v>6427</v>
      </c>
      <c r="O75" s="204">
        <v>43772</v>
      </c>
      <c r="P75" s="123"/>
      <c r="Q75" s="134" t="s">
        <v>4817</v>
      </c>
      <c r="R75" s="134" t="s">
        <v>6362</v>
      </c>
      <c r="S75" s="122"/>
    </row>
    <row r="76" spans="2:20" s="32" customFormat="1" ht="33" customHeight="1">
      <c r="B76" s="46" t="s">
        <v>6354</v>
      </c>
      <c r="C76" s="35" t="s">
        <v>4899</v>
      </c>
      <c r="D76" s="190" t="s">
        <v>6364</v>
      </c>
      <c r="E76" s="37">
        <v>43689</v>
      </c>
      <c r="F76" s="38" t="s">
        <v>218</v>
      </c>
      <c r="G76" s="39">
        <v>3200</v>
      </c>
      <c r="H76" s="38">
        <f t="shared" si="8"/>
        <v>160</v>
      </c>
      <c r="I76" s="38">
        <f t="shared" si="9"/>
        <v>5</v>
      </c>
      <c r="J76" s="38"/>
      <c r="K76" s="211">
        <v>43779</v>
      </c>
      <c r="L76" s="41" t="s">
        <v>6428</v>
      </c>
      <c r="M76" s="42">
        <v>43774</v>
      </c>
      <c r="N76" s="43" t="s">
        <v>6365</v>
      </c>
      <c r="O76" s="42">
        <v>43779</v>
      </c>
      <c r="P76" s="45"/>
      <c r="Q76" s="66" t="s">
        <v>6366</v>
      </c>
      <c r="R76" s="66" t="s">
        <v>211</v>
      </c>
      <c r="S76" s="38"/>
    </row>
    <row r="77" spans="2:20" s="32" customFormat="1" ht="33" customHeight="1">
      <c r="B77" s="46" t="s">
        <v>6367</v>
      </c>
      <c r="C77" s="35" t="s">
        <v>4897</v>
      </c>
      <c r="D77" s="190" t="s">
        <v>6368</v>
      </c>
      <c r="E77" s="37">
        <v>43689</v>
      </c>
      <c r="F77" s="38" t="s">
        <v>218</v>
      </c>
      <c r="G77" s="39">
        <v>3200</v>
      </c>
      <c r="H77" s="38">
        <f t="shared" si="8"/>
        <v>160</v>
      </c>
      <c r="I77" s="38">
        <f t="shared" si="9"/>
        <v>5</v>
      </c>
      <c r="J77" s="38"/>
      <c r="K77" s="40">
        <v>43793</v>
      </c>
      <c r="L77" s="41" t="s">
        <v>5439</v>
      </c>
      <c r="M77" s="42">
        <v>43788</v>
      </c>
      <c r="N77" s="43" t="s">
        <v>6369</v>
      </c>
      <c r="O77" s="42">
        <v>43793</v>
      </c>
      <c r="P77" s="45"/>
      <c r="Q77" s="66" t="s">
        <v>6370</v>
      </c>
      <c r="R77" s="66" t="s">
        <v>211</v>
      </c>
      <c r="S77" s="38"/>
    </row>
    <row r="78" spans="2:20" s="32" customFormat="1" ht="33" customHeight="1">
      <c r="B78" s="46" t="s">
        <v>6367</v>
      </c>
      <c r="C78" s="35" t="s">
        <v>5762</v>
      </c>
      <c r="D78" s="190" t="s">
        <v>6371</v>
      </c>
      <c r="E78" s="37">
        <v>43724</v>
      </c>
      <c r="F78" s="38" t="s">
        <v>218</v>
      </c>
      <c r="G78" s="39">
        <v>3200</v>
      </c>
      <c r="H78" s="38">
        <f t="shared" si="8"/>
        <v>160</v>
      </c>
      <c r="I78" s="38">
        <f t="shared" si="9"/>
        <v>5</v>
      </c>
      <c r="J78" s="38"/>
      <c r="K78" s="40">
        <v>43800</v>
      </c>
      <c r="L78" s="41" t="s">
        <v>6459</v>
      </c>
      <c r="M78" s="42">
        <v>43795</v>
      </c>
      <c r="N78" s="43" t="s">
        <v>6372</v>
      </c>
      <c r="O78" s="42">
        <v>43800</v>
      </c>
      <c r="P78" s="45"/>
      <c r="Q78" s="66"/>
      <c r="R78" s="66" t="s">
        <v>211</v>
      </c>
      <c r="S78" s="38"/>
    </row>
    <row r="79" spans="2:20" s="32" customFormat="1" ht="33" customHeight="1">
      <c r="B79" s="46" t="s">
        <v>6367</v>
      </c>
      <c r="C79" s="35" t="s">
        <v>5761</v>
      </c>
      <c r="D79" s="190" t="s">
        <v>6373</v>
      </c>
      <c r="E79" s="37">
        <v>43724</v>
      </c>
      <c r="F79" s="38" t="s">
        <v>218</v>
      </c>
      <c r="G79" s="39">
        <v>3200</v>
      </c>
      <c r="H79" s="38">
        <f t="shared" si="8"/>
        <v>160</v>
      </c>
      <c r="I79" s="38">
        <f t="shared" si="9"/>
        <v>5</v>
      </c>
      <c r="J79" s="38"/>
      <c r="K79" s="40">
        <v>43814</v>
      </c>
      <c r="L79" s="41" t="s">
        <v>6442</v>
      </c>
      <c r="M79" s="42">
        <v>43809</v>
      </c>
      <c r="N79" s="43" t="s">
        <v>5963</v>
      </c>
      <c r="O79" s="42">
        <v>43814</v>
      </c>
      <c r="P79" s="45"/>
      <c r="Q79" s="66"/>
      <c r="R79" s="66" t="s">
        <v>211</v>
      </c>
      <c r="S79" s="38"/>
    </row>
    <row r="80" spans="2:20" s="32" customFormat="1" ht="33" customHeight="1">
      <c r="B80" s="122" t="s">
        <v>6367</v>
      </c>
      <c r="C80" s="126" t="s">
        <v>5759</v>
      </c>
      <c r="D80" s="187" t="s">
        <v>5758</v>
      </c>
      <c r="E80" s="128">
        <v>43724</v>
      </c>
      <c r="F80" s="124" t="s">
        <v>218</v>
      </c>
      <c r="G80" s="129">
        <v>6400</v>
      </c>
      <c r="H80" s="124">
        <f t="shared" si="8"/>
        <v>320</v>
      </c>
      <c r="I80" s="124">
        <f t="shared" si="9"/>
        <v>10</v>
      </c>
      <c r="J80" s="124"/>
      <c r="K80" s="130">
        <v>43821</v>
      </c>
      <c r="L80" s="209" t="s">
        <v>6454</v>
      </c>
      <c r="M80" s="204">
        <v>43816</v>
      </c>
      <c r="N80" s="205" t="s">
        <v>6451</v>
      </c>
      <c r="O80" s="204">
        <v>43821</v>
      </c>
      <c r="P80" s="123"/>
      <c r="Q80" s="134"/>
      <c r="R80" s="134" t="s">
        <v>211</v>
      </c>
      <c r="S80" s="124"/>
      <c r="T80" s="32" t="s">
        <v>6457</v>
      </c>
    </row>
    <row r="81" spans="2:20" s="32" customFormat="1" ht="33" customHeight="1">
      <c r="B81" s="122" t="s">
        <v>6374</v>
      </c>
      <c r="C81" s="126" t="s">
        <v>6189</v>
      </c>
      <c r="D81" s="187" t="s">
        <v>6375</v>
      </c>
      <c r="E81" s="128">
        <v>43728</v>
      </c>
      <c r="F81" s="124" t="s">
        <v>218</v>
      </c>
      <c r="G81" s="129">
        <v>3200</v>
      </c>
      <c r="H81" s="124">
        <v>160</v>
      </c>
      <c r="I81" s="124">
        <v>5</v>
      </c>
      <c r="J81" s="124"/>
      <c r="K81" s="130">
        <v>43828</v>
      </c>
      <c r="L81" s="119" t="s">
        <v>6458</v>
      </c>
      <c r="M81" s="120">
        <v>43823</v>
      </c>
      <c r="N81" s="121" t="s">
        <v>6452</v>
      </c>
      <c r="O81" s="120">
        <v>43828</v>
      </c>
      <c r="P81" s="123"/>
      <c r="Q81" s="134"/>
      <c r="R81" s="134" t="s">
        <v>211</v>
      </c>
      <c r="S81" s="124"/>
    </row>
    <row r="82" spans="2:20" s="34" customFormat="1" ht="33" customHeight="1">
      <c r="B82" s="47" t="s">
        <v>5451</v>
      </c>
      <c r="C82" s="48" t="s">
        <v>2088</v>
      </c>
      <c r="D82" s="49" t="s">
        <v>6376</v>
      </c>
      <c r="E82" s="50">
        <v>43595</v>
      </c>
      <c r="F82" s="52" t="s">
        <v>6377</v>
      </c>
      <c r="G82" s="51">
        <v>640</v>
      </c>
      <c r="H82" s="52">
        <f t="shared" si="8"/>
        <v>32</v>
      </c>
      <c r="I82" s="52">
        <f t="shared" si="9"/>
        <v>1</v>
      </c>
      <c r="J82" s="52"/>
      <c r="K82" s="53">
        <v>43709</v>
      </c>
      <c r="L82" s="54" t="s">
        <v>6444</v>
      </c>
      <c r="M82" s="55">
        <v>43711</v>
      </c>
      <c r="N82" s="56" t="s">
        <v>6378</v>
      </c>
      <c r="O82" s="55">
        <v>43716</v>
      </c>
      <c r="P82" s="58"/>
      <c r="Q82" s="63" t="s">
        <v>2548</v>
      </c>
      <c r="R82" s="63" t="s">
        <v>211</v>
      </c>
      <c r="S82" s="47" t="s">
        <v>6379</v>
      </c>
    </row>
    <row r="83" spans="2:20" s="32" customFormat="1" ht="33" customHeight="1">
      <c r="B83" s="46" t="s">
        <v>6380</v>
      </c>
      <c r="C83" s="35" t="s">
        <v>208</v>
      </c>
      <c r="D83" s="190" t="s">
        <v>6381</v>
      </c>
      <c r="E83" s="37">
        <v>43602</v>
      </c>
      <c r="F83" s="38" t="s">
        <v>6377</v>
      </c>
      <c r="G83" s="39">
        <v>640</v>
      </c>
      <c r="H83" s="38">
        <f t="shared" si="8"/>
        <v>32</v>
      </c>
      <c r="I83" s="38">
        <f t="shared" si="9"/>
        <v>1</v>
      </c>
      <c r="J83" s="38"/>
      <c r="K83" s="196">
        <v>43737</v>
      </c>
      <c r="L83" s="41" t="s">
        <v>5462</v>
      </c>
      <c r="M83" s="42">
        <v>43725</v>
      </c>
      <c r="N83" s="43" t="s">
        <v>5463</v>
      </c>
      <c r="O83" s="42">
        <v>43730</v>
      </c>
      <c r="P83" s="45"/>
      <c r="Q83" s="66" t="s">
        <v>6382</v>
      </c>
      <c r="R83" s="66" t="s">
        <v>211</v>
      </c>
      <c r="S83" s="38" t="s">
        <v>5467</v>
      </c>
    </row>
    <row r="84" spans="2:20" s="32" customFormat="1" ht="33" customHeight="1">
      <c r="B84" s="46" t="s">
        <v>5451</v>
      </c>
      <c r="C84" s="35" t="s">
        <v>6383</v>
      </c>
      <c r="D84" s="190" t="s">
        <v>6384</v>
      </c>
      <c r="E84" s="37">
        <v>43693</v>
      </c>
      <c r="F84" s="38" t="s">
        <v>6377</v>
      </c>
      <c r="G84" s="39">
        <v>640</v>
      </c>
      <c r="H84" s="38">
        <f t="shared" si="8"/>
        <v>32</v>
      </c>
      <c r="I84" s="38">
        <f t="shared" si="9"/>
        <v>1</v>
      </c>
      <c r="J84" s="38"/>
      <c r="K84" s="196">
        <v>43737</v>
      </c>
      <c r="L84" s="41" t="s">
        <v>5462</v>
      </c>
      <c r="M84" s="42">
        <v>43725</v>
      </c>
      <c r="N84" s="43" t="s">
        <v>5463</v>
      </c>
      <c r="O84" s="42">
        <v>43730</v>
      </c>
      <c r="P84" s="45"/>
      <c r="Q84" s="66" t="s">
        <v>6382</v>
      </c>
      <c r="R84" s="66" t="s">
        <v>211</v>
      </c>
      <c r="S84" s="38" t="s">
        <v>6385</v>
      </c>
    </row>
    <row r="85" spans="2:20" s="32" customFormat="1" ht="33" customHeight="1">
      <c r="B85" s="122" t="s">
        <v>5451</v>
      </c>
      <c r="C85" s="126" t="s">
        <v>212</v>
      </c>
      <c r="D85" s="187" t="s">
        <v>6386</v>
      </c>
      <c r="E85" s="128">
        <v>43602</v>
      </c>
      <c r="F85" s="124" t="s">
        <v>6377</v>
      </c>
      <c r="G85" s="129">
        <v>640</v>
      </c>
      <c r="H85" s="124">
        <f t="shared" si="8"/>
        <v>32</v>
      </c>
      <c r="I85" s="124">
        <f t="shared" si="9"/>
        <v>1</v>
      </c>
      <c r="J85" s="124"/>
      <c r="K85" s="211">
        <v>43779</v>
      </c>
      <c r="L85" s="209" t="s">
        <v>6431</v>
      </c>
      <c r="M85" s="204">
        <v>43753</v>
      </c>
      <c r="N85" s="205" t="s">
        <v>4471</v>
      </c>
      <c r="O85" s="204">
        <v>43758</v>
      </c>
      <c r="P85" s="123"/>
      <c r="Q85" s="124" t="s">
        <v>4823</v>
      </c>
      <c r="R85" s="134" t="s">
        <v>211</v>
      </c>
      <c r="S85" s="122"/>
    </row>
    <row r="86" spans="2:20" s="32" customFormat="1" ht="33" customHeight="1">
      <c r="B86" s="122" t="s">
        <v>5451</v>
      </c>
      <c r="C86" s="126" t="s">
        <v>2531</v>
      </c>
      <c r="D86" s="187" t="s">
        <v>4426</v>
      </c>
      <c r="E86" s="128">
        <v>43665</v>
      </c>
      <c r="F86" s="124" t="s">
        <v>6377</v>
      </c>
      <c r="G86" s="129">
        <v>1920</v>
      </c>
      <c r="H86" s="124">
        <f t="shared" si="8"/>
        <v>96</v>
      </c>
      <c r="I86" s="124">
        <f t="shared" si="9"/>
        <v>3</v>
      </c>
      <c r="J86" s="124"/>
      <c r="K86" s="130">
        <v>43745</v>
      </c>
      <c r="L86" s="209" t="s">
        <v>4481</v>
      </c>
      <c r="M86" s="204">
        <v>43742</v>
      </c>
      <c r="N86" s="205" t="s">
        <v>6426</v>
      </c>
      <c r="O86" s="204">
        <v>43746</v>
      </c>
      <c r="P86" s="123"/>
      <c r="Q86" s="134" t="s">
        <v>6387</v>
      </c>
      <c r="R86" s="134" t="s">
        <v>211</v>
      </c>
      <c r="S86" s="124"/>
    </row>
    <row r="87" spans="2:20" s="32" customFormat="1" ht="33" customHeight="1">
      <c r="B87" s="122" t="s">
        <v>5451</v>
      </c>
      <c r="C87" s="126" t="s">
        <v>5417</v>
      </c>
      <c r="D87" s="187" t="s">
        <v>6460</v>
      </c>
      <c r="E87" s="128">
        <v>43700</v>
      </c>
      <c r="F87" s="124" t="s">
        <v>6377</v>
      </c>
      <c r="G87" s="129">
        <v>640</v>
      </c>
      <c r="H87" s="124">
        <f t="shared" si="8"/>
        <v>32</v>
      </c>
      <c r="I87" s="124">
        <f t="shared" si="9"/>
        <v>1</v>
      </c>
      <c r="J87" s="124"/>
      <c r="K87" s="130">
        <v>43758</v>
      </c>
      <c r="L87" s="209" t="s">
        <v>6429</v>
      </c>
      <c r="M87" s="204">
        <v>43746</v>
      </c>
      <c r="N87" s="205" t="s">
        <v>6430</v>
      </c>
      <c r="O87" s="204">
        <v>43751</v>
      </c>
      <c r="P87" s="123"/>
      <c r="Q87" s="124" t="s">
        <v>6388</v>
      </c>
      <c r="R87" s="134" t="s">
        <v>211</v>
      </c>
      <c r="S87" s="122"/>
    </row>
    <row r="88" spans="2:20" s="32" customFormat="1" ht="33" customHeight="1">
      <c r="B88" s="122" t="s">
        <v>5451</v>
      </c>
      <c r="C88" s="126" t="s">
        <v>6389</v>
      </c>
      <c r="D88" s="187" t="s">
        <v>6461</v>
      </c>
      <c r="E88" s="128">
        <v>43735</v>
      </c>
      <c r="F88" s="124" t="s">
        <v>6377</v>
      </c>
      <c r="G88" s="129">
        <v>640</v>
      </c>
      <c r="H88" s="124">
        <f t="shared" si="8"/>
        <v>32</v>
      </c>
      <c r="I88" s="124">
        <f t="shared" si="9"/>
        <v>1</v>
      </c>
      <c r="J88" s="124"/>
      <c r="K88" s="211">
        <v>43758</v>
      </c>
      <c r="L88" s="209" t="s">
        <v>6445</v>
      </c>
      <c r="M88" s="204">
        <v>43753</v>
      </c>
      <c r="N88" s="205" t="s">
        <v>4471</v>
      </c>
      <c r="O88" s="204">
        <v>43758</v>
      </c>
      <c r="P88" s="123"/>
      <c r="Q88" s="124"/>
      <c r="R88" s="134" t="s">
        <v>211</v>
      </c>
      <c r="S88" s="122"/>
    </row>
    <row r="89" spans="2:20" s="32" customFormat="1" ht="33" customHeight="1">
      <c r="B89" s="122" t="s">
        <v>6380</v>
      </c>
      <c r="C89" s="126" t="s">
        <v>5418</v>
      </c>
      <c r="D89" s="187" t="s">
        <v>6390</v>
      </c>
      <c r="E89" s="128">
        <v>43700</v>
      </c>
      <c r="F89" s="124" t="s">
        <v>6377</v>
      </c>
      <c r="G89" s="129">
        <v>1280</v>
      </c>
      <c r="H89" s="124">
        <f t="shared" si="8"/>
        <v>64</v>
      </c>
      <c r="I89" s="124">
        <f t="shared" si="9"/>
        <v>2</v>
      </c>
      <c r="J89" s="124"/>
      <c r="K89" s="211">
        <v>43772</v>
      </c>
      <c r="L89" s="209" t="s">
        <v>6464</v>
      </c>
      <c r="M89" s="204">
        <v>43767</v>
      </c>
      <c r="N89" s="205" t="s">
        <v>6432</v>
      </c>
      <c r="O89" s="204">
        <v>43772</v>
      </c>
      <c r="P89" s="123"/>
      <c r="Q89" s="124" t="s">
        <v>6468</v>
      </c>
      <c r="R89" s="134" t="s">
        <v>211</v>
      </c>
      <c r="S89" s="124"/>
    </row>
    <row r="90" spans="2:20" s="32" customFormat="1" ht="33" customHeight="1">
      <c r="B90" s="122" t="s">
        <v>5451</v>
      </c>
      <c r="C90" s="126" t="s">
        <v>6391</v>
      </c>
      <c r="D90" s="187" t="s">
        <v>6462</v>
      </c>
      <c r="E90" s="128">
        <v>43724</v>
      </c>
      <c r="F90" s="124" t="s">
        <v>5734</v>
      </c>
      <c r="G90" s="129">
        <v>1280</v>
      </c>
      <c r="H90" s="124">
        <f>SUM(G90/20)</f>
        <v>64</v>
      </c>
      <c r="I90" s="124">
        <f>SUM(H90/32)</f>
        <v>2</v>
      </c>
      <c r="J90" s="124"/>
      <c r="K90" s="211">
        <v>43779</v>
      </c>
      <c r="L90" s="209" t="s">
        <v>6446</v>
      </c>
      <c r="M90" s="204">
        <v>43781</v>
      </c>
      <c r="N90" s="205" t="s">
        <v>6433</v>
      </c>
      <c r="O90" s="204">
        <v>43786</v>
      </c>
      <c r="P90" s="123"/>
      <c r="Q90" s="124"/>
      <c r="R90" s="134" t="s">
        <v>211</v>
      </c>
      <c r="S90" s="124"/>
      <c r="T90" s="32" t="s">
        <v>6457</v>
      </c>
    </row>
    <row r="91" spans="2:20" s="32" customFormat="1" ht="33" customHeight="1">
      <c r="B91" s="122" t="s">
        <v>5451</v>
      </c>
      <c r="C91" s="126" t="s">
        <v>6392</v>
      </c>
      <c r="D91" s="187" t="s">
        <v>6463</v>
      </c>
      <c r="E91" s="128">
        <v>43735</v>
      </c>
      <c r="F91" s="124" t="s">
        <v>6393</v>
      </c>
      <c r="G91" s="129">
        <v>640</v>
      </c>
      <c r="H91" s="124">
        <f>SUM(G91/20)</f>
        <v>32</v>
      </c>
      <c r="I91" s="124">
        <f>SUM(H91/32)</f>
        <v>1</v>
      </c>
      <c r="J91" s="124"/>
      <c r="K91" s="211">
        <v>43779</v>
      </c>
      <c r="L91" s="209" t="s">
        <v>6446</v>
      </c>
      <c r="M91" s="204">
        <v>43781</v>
      </c>
      <c r="N91" s="205" t="s">
        <v>6433</v>
      </c>
      <c r="O91" s="204">
        <v>43786</v>
      </c>
      <c r="P91" s="123"/>
      <c r="Q91" s="124"/>
      <c r="R91" s="134"/>
      <c r="S91" s="124"/>
    </row>
    <row r="92" spans="2:20" s="32" customFormat="1" ht="33" customHeight="1">
      <c r="B92" s="122" t="s">
        <v>5451</v>
      </c>
      <c r="C92" s="126" t="s">
        <v>225</v>
      </c>
      <c r="D92" s="187" t="s">
        <v>6394</v>
      </c>
      <c r="E92" s="128">
        <v>43728</v>
      </c>
      <c r="F92" s="124" t="s">
        <v>5734</v>
      </c>
      <c r="G92" s="129">
        <v>1280</v>
      </c>
      <c r="H92" s="124">
        <v>64</v>
      </c>
      <c r="I92" s="124">
        <v>2</v>
      </c>
      <c r="J92" s="124"/>
      <c r="K92" s="211">
        <v>43786</v>
      </c>
      <c r="L92" s="209" t="s">
        <v>6453</v>
      </c>
      <c r="M92" s="204">
        <v>43781</v>
      </c>
      <c r="N92" s="205" t="s">
        <v>6433</v>
      </c>
      <c r="O92" s="204">
        <v>43786</v>
      </c>
      <c r="P92" s="123"/>
      <c r="Q92" s="124"/>
      <c r="R92" s="134" t="s">
        <v>211</v>
      </c>
      <c r="S92" s="124"/>
    </row>
    <row r="93" spans="2:20" s="33" customFormat="1" ht="33" customHeight="1">
      <c r="B93" s="47" t="s">
        <v>2514</v>
      </c>
      <c r="C93" s="48" t="s">
        <v>6395</v>
      </c>
      <c r="D93" s="49" t="s">
        <v>6396</v>
      </c>
      <c r="E93" s="50">
        <v>43602</v>
      </c>
      <c r="F93" s="52" t="s">
        <v>2516</v>
      </c>
      <c r="G93" s="51">
        <v>1520</v>
      </c>
      <c r="H93" s="52">
        <v>8</v>
      </c>
      <c r="I93" s="52">
        <v>2</v>
      </c>
      <c r="J93" s="52"/>
      <c r="K93" s="53">
        <v>43702</v>
      </c>
      <c r="L93" s="54" t="s">
        <v>6336</v>
      </c>
      <c r="M93" s="55">
        <v>43697</v>
      </c>
      <c r="N93" s="56" t="s">
        <v>6337</v>
      </c>
      <c r="O93" s="55">
        <v>43702</v>
      </c>
      <c r="P93" s="58"/>
      <c r="Q93" s="52"/>
      <c r="R93" s="63" t="s">
        <v>6397</v>
      </c>
      <c r="S93" s="47"/>
    </row>
    <row r="94" spans="2:20" s="30" customFormat="1" ht="33" customHeight="1">
      <c r="B94" s="46" t="s">
        <v>2514</v>
      </c>
      <c r="C94" s="35" t="s">
        <v>285</v>
      </c>
      <c r="D94" s="36" t="s">
        <v>4436</v>
      </c>
      <c r="E94" s="37">
        <v>43665</v>
      </c>
      <c r="F94" s="38" t="s">
        <v>2516</v>
      </c>
      <c r="G94" s="39">
        <v>1520</v>
      </c>
      <c r="H94" s="38">
        <v>8</v>
      </c>
      <c r="I94" s="38">
        <v>2</v>
      </c>
      <c r="J94" s="38"/>
      <c r="K94" s="40">
        <v>43758</v>
      </c>
      <c r="L94" s="209" t="s">
        <v>6333</v>
      </c>
      <c r="M94" s="42">
        <v>43753</v>
      </c>
      <c r="N94" s="43" t="s">
        <v>6325</v>
      </c>
      <c r="O94" s="42">
        <v>43758</v>
      </c>
      <c r="P94" s="45"/>
      <c r="Q94" s="38"/>
      <c r="R94" s="66" t="s">
        <v>6398</v>
      </c>
      <c r="S94" s="46"/>
    </row>
    <row r="95" spans="2:20" s="30" customFormat="1" ht="33" customHeight="1">
      <c r="B95" s="46" t="s">
        <v>2514</v>
      </c>
      <c r="C95" s="35" t="s">
        <v>331</v>
      </c>
      <c r="D95" s="36" t="s">
        <v>4864</v>
      </c>
      <c r="E95" s="37">
        <v>43689</v>
      </c>
      <c r="F95" s="38" t="s">
        <v>2516</v>
      </c>
      <c r="G95" s="39">
        <v>1520</v>
      </c>
      <c r="H95" s="38">
        <v>8</v>
      </c>
      <c r="I95" s="38">
        <v>2</v>
      </c>
      <c r="J95" s="38"/>
      <c r="K95" s="40">
        <v>43802</v>
      </c>
      <c r="L95" s="41" t="s">
        <v>6399</v>
      </c>
      <c r="M95" s="42">
        <v>43795</v>
      </c>
      <c r="N95" s="43" t="s">
        <v>6308</v>
      </c>
      <c r="O95" s="42">
        <v>43800</v>
      </c>
      <c r="P95" s="45"/>
      <c r="Q95" s="38" t="s">
        <v>6467</v>
      </c>
      <c r="R95" s="66" t="s">
        <v>6400</v>
      </c>
      <c r="S95" s="46"/>
    </row>
    <row r="96" spans="2:20" s="33" customFormat="1" ht="33" customHeight="1">
      <c r="B96" s="47" t="s">
        <v>6401</v>
      </c>
      <c r="C96" s="48" t="s">
        <v>431</v>
      </c>
      <c r="D96" s="49" t="s">
        <v>6402</v>
      </c>
      <c r="E96" s="50">
        <v>43637</v>
      </c>
      <c r="F96" s="52" t="s">
        <v>236</v>
      </c>
      <c r="G96" s="51">
        <v>3200</v>
      </c>
      <c r="H96" s="52">
        <f>SUM(G96/200)</f>
        <v>16</v>
      </c>
      <c r="I96" s="52">
        <f>SUM(H96/4)</f>
        <v>4</v>
      </c>
      <c r="J96" s="52"/>
      <c r="K96" s="53">
        <v>43730</v>
      </c>
      <c r="L96" s="54" t="s">
        <v>6403</v>
      </c>
      <c r="M96" s="55">
        <v>43725</v>
      </c>
      <c r="N96" s="56" t="s">
        <v>6357</v>
      </c>
      <c r="O96" s="55">
        <v>43730</v>
      </c>
      <c r="P96" s="58"/>
      <c r="Q96" s="52"/>
      <c r="R96" s="63"/>
      <c r="S96" s="47"/>
    </row>
    <row r="97" spans="2:19" s="30" customFormat="1" ht="33" customHeight="1">
      <c r="B97" s="46" t="s">
        <v>6401</v>
      </c>
      <c r="C97" s="35" t="s">
        <v>523</v>
      </c>
      <c r="D97" s="36" t="s">
        <v>4452</v>
      </c>
      <c r="E97" s="37">
        <v>43665</v>
      </c>
      <c r="F97" s="38" t="s">
        <v>236</v>
      </c>
      <c r="G97" s="210">
        <v>2400</v>
      </c>
      <c r="H97" s="38">
        <f>SUM(G97/200)</f>
        <v>12</v>
      </c>
      <c r="I97" s="38">
        <f>SUM(H97/4)</f>
        <v>3</v>
      </c>
      <c r="J97" s="38"/>
      <c r="K97" s="40">
        <v>43751</v>
      </c>
      <c r="L97" s="41" t="s">
        <v>6404</v>
      </c>
      <c r="M97" s="42">
        <v>43746</v>
      </c>
      <c r="N97" s="43" t="s">
        <v>6424</v>
      </c>
      <c r="O97" s="42">
        <v>43751</v>
      </c>
      <c r="P97" s="45"/>
      <c r="Q97" s="38" t="s">
        <v>6405</v>
      </c>
      <c r="R97" s="66"/>
      <c r="S97" s="46" t="s">
        <v>5686</v>
      </c>
    </row>
    <row r="98" spans="2:19" s="30" customFormat="1" ht="33" customHeight="1">
      <c r="B98" s="46" t="s">
        <v>3578</v>
      </c>
      <c r="C98" s="35" t="s">
        <v>6465</v>
      </c>
      <c r="D98" s="36" t="s">
        <v>4452</v>
      </c>
      <c r="E98" s="37">
        <v>43665</v>
      </c>
      <c r="F98" s="38" t="s">
        <v>236</v>
      </c>
      <c r="G98" s="210">
        <v>800</v>
      </c>
      <c r="H98" s="38">
        <f>SUM(G98/200)</f>
        <v>4</v>
      </c>
      <c r="I98" s="38">
        <f>SUM(H98/4)</f>
        <v>1</v>
      </c>
      <c r="J98" s="38"/>
      <c r="K98" s="40">
        <v>43751</v>
      </c>
      <c r="L98" s="209" t="s">
        <v>6466</v>
      </c>
      <c r="M98" s="204"/>
      <c r="N98" s="205"/>
      <c r="O98" s="204"/>
      <c r="P98" s="45"/>
      <c r="Q98" s="38" t="s">
        <v>5687</v>
      </c>
      <c r="R98" s="66"/>
      <c r="S98" s="46" t="s">
        <v>5686</v>
      </c>
    </row>
    <row r="99" spans="2:19" s="30" customFormat="1" ht="33" customHeight="1">
      <c r="B99" s="46" t="s">
        <v>6401</v>
      </c>
      <c r="C99" s="35" t="s">
        <v>589</v>
      </c>
      <c r="D99" s="36" t="s">
        <v>4835</v>
      </c>
      <c r="E99" s="37">
        <v>43689</v>
      </c>
      <c r="F99" s="38" t="s">
        <v>236</v>
      </c>
      <c r="G99" s="39">
        <v>2400</v>
      </c>
      <c r="H99" s="38">
        <f>SUM(G99/200)</f>
        <v>12</v>
      </c>
      <c r="I99" s="38">
        <f>SUM(H99/4)</f>
        <v>3</v>
      </c>
      <c r="J99" s="38"/>
      <c r="K99" s="40">
        <v>43793</v>
      </c>
      <c r="L99" s="41" t="s">
        <v>6406</v>
      </c>
      <c r="M99" s="42">
        <v>43788</v>
      </c>
      <c r="N99" s="43" t="s">
        <v>6407</v>
      </c>
      <c r="O99" s="42">
        <v>43793</v>
      </c>
      <c r="P99" s="45"/>
      <c r="Q99" s="38" t="s">
        <v>6467</v>
      </c>
      <c r="R99" s="66" t="s">
        <v>6408</v>
      </c>
      <c r="S99" s="46" t="s">
        <v>5428</v>
      </c>
    </row>
    <row r="100" spans="2:19" s="30" customFormat="1" ht="33" customHeight="1">
      <c r="B100" s="46" t="s">
        <v>6409</v>
      </c>
      <c r="C100" s="35" t="s">
        <v>2078</v>
      </c>
      <c r="D100" s="36" t="s">
        <v>5711</v>
      </c>
      <c r="E100" s="37">
        <v>43724</v>
      </c>
      <c r="F100" s="38" t="s">
        <v>236</v>
      </c>
      <c r="G100" s="39">
        <v>4000</v>
      </c>
      <c r="H100" s="38">
        <f>SUM(G100/200)</f>
        <v>20</v>
      </c>
      <c r="I100" s="38">
        <f>SUM(H100/4)</f>
        <v>5</v>
      </c>
      <c r="J100" s="38"/>
      <c r="K100" s="40">
        <v>43814</v>
      </c>
      <c r="L100" s="41" t="s">
        <v>6410</v>
      </c>
      <c r="M100" s="42">
        <v>43809</v>
      </c>
      <c r="N100" s="43" t="s">
        <v>5963</v>
      </c>
      <c r="O100" s="42">
        <v>43814</v>
      </c>
      <c r="P100" s="45"/>
      <c r="Q100" s="38" t="s">
        <v>6467</v>
      </c>
      <c r="R100" s="66"/>
      <c r="S100" s="46"/>
    </row>
    <row r="101" spans="2:19" ht="22.2">
      <c r="F101" s="177"/>
      <c r="L101" s="176"/>
      <c r="M101" s="177"/>
      <c r="N101" s="177"/>
      <c r="O101"/>
      <c r="P101" s="13"/>
      <c r="R101" s="19"/>
      <c r="S101" s="28"/>
    </row>
    <row r="102" spans="2:19" hidden="1">
      <c r="E102" s="175"/>
      <c r="L102" s="11"/>
      <c r="M102"/>
      <c r="N102"/>
      <c r="O102"/>
      <c r="P102" s="13"/>
      <c r="R102" s="19"/>
      <c r="S102" s="28"/>
    </row>
    <row r="103" spans="2:19" s="19" customFormat="1" hidden="1">
      <c r="B103"/>
      <c r="C103" s="15"/>
      <c r="D103" s="1"/>
      <c r="L103" s="178" t="s">
        <v>1825</v>
      </c>
      <c r="M103" s="178" t="s">
        <v>1826</v>
      </c>
      <c r="N103" s="178" t="s">
        <v>1827</v>
      </c>
      <c r="O103" s="178" t="s">
        <v>1828</v>
      </c>
      <c r="P103" s="179" t="s">
        <v>6411</v>
      </c>
      <c r="Q103" s="179" t="s">
        <v>6412</v>
      </c>
      <c r="R103" s="179" t="s">
        <v>1831</v>
      </c>
      <c r="S103" s="179"/>
    </row>
    <row r="104" spans="2:19" s="19" customFormat="1" hidden="1">
      <c r="B104"/>
      <c r="C104" s="15"/>
      <c r="D104" s="1"/>
      <c r="L104" s="180" t="s">
        <v>6413</v>
      </c>
      <c r="M104" s="181" t="s">
        <v>1833</v>
      </c>
      <c r="N104" s="181" t="s">
        <v>1834</v>
      </c>
      <c r="O104" s="182" t="s">
        <v>1835</v>
      </c>
      <c r="P104" s="183">
        <v>1000</v>
      </c>
      <c r="Q104" s="183">
        <v>4</v>
      </c>
      <c r="R104" s="184">
        <v>43598</v>
      </c>
      <c r="S104" s="181" t="s">
        <v>99</v>
      </c>
    </row>
    <row r="105" spans="2:19" s="19" customFormat="1" hidden="1">
      <c r="B105"/>
      <c r="C105" s="15"/>
      <c r="D105" s="1"/>
      <c r="L105" s="180" t="s">
        <v>6413</v>
      </c>
      <c r="M105" s="181" t="s">
        <v>1836</v>
      </c>
      <c r="N105" s="181" t="s">
        <v>1834</v>
      </c>
      <c r="O105" s="182" t="s">
        <v>1835</v>
      </c>
      <c r="P105" s="183">
        <v>6000</v>
      </c>
      <c r="Q105" s="183">
        <v>24</v>
      </c>
      <c r="R105" s="184">
        <v>43598</v>
      </c>
      <c r="S105" s="181" t="s">
        <v>99</v>
      </c>
    </row>
    <row r="106" spans="2:19" s="19" customFormat="1" hidden="1">
      <c r="B106"/>
      <c r="C106" s="15"/>
      <c r="D106" s="1"/>
      <c r="L106" s="180" t="s">
        <v>6413</v>
      </c>
      <c r="M106" s="181" t="s">
        <v>1837</v>
      </c>
      <c r="N106" s="181" t="s">
        <v>1834</v>
      </c>
      <c r="O106" s="182" t="s">
        <v>1835</v>
      </c>
      <c r="P106" s="183">
        <v>5000</v>
      </c>
      <c r="Q106" s="183">
        <v>20</v>
      </c>
      <c r="R106" s="185" t="s">
        <v>6414</v>
      </c>
      <c r="S106" s="180" t="s">
        <v>6415</v>
      </c>
    </row>
    <row r="107" spans="2:19" s="19" customFormat="1" hidden="1">
      <c r="B107"/>
      <c r="C107" s="15"/>
      <c r="D107" s="1"/>
      <c r="L107" s="180" t="s">
        <v>6413</v>
      </c>
      <c r="M107" s="181" t="s">
        <v>1840</v>
      </c>
      <c r="N107" s="181" t="s">
        <v>1834</v>
      </c>
      <c r="O107" s="182" t="s">
        <v>1835</v>
      </c>
      <c r="P107" s="183">
        <v>5000</v>
      </c>
      <c r="Q107" s="183">
        <v>20</v>
      </c>
      <c r="R107" s="184">
        <v>43605</v>
      </c>
      <c r="S107" s="181" t="s">
        <v>99</v>
      </c>
    </row>
    <row r="108" spans="2:19" s="19" customFormat="1" hidden="1">
      <c r="B108"/>
      <c r="C108" s="15"/>
      <c r="D108" s="1"/>
      <c r="L108" s="180" t="s">
        <v>6413</v>
      </c>
      <c r="M108" s="181" t="s">
        <v>1841</v>
      </c>
      <c r="N108" s="181" t="s">
        <v>1834</v>
      </c>
      <c r="O108" s="182" t="s">
        <v>1835</v>
      </c>
      <c r="P108" s="183">
        <v>7000</v>
      </c>
      <c r="Q108" s="183">
        <v>28</v>
      </c>
      <c r="R108" s="184">
        <v>43605</v>
      </c>
      <c r="S108" s="181" t="s">
        <v>99</v>
      </c>
    </row>
    <row r="109" spans="2:19" hidden="1">
      <c r="L109" s="180" t="s">
        <v>6416</v>
      </c>
      <c r="M109" s="181" t="s">
        <v>1843</v>
      </c>
      <c r="N109" s="181" t="s">
        <v>1844</v>
      </c>
      <c r="O109" s="182" t="s">
        <v>1835</v>
      </c>
      <c r="P109" s="183">
        <v>2000</v>
      </c>
      <c r="Q109" s="183">
        <v>8</v>
      </c>
      <c r="R109" s="184">
        <v>43598</v>
      </c>
      <c r="S109" s="181" t="s">
        <v>99</v>
      </c>
    </row>
    <row r="110" spans="2:19" hidden="1">
      <c r="L110" s="180" t="s">
        <v>6416</v>
      </c>
      <c r="M110" s="181" t="s">
        <v>1845</v>
      </c>
      <c r="N110" s="181" t="s">
        <v>1844</v>
      </c>
      <c r="O110" s="182" t="s">
        <v>1835</v>
      </c>
      <c r="P110" s="183">
        <v>2000</v>
      </c>
      <c r="Q110" s="183">
        <v>8</v>
      </c>
      <c r="R110" s="184">
        <v>43598</v>
      </c>
      <c r="S110" s="181" t="s">
        <v>99</v>
      </c>
    </row>
    <row r="111" spans="2:19" hidden="1">
      <c r="L111" s="180" t="s">
        <v>6416</v>
      </c>
      <c r="M111" s="181" t="s">
        <v>1846</v>
      </c>
      <c r="N111" s="181" t="s">
        <v>1844</v>
      </c>
      <c r="O111" s="182" t="s">
        <v>1835</v>
      </c>
      <c r="P111" s="183">
        <v>10000</v>
      </c>
      <c r="Q111" s="183">
        <v>40</v>
      </c>
      <c r="R111" s="184">
        <v>43598</v>
      </c>
      <c r="S111" s="181" t="s">
        <v>99</v>
      </c>
    </row>
    <row r="112" spans="2:19" hidden="1">
      <c r="L112" s="180" t="s">
        <v>6416</v>
      </c>
      <c r="M112" s="181" t="s">
        <v>1847</v>
      </c>
      <c r="N112" s="181" t="s">
        <v>1844</v>
      </c>
      <c r="O112" s="182" t="s">
        <v>1835</v>
      </c>
      <c r="P112" s="183">
        <v>8000</v>
      </c>
      <c r="Q112" s="183">
        <v>32</v>
      </c>
      <c r="R112" s="184">
        <v>43598</v>
      </c>
      <c r="S112" s="180"/>
    </row>
    <row r="113" spans="12:19" hidden="1">
      <c r="L113" s="180" t="s">
        <v>6416</v>
      </c>
      <c r="M113" s="181" t="s">
        <v>1848</v>
      </c>
      <c r="N113" s="181" t="s">
        <v>1844</v>
      </c>
      <c r="O113" s="182" t="s">
        <v>1835</v>
      </c>
      <c r="P113" s="183">
        <v>10000</v>
      </c>
      <c r="Q113" s="183">
        <v>40</v>
      </c>
      <c r="R113" s="185" t="s">
        <v>6417</v>
      </c>
      <c r="S113" s="180" t="s">
        <v>6415</v>
      </c>
    </row>
    <row r="114" spans="12:19" hidden="1">
      <c r="L114" s="182" t="s">
        <v>6418</v>
      </c>
      <c r="M114" s="181" t="s">
        <v>1851</v>
      </c>
      <c r="N114" s="181" t="s">
        <v>1834</v>
      </c>
      <c r="O114" s="182" t="s">
        <v>1852</v>
      </c>
      <c r="P114" s="183">
        <v>5000</v>
      </c>
      <c r="Q114" s="183">
        <v>20</v>
      </c>
      <c r="R114" s="184">
        <v>43605</v>
      </c>
      <c r="S114" s="181" t="s">
        <v>99</v>
      </c>
    </row>
    <row r="115" spans="12:19" hidden="1">
      <c r="L115" s="180" t="s">
        <v>6419</v>
      </c>
      <c r="M115" s="181" t="s">
        <v>1851</v>
      </c>
      <c r="N115" s="181" t="s">
        <v>1844</v>
      </c>
      <c r="O115" s="182" t="s">
        <v>1835</v>
      </c>
      <c r="P115" s="183">
        <v>2000</v>
      </c>
      <c r="Q115" s="183">
        <v>8</v>
      </c>
      <c r="R115" s="184">
        <v>43605</v>
      </c>
      <c r="S115" s="181" t="s">
        <v>99</v>
      </c>
    </row>
    <row r="116" spans="12:19" hidden="1">
      <c r="L116" s="182" t="s">
        <v>6420</v>
      </c>
      <c r="M116" s="181" t="s">
        <v>1855</v>
      </c>
      <c r="N116" s="181" t="s">
        <v>1834</v>
      </c>
      <c r="O116" s="182" t="s">
        <v>1852</v>
      </c>
      <c r="P116" s="183">
        <v>6000</v>
      </c>
      <c r="Q116" s="183">
        <v>24</v>
      </c>
      <c r="R116" s="184">
        <v>43605</v>
      </c>
      <c r="S116" s="181" t="s">
        <v>99</v>
      </c>
    </row>
    <row r="117" spans="12:19" hidden="1">
      <c r="L117" s="182" t="s">
        <v>6420</v>
      </c>
      <c r="M117" s="181" t="s">
        <v>1856</v>
      </c>
      <c r="N117" s="181" t="s">
        <v>1834</v>
      </c>
      <c r="O117" s="182" t="s">
        <v>1852</v>
      </c>
      <c r="P117" s="183">
        <v>6000</v>
      </c>
      <c r="Q117" s="183">
        <v>24</v>
      </c>
      <c r="R117" s="185">
        <v>43605</v>
      </c>
      <c r="S117" s="180"/>
    </row>
    <row r="118" spans="12:19" hidden="1">
      <c r="L118" s="182" t="s">
        <v>6420</v>
      </c>
      <c r="M118" s="181" t="s">
        <v>1857</v>
      </c>
      <c r="N118" s="181" t="s">
        <v>1834</v>
      </c>
      <c r="O118" s="182" t="s">
        <v>1852</v>
      </c>
      <c r="P118" s="183">
        <v>6000</v>
      </c>
      <c r="Q118" s="183">
        <v>24</v>
      </c>
      <c r="R118" s="184" t="s">
        <v>6421</v>
      </c>
      <c r="S118" s="181" t="s">
        <v>6422</v>
      </c>
    </row>
    <row r="121" spans="12:19" ht="16.2">
      <c r="L121" s="186"/>
    </row>
    <row r="122" spans="12:19" ht="16.2">
      <c r="L122" s="186"/>
    </row>
    <row r="123" spans="12:19" ht="16.2">
      <c r="L123" s="186"/>
    </row>
    <row r="124" spans="12:19">
      <c r="Q124" t="s">
        <v>6423</v>
      </c>
    </row>
  </sheetData>
  <autoFilter ref="B2:R101" xr:uid="{00000000-0009-0000-0000-000004000000}">
    <sortState ref="B89:R144">
      <sortCondition descending="1" ref="L2:L148"/>
    </sortState>
  </autoFilter>
  <phoneticPr fontId="1"/>
  <pageMargins left="0.23622047244094491" right="0.23622047244094491" top="0.35433070866141736" bottom="0.35433070866141736" header="0.31496062992125984" footer="0.31496062992125984"/>
  <pageSetup paperSize="9" scale="44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78">
    <pageSetUpPr fitToPage="1"/>
  </sheetPr>
  <dimension ref="A1:S130"/>
  <sheetViews>
    <sheetView zoomScale="77" zoomScaleNormal="77" workbookViewId="0">
      <pane xSplit="4" ySplit="2" topLeftCell="E92" activePane="bottomRight" state="frozen"/>
      <selection pane="topRight" activeCell="E1" sqref="E1"/>
      <selection pane="bottomLeft" activeCell="A3" sqref="A3"/>
      <selection pane="bottomRight" activeCell="B72" sqref="B72:O90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7.12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B2" s="194"/>
      <c r="C2" s="14" t="s">
        <v>5956</v>
      </c>
      <c r="D2" s="5" t="s">
        <v>0</v>
      </c>
      <c r="E2" s="6" t="s">
        <v>5955</v>
      </c>
      <c r="F2" s="6" t="s">
        <v>5954</v>
      </c>
      <c r="G2" s="10" t="s">
        <v>1</v>
      </c>
      <c r="H2" s="6" t="s">
        <v>15</v>
      </c>
      <c r="I2" s="6" t="s">
        <v>16</v>
      </c>
      <c r="J2" s="6" t="s">
        <v>5953</v>
      </c>
      <c r="K2" s="12" t="s">
        <v>5952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5951</v>
      </c>
      <c r="Q2" s="6" t="s">
        <v>5950</v>
      </c>
      <c r="R2" s="16" t="s">
        <v>6</v>
      </c>
      <c r="S2" s="16" t="s">
        <v>5949</v>
      </c>
    </row>
    <row r="3" spans="2:19" s="33" customFormat="1" ht="33" customHeight="1">
      <c r="B3" s="47" t="s">
        <v>78</v>
      </c>
      <c r="C3" s="48" t="s">
        <v>1178</v>
      </c>
      <c r="D3" s="49" t="s">
        <v>1179</v>
      </c>
      <c r="E3" s="50">
        <v>43567</v>
      </c>
      <c r="F3" s="49" t="s">
        <v>5947</v>
      </c>
      <c r="G3" s="51">
        <v>10000</v>
      </c>
      <c r="H3" s="52">
        <f t="shared" ref="H3:H8" si="0">SUM(G3/250)</f>
        <v>40</v>
      </c>
      <c r="I3" s="52">
        <f t="shared" ref="I3:I8" si="1">SUM(H3/4)</f>
        <v>10</v>
      </c>
      <c r="J3" s="49"/>
      <c r="K3" s="53">
        <v>43674</v>
      </c>
      <c r="L3" s="54" t="s">
        <v>5943</v>
      </c>
      <c r="M3" s="55">
        <v>43682</v>
      </c>
      <c r="N3" s="56" t="s">
        <v>5942</v>
      </c>
      <c r="O3" s="55">
        <v>43688</v>
      </c>
      <c r="P3" s="54"/>
      <c r="Q3" s="49" t="s">
        <v>82</v>
      </c>
      <c r="R3" s="57" t="s">
        <v>5948</v>
      </c>
      <c r="S3" s="47" t="s">
        <v>2539</v>
      </c>
    </row>
    <row r="4" spans="2:19" s="33" customFormat="1" ht="33" customHeight="1">
      <c r="B4" s="47" t="s">
        <v>220</v>
      </c>
      <c r="C4" s="48" t="s">
        <v>1181</v>
      </c>
      <c r="D4" s="49" t="s">
        <v>1182</v>
      </c>
      <c r="E4" s="50">
        <v>43567</v>
      </c>
      <c r="F4" s="49" t="s">
        <v>5947</v>
      </c>
      <c r="G4" s="51">
        <v>10000</v>
      </c>
      <c r="H4" s="52">
        <f t="shared" si="0"/>
        <v>40</v>
      </c>
      <c r="I4" s="52">
        <f t="shared" si="1"/>
        <v>10</v>
      </c>
      <c r="J4" s="49"/>
      <c r="K4" s="53">
        <v>43674</v>
      </c>
      <c r="L4" s="54" t="s">
        <v>5943</v>
      </c>
      <c r="M4" s="55">
        <v>43682</v>
      </c>
      <c r="N4" s="56" t="s">
        <v>5942</v>
      </c>
      <c r="O4" s="55">
        <v>43688</v>
      </c>
      <c r="P4" s="54"/>
      <c r="Q4" s="49"/>
      <c r="R4" s="57" t="s">
        <v>5946</v>
      </c>
      <c r="S4" s="47" t="s">
        <v>2539</v>
      </c>
    </row>
    <row r="5" spans="2:19" s="33" customFormat="1" ht="33" customHeight="1">
      <c r="B5" s="47" t="s">
        <v>78</v>
      </c>
      <c r="C5" s="48" t="s">
        <v>2273</v>
      </c>
      <c r="D5" s="49" t="s">
        <v>2274</v>
      </c>
      <c r="E5" s="50">
        <v>43602</v>
      </c>
      <c r="F5" s="49" t="s">
        <v>79</v>
      </c>
      <c r="G5" s="51">
        <v>20000</v>
      </c>
      <c r="H5" s="52">
        <f t="shared" si="0"/>
        <v>80</v>
      </c>
      <c r="I5" s="52">
        <f t="shared" si="1"/>
        <v>20</v>
      </c>
      <c r="J5" s="49"/>
      <c r="K5" s="53">
        <v>43688</v>
      </c>
      <c r="L5" s="54" t="s">
        <v>5943</v>
      </c>
      <c r="M5" s="55">
        <v>43682</v>
      </c>
      <c r="N5" s="56" t="s">
        <v>5942</v>
      </c>
      <c r="O5" s="55">
        <v>43688</v>
      </c>
      <c r="P5" s="54"/>
      <c r="Q5" s="49" t="s">
        <v>82</v>
      </c>
      <c r="R5" s="57" t="s">
        <v>5945</v>
      </c>
      <c r="S5" s="47"/>
    </row>
    <row r="6" spans="2:19" s="33" customFormat="1" ht="33" customHeight="1">
      <c r="B6" s="47" t="s">
        <v>78</v>
      </c>
      <c r="C6" s="48" t="s">
        <v>2276</v>
      </c>
      <c r="D6" s="49" t="s">
        <v>2277</v>
      </c>
      <c r="E6" s="50">
        <v>43602</v>
      </c>
      <c r="F6" s="49" t="s">
        <v>79</v>
      </c>
      <c r="G6" s="51">
        <v>20000</v>
      </c>
      <c r="H6" s="52">
        <f t="shared" si="0"/>
        <v>80</v>
      </c>
      <c r="I6" s="52">
        <f t="shared" si="1"/>
        <v>20</v>
      </c>
      <c r="J6" s="49"/>
      <c r="K6" s="53">
        <v>43695</v>
      </c>
      <c r="L6" s="54" t="s">
        <v>5943</v>
      </c>
      <c r="M6" s="55">
        <v>43682</v>
      </c>
      <c r="N6" s="56" t="s">
        <v>5942</v>
      </c>
      <c r="O6" s="55">
        <v>43688</v>
      </c>
      <c r="P6" s="54"/>
      <c r="Q6" s="49" t="s">
        <v>82</v>
      </c>
      <c r="R6" s="57" t="s">
        <v>5944</v>
      </c>
      <c r="S6" s="47"/>
    </row>
    <row r="7" spans="2:19" s="33" customFormat="1" ht="33" customHeight="1">
      <c r="B7" s="47" t="s">
        <v>220</v>
      </c>
      <c r="C7" s="48" t="s">
        <v>2279</v>
      </c>
      <c r="D7" s="49" t="s">
        <v>2280</v>
      </c>
      <c r="E7" s="50">
        <v>43602</v>
      </c>
      <c r="F7" s="49" t="s">
        <v>79</v>
      </c>
      <c r="G7" s="51">
        <v>20000</v>
      </c>
      <c r="H7" s="52">
        <f t="shared" si="0"/>
        <v>80</v>
      </c>
      <c r="I7" s="52">
        <f t="shared" si="1"/>
        <v>20</v>
      </c>
      <c r="J7" s="49"/>
      <c r="K7" s="53">
        <v>43695</v>
      </c>
      <c r="L7" s="54" t="s">
        <v>5943</v>
      </c>
      <c r="M7" s="55">
        <v>43682</v>
      </c>
      <c r="N7" s="56" t="s">
        <v>5942</v>
      </c>
      <c r="O7" s="55">
        <v>43688</v>
      </c>
      <c r="P7" s="54"/>
      <c r="Q7" s="49"/>
      <c r="R7" s="57" t="s">
        <v>5941</v>
      </c>
      <c r="S7" s="47"/>
    </row>
    <row r="8" spans="2:19" s="33" customFormat="1" ht="33" customHeight="1">
      <c r="B8" s="47" t="s">
        <v>78</v>
      </c>
      <c r="C8" s="48" t="s">
        <v>2282</v>
      </c>
      <c r="D8" s="49" t="s">
        <v>2283</v>
      </c>
      <c r="E8" s="50">
        <v>43602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43709</v>
      </c>
      <c r="L8" s="54" t="s">
        <v>5940</v>
      </c>
      <c r="M8" s="55">
        <v>43703</v>
      </c>
      <c r="N8" s="56" t="s">
        <v>5939</v>
      </c>
      <c r="O8" s="55">
        <v>43709</v>
      </c>
      <c r="P8" s="54"/>
      <c r="Q8" s="49" t="s">
        <v>82</v>
      </c>
      <c r="R8" s="57" t="s">
        <v>5938</v>
      </c>
      <c r="S8" s="47"/>
    </row>
    <row r="9" spans="2:19" s="33" customFormat="1" ht="33" customHeight="1">
      <c r="B9" s="47" t="s">
        <v>220</v>
      </c>
      <c r="C9" s="48" t="s">
        <v>5937</v>
      </c>
      <c r="D9" s="49" t="s">
        <v>3354</v>
      </c>
      <c r="E9" s="50">
        <v>43637</v>
      </c>
      <c r="F9" s="49" t="s">
        <v>79</v>
      </c>
      <c r="G9" s="51">
        <v>20000</v>
      </c>
      <c r="H9" s="52">
        <v>64</v>
      </c>
      <c r="I9" s="52">
        <v>16</v>
      </c>
      <c r="J9" s="49"/>
      <c r="K9" s="53">
        <v>43716</v>
      </c>
      <c r="L9" s="54" t="s">
        <v>5936</v>
      </c>
      <c r="M9" s="55">
        <v>43717</v>
      </c>
      <c r="N9" s="56" t="s">
        <v>5448</v>
      </c>
      <c r="O9" s="55">
        <v>43723</v>
      </c>
      <c r="P9" s="54"/>
      <c r="Q9" s="49"/>
      <c r="R9" s="57" t="s">
        <v>5935</v>
      </c>
      <c r="S9" s="47" t="s">
        <v>5465</v>
      </c>
    </row>
    <row r="10" spans="2:19" s="33" customFormat="1" ht="33" customHeight="1">
      <c r="B10" s="47" t="s">
        <v>78</v>
      </c>
      <c r="C10" s="48" t="s">
        <v>3356</v>
      </c>
      <c r="D10" s="49" t="s">
        <v>3357</v>
      </c>
      <c r="E10" s="50">
        <v>43637</v>
      </c>
      <c r="F10" s="49" t="s">
        <v>79</v>
      </c>
      <c r="G10" s="51">
        <v>20000</v>
      </c>
      <c r="H10" s="52">
        <f>SUM(G10/250)</f>
        <v>80</v>
      </c>
      <c r="I10" s="52">
        <f t="shared" ref="I10:I37" si="2">SUM(H10/4)</f>
        <v>20</v>
      </c>
      <c r="J10" s="49"/>
      <c r="K10" s="53">
        <v>43723</v>
      </c>
      <c r="L10" s="54" t="s">
        <v>3555</v>
      </c>
      <c r="M10" s="55">
        <v>43717</v>
      </c>
      <c r="N10" s="56" t="s">
        <v>5934</v>
      </c>
      <c r="O10" s="55">
        <v>43723</v>
      </c>
      <c r="P10" s="54"/>
      <c r="Q10" s="49" t="s">
        <v>82</v>
      </c>
      <c r="R10" s="57" t="s">
        <v>5933</v>
      </c>
      <c r="S10" s="47"/>
    </row>
    <row r="11" spans="2:19" s="30" customFormat="1" ht="33" customHeight="1">
      <c r="B11" s="46" t="s">
        <v>78</v>
      </c>
      <c r="C11" s="35" t="s">
        <v>3359</v>
      </c>
      <c r="D11" s="36" t="s">
        <v>3360</v>
      </c>
      <c r="E11" s="37">
        <v>43637</v>
      </c>
      <c r="F11" s="36" t="s">
        <v>79</v>
      </c>
      <c r="G11" s="39">
        <v>20000</v>
      </c>
      <c r="H11" s="38">
        <f>SUM(G11/250)</f>
        <v>80</v>
      </c>
      <c r="I11" s="38">
        <f t="shared" si="2"/>
        <v>20</v>
      </c>
      <c r="J11" s="36"/>
      <c r="K11" s="40">
        <v>43737</v>
      </c>
      <c r="L11" s="41" t="s">
        <v>3556</v>
      </c>
      <c r="M11" s="42">
        <v>43728</v>
      </c>
      <c r="N11" s="43" t="s">
        <v>5932</v>
      </c>
      <c r="O11" s="42">
        <v>43737</v>
      </c>
      <c r="P11" s="41"/>
      <c r="Q11" s="36" t="s">
        <v>82</v>
      </c>
      <c r="R11" s="44" t="s">
        <v>5931</v>
      </c>
      <c r="S11" s="46"/>
    </row>
    <row r="12" spans="2:19" s="30" customFormat="1" ht="33" customHeight="1">
      <c r="B12" s="46" t="s">
        <v>220</v>
      </c>
      <c r="C12" s="35" t="s">
        <v>4252</v>
      </c>
      <c r="D12" s="36" t="s">
        <v>4253</v>
      </c>
      <c r="E12" s="37">
        <v>43665</v>
      </c>
      <c r="F12" s="36" t="s">
        <v>79</v>
      </c>
      <c r="G12" s="39">
        <v>24000</v>
      </c>
      <c r="H12" s="38">
        <v>96</v>
      </c>
      <c r="I12" s="38">
        <f t="shared" si="2"/>
        <v>24</v>
      </c>
      <c r="J12" s="36"/>
      <c r="K12" s="40">
        <v>43744</v>
      </c>
      <c r="L12" s="41" t="s">
        <v>3556</v>
      </c>
      <c r="M12" s="42">
        <v>43728</v>
      </c>
      <c r="N12" s="43" t="s">
        <v>5449</v>
      </c>
      <c r="O12" s="42">
        <v>43737</v>
      </c>
      <c r="P12" s="41"/>
      <c r="Q12" s="36"/>
      <c r="R12" s="44" t="s">
        <v>5930</v>
      </c>
      <c r="S12" s="46" t="s">
        <v>5464</v>
      </c>
    </row>
    <row r="13" spans="2:19" s="30" customFormat="1" ht="33" customHeight="1">
      <c r="B13" s="46" t="s">
        <v>78</v>
      </c>
      <c r="C13" s="35" t="s">
        <v>4255</v>
      </c>
      <c r="D13" s="36" t="s">
        <v>4256</v>
      </c>
      <c r="E13" s="37">
        <v>43665</v>
      </c>
      <c r="F13" s="36" t="s">
        <v>79</v>
      </c>
      <c r="G13" s="39">
        <v>20000</v>
      </c>
      <c r="H13" s="38">
        <f t="shared" ref="H13:H28" si="3">SUM(G13/250)</f>
        <v>80</v>
      </c>
      <c r="I13" s="38">
        <f t="shared" si="2"/>
        <v>20</v>
      </c>
      <c r="J13" s="36"/>
      <c r="K13" s="40">
        <v>43744</v>
      </c>
      <c r="L13" s="41" t="s">
        <v>5929</v>
      </c>
      <c r="M13" s="42">
        <v>43738</v>
      </c>
      <c r="N13" s="43" t="s">
        <v>5928</v>
      </c>
      <c r="O13" s="42">
        <v>43744</v>
      </c>
      <c r="P13" s="41"/>
      <c r="Q13" s="36" t="s">
        <v>82</v>
      </c>
      <c r="R13" s="44" t="s">
        <v>5927</v>
      </c>
      <c r="S13" s="46"/>
    </row>
    <row r="14" spans="2:19" s="30" customFormat="1" ht="33" customHeight="1">
      <c r="B14" s="46" t="s">
        <v>78</v>
      </c>
      <c r="C14" s="35" t="s">
        <v>4258</v>
      </c>
      <c r="D14" s="36" t="s">
        <v>4259</v>
      </c>
      <c r="E14" s="37">
        <v>43665</v>
      </c>
      <c r="F14" s="36" t="s">
        <v>79</v>
      </c>
      <c r="G14" s="39">
        <v>20000</v>
      </c>
      <c r="H14" s="38">
        <f t="shared" si="3"/>
        <v>80</v>
      </c>
      <c r="I14" s="38">
        <f t="shared" si="2"/>
        <v>20</v>
      </c>
      <c r="J14" s="36"/>
      <c r="K14" s="40">
        <v>43758</v>
      </c>
      <c r="L14" s="41" t="s">
        <v>5923</v>
      </c>
      <c r="M14" s="42">
        <v>43749</v>
      </c>
      <c r="N14" s="43" t="s">
        <v>5922</v>
      </c>
      <c r="O14" s="42">
        <v>43758</v>
      </c>
      <c r="P14" s="41"/>
      <c r="Q14" s="36" t="s">
        <v>82</v>
      </c>
      <c r="R14" s="44" t="s">
        <v>5926</v>
      </c>
      <c r="S14" s="46"/>
    </row>
    <row r="15" spans="2:19" s="30" customFormat="1" ht="33" customHeight="1">
      <c r="B15" s="46" t="s">
        <v>78</v>
      </c>
      <c r="C15" s="35" t="s">
        <v>4261</v>
      </c>
      <c r="D15" s="36" t="s">
        <v>4262</v>
      </c>
      <c r="E15" s="37">
        <v>43665</v>
      </c>
      <c r="F15" s="36" t="s">
        <v>79</v>
      </c>
      <c r="G15" s="39">
        <v>20000</v>
      </c>
      <c r="H15" s="38">
        <f t="shared" si="3"/>
        <v>80</v>
      </c>
      <c r="I15" s="38">
        <f t="shared" si="2"/>
        <v>20</v>
      </c>
      <c r="J15" s="36"/>
      <c r="K15" s="40">
        <v>43765</v>
      </c>
      <c r="L15" s="209" t="s">
        <v>5925</v>
      </c>
      <c r="M15" s="206" t="s">
        <v>5981</v>
      </c>
      <c r="N15" s="207" t="s">
        <v>5982</v>
      </c>
      <c r="O15" s="206" t="s">
        <v>5983</v>
      </c>
      <c r="P15" s="41"/>
      <c r="Q15" s="36" t="s">
        <v>82</v>
      </c>
      <c r="R15" s="44" t="s">
        <v>5924</v>
      </c>
      <c r="S15" s="208" t="s">
        <v>5984</v>
      </c>
    </row>
    <row r="16" spans="2:19" s="30" customFormat="1" ht="33" customHeight="1">
      <c r="B16" s="46" t="s">
        <v>220</v>
      </c>
      <c r="C16" s="35" t="s">
        <v>4264</v>
      </c>
      <c r="D16" s="36" t="s">
        <v>4265</v>
      </c>
      <c r="E16" s="37">
        <v>43665</v>
      </c>
      <c r="F16" s="36" t="s">
        <v>79</v>
      </c>
      <c r="G16" s="39">
        <v>20000</v>
      </c>
      <c r="H16" s="38">
        <f t="shared" si="3"/>
        <v>80</v>
      </c>
      <c r="I16" s="38">
        <f t="shared" si="2"/>
        <v>20</v>
      </c>
      <c r="J16" s="36"/>
      <c r="K16" s="40">
        <v>43758</v>
      </c>
      <c r="L16" s="41" t="s">
        <v>5923</v>
      </c>
      <c r="M16" s="42">
        <v>43749</v>
      </c>
      <c r="N16" s="43" t="s">
        <v>5922</v>
      </c>
      <c r="O16" s="42">
        <v>43758</v>
      </c>
      <c r="P16" s="41"/>
      <c r="Q16" s="36"/>
      <c r="R16" s="44" t="s">
        <v>5921</v>
      </c>
      <c r="S16" s="46"/>
    </row>
    <row r="17" spans="2:19" s="30" customFormat="1" ht="33" customHeight="1">
      <c r="B17" s="46" t="s">
        <v>78</v>
      </c>
      <c r="C17" s="35" t="s">
        <v>5057</v>
      </c>
      <c r="D17" s="36" t="s">
        <v>5920</v>
      </c>
      <c r="E17" s="37">
        <v>43689</v>
      </c>
      <c r="F17" s="36" t="s">
        <v>79</v>
      </c>
      <c r="G17" s="39">
        <v>20000</v>
      </c>
      <c r="H17" s="38">
        <f t="shared" si="3"/>
        <v>80</v>
      </c>
      <c r="I17" s="38">
        <f t="shared" si="2"/>
        <v>20</v>
      </c>
      <c r="J17" s="36"/>
      <c r="K17" s="40">
        <v>43772</v>
      </c>
      <c r="L17" s="41" t="s">
        <v>5919</v>
      </c>
      <c r="M17" s="42">
        <v>43766</v>
      </c>
      <c r="N17" s="43" t="s">
        <v>5918</v>
      </c>
      <c r="O17" s="42">
        <v>43772</v>
      </c>
      <c r="P17" s="41"/>
      <c r="Q17" s="36"/>
      <c r="R17" s="44" t="s">
        <v>5917</v>
      </c>
      <c r="S17" s="46"/>
    </row>
    <row r="18" spans="2:19" s="30" customFormat="1" ht="33" customHeight="1">
      <c r="B18" s="46" t="s">
        <v>220</v>
      </c>
      <c r="C18" s="35" t="s">
        <v>5055</v>
      </c>
      <c r="D18" s="36" t="s">
        <v>5916</v>
      </c>
      <c r="E18" s="37">
        <v>43689</v>
      </c>
      <c r="F18" s="36" t="s">
        <v>79</v>
      </c>
      <c r="G18" s="39">
        <v>20000</v>
      </c>
      <c r="H18" s="38">
        <f t="shared" si="3"/>
        <v>80</v>
      </c>
      <c r="I18" s="38">
        <f t="shared" si="2"/>
        <v>20</v>
      </c>
      <c r="J18" s="36"/>
      <c r="K18" s="40">
        <v>43779</v>
      </c>
      <c r="L18" s="41" t="s">
        <v>5915</v>
      </c>
      <c r="M18" s="42">
        <v>43770</v>
      </c>
      <c r="N18" s="43" t="s">
        <v>5914</v>
      </c>
      <c r="O18" s="42">
        <v>43779</v>
      </c>
      <c r="P18" s="41"/>
      <c r="Q18" s="36"/>
      <c r="R18" s="44" t="s">
        <v>5913</v>
      </c>
      <c r="S18" s="46"/>
    </row>
    <row r="19" spans="2:19" s="30" customFormat="1" ht="33" customHeight="1">
      <c r="B19" s="46" t="s">
        <v>78</v>
      </c>
      <c r="C19" s="35" t="s">
        <v>5053</v>
      </c>
      <c r="D19" s="36" t="s">
        <v>5912</v>
      </c>
      <c r="E19" s="37">
        <v>43689</v>
      </c>
      <c r="F19" s="36" t="s">
        <v>79</v>
      </c>
      <c r="G19" s="39">
        <v>20000</v>
      </c>
      <c r="H19" s="38">
        <f t="shared" si="3"/>
        <v>80</v>
      </c>
      <c r="I19" s="38">
        <f t="shared" si="2"/>
        <v>20</v>
      </c>
      <c r="J19" s="36"/>
      <c r="K19" s="40">
        <v>43786</v>
      </c>
      <c r="L19" s="41" t="s">
        <v>5911</v>
      </c>
      <c r="M19" s="42">
        <v>43780</v>
      </c>
      <c r="N19" s="43" t="s">
        <v>5910</v>
      </c>
      <c r="O19" s="42">
        <v>43786</v>
      </c>
      <c r="P19" s="41"/>
      <c r="Q19" s="36"/>
      <c r="R19" s="44" t="s">
        <v>5909</v>
      </c>
      <c r="S19" s="46"/>
    </row>
    <row r="20" spans="2:19" s="30" customFormat="1" ht="33" customHeight="1">
      <c r="B20" s="46" t="s">
        <v>78</v>
      </c>
      <c r="C20" s="35" t="s">
        <v>5051</v>
      </c>
      <c r="D20" s="36" t="s">
        <v>5908</v>
      </c>
      <c r="E20" s="37">
        <v>43689</v>
      </c>
      <c r="F20" s="36" t="s">
        <v>79</v>
      </c>
      <c r="G20" s="39">
        <v>20000</v>
      </c>
      <c r="H20" s="38">
        <f t="shared" si="3"/>
        <v>80</v>
      </c>
      <c r="I20" s="38">
        <f t="shared" si="2"/>
        <v>20</v>
      </c>
      <c r="J20" s="36"/>
      <c r="K20" s="40">
        <v>43793</v>
      </c>
      <c r="L20" s="41" t="s">
        <v>5902</v>
      </c>
      <c r="M20" s="42">
        <v>43787</v>
      </c>
      <c r="N20" s="43" t="s">
        <v>5901</v>
      </c>
      <c r="O20" s="42">
        <v>43793</v>
      </c>
      <c r="P20" s="41"/>
      <c r="Q20" s="36"/>
      <c r="R20" s="44" t="s">
        <v>5907</v>
      </c>
      <c r="S20" s="46"/>
    </row>
    <row r="21" spans="2:19" s="30" customFormat="1" ht="33" customHeight="1">
      <c r="B21" s="46" t="s">
        <v>5882</v>
      </c>
      <c r="C21" s="35" t="s">
        <v>5049</v>
      </c>
      <c r="D21" s="36" t="s">
        <v>5906</v>
      </c>
      <c r="E21" s="37">
        <v>43689</v>
      </c>
      <c r="F21" s="36" t="s">
        <v>79</v>
      </c>
      <c r="G21" s="39">
        <v>20000</v>
      </c>
      <c r="H21" s="38">
        <f t="shared" si="3"/>
        <v>80</v>
      </c>
      <c r="I21" s="38">
        <f t="shared" si="2"/>
        <v>20</v>
      </c>
      <c r="J21" s="36"/>
      <c r="K21" s="40">
        <v>43800</v>
      </c>
      <c r="L21" s="41" t="s">
        <v>5905</v>
      </c>
      <c r="M21" s="42">
        <v>43795</v>
      </c>
      <c r="N21" s="43" t="s">
        <v>5867</v>
      </c>
      <c r="O21" s="42">
        <v>43800</v>
      </c>
      <c r="P21" s="41"/>
      <c r="Q21" s="36"/>
      <c r="R21" s="44" t="s">
        <v>5904</v>
      </c>
      <c r="S21" s="46"/>
    </row>
    <row r="22" spans="2:19" s="30" customFormat="1" ht="33" customHeight="1">
      <c r="B22" s="46" t="s">
        <v>220</v>
      </c>
      <c r="C22" s="35" t="s">
        <v>5047</v>
      </c>
      <c r="D22" s="36" t="s">
        <v>5903</v>
      </c>
      <c r="E22" s="37">
        <v>43689</v>
      </c>
      <c r="F22" s="36" t="s">
        <v>79</v>
      </c>
      <c r="G22" s="39">
        <v>20000</v>
      </c>
      <c r="H22" s="38">
        <f t="shared" si="3"/>
        <v>80</v>
      </c>
      <c r="I22" s="38">
        <f t="shared" si="2"/>
        <v>20</v>
      </c>
      <c r="J22" s="36"/>
      <c r="K22" s="40">
        <v>43793</v>
      </c>
      <c r="L22" s="41" t="s">
        <v>5957</v>
      </c>
      <c r="M22" s="42">
        <v>43787</v>
      </c>
      <c r="N22" s="43" t="s">
        <v>5901</v>
      </c>
      <c r="O22" s="42">
        <v>43793</v>
      </c>
      <c r="P22" s="41"/>
      <c r="Q22" s="36"/>
      <c r="R22" s="44" t="s">
        <v>5900</v>
      </c>
      <c r="S22" s="46"/>
    </row>
    <row r="23" spans="2:19" s="30" customFormat="1" ht="33" customHeight="1">
      <c r="B23" s="122" t="s">
        <v>5882</v>
      </c>
      <c r="C23" s="126" t="s">
        <v>5899</v>
      </c>
      <c r="D23" s="127" t="s">
        <v>5898</v>
      </c>
      <c r="E23" s="128">
        <v>43724</v>
      </c>
      <c r="F23" s="127" t="s">
        <v>79</v>
      </c>
      <c r="G23" s="129">
        <v>20000</v>
      </c>
      <c r="H23" s="124">
        <f t="shared" si="3"/>
        <v>80</v>
      </c>
      <c r="I23" s="124">
        <f t="shared" si="2"/>
        <v>20</v>
      </c>
      <c r="J23" s="127"/>
      <c r="K23" s="130">
        <v>43807</v>
      </c>
      <c r="L23" s="119" t="s">
        <v>5958</v>
      </c>
      <c r="M23" s="120">
        <v>43801</v>
      </c>
      <c r="N23" s="121" t="s">
        <v>5969</v>
      </c>
      <c r="O23" s="120">
        <v>43807</v>
      </c>
      <c r="P23" s="119"/>
      <c r="Q23" s="127"/>
      <c r="R23" s="125" t="s">
        <v>5897</v>
      </c>
      <c r="S23" s="122"/>
    </row>
    <row r="24" spans="2:19" s="30" customFormat="1" ht="33" customHeight="1">
      <c r="B24" s="122" t="s">
        <v>5882</v>
      </c>
      <c r="C24" s="126" t="s">
        <v>5896</v>
      </c>
      <c r="D24" s="127" t="s">
        <v>5895</v>
      </c>
      <c r="E24" s="128">
        <v>43724</v>
      </c>
      <c r="F24" s="127" t="s">
        <v>5894</v>
      </c>
      <c r="G24" s="129">
        <v>30000</v>
      </c>
      <c r="H24" s="124">
        <f t="shared" si="3"/>
        <v>120</v>
      </c>
      <c r="I24" s="124">
        <f t="shared" si="2"/>
        <v>30</v>
      </c>
      <c r="J24" s="127"/>
      <c r="K24" s="130">
        <v>43814</v>
      </c>
      <c r="L24" s="119" t="s">
        <v>5960</v>
      </c>
      <c r="M24" s="120">
        <v>43808</v>
      </c>
      <c r="N24" s="121" t="s">
        <v>5970</v>
      </c>
      <c r="O24" s="120">
        <v>43814</v>
      </c>
      <c r="P24" s="119"/>
      <c r="Q24" s="127"/>
      <c r="R24" s="125" t="s">
        <v>5893</v>
      </c>
      <c r="S24" s="122"/>
    </row>
    <row r="25" spans="2:19" s="30" customFormat="1" ht="33" customHeight="1">
      <c r="B25" s="122" t="s">
        <v>220</v>
      </c>
      <c r="C25" s="126" t="s">
        <v>5892</v>
      </c>
      <c r="D25" s="127" t="s">
        <v>5891</v>
      </c>
      <c r="E25" s="128">
        <v>43724</v>
      </c>
      <c r="F25" s="127" t="s">
        <v>5884</v>
      </c>
      <c r="G25" s="129">
        <v>10000</v>
      </c>
      <c r="H25" s="124">
        <f t="shared" si="3"/>
        <v>40</v>
      </c>
      <c r="I25" s="124">
        <f t="shared" si="2"/>
        <v>10</v>
      </c>
      <c r="J25" s="127"/>
      <c r="K25" s="130">
        <v>43814</v>
      </c>
      <c r="L25" s="119" t="s">
        <v>5959</v>
      </c>
      <c r="M25" s="120">
        <v>43808</v>
      </c>
      <c r="N25" s="121" t="s">
        <v>5970</v>
      </c>
      <c r="O25" s="120">
        <v>43814</v>
      </c>
      <c r="P25" s="119"/>
      <c r="Q25" s="127"/>
      <c r="R25" s="125" t="s">
        <v>5890</v>
      </c>
      <c r="S25" s="122"/>
    </row>
    <row r="26" spans="2:19" s="30" customFormat="1" ht="33" customHeight="1">
      <c r="B26" s="122" t="s">
        <v>5882</v>
      </c>
      <c r="C26" s="126" t="s">
        <v>5889</v>
      </c>
      <c r="D26" s="127" t="s">
        <v>5888</v>
      </c>
      <c r="E26" s="128">
        <v>43724</v>
      </c>
      <c r="F26" s="127" t="s">
        <v>5884</v>
      </c>
      <c r="G26" s="129">
        <v>10000</v>
      </c>
      <c r="H26" s="124">
        <f t="shared" si="3"/>
        <v>40</v>
      </c>
      <c r="I26" s="124">
        <f t="shared" si="2"/>
        <v>10</v>
      </c>
      <c r="J26" s="127"/>
      <c r="K26" s="130">
        <v>43821</v>
      </c>
      <c r="L26" s="119" t="s">
        <v>5961</v>
      </c>
      <c r="M26" s="120">
        <v>43815</v>
      </c>
      <c r="N26" s="121" t="s">
        <v>5971</v>
      </c>
      <c r="O26" s="120">
        <v>43821</v>
      </c>
      <c r="P26" s="119"/>
      <c r="Q26" s="127"/>
      <c r="R26" s="125" t="s">
        <v>5887</v>
      </c>
      <c r="S26" s="122"/>
    </row>
    <row r="27" spans="2:19" s="30" customFormat="1" ht="33" customHeight="1">
      <c r="B27" s="122" t="s">
        <v>220</v>
      </c>
      <c r="C27" s="126" t="s">
        <v>5886</v>
      </c>
      <c r="D27" s="127" t="s">
        <v>5885</v>
      </c>
      <c r="E27" s="128">
        <v>43724</v>
      </c>
      <c r="F27" s="127" t="s">
        <v>5884</v>
      </c>
      <c r="G27" s="129">
        <v>10000</v>
      </c>
      <c r="H27" s="124">
        <f t="shared" si="3"/>
        <v>40</v>
      </c>
      <c r="I27" s="124">
        <f t="shared" si="2"/>
        <v>10</v>
      </c>
      <c r="J27" s="127"/>
      <c r="K27" s="130">
        <v>43821</v>
      </c>
      <c r="L27" s="119" t="s">
        <v>5961</v>
      </c>
      <c r="M27" s="120">
        <v>43815</v>
      </c>
      <c r="N27" s="121" t="s">
        <v>5971</v>
      </c>
      <c r="O27" s="120">
        <v>43821</v>
      </c>
      <c r="P27" s="119"/>
      <c r="Q27" s="127"/>
      <c r="R27" s="125" t="s">
        <v>5883</v>
      </c>
      <c r="S27" s="122"/>
    </row>
    <row r="28" spans="2:19" s="30" customFormat="1" ht="33" customHeight="1">
      <c r="B28" s="122" t="s">
        <v>5882</v>
      </c>
      <c r="C28" s="126" t="s">
        <v>5881</v>
      </c>
      <c r="D28" s="127" t="s">
        <v>5880</v>
      </c>
      <c r="E28" s="128">
        <v>43724</v>
      </c>
      <c r="F28" s="127" t="s">
        <v>79</v>
      </c>
      <c r="G28" s="129">
        <v>20000</v>
      </c>
      <c r="H28" s="124">
        <f t="shared" si="3"/>
        <v>80</v>
      </c>
      <c r="I28" s="124">
        <f t="shared" si="2"/>
        <v>20</v>
      </c>
      <c r="J28" s="127"/>
      <c r="K28" s="130">
        <v>43828</v>
      </c>
      <c r="L28" s="119" t="s">
        <v>5962</v>
      </c>
      <c r="M28" s="120">
        <v>43822</v>
      </c>
      <c r="N28" s="121" t="s">
        <v>5972</v>
      </c>
      <c r="O28" s="120">
        <v>43828</v>
      </c>
      <c r="P28" s="119"/>
      <c r="Q28" s="127"/>
      <c r="R28" s="125" t="s">
        <v>5879</v>
      </c>
      <c r="S28" s="122"/>
    </row>
    <row r="29" spans="2:19" s="96" customFormat="1" ht="33" customHeight="1">
      <c r="B29" s="47" t="s">
        <v>17</v>
      </c>
      <c r="C29" s="48" t="s">
        <v>5878</v>
      </c>
      <c r="D29" s="49" t="s">
        <v>2300</v>
      </c>
      <c r="E29" s="50">
        <v>43602</v>
      </c>
      <c r="F29" s="52" t="s">
        <v>5823</v>
      </c>
      <c r="G29" s="51">
        <v>9200</v>
      </c>
      <c r="H29" s="52">
        <f>SUM(G29/230)</f>
        <v>40</v>
      </c>
      <c r="I29" s="52">
        <f t="shared" si="2"/>
        <v>10</v>
      </c>
      <c r="J29" s="49"/>
      <c r="K29" s="53">
        <v>43695</v>
      </c>
      <c r="L29" s="54" t="s">
        <v>5876</v>
      </c>
      <c r="M29" s="55">
        <v>43683</v>
      </c>
      <c r="N29" s="56" t="s">
        <v>5830</v>
      </c>
      <c r="O29" s="55">
        <v>43688</v>
      </c>
      <c r="P29" s="58"/>
      <c r="Q29" s="52" t="s">
        <v>82</v>
      </c>
      <c r="R29" s="57" t="s">
        <v>5877</v>
      </c>
      <c r="S29" s="47" t="s">
        <v>2764</v>
      </c>
    </row>
    <row r="30" spans="2:19" s="96" customFormat="1" ht="33" customHeight="1">
      <c r="B30" s="47" t="s">
        <v>17</v>
      </c>
      <c r="C30" s="48" t="s">
        <v>3702</v>
      </c>
      <c r="D30" s="49" t="s">
        <v>3703</v>
      </c>
      <c r="E30" s="50">
        <v>43643</v>
      </c>
      <c r="F30" s="52" t="s">
        <v>5823</v>
      </c>
      <c r="G30" s="51">
        <v>4600</v>
      </c>
      <c r="H30" s="52">
        <f>SUM(G30/230)</f>
        <v>20</v>
      </c>
      <c r="I30" s="52">
        <f t="shared" si="2"/>
        <v>5</v>
      </c>
      <c r="J30" s="49"/>
      <c r="K30" s="53">
        <v>43688</v>
      </c>
      <c r="L30" s="54" t="s">
        <v>5876</v>
      </c>
      <c r="M30" s="55">
        <v>43683</v>
      </c>
      <c r="N30" s="56" t="s">
        <v>5830</v>
      </c>
      <c r="O30" s="55">
        <v>43688</v>
      </c>
      <c r="P30" s="58"/>
      <c r="Q30" s="52" t="s">
        <v>82</v>
      </c>
      <c r="R30" s="57"/>
      <c r="S30" s="47"/>
    </row>
    <row r="31" spans="2:19" s="96" customFormat="1" ht="33" customHeight="1">
      <c r="B31" s="47" t="s">
        <v>17</v>
      </c>
      <c r="C31" s="48" t="s">
        <v>5875</v>
      </c>
      <c r="D31" s="49" t="s">
        <v>3377</v>
      </c>
      <c r="E31" s="50">
        <v>43637</v>
      </c>
      <c r="F31" s="52" t="s">
        <v>5823</v>
      </c>
      <c r="G31" s="51">
        <v>9200</v>
      </c>
      <c r="H31" s="52">
        <v>36</v>
      </c>
      <c r="I31" s="52">
        <f t="shared" si="2"/>
        <v>9</v>
      </c>
      <c r="J31" s="49"/>
      <c r="K31" s="53">
        <v>43716</v>
      </c>
      <c r="L31" s="54" t="s">
        <v>5459</v>
      </c>
      <c r="M31" s="55">
        <v>43718</v>
      </c>
      <c r="N31" s="56" t="s">
        <v>5460</v>
      </c>
      <c r="O31" s="55">
        <v>43723</v>
      </c>
      <c r="P31" s="58"/>
      <c r="Q31" s="52"/>
      <c r="R31" s="57" t="s">
        <v>5874</v>
      </c>
      <c r="S31" s="47" t="s">
        <v>5457</v>
      </c>
    </row>
    <row r="32" spans="2:19" s="67" customFormat="1" ht="33" customHeight="1">
      <c r="B32" s="46" t="s">
        <v>17</v>
      </c>
      <c r="C32" s="35" t="s">
        <v>5873</v>
      </c>
      <c r="D32" s="36" t="s">
        <v>3380</v>
      </c>
      <c r="E32" s="37">
        <v>43637</v>
      </c>
      <c r="F32" s="38" t="s">
        <v>5823</v>
      </c>
      <c r="G32" s="39">
        <v>9200</v>
      </c>
      <c r="H32" s="38">
        <f>SUM(G32/230)</f>
        <v>40</v>
      </c>
      <c r="I32" s="38">
        <f t="shared" si="2"/>
        <v>10</v>
      </c>
      <c r="J32" s="36"/>
      <c r="K32" s="40">
        <v>43744</v>
      </c>
      <c r="L32" s="41" t="s">
        <v>5872</v>
      </c>
      <c r="M32" s="42">
        <v>43732</v>
      </c>
      <c r="N32" s="43" t="s">
        <v>5871</v>
      </c>
      <c r="O32" s="42">
        <v>43737</v>
      </c>
      <c r="P32" s="45"/>
      <c r="Q32" s="38"/>
      <c r="R32" s="44" t="s">
        <v>5870</v>
      </c>
      <c r="S32" s="46" t="s">
        <v>5696</v>
      </c>
    </row>
    <row r="33" spans="2:19" s="67" customFormat="1" ht="33" customHeight="1">
      <c r="B33" s="46" t="s">
        <v>17</v>
      </c>
      <c r="C33" s="35" t="s">
        <v>5033</v>
      </c>
      <c r="D33" s="36" t="s">
        <v>5869</v>
      </c>
      <c r="E33" s="37">
        <v>43689</v>
      </c>
      <c r="F33" s="38" t="s">
        <v>5823</v>
      </c>
      <c r="G33" s="39">
        <v>4600</v>
      </c>
      <c r="H33" s="38">
        <f>SUM(G33/230)</f>
        <v>20</v>
      </c>
      <c r="I33" s="38">
        <f t="shared" si="2"/>
        <v>5</v>
      </c>
      <c r="J33" s="36"/>
      <c r="K33" s="40">
        <v>43800</v>
      </c>
      <c r="L33" s="41" t="s">
        <v>5868</v>
      </c>
      <c r="M33" s="42">
        <v>43795</v>
      </c>
      <c r="N33" s="43" t="s">
        <v>5867</v>
      </c>
      <c r="O33" s="42">
        <v>43800</v>
      </c>
      <c r="P33" s="45"/>
      <c r="Q33" s="38" t="s">
        <v>82</v>
      </c>
      <c r="R33" s="44" t="s">
        <v>5866</v>
      </c>
      <c r="S33" s="46"/>
    </row>
    <row r="34" spans="2:19" s="67" customFormat="1" ht="33" customHeight="1">
      <c r="B34" s="46" t="s">
        <v>17</v>
      </c>
      <c r="C34" s="35" t="s">
        <v>5346</v>
      </c>
      <c r="D34" s="36" t="s">
        <v>5865</v>
      </c>
      <c r="E34" s="37">
        <v>43700</v>
      </c>
      <c r="F34" s="38" t="s">
        <v>5816</v>
      </c>
      <c r="G34" s="39">
        <v>7360</v>
      </c>
      <c r="H34" s="38">
        <v>32</v>
      </c>
      <c r="I34" s="38">
        <f t="shared" si="2"/>
        <v>8</v>
      </c>
      <c r="J34" s="36"/>
      <c r="K34" s="40">
        <v>43744</v>
      </c>
      <c r="L34" s="41" t="s">
        <v>4481</v>
      </c>
      <c r="M34" s="42">
        <v>43732</v>
      </c>
      <c r="N34" s="43" t="s">
        <v>5864</v>
      </c>
      <c r="O34" s="42">
        <v>43737</v>
      </c>
      <c r="P34" s="45"/>
      <c r="Q34" s="38" t="s">
        <v>82</v>
      </c>
      <c r="R34" s="44" t="s">
        <v>5347</v>
      </c>
      <c r="S34" s="46" t="s">
        <v>5695</v>
      </c>
    </row>
    <row r="35" spans="2:19" s="67" customFormat="1" ht="33" customHeight="1">
      <c r="B35" s="46" t="s">
        <v>17</v>
      </c>
      <c r="C35" s="35" t="s">
        <v>5348</v>
      </c>
      <c r="D35" s="36" t="s">
        <v>5863</v>
      </c>
      <c r="E35" s="37">
        <v>43700</v>
      </c>
      <c r="F35" s="38" t="s">
        <v>5816</v>
      </c>
      <c r="G35" s="39">
        <v>6440</v>
      </c>
      <c r="H35" s="38">
        <f t="shared" ref="H35:H48" si="4">SUM(G35/230)</f>
        <v>28</v>
      </c>
      <c r="I35" s="38">
        <f t="shared" si="2"/>
        <v>7</v>
      </c>
      <c r="J35" s="36"/>
      <c r="K35" s="40">
        <v>43765</v>
      </c>
      <c r="L35" s="209" t="s">
        <v>4477</v>
      </c>
      <c r="M35" s="204">
        <v>43760</v>
      </c>
      <c r="N35" s="205" t="s">
        <v>3878</v>
      </c>
      <c r="O35" s="204">
        <v>43765</v>
      </c>
      <c r="P35" s="45"/>
      <c r="Q35" s="38" t="s">
        <v>82</v>
      </c>
      <c r="R35" s="44" t="s">
        <v>5862</v>
      </c>
      <c r="S35" s="208" t="s">
        <v>5985</v>
      </c>
    </row>
    <row r="36" spans="2:19" s="67" customFormat="1" ht="33" customHeight="1">
      <c r="B36" s="122" t="s">
        <v>17</v>
      </c>
      <c r="C36" s="126" t="s">
        <v>5861</v>
      </c>
      <c r="D36" s="127" t="s">
        <v>5860</v>
      </c>
      <c r="E36" s="128">
        <v>43724</v>
      </c>
      <c r="F36" s="124" t="s">
        <v>5816</v>
      </c>
      <c r="G36" s="129">
        <v>9200</v>
      </c>
      <c r="H36" s="124">
        <f t="shared" si="4"/>
        <v>40</v>
      </c>
      <c r="I36" s="124">
        <f t="shared" si="2"/>
        <v>10</v>
      </c>
      <c r="J36" s="127"/>
      <c r="K36" s="130">
        <v>43814</v>
      </c>
      <c r="L36" s="119" t="s">
        <v>5974</v>
      </c>
      <c r="M36" s="120">
        <v>43809</v>
      </c>
      <c r="N36" s="121" t="s">
        <v>5964</v>
      </c>
      <c r="O36" s="120">
        <v>43814</v>
      </c>
      <c r="P36" s="123"/>
      <c r="Q36" s="124" t="s">
        <v>82</v>
      </c>
      <c r="R36" s="125" t="s">
        <v>5859</v>
      </c>
      <c r="S36" s="122"/>
    </row>
    <row r="37" spans="2:19" s="67" customFormat="1" ht="33" customHeight="1">
      <c r="B37" s="46" t="s">
        <v>81</v>
      </c>
      <c r="C37" s="35" t="s">
        <v>3406</v>
      </c>
      <c r="D37" s="36" t="s">
        <v>3407</v>
      </c>
      <c r="E37" s="37">
        <v>43637</v>
      </c>
      <c r="F37" s="38" t="s">
        <v>5816</v>
      </c>
      <c r="G37" s="39">
        <v>12880</v>
      </c>
      <c r="H37" s="38">
        <f t="shared" si="4"/>
        <v>56</v>
      </c>
      <c r="I37" s="38">
        <f t="shared" si="2"/>
        <v>14</v>
      </c>
      <c r="J37" s="38"/>
      <c r="K37" s="40">
        <v>43723</v>
      </c>
      <c r="L37" s="41" t="s">
        <v>5462</v>
      </c>
      <c r="M37" s="42">
        <v>43725</v>
      </c>
      <c r="N37" s="43" t="s">
        <v>5463</v>
      </c>
      <c r="O37" s="42">
        <v>43730</v>
      </c>
      <c r="P37" s="45"/>
      <c r="Q37" s="46"/>
      <c r="R37" s="44" t="s">
        <v>5857</v>
      </c>
      <c r="S37" s="46" t="s">
        <v>5856</v>
      </c>
    </row>
    <row r="38" spans="2:19" s="96" customFormat="1" ht="33" customHeight="1">
      <c r="B38" s="47" t="s">
        <v>81</v>
      </c>
      <c r="C38" s="48" t="s">
        <v>5858</v>
      </c>
      <c r="D38" s="49" t="s">
        <v>3407</v>
      </c>
      <c r="E38" s="50">
        <v>43637</v>
      </c>
      <c r="F38" s="52" t="s">
        <v>5816</v>
      </c>
      <c r="G38" s="51">
        <v>920</v>
      </c>
      <c r="H38" s="52">
        <f t="shared" si="4"/>
        <v>4</v>
      </c>
      <c r="I38" s="52">
        <v>1</v>
      </c>
      <c r="J38" s="52"/>
      <c r="K38" s="53">
        <v>43723</v>
      </c>
      <c r="L38" s="54" t="s">
        <v>5459</v>
      </c>
      <c r="M38" s="55">
        <v>43718</v>
      </c>
      <c r="N38" s="56" t="s">
        <v>5460</v>
      </c>
      <c r="O38" s="55">
        <v>43723</v>
      </c>
      <c r="P38" s="58"/>
      <c r="Q38" s="47"/>
      <c r="R38" s="57" t="s">
        <v>5857</v>
      </c>
      <c r="S38" s="47" t="s">
        <v>5856</v>
      </c>
    </row>
    <row r="39" spans="2:19" s="96" customFormat="1" ht="33" customHeight="1">
      <c r="B39" s="47" t="s">
        <v>81</v>
      </c>
      <c r="C39" s="48" t="s">
        <v>3409</v>
      </c>
      <c r="D39" s="49" t="s">
        <v>3743</v>
      </c>
      <c r="E39" s="50">
        <v>43665</v>
      </c>
      <c r="F39" s="52" t="s">
        <v>5816</v>
      </c>
      <c r="G39" s="51">
        <v>9200</v>
      </c>
      <c r="H39" s="52">
        <f t="shared" si="4"/>
        <v>40</v>
      </c>
      <c r="I39" s="52">
        <f t="shared" ref="I39:I48" si="5">SUM(H39/4)</f>
        <v>10</v>
      </c>
      <c r="J39" s="52"/>
      <c r="K39" s="53">
        <v>43667</v>
      </c>
      <c r="L39" s="54" t="s">
        <v>5855</v>
      </c>
      <c r="M39" s="55">
        <v>43718</v>
      </c>
      <c r="N39" s="56" t="s">
        <v>5854</v>
      </c>
      <c r="O39" s="55">
        <v>43667</v>
      </c>
      <c r="P39" s="58"/>
      <c r="Q39" s="47"/>
      <c r="R39" s="57"/>
      <c r="S39" s="47"/>
    </row>
    <row r="40" spans="2:19" s="67" customFormat="1" ht="33" customHeight="1">
      <c r="B40" s="46" t="s">
        <v>81</v>
      </c>
      <c r="C40" s="35" t="s">
        <v>4318</v>
      </c>
      <c r="D40" s="36" t="s">
        <v>4319</v>
      </c>
      <c r="E40" s="37">
        <v>43665</v>
      </c>
      <c r="F40" s="38" t="s">
        <v>5816</v>
      </c>
      <c r="G40" s="39">
        <v>9200</v>
      </c>
      <c r="H40" s="38">
        <f t="shared" si="4"/>
        <v>40</v>
      </c>
      <c r="I40" s="38">
        <f t="shared" si="5"/>
        <v>10</v>
      </c>
      <c r="J40" s="38"/>
      <c r="K40" s="40">
        <v>43751</v>
      </c>
      <c r="L40" s="41" t="s">
        <v>5853</v>
      </c>
      <c r="M40" s="42">
        <v>43746</v>
      </c>
      <c r="N40" s="43" t="s">
        <v>5745</v>
      </c>
      <c r="O40" s="42">
        <v>43751</v>
      </c>
      <c r="P40" s="45"/>
      <c r="Q40" s="46"/>
      <c r="R40" s="44" t="s">
        <v>5852</v>
      </c>
      <c r="S40" s="46"/>
    </row>
    <row r="41" spans="2:19" s="67" customFormat="1" ht="33" customHeight="1">
      <c r="B41" s="46" t="s">
        <v>81</v>
      </c>
      <c r="C41" s="35" t="s">
        <v>4321</v>
      </c>
      <c r="D41" s="36" t="s">
        <v>4322</v>
      </c>
      <c r="E41" s="37">
        <v>43665</v>
      </c>
      <c r="F41" s="38" t="s">
        <v>5816</v>
      </c>
      <c r="G41" s="39">
        <v>8740</v>
      </c>
      <c r="H41" s="38">
        <f t="shared" si="4"/>
        <v>38</v>
      </c>
      <c r="I41" s="38">
        <f t="shared" si="5"/>
        <v>9.5</v>
      </c>
      <c r="J41" s="38"/>
      <c r="K41" s="40">
        <v>43765</v>
      </c>
      <c r="L41" s="209" t="s">
        <v>5851</v>
      </c>
      <c r="M41" s="204">
        <v>43760</v>
      </c>
      <c r="N41" s="205" t="s">
        <v>5772</v>
      </c>
      <c r="O41" s="204">
        <v>43765</v>
      </c>
      <c r="P41" s="45"/>
      <c r="Q41" s="46"/>
      <c r="R41" s="44" t="s">
        <v>5848</v>
      </c>
      <c r="S41" s="208" t="s">
        <v>5985</v>
      </c>
    </row>
    <row r="42" spans="2:19" s="67" customFormat="1" ht="33" customHeight="1">
      <c r="B42" s="46" t="s">
        <v>81</v>
      </c>
      <c r="C42" s="35" t="s">
        <v>5850</v>
      </c>
      <c r="D42" s="36" t="s">
        <v>5849</v>
      </c>
      <c r="E42" s="37">
        <v>43714</v>
      </c>
      <c r="F42" s="38" t="s">
        <v>5816</v>
      </c>
      <c r="G42" s="39">
        <v>4600</v>
      </c>
      <c r="H42" s="38">
        <f t="shared" si="4"/>
        <v>20</v>
      </c>
      <c r="I42" s="38">
        <f t="shared" si="5"/>
        <v>5</v>
      </c>
      <c r="J42" s="38"/>
      <c r="K42" s="40">
        <v>43765</v>
      </c>
      <c r="L42" s="209" t="s">
        <v>4477</v>
      </c>
      <c r="M42" s="204">
        <v>43760</v>
      </c>
      <c r="N42" s="205" t="s">
        <v>4549</v>
      </c>
      <c r="O42" s="204">
        <v>43765</v>
      </c>
      <c r="P42" s="45"/>
      <c r="Q42" s="46"/>
      <c r="R42" s="44" t="s">
        <v>5848</v>
      </c>
      <c r="S42" s="208" t="s">
        <v>5985</v>
      </c>
    </row>
    <row r="43" spans="2:19" s="67" customFormat="1" ht="33" customHeight="1">
      <c r="B43" s="46" t="s">
        <v>81</v>
      </c>
      <c r="C43" s="35" t="s">
        <v>5006</v>
      </c>
      <c r="D43" s="36" t="s">
        <v>5005</v>
      </c>
      <c r="E43" s="37">
        <v>43689</v>
      </c>
      <c r="F43" s="38" t="s">
        <v>5816</v>
      </c>
      <c r="G43" s="39">
        <v>9200</v>
      </c>
      <c r="H43" s="38">
        <f t="shared" si="4"/>
        <v>40</v>
      </c>
      <c r="I43" s="38">
        <f t="shared" si="5"/>
        <v>10</v>
      </c>
      <c r="J43" s="38"/>
      <c r="K43" s="40">
        <v>43786</v>
      </c>
      <c r="L43" s="41" t="s">
        <v>5847</v>
      </c>
      <c r="M43" s="42">
        <v>43781</v>
      </c>
      <c r="N43" s="43" t="s">
        <v>5846</v>
      </c>
      <c r="O43" s="42">
        <v>43786</v>
      </c>
      <c r="P43" s="45"/>
      <c r="Q43" s="46"/>
      <c r="R43" s="44" t="s">
        <v>5845</v>
      </c>
      <c r="S43" s="46"/>
    </row>
    <row r="44" spans="2:19" s="67" customFormat="1" ht="33" customHeight="1">
      <c r="B44" s="46" t="s">
        <v>81</v>
      </c>
      <c r="C44" s="35" t="s">
        <v>5003</v>
      </c>
      <c r="D44" s="36" t="s">
        <v>5002</v>
      </c>
      <c r="E44" s="37">
        <v>43689</v>
      </c>
      <c r="F44" s="38" t="s">
        <v>5823</v>
      </c>
      <c r="G44" s="39">
        <v>9200</v>
      </c>
      <c r="H44" s="38">
        <f t="shared" si="4"/>
        <v>40</v>
      </c>
      <c r="I44" s="38">
        <f t="shared" si="5"/>
        <v>10</v>
      </c>
      <c r="J44" s="38"/>
      <c r="K44" s="40">
        <v>43800</v>
      </c>
      <c r="L44" s="41" t="s">
        <v>5844</v>
      </c>
      <c r="M44" s="42">
        <v>43795</v>
      </c>
      <c r="N44" s="43" t="s">
        <v>5724</v>
      </c>
      <c r="O44" s="42">
        <v>43800</v>
      </c>
      <c r="P44" s="45"/>
      <c r="Q44" s="46"/>
      <c r="R44" s="44" t="s">
        <v>5843</v>
      </c>
      <c r="S44" s="46"/>
    </row>
    <row r="45" spans="2:19" s="67" customFormat="1" ht="33" customHeight="1">
      <c r="B45" s="122" t="s">
        <v>81</v>
      </c>
      <c r="C45" s="126" t="s">
        <v>5842</v>
      </c>
      <c r="D45" s="127" t="s">
        <v>5841</v>
      </c>
      <c r="E45" s="128">
        <v>43724</v>
      </c>
      <c r="F45" s="124" t="s">
        <v>5823</v>
      </c>
      <c r="G45" s="129">
        <v>13800</v>
      </c>
      <c r="H45" s="124">
        <f t="shared" si="4"/>
        <v>60</v>
      </c>
      <c r="I45" s="124">
        <f t="shared" si="5"/>
        <v>15</v>
      </c>
      <c r="J45" s="124"/>
      <c r="K45" s="130">
        <v>43821</v>
      </c>
      <c r="L45" s="119" t="s">
        <v>5975</v>
      </c>
      <c r="M45" s="120">
        <v>43816</v>
      </c>
      <c r="N45" s="121" t="s">
        <v>5965</v>
      </c>
      <c r="O45" s="120">
        <v>43821</v>
      </c>
      <c r="P45" s="123"/>
      <c r="Q45" s="122"/>
      <c r="R45" s="125" t="s">
        <v>5840</v>
      </c>
      <c r="S45" s="122"/>
    </row>
    <row r="46" spans="2:19" s="96" customFormat="1" ht="33" customHeight="1">
      <c r="B46" s="47" t="s">
        <v>5839</v>
      </c>
      <c r="C46" s="48" t="s">
        <v>5838</v>
      </c>
      <c r="D46" s="49" t="s">
        <v>705</v>
      </c>
      <c r="E46" s="50">
        <v>43532</v>
      </c>
      <c r="F46" s="52" t="s">
        <v>5823</v>
      </c>
      <c r="G46" s="51">
        <v>920</v>
      </c>
      <c r="H46" s="52">
        <f t="shared" si="4"/>
        <v>4</v>
      </c>
      <c r="I46" s="52">
        <f t="shared" si="5"/>
        <v>1</v>
      </c>
      <c r="J46" s="52"/>
      <c r="K46" s="53">
        <v>43609</v>
      </c>
      <c r="L46" s="54" t="s">
        <v>773</v>
      </c>
      <c r="M46" s="55">
        <v>43601</v>
      </c>
      <c r="N46" s="56" t="s">
        <v>774</v>
      </c>
      <c r="O46" s="55">
        <v>43605</v>
      </c>
      <c r="P46" s="58"/>
      <c r="Q46" s="47"/>
      <c r="R46" s="57"/>
      <c r="S46" s="47" t="s">
        <v>5837</v>
      </c>
    </row>
    <row r="47" spans="2:19" s="96" customFormat="1" ht="33" customHeight="1">
      <c r="B47" s="47" t="s">
        <v>5833</v>
      </c>
      <c r="C47" s="48" t="s">
        <v>2333</v>
      </c>
      <c r="D47" s="49" t="s">
        <v>2334</v>
      </c>
      <c r="E47" s="50">
        <v>43602</v>
      </c>
      <c r="F47" s="52" t="s">
        <v>5823</v>
      </c>
      <c r="G47" s="51">
        <v>460</v>
      </c>
      <c r="H47" s="52">
        <f t="shared" si="4"/>
        <v>2</v>
      </c>
      <c r="I47" s="52">
        <f t="shared" si="5"/>
        <v>0.5</v>
      </c>
      <c r="J47" s="52"/>
      <c r="K47" s="53">
        <v>43681</v>
      </c>
      <c r="L47" s="54" t="s">
        <v>5836</v>
      </c>
      <c r="M47" s="55">
        <v>43676</v>
      </c>
      <c r="N47" s="56" t="s">
        <v>5835</v>
      </c>
      <c r="O47" s="55">
        <v>43681</v>
      </c>
      <c r="P47" s="58"/>
      <c r="Q47" s="47"/>
      <c r="R47" s="57" t="s">
        <v>5834</v>
      </c>
      <c r="S47" s="47" t="s">
        <v>3549</v>
      </c>
    </row>
    <row r="48" spans="2:19" s="67" customFormat="1" ht="33" customHeight="1">
      <c r="B48" s="46" t="s">
        <v>5833</v>
      </c>
      <c r="C48" s="35" t="s">
        <v>4329</v>
      </c>
      <c r="D48" s="36" t="s">
        <v>4330</v>
      </c>
      <c r="E48" s="37">
        <v>43665</v>
      </c>
      <c r="F48" s="38" t="s">
        <v>5823</v>
      </c>
      <c r="G48" s="39">
        <v>460</v>
      </c>
      <c r="H48" s="38">
        <f t="shared" si="4"/>
        <v>2</v>
      </c>
      <c r="I48" s="38">
        <f t="shared" si="5"/>
        <v>0.5</v>
      </c>
      <c r="J48" s="38"/>
      <c r="K48" s="40">
        <v>43765</v>
      </c>
      <c r="L48" s="209" t="s">
        <v>4477</v>
      </c>
      <c r="M48" s="204">
        <v>43760</v>
      </c>
      <c r="N48" s="205" t="s">
        <v>5794</v>
      </c>
      <c r="O48" s="204">
        <v>43765</v>
      </c>
      <c r="P48" s="45"/>
      <c r="Q48" s="46"/>
      <c r="R48" s="44" t="s">
        <v>5832</v>
      </c>
      <c r="S48" s="208" t="s">
        <v>5985</v>
      </c>
    </row>
    <row r="49" spans="2:19" s="33" customFormat="1" ht="33" customHeight="1">
      <c r="B49" s="47" t="s">
        <v>5824</v>
      </c>
      <c r="C49" s="48" t="s">
        <v>2360</v>
      </c>
      <c r="D49" s="49" t="s">
        <v>5831</v>
      </c>
      <c r="E49" s="50">
        <v>43602</v>
      </c>
      <c r="F49" s="52" t="s">
        <v>5823</v>
      </c>
      <c r="G49" s="51">
        <v>2560</v>
      </c>
      <c r="H49" s="52">
        <f>SUM(G49/20)</f>
        <v>128</v>
      </c>
      <c r="I49" s="52">
        <f>SUM(H49/32)</f>
        <v>4</v>
      </c>
      <c r="J49" s="59"/>
      <c r="K49" s="53">
        <v>43695</v>
      </c>
      <c r="L49" s="54" t="s">
        <v>2505</v>
      </c>
      <c r="M49" s="55">
        <v>43683</v>
      </c>
      <c r="N49" s="56" t="s">
        <v>5830</v>
      </c>
      <c r="O49" s="55">
        <v>43688</v>
      </c>
      <c r="P49" s="58"/>
      <c r="Q49" s="60" t="s">
        <v>89</v>
      </c>
      <c r="R49" s="57" t="s">
        <v>5829</v>
      </c>
      <c r="S49" s="47"/>
    </row>
    <row r="50" spans="2:19" s="33" customFormat="1" ht="33" customHeight="1">
      <c r="B50" s="47" t="s">
        <v>5824</v>
      </c>
      <c r="C50" s="48" t="s">
        <v>3429</v>
      </c>
      <c r="D50" s="49" t="s">
        <v>3430</v>
      </c>
      <c r="E50" s="50">
        <v>43637</v>
      </c>
      <c r="F50" s="52" t="s">
        <v>5823</v>
      </c>
      <c r="G50" s="51">
        <v>3840</v>
      </c>
      <c r="H50" s="52">
        <f>SUM(G50/20)</f>
        <v>192</v>
      </c>
      <c r="I50" s="52">
        <f>SUM(H50/32)</f>
        <v>6</v>
      </c>
      <c r="J50" s="59"/>
      <c r="K50" s="53">
        <v>43723</v>
      </c>
      <c r="L50" s="54" t="s">
        <v>5775</v>
      </c>
      <c r="M50" s="55">
        <v>43718</v>
      </c>
      <c r="N50" s="56" t="s">
        <v>5774</v>
      </c>
      <c r="O50" s="55">
        <v>43723</v>
      </c>
      <c r="P50" s="58"/>
      <c r="Q50" s="60" t="s">
        <v>89</v>
      </c>
      <c r="R50" s="57" t="s">
        <v>5828</v>
      </c>
      <c r="S50" s="47"/>
    </row>
    <row r="51" spans="2:19" s="30" customFormat="1" ht="33" customHeight="1">
      <c r="B51" s="46" t="s">
        <v>5824</v>
      </c>
      <c r="C51" s="35" t="s">
        <v>4344</v>
      </c>
      <c r="D51" s="36" t="s">
        <v>4345</v>
      </c>
      <c r="E51" s="37">
        <v>43665</v>
      </c>
      <c r="F51" s="38" t="s">
        <v>5823</v>
      </c>
      <c r="G51" s="39">
        <v>3200</v>
      </c>
      <c r="H51" s="38">
        <f>SUM(G51/20)</f>
        <v>160</v>
      </c>
      <c r="I51" s="38">
        <f>SUM(H51/32)</f>
        <v>5</v>
      </c>
      <c r="J51" s="61"/>
      <c r="K51" s="40">
        <v>43758</v>
      </c>
      <c r="L51" s="41" t="s">
        <v>5827</v>
      </c>
      <c r="M51" s="42">
        <v>43753</v>
      </c>
      <c r="N51" s="43" t="s">
        <v>5826</v>
      </c>
      <c r="O51" s="42">
        <v>43758</v>
      </c>
      <c r="P51" s="45"/>
      <c r="Q51" s="62" t="s">
        <v>89</v>
      </c>
      <c r="R51" s="44" t="s">
        <v>5825</v>
      </c>
      <c r="S51" s="46"/>
    </row>
    <row r="52" spans="2:19" s="30" customFormat="1" ht="33" customHeight="1">
      <c r="B52" s="46" t="s">
        <v>5824</v>
      </c>
      <c r="C52" s="35" t="s">
        <v>4969</v>
      </c>
      <c r="D52" s="36" t="s">
        <v>4968</v>
      </c>
      <c r="E52" s="37">
        <v>43689</v>
      </c>
      <c r="F52" s="38" t="s">
        <v>5823</v>
      </c>
      <c r="G52" s="39">
        <v>3840</v>
      </c>
      <c r="H52" s="38">
        <f>SUM(G52/20)</f>
        <v>192</v>
      </c>
      <c r="I52" s="38">
        <f>SUM(H52/32)</f>
        <v>6</v>
      </c>
      <c r="J52" s="61"/>
      <c r="K52" s="40">
        <v>43786</v>
      </c>
      <c r="L52" s="41" t="s">
        <v>5822</v>
      </c>
      <c r="M52" s="42">
        <v>43781</v>
      </c>
      <c r="N52" s="43" t="s">
        <v>5821</v>
      </c>
      <c r="O52" s="42">
        <v>43786</v>
      </c>
      <c r="P52" s="45"/>
      <c r="Q52" s="62" t="s">
        <v>89</v>
      </c>
      <c r="R52" s="44" t="s">
        <v>5820</v>
      </c>
      <c r="S52" s="46"/>
    </row>
    <row r="53" spans="2:19" s="30" customFormat="1" ht="33" customHeight="1">
      <c r="B53" s="122" t="s">
        <v>5819</v>
      </c>
      <c r="C53" s="126" t="s">
        <v>5818</v>
      </c>
      <c r="D53" s="127" t="s">
        <v>5817</v>
      </c>
      <c r="E53" s="128">
        <v>43724</v>
      </c>
      <c r="F53" s="124" t="s">
        <v>5816</v>
      </c>
      <c r="G53" s="129">
        <v>3840</v>
      </c>
      <c r="H53" s="124">
        <f>SUM(G53/20)</f>
        <v>192</v>
      </c>
      <c r="I53" s="124">
        <f>SUM(H53/32)</f>
        <v>6</v>
      </c>
      <c r="J53" s="131"/>
      <c r="K53" s="130">
        <v>43814</v>
      </c>
      <c r="L53" s="119" t="s">
        <v>5974</v>
      </c>
      <c r="M53" s="120">
        <v>43809</v>
      </c>
      <c r="N53" s="121" t="s">
        <v>5964</v>
      </c>
      <c r="O53" s="120">
        <v>43814</v>
      </c>
      <c r="P53" s="123"/>
      <c r="Q53" s="132" t="s">
        <v>89</v>
      </c>
      <c r="R53" s="125" t="s">
        <v>5815</v>
      </c>
      <c r="S53" s="122"/>
    </row>
    <row r="54" spans="2:19" s="33" customFormat="1" ht="33" customHeight="1">
      <c r="B54" s="47" t="s">
        <v>38</v>
      </c>
      <c r="C54" s="48" t="s">
        <v>225</v>
      </c>
      <c r="D54" s="49" t="s">
        <v>587</v>
      </c>
      <c r="E54" s="50">
        <v>43519</v>
      </c>
      <c r="F54" s="52" t="s">
        <v>5803</v>
      </c>
      <c r="G54" s="64">
        <v>640</v>
      </c>
      <c r="H54" s="52">
        <f>SUBTOTAL(9,G54)/20</f>
        <v>32</v>
      </c>
      <c r="I54" s="52">
        <f>H54/32</f>
        <v>1</v>
      </c>
      <c r="J54" s="52"/>
      <c r="K54" s="53">
        <v>43583</v>
      </c>
      <c r="L54" s="54" t="s">
        <v>565</v>
      </c>
      <c r="M54" s="55">
        <v>43578</v>
      </c>
      <c r="N54" s="56" t="s">
        <v>5814</v>
      </c>
      <c r="O54" s="55">
        <v>43583</v>
      </c>
      <c r="P54" s="58"/>
      <c r="Q54" s="52"/>
      <c r="R54" s="63" t="s">
        <v>5813</v>
      </c>
      <c r="S54" s="47"/>
    </row>
    <row r="55" spans="2:19" s="30" customFormat="1" ht="33" customHeight="1">
      <c r="B55" s="46" t="s">
        <v>5812</v>
      </c>
      <c r="C55" s="35" t="s">
        <v>226</v>
      </c>
      <c r="D55" s="36" t="s">
        <v>1194</v>
      </c>
      <c r="E55" s="37">
        <v>43567</v>
      </c>
      <c r="F55" s="38" t="s">
        <v>5803</v>
      </c>
      <c r="G55" s="65">
        <v>640</v>
      </c>
      <c r="H55" s="38">
        <f>SUBTOTAL(9,G55)/20</f>
        <v>32</v>
      </c>
      <c r="I55" s="38">
        <f>H55/32</f>
        <v>1</v>
      </c>
      <c r="J55" s="38"/>
      <c r="K55" s="40">
        <v>43758</v>
      </c>
      <c r="L55" s="41" t="s">
        <v>5728</v>
      </c>
      <c r="M55" s="42">
        <v>43753</v>
      </c>
      <c r="N55" s="43" t="s">
        <v>4813</v>
      </c>
      <c r="O55" s="42">
        <v>43758</v>
      </c>
      <c r="P55" s="45"/>
      <c r="Q55" s="38"/>
      <c r="R55" s="66" t="s">
        <v>5811</v>
      </c>
      <c r="S55" s="46"/>
    </row>
    <row r="56" spans="2:19" s="33" customFormat="1" ht="33" customHeight="1">
      <c r="B56" s="47" t="s">
        <v>5805</v>
      </c>
      <c r="C56" s="48" t="s">
        <v>2378</v>
      </c>
      <c r="D56" s="49" t="s">
        <v>2379</v>
      </c>
      <c r="E56" s="50">
        <v>43602</v>
      </c>
      <c r="F56" s="52" t="s">
        <v>5803</v>
      </c>
      <c r="G56" s="64">
        <v>760</v>
      </c>
      <c r="H56" s="52">
        <f>SUBTOTAL(9,G56)/190</f>
        <v>4</v>
      </c>
      <c r="I56" s="52">
        <f>H56/4</f>
        <v>1</v>
      </c>
      <c r="J56" s="52"/>
      <c r="K56" s="53">
        <v>43702</v>
      </c>
      <c r="L56" s="54" t="s">
        <v>5731</v>
      </c>
      <c r="M56" s="55">
        <v>43718</v>
      </c>
      <c r="N56" s="56" t="s">
        <v>5730</v>
      </c>
      <c r="O56" s="55">
        <v>43702</v>
      </c>
      <c r="P56" s="58"/>
      <c r="Q56" s="52"/>
      <c r="R56" s="63" t="s">
        <v>5810</v>
      </c>
      <c r="S56" s="47"/>
    </row>
    <row r="57" spans="2:19" s="30" customFormat="1" ht="33" customHeight="1">
      <c r="B57" s="46" t="s">
        <v>5805</v>
      </c>
      <c r="C57" s="35" t="s">
        <v>2430</v>
      </c>
      <c r="D57" s="36" t="s">
        <v>3457</v>
      </c>
      <c r="E57" s="37">
        <v>43637</v>
      </c>
      <c r="F57" s="38" t="s">
        <v>5803</v>
      </c>
      <c r="G57" s="65">
        <v>760</v>
      </c>
      <c r="H57" s="38">
        <f>SUBTOTAL(9,G57)/190</f>
        <v>4</v>
      </c>
      <c r="I57" s="38">
        <f>H57/4</f>
        <v>1</v>
      </c>
      <c r="J57" s="38"/>
      <c r="K57" s="40">
        <v>43731</v>
      </c>
      <c r="L57" s="41" t="s">
        <v>5809</v>
      </c>
      <c r="M57" s="42">
        <v>43725</v>
      </c>
      <c r="N57" s="43" t="s">
        <v>5808</v>
      </c>
      <c r="O57" s="42">
        <v>43730</v>
      </c>
      <c r="P57" s="45"/>
      <c r="Q57" s="38"/>
      <c r="R57" s="66" t="s">
        <v>5807</v>
      </c>
      <c r="S57" s="46"/>
    </row>
    <row r="58" spans="2:19" s="30" customFormat="1" ht="33" customHeight="1">
      <c r="B58" s="46" t="s">
        <v>5801</v>
      </c>
      <c r="C58" s="35" t="s">
        <v>2527</v>
      </c>
      <c r="D58" s="36" t="s">
        <v>4369</v>
      </c>
      <c r="E58" s="37">
        <v>43657</v>
      </c>
      <c r="F58" s="38" t="s">
        <v>5799</v>
      </c>
      <c r="G58" s="65">
        <v>760</v>
      </c>
      <c r="H58" s="38">
        <f>SUBTOTAL(9,G58)/190</f>
        <v>4</v>
      </c>
      <c r="I58" s="38">
        <f>H58/4</f>
        <v>1</v>
      </c>
      <c r="J58" s="38"/>
      <c r="K58" s="40">
        <v>43758</v>
      </c>
      <c r="L58" s="41" t="s">
        <v>5728</v>
      </c>
      <c r="M58" s="42">
        <v>43753</v>
      </c>
      <c r="N58" s="43" t="s">
        <v>4813</v>
      </c>
      <c r="O58" s="42">
        <v>43758</v>
      </c>
      <c r="P58" s="45"/>
      <c r="Q58" s="38"/>
      <c r="R58" s="66" t="s">
        <v>5806</v>
      </c>
      <c r="S58" s="46"/>
    </row>
    <row r="59" spans="2:19" s="30" customFormat="1" ht="33" customHeight="1">
      <c r="B59" s="46" t="s">
        <v>5805</v>
      </c>
      <c r="C59" s="35" t="s">
        <v>2528</v>
      </c>
      <c r="D59" s="36" t="s">
        <v>5804</v>
      </c>
      <c r="E59" s="37">
        <v>43700</v>
      </c>
      <c r="F59" s="38" t="s">
        <v>5803</v>
      </c>
      <c r="G59" s="65">
        <v>760</v>
      </c>
      <c r="H59" s="38">
        <f>SUBTOTAL(9,G59)/190</f>
        <v>4</v>
      </c>
      <c r="I59" s="38">
        <f>H59/4</f>
        <v>1</v>
      </c>
      <c r="J59" s="38"/>
      <c r="K59" s="40">
        <v>43802</v>
      </c>
      <c r="L59" s="41" t="s">
        <v>5437</v>
      </c>
      <c r="M59" s="42">
        <v>43795</v>
      </c>
      <c r="N59" s="43" t="s">
        <v>5429</v>
      </c>
      <c r="O59" s="42">
        <v>43800</v>
      </c>
      <c r="P59" s="45"/>
      <c r="Q59" s="38"/>
      <c r="R59" s="66" t="s">
        <v>5802</v>
      </c>
      <c r="S59" s="46"/>
    </row>
    <row r="60" spans="2:19" s="30" customFormat="1" ht="33" customHeight="1">
      <c r="B60" s="122" t="s">
        <v>5801</v>
      </c>
      <c r="C60" s="126" t="s">
        <v>2529</v>
      </c>
      <c r="D60" s="127" t="s">
        <v>5800</v>
      </c>
      <c r="E60" s="128">
        <v>43724</v>
      </c>
      <c r="F60" s="124" t="s">
        <v>5799</v>
      </c>
      <c r="G60" s="152">
        <v>760</v>
      </c>
      <c r="H60" s="124">
        <f>SUBTOTAL(9,G60)/190</f>
        <v>4</v>
      </c>
      <c r="I60" s="124">
        <f>H60/4</f>
        <v>1</v>
      </c>
      <c r="J60" s="124"/>
      <c r="K60" s="130">
        <v>43828</v>
      </c>
      <c r="L60" s="119" t="s">
        <v>5978</v>
      </c>
      <c r="M60" s="120">
        <v>43823</v>
      </c>
      <c r="N60" s="121" t="s">
        <v>5966</v>
      </c>
      <c r="O60" s="120">
        <v>43828</v>
      </c>
      <c r="P60" s="123"/>
      <c r="Q60" s="124"/>
      <c r="R60" s="134" t="s">
        <v>5798</v>
      </c>
      <c r="S60" s="122"/>
    </row>
    <row r="61" spans="2:19" s="33" customFormat="1" ht="33" customHeight="1">
      <c r="B61" s="47" t="s">
        <v>5795</v>
      </c>
      <c r="C61" s="48" t="s">
        <v>430</v>
      </c>
      <c r="D61" s="49" t="s">
        <v>2696</v>
      </c>
      <c r="E61" s="50">
        <v>43609</v>
      </c>
      <c r="F61" s="52" t="s">
        <v>77</v>
      </c>
      <c r="G61" s="51">
        <v>7680</v>
      </c>
      <c r="H61" s="52">
        <f t="shared" ref="H61:H66" si="6">SUM(G61/240)</f>
        <v>32</v>
      </c>
      <c r="I61" s="52">
        <f t="shared" ref="I61:I66" si="7">SUM(H61/4)</f>
        <v>8</v>
      </c>
      <c r="J61" s="52"/>
      <c r="K61" s="53">
        <v>43702</v>
      </c>
      <c r="L61" s="54" t="s">
        <v>2509</v>
      </c>
      <c r="M61" s="55">
        <v>43718</v>
      </c>
      <c r="N61" s="56" t="s">
        <v>2498</v>
      </c>
      <c r="O61" s="55">
        <v>43702</v>
      </c>
      <c r="P61" s="58"/>
      <c r="Q61" s="52"/>
      <c r="R61" s="118" t="s">
        <v>5797</v>
      </c>
      <c r="S61" s="47"/>
    </row>
    <row r="62" spans="2:19" s="33" customFormat="1" ht="33" customHeight="1">
      <c r="B62" s="47" t="s">
        <v>5795</v>
      </c>
      <c r="C62" s="48" t="s">
        <v>519</v>
      </c>
      <c r="D62" s="49" t="s">
        <v>3473</v>
      </c>
      <c r="E62" s="50">
        <v>43637</v>
      </c>
      <c r="F62" s="52" t="s">
        <v>77</v>
      </c>
      <c r="G62" s="51">
        <v>9600</v>
      </c>
      <c r="H62" s="52">
        <f t="shared" si="6"/>
        <v>40</v>
      </c>
      <c r="I62" s="52">
        <f t="shared" si="7"/>
        <v>10</v>
      </c>
      <c r="J62" s="52"/>
      <c r="K62" s="53">
        <v>43716</v>
      </c>
      <c r="L62" s="54" t="s">
        <v>5755</v>
      </c>
      <c r="M62" s="55">
        <v>43718</v>
      </c>
      <c r="N62" s="56" t="s">
        <v>5754</v>
      </c>
      <c r="O62" s="55">
        <v>43716</v>
      </c>
      <c r="P62" s="58"/>
      <c r="Q62" s="52"/>
      <c r="R62" s="118" t="s">
        <v>5796</v>
      </c>
      <c r="S62" s="47"/>
    </row>
    <row r="63" spans="2:19" s="30" customFormat="1" ht="33" customHeight="1">
      <c r="B63" s="46" t="s">
        <v>5795</v>
      </c>
      <c r="C63" s="35" t="s">
        <v>520</v>
      </c>
      <c r="D63" s="36" t="s">
        <v>4386</v>
      </c>
      <c r="E63" s="37">
        <v>43665</v>
      </c>
      <c r="F63" s="38" t="s">
        <v>77</v>
      </c>
      <c r="G63" s="39">
        <v>5760</v>
      </c>
      <c r="H63" s="38">
        <f t="shared" si="6"/>
        <v>24</v>
      </c>
      <c r="I63" s="38">
        <f t="shared" si="7"/>
        <v>6</v>
      </c>
      <c r="J63" s="38"/>
      <c r="K63" s="40">
        <v>43765</v>
      </c>
      <c r="L63" s="209" t="s">
        <v>4477</v>
      </c>
      <c r="M63" s="204">
        <v>43760</v>
      </c>
      <c r="N63" s="205" t="s">
        <v>5794</v>
      </c>
      <c r="O63" s="204">
        <v>43765</v>
      </c>
      <c r="P63" s="45"/>
      <c r="Q63" s="38"/>
      <c r="R63" s="115" t="s">
        <v>5793</v>
      </c>
      <c r="S63" s="208" t="s">
        <v>5985</v>
      </c>
    </row>
    <row r="64" spans="2:19" s="30" customFormat="1" ht="33" customHeight="1">
      <c r="B64" s="46" t="s">
        <v>5791</v>
      </c>
      <c r="C64" s="35" t="s">
        <v>586</v>
      </c>
      <c r="D64" s="36" t="s">
        <v>4932</v>
      </c>
      <c r="E64" s="37">
        <v>43689</v>
      </c>
      <c r="F64" s="38" t="s">
        <v>77</v>
      </c>
      <c r="G64" s="39">
        <v>5760</v>
      </c>
      <c r="H64" s="38">
        <f t="shared" si="6"/>
        <v>24</v>
      </c>
      <c r="I64" s="38">
        <f t="shared" si="7"/>
        <v>6</v>
      </c>
      <c r="J64" s="38"/>
      <c r="K64" s="40">
        <v>43793</v>
      </c>
      <c r="L64" s="41" t="s">
        <v>5788</v>
      </c>
      <c r="M64" s="42">
        <v>43718</v>
      </c>
      <c r="N64" s="43" t="s">
        <v>5792</v>
      </c>
      <c r="O64" s="42">
        <v>43793</v>
      </c>
      <c r="P64" s="45"/>
      <c r="Q64" s="38"/>
      <c r="R64" s="115" t="s">
        <v>5787</v>
      </c>
      <c r="S64" s="46"/>
    </row>
    <row r="65" spans="2:19" s="30" customFormat="1" ht="33" customHeight="1">
      <c r="B65" s="46" t="s">
        <v>5791</v>
      </c>
      <c r="C65" s="35" t="s">
        <v>5790</v>
      </c>
      <c r="D65" s="36" t="s">
        <v>5789</v>
      </c>
      <c r="E65" s="37">
        <v>43714</v>
      </c>
      <c r="F65" s="38" t="s">
        <v>77</v>
      </c>
      <c r="G65" s="39">
        <v>1920</v>
      </c>
      <c r="H65" s="38">
        <f t="shared" si="6"/>
        <v>8</v>
      </c>
      <c r="I65" s="38">
        <f t="shared" si="7"/>
        <v>2</v>
      </c>
      <c r="J65" s="38"/>
      <c r="K65" s="40">
        <v>43793</v>
      </c>
      <c r="L65" s="41" t="s">
        <v>5788</v>
      </c>
      <c r="M65" s="42">
        <v>43718</v>
      </c>
      <c r="N65" s="43" t="s">
        <v>5440</v>
      </c>
      <c r="O65" s="42">
        <v>43793</v>
      </c>
      <c r="P65" s="45"/>
      <c r="Q65" s="38"/>
      <c r="R65" s="115" t="s">
        <v>5787</v>
      </c>
      <c r="S65" s="46"/>
    </row>
    <row r="66" spans="2:19" s="30" customFormat="1" ht="33" customHeight="1">
      <c r="B66" s="122" t="s">
        <v>5786</v>
      </c>
      <c r="C66" s="126" t="s">
        <v>5785</v>
      </c>
      <c r="D66" s="127" t="s">
        <v>5784</v>
      </c>
      <c r="E66" s="128">
        <v>43724</v>
      </c>
      <c r="F66" s="124" t="s">
        <v>77</v>
      </c>
      <c r="G66" s="129">
        <v>8640</v>
      </c>
      <c r="H66" s="124">
        <f t="shared" si="6"/>
        <v>36</v>
      </c>
      <c r="I66" s="124">
        <f t="shared" si="7"/>
        <v>9</v>
      </c>
      <c r="J66" s="124"/>
      <c r="K66" s="130">
        <v>43814</v>
      </c>
      <c r="L66" s="119" t="s">
        <v>5974</v>
      </c>
      <c r="M66" s="120">
        <v>43809</v>
      </c>
      <c r="N66" s="121" t="s">
        <v>5963</v>
      </c>
      <c r="O66" s="120">
        <v>43814</v>
      </c>
      <c r="P66" s="123"/>
      <c r="Q66" s="124"/>
      <c r="R66" s="133" t="s">
        <v>5783</v>
      </c>
      <c r="S66" s="122"/>
    </row>
    <row r="67" spans="2:19" s="34" customFormat="1" ht="33" customHeight="1">
      <c r="B67" s="47" t="s">
        <v>5767</v>
      </c>
      <c r="C67" s="48" t="s">
        <v>2378</v>
      </c>
      <c r="D67" s="49" t="s">
        <v>5782</v>
      </c>
      <c r="E67" s="50">
        <v>43602</v>
      </c>
      <c r="F67" s="52" t="s">
        <v>218</v>
      </c>
      <c r="G67" s="51">
        <v>3200</v>
      </c>
      <c r="H67" s="52">
        <f t="shared" ref="H67:H90" si="8">SUM(G67/20)</f>
        <v>160</v>
      </c>
      <c r="I67" s="52">
        <f t="shared" ref="I67:I90" si="9">SUM(H67/32)</f>
        <v>5</v>
      </c>
      <c r="J67" s="52"/>
      <c r="K67" s="53">
        <v>43688</v>
      </c>
      <c r="L67" s="54" t="s">
        <v>2505</v>
      </c>
      <c r="M67" s="55">
        <v>43718</v>
      </c>
      <c r="N67" s="56" t="s">
        <v>5781</v>
      </c>
      <c r="O67" s="55">
        <v>43688</v>
      </c>
      <c r="P67" s="58"/>
      <c r="Q67" s="52" t="s">
        <v>2762</v>
      </c>
      <c r="R67" s="63" t="s">
        <v>211</v>
      </c>
      <c r="S67" s="47" t="s">
        <v>2764</v>
      </c>
    </row>
    <row r="68" spans="2:19" s="34" customFormat="1" ht="33" customHeight="1">
      <c r="B68" s="47" t="s">
        <v>5767</v>
      </c>
      <c r="C68" s="48" t="s">
        <v>2430</v>
      </c>
      <c r="D68" s="199" t="s">
        <v>5780</v>
      </c>
      <c r="E68" s="50">
        <v>43602</v>
      </c>
      <c r="F68" s="52" t="s">
        <v>218</v>
      </c>
      <c r="G68" s="51">
        <v>3200</v>
      </c>
      <c r="H68" s="52">
        <f t="shared" si="8"/>
        <v>160</v>
      </c>
      <c r="I68" s="52">
        <f t="shared" si="9"/>
        <v>5</v>
      </c>
      <c r="J68" s="52"/>
      <c r="K68" s="53">
        <v>43702</v>
      </c>
      <c r="L68" s="54" t="s">
        <v>2509</v>
      </c>
      <c r="M68" s="55">
        <v>43718</v>
      </c>
      <c r="N68" s="56" t="s">
        <v>5730</v>
      </c>
      <c r="O68" s="55">
        <v>43702</v>
      </c>
      <c r="P68" s="58"/>
      <c r="Q68" s="52" t="s">
        <v>2517</v>
      </c>
      <c r="R68" s="63" t="s">
        <v>211</v>
      </c>
      <c r="S68" s="52"/>
    </row>
    <row r="69" spans="2:19" s="32" customFormat="1" ht="33" customHeight="1">
      <c r="B69" s="46" t="s">
        <v>5767</v>
      </c>
      <c r="C69" s="35" t="s">
        <v>3499</v>
      </c>
      <c r="D69" s="190" t="s">
        <v>3500</v>
      </c>
      <c r="E69" s="37">
        <v>43637</v>
      </c>
      <c r="F69" s="38" t="s">
        <v>218</v>
      </c>
      <c r="G69" s="39">
        <v>3200</v>
      </c>
      <c r="H69" s="38">
        <f t="shared" si="8"/>
        <v>160</v>
      </c>
      <c r="I69" s="38">
        <f t="shared" si="9"/>
        <v>5</v>
      </c>
      <c r="J69" s="38"/>
      <c r="K69" s="40">
        <v>43730</v>
      </c>
      <c r="L69" s="41" t="s">
        <v>5779</v>
      </c>
      <c r="M69" s="42">
        <v>43725</v>
      </c>
      <c r="N69" s="43" t="s">
        <v>5720</v>
      </c>
      <c r="O69" s="42">
        <v>43730</v>
      </c>
      <c r="P69" s="45"/>
      <c r="Q69" s="38" t="s">
        <v>5778</v>
      </c>
      <c r="R69" s="66" t="s">
        <v>211</v>
      </c>
      <c r="S69" s="38"/>
    </row>
    <row r="70" spans="2:19" s="32" customFormat="1" ht="33" customHeight="1">
      <c r="B70" s="46" t="s">
        <v>5760</v>
      </c>
      <c r="C70" s="35" t="s">
        <v>3501</v>
      </c>
      <c r="D70" s="190" t="s">
        <v>3502</v>
      </c>
      <c r="E70" s="37">
        <v>43637</v>
      </c>
      <c r="F70" s="38" t="s">
        <v>218</v>
      </c>
      <c r="G70" s="39">
        <v>3200</v>
      </c>
      <c r="H70" s="38">
        <f t="shared" si="8"/>
        <v>160</v>
      </c>
      <c r="I70" s="38">
        <f t="shared" si="9"/>
        <v>5</v>
      </c>
      <c r="J70" s="38"/>
      <c r="K70" s="40">
        <v>43737</v>
      </c>
      <c r="L70" s="41" t="s">
        <v>5777</v>
      </c>
      <c r="M70" s="42">
        <v>43732</v>
      </c>
      <c r="N70" s="43" t="s">
        <v>5776</v>
      </c>
      <c r="O70" s="42">
        <v>43737</v>
      </c>
      <c r="P70" s="45"/>
      <c r="Q70" s="38" t="s">
        <v>5427</v>
      </c>
      <c r="R70" s="66" t="s">
        <v>211</v>
      </c>
      <c r="S70" s="38"/>
    </row>
    <row r="71" spans="2:19" s="34" customFormat="1" ht="33" customHeight="1">
      <c r="B71" s="47" t="s">
        <v>5760</v>
      </c>
      <c r="C71" s="48" t="s">
        <v>4103</v>
      </c>
      <c r="D71" s="199" t="s">
        <v>4408</v>
      </c>
      <c r="E71" s="50">
        <v>43657</v>
      </c>
      <c r="F71" s="52" t="s">
        <v>218</v>
      </c>
      <c r="G71" s="51">
        <v>3200</v>
      </c>
      <c r="H71" s="52">
        <f t="shared" si="8"/>
        <v>160</v>
      </c>
      <c r="I71" s="52">
        <f t="shared" si="9"/>
        <v>5</v>
      </c>
      <c r="J71" s="52"/>
      <c r="K71" s="53">
        <v>43723</v>
      </c>
      <c r="L71" s="54" t="s">
        <v>5775</v>
      </c>
      <c r="M71" s="55">
        <v>43718</v>
      </c>
      <c r="N71" s="56" t="s">
        <v>5774</v>
      </c>
      <c r="O71" s="55">
        <v>43723</v>
      </c>
      <c r="P71" s="58"/>
      <c r="Q71" s="52" t="s">
        <v>5773</v>
      </c>
      <c r="R71" s="63" t="s">
        <v>211</v>
      </c>
      <c r="S71" s="52"/>
    </row>
    <row r="72" spans="2:19" s="32" customFormat="1" ht="33" customHeight="1">
      <c r="B72" s="46" t="s">
        <v>5767</v>
      </c>
      <c r="C72" s="35" t="s">
        <v>4410</v>
      </c>
      <c r="D72" s="190" t="s">
        <v>4411</v>
      </c>
      <c r="E72" s="37">
        <v>43665</v>
      </c>
      <c r="F72" s="38" t="s">
        <v>218</v>
      </c>
      <c r="G72" s="39">
        <v>3200</v>
      </c>
      <c r="H72" s="38">
        <f t="shared" si="8"/>
        <v>160</v>
      </c>
      <c r="I72" s="38">
        <f t="shared" si="9"/>
        <v>5</v>
      </c>
      <c r="J72" s="38"/>
      <c r="K72" s="40">
        <v>43751</v>
      </c>
      <c r="L72" s="41" t="s">
        <v>4475</v>
      </c>
      <c r="M72" s="42">
        <v>43746</v>
      </c>
      <c r="N72" s="43" t="s">
        <v>5745</v>
      </c>
      <c r="O72" s="42">
        <v>43751</v>
      </c>
      <c r="P72" s="45"/>
      <c r="Q72" s="66" t="s">
        <v>5744</v>
      </c>
      <c r="R72" s="66" t="s">
        <v>5770</v>
      </c>
      <c r="S72" s="38"/>
    </row>
    <row r="73" spans="2:19" s="32" customFormat="1" ht="33" customHeight="1">
      <c r="B73" s="46" t="s">
        <v>5767</v>
      </c>
      <c r="C73" s="35" t="s">
        <v>4412</v>
      </c>
      <c r="D73" s="190" t="s">
        <v>4413</v>
      </c>
      <c r="E73" s="37">
        <v>43665</v>
      </c>
      <c r="F73" s="38" t="s">
        <v>218</v>
      </c>
      <c r="G73" s="39">
        <v>3200</v>
      </c>
      <c r="H73" s="38">
        <f t="shared" si="8"/>
        <v>160</v>
      </c>
      <c r="I73" s="38">
        <f t="shared" si="9"/>
        <v>5</v>
      </c>
      <c r="J73" s="38"/>
      <c r="K73" s="40">
        <v>43758</v>
      </c>
      <c r="L73" s="41" t="s">
        <v>4479</v>
      </c>
      <c r="M73" s="42">
        <v>43753</v>
      </c>
      <c r="N73" s="43" t="s">
        <v>5727</v>
      </c>
      <c r="O73" s="42">
        <v>43758</v>
      </c>
      <c r="P73" s="45"/>
      <c r="Q73" s="66" t="s">
        <v>4818</v>
      </c>
      <c r="R73" s="66" t="s">
        <v>5770</v>
      </c>
      <c r="S73" s="38"/>
    </row>
    <row r="74" spans="2:19" s="32" customFormat="1" ht="33" customHeight="1">
      <c r="B74" s="46" t="s">
        <v>5767</v>
      </c>
      <c r="C74" s="35" t="s">
        <v>4414</v>
      </c>
      <c r="D74" s="190" t="s">
        <v>4415</v>
      </c>
      <c r="E74" s="37">
        <v>43665</v>
      </c>
      <c r="F74" s="38" t="s">
        <v>218</v>
      </c>
      <c r="G74" s="39">
        <v>3200</v>
      </c>
      <c r="H74" s="38">
        <f t="shared" si="8"/>
        <v>160</v>
      </c>
      <c r="I74" s="38">
        <f t="shared" si="9"/>
        <v>5</v>
      </c>
      <c r="J74" s="38"/>
      <c r="K74" s="40">
        <v>43765</v>
      </c>
      <c r="L74" s="209" t="s">
        <v>4477</v>
      </c>
      <c r="M74" s="204">
        <v>43760</v>
      </c>
      <c r="N74" s="205" t="s">
        <v>5772</v>
      </c>
      <c r="O74" s="204">
        <v>43765</v>
      </c>
      <c r="P74" s="45"/>
      <c r="Q74" s="66" t="s">
        <v>4817</v>
      </c>
      <c r="R74" s="66" t="s">
        <v>5770</v>
      </c>
      <c r="S74" s="208" t="s">
        <v>5985</v>
      </c>
    </row>
    <row r="75" spans="2:19" s="32" customFormat="1" ht="33" customHeight="1">
      <c r="B75" s="46" t="s">
        <v>5767</v>
      </c>
      <c r="C75" s="35" t="s">
        <v>4550</v>
      </c>
      <c r="D75" s="190" t="s">
        <v>5771</v>
      </c>
      <c r="E75" s="37">
        <v>43679</v>
      </c>
      <c r="F75" s="38" t="s">
        <v>218</v>
      </c>
      <c r="G75" s="39">
        <v>3200</v>
      </c>
      <c r="H75" s="38">
        <f t="shared" si="8"/>
        <v>160</v>
      </c>
      <c r="I75" s="38">
        <f t="shared" si="9"/>
        <v>5</v>
      </c>
      <c r="J75" s="38"/>
      <c r="K75" s="40">
        <v>43765</v>
      </c>
      <c r="L75" s="209" t="s">
        <v>4477</v>
      </c>
      <c r="M75" s="204">
        <v>43760</v>
      </c>
      <c r="N75" s="205" t="s">
        <v>4549</v>
      </c>
      <c r="O75" s="204">
        <v>43765</v>
      </c>
      <c r="P75" s="45"/>
      <c r="Q75" s="66" t="s">
        <v>4817</v>
      </c>
      <c r="R75" s="66" t="s">
        <v>5770</v>
      </c>
      <c r="S75" s="208" t="s">
        <v>5985</v>
      </c>
    </row>
    <row r="76" spans="2:19" s="32" customFormat="1" ht="33" customHeight="1">
      <c r="B76" s="46" t="s">
        <v>5767</v>
      </c>
      <c r="C76" s="35" t="s">
        <v>4899</v>
      </c>
      <c r="D76" s="190" t="s">
        <v>5769</v>
      </c>
      <c r="E76" s="37">
        <v>43689</v>
      </c>
      <c r="F76" s="38" t="s">
        <v>218</v>
      </c>
      <c r="G76" s="39">
        <v>3200</v>
      </c>
      <c r="H76" s="38">
        <f t="shared" si="8"/>
        <v>160</v>
      </c>
      <c r="I76" s="38">
        <f t="shared" si="9"/>
        <v>5</v>
      </c>
      <c r="J76" s="38"/>
      <c r="K76" s="40">
        <v>43779</v>
      </c>
      <c r="L76" s="142" t="s">
        <v>6249</v>
      </c>
      <c r="M76" s="42">
        <v>43774</v>
      </c>
      <c r="N76" s="43" t="s">
        <v>5746</v>
      </c>
      <c r="O76" s="42">
        <v>43779</v>
      </c>
      <c r="P76" s="45"/>
      <c r="Q76" s="66" t="s">
        <v>5768</v>
      </c>
      <c r="R76" s="66" t="s">
        <v>211</v>
      </c>
      <c r="S76" s="38"/>
    </row>
    <row r="77" spans="2:19" s="32" customFormat="1" ht="33" customHeight="1">
      <c r="B77" s="46" t="s">
        <v>5767</v>
      </c>
      <c r="C77" s="35" t="s">
        <v>4897</v>
      </c>
      <c r="D77" s="190" t="s">
        <v>5766</v>
      </c>
      <c r="E77" s="37">
        <v>43689</v>
      </c>
      <c r="F77" s="38" t="s">
        <v>218</v>
      </c>
      <c r="G77" s="39">
        <v>3200</v>
      </c>
      <c r="H77" s="38">
        <f t="shared" si="8"/>
        <v>160</v>
      </c>
      <c r="I77" s="38">
        <f t="shared" si="9"/>
        <v>5</v>
      </c>
      <c r="J77" s="38"/>
      <c r="K77" s="40">
        <v>43793</v>
      </c>
      <c r="L77" s="41" t="s">
        <v>5765</v>
      </c>
      <c r="M77" s="42">
        <v>43788</v>
      </c>
      <c r="N77" s="43" t="s">
        <v>5764</v>
      </c>
      <c r="O77" s="42">
        <v>43793</v>
      </c>
      <c r="P77" s="45"/>
      <c r="Q77" s="66" t="s">
        <v>5763</v>
      </c>
      <c r="R77" s="66" t="s">
        <v>211</v>
      </c>
      <c r="S77" s="38"/>
    </row>
    <row r="78" spans="2:19" s="32" customFormat="1" ht="33" customHeight="1">
      <c r="B78" s="46" t="s">
        <v>5760</v>
      </c>
      <c r="C78" s="35" t="s">
        <v>5762</v>
      </c>
      <c r="D78" s="190" t="s">
        <v>5979</v>
      </c>
      <c r="E78" s="37">
        <v>43724</v>
      </c>
      <c r="F78" s="38" t="s">
        <v>218</v>
      </c>
      <c r="G78" s="39">
        <v>3200</v>
      </c>
      <c r="H78" s="38">
        <f t="shared" si="8"/>
        <v>160</v>
      </c>
      <c r="I78" s="38">
        <f t="shared" si="9"/>
        <v>5</v>
      </c>
      <c r="J78" s="38"/>
      <c r="K78" s="40">
        <v>43800</v>
      </c>
      <c r="L78" s="41" t="s">
        <v>5973</v>
      </c>
      <c r="M78" s="42">
        <v>43795</v>
      </c>
      <c r="N78" s="43" t="s">
        <v>5967</v>
      </c>
      <c r="O78" s="42">
        <v>43800</v>
      </c>
      <c r="P78" s="45"/>
      <c r="Q78" s="66"/>
      <c r="R78" s="66" t="s">
        <v>211</v>
      </c>
      <c r="S78" s="38"/>
    </row>
    <row r="79" spans="2:19" s="32" customFormat="1" ht="33" customHeight="1">
      <c r="B79" s="46" t="s">
        <v>5760</v>
      </c>
      <c r="C79" s="35" t="s">
        <v>5761</v>
      </c>
      <c r="D79" s="190" t="s">
        <v>5980</v>
      </c>
      <c r="E79" s="37">
        <v>43724</v>
      </c>
      <c r="F79" s="38" t="s">
        <v>218</v>
      </c>
      <c r="G79" s="39">
        <v>3200</v>
      </c>
      <c r="H79" s="38">
        <f t="shared" si="8"/>
        <v>160</v>
      </c>
      <c r="I79" s="38">
        <f t="shared" si="9"/>
        <v>5</v>
      </c>
      <c r="J79" s="38"/>
      <c r="K79" s="40">
        <v>43814</v>
      </c>
      <c r="L79" s="41" t="s">
        <v>5974</v>
      </c>
      <c r="M79" s="42">
        <v>43809</v>
      </c>
      <c r="N79" s="43" t="s">
        <v>5963</v>
      </c>
      <c r="O79" s="42">
        <v>43814</v>
      </c>
      <c r="P79" s="45"/>
      <c r="Q79" s="66"/>
      <c r="R79" s="66" t="s">
        <v>211</v>
      </c>
      <c r="S79" s="38"/>
    </row>
    <row r="80" spans="2:19" s="32" customFormat="1" ht="33" customHeight="1">
      <c r="B80" s="46" t="s">
        <v>5760</v>
      </c>
      <c r="C80" s="35" t="s">
        <v>5759</v>
      </c>
      <c r="D80" s="190" t="s">
        <v>5758</v>
      </c>
      <c r="E80" s="37">
        <v>43724</v>
      </c>
      <c r="F80" s="38" t="s">
        <v>218</v>
      </c>
      <c r="G80" s="39">
        <v>6400</v>
      </c>
      <c r="H80" s="38">
        <f t="shared" si="8"/>
        <v>320</v>
      </c>
      <c r="I80" s="38">
        <f t="shared" si="9"/>
        <v>10</v>
      </c>
      <c r="J80" s="38"/>
      <c r="K80" s="40">
        <v>43487</v>
      </c>
      <c r="L80" s="41" t="s">
        <v>5976</v>
      </c>
      <c r="M80" s="42">
        <v>43479</v>
      </c>
      <c r="N80" s="43" t="s">
        <v>5968</v>
      </c>
      <c r="O80" s="42">
        <v>43484</v>
      </c>
      <c r="P80" s="45"/>
      <c r="Q80" s="66"/>
      <c r="R80" s="66" t="s">
        <v>211</v>
      </c>
      <c r="S80" s="38"/>
    </row>
    <row r="81" spans="1:19" s="153" customFormat="1" ht="33" customHeight="1">
      <c r="B81" s="103" t="s">
        <v>6160</v>
      </c>
      <c r="C81" s="104" t="s">
        <v>6189</v>
      </c>
      <c r="D81" s="189" t="s">
        <v>6242</v>
      </c>
      <c r="E81" s="106">
        <v>43728</v>
      </c>
      <c r="F81" s="107" t="s">
        <v>218</v>
      </c>
      <c r="G81" s="108">
        <v>3200</v>
      </c>
      <c r="H81" s="107">
        <f t="shared" si="8"/>
        <v>160</v>
      </c>
      <c r="I81" s="107">
        <f t="shared" si="9"/>
        <v>5</v>
      </c>
      <c r="J81" s="107"/>
      <c r="K81" s="109">
        <v>43828</v>
      </c>
      <c r="L81" s="110" t="s">
        <v>6241</v>
      </c>
      <c r="M81" s="111">
        <v>43823</v>
      </c>
      <c r="N81" s="112" t="s">
        <v>6237</v>
      </c>
      <c r="O81" s="111">
        <v>43828</v>
      </c>
      <c r="P81" s="113"/>
      <c r="Q81" s="116"/>
      <c r="R81" s="116" t="s">
        <v>211</v>
      </c>
      <c r="S81" s="107"/>
    </row>
    <row r="82" spans="1:19" s="34" customFormat="1" ht="33" customHeight="1">
      <c r="B82" s="47" t="s">
        <v>5451</v>
      </c>
      <c r="C82" s="48" t="s">
        <v>2088</v>
      </c>
      <c r="D82" s="49" t="s">
        <v>5757</v>
      </c>
      <c r="E82" s="50">
        <v>43595</v>
      </c>
      <c r="F82" s="52" t="s">
        <v>5756</v>
      </c>
      <c r="G82" s="51">
        <v>640</v>
      </c>
      <c r="H82" s="52">
        <f t="shared" si="8"/>
        <v>32</v>
      </c>
      <c r="I82" s="52">
        <f t="shared" si="9"/>
        <v>1</v>
      </c>
      <c r="J82" s="52"/>
      <c r="K82" s="53">
        <v>43709</v>
      </c>
      <c r="L82" s="54" t="s">
        <v>5755</v>
      </c>
      <c r="M82" s="55">
        <v>43711</v>
      </c>
      <c r="N82" s="56" t="s">
        <v>5754</v>
      </c>
      <c r="O82" s="55">
        <v>43716</v>
      </c>
      <c r="P82" s="58"/>
      <c r="Q82" s="63" t="s">
        <v>2548</v>
      </c>
      <c r="R82" s="63" t="s">
        <v>211</v>
      </c>
      <c r="S82" s="47" t="s">
        <v>5753</v>
      </c>
    </row>
    <row r="83" spans="1:19" s="32" customFormat="1" ht="33" customHeight="1">
      <c r="B83" s="46" t="s">
        <v>5741</v>
      </c>
      <c r="C83" s="35" t="s">
        <v>208</v>
      </c>
      <c r="D83" s="190" t="s">
        <v>5752</v>
      </c>
      <c r="E83" s="37">
        <v>43602</v>
      </c>
      <c r="F83" s="38" t="s">
        <v>5739</v>
      </c>
      <c r="G83" s="39">
        <v>640</v>
      </c>
      <c r="H83" s="38">
        <f t="shared" si="8"/>
        <v>32</v>
      </c>
      <c r="I83" s="38">
        <f t="shared" si="9"/>
        <v>1</v>
      </c>
      <c r="J83" s="38"/>
      <c r="K83" s="196">
        <v>43737</v>
      </c>
      <c r="L83" s="41" t="s">
        <v>5462</v>
      </c>
      <c r="M83" s="42">
        <v>43725</v>
      </c>
      <c r="N83" s="43" t="s">
        <v>5463</v>
      </c>
      <c r="O83" s="42">
        <v>43730</v>
      </c>
      <c r="P83" s="45"/>
      <c r="Q83" s="66" t="s">
        <v>5749</v>
      </c>
      <c r="R83" s="66" t="s">
        <v>211</v>
      </c>
      <c r="S83" s="38" t="s">
        <v>5467</v>
      </c>
    </row>
    <row r="84" spans="1:19" s="32" customFormat="1" ht="33" customHeight="1">
      <c r="B84" s="46" t="s">
        <v>5451</v>
      </c>
      <c r="C84" s="35" t="s">
        <v>5751</v>
      </c>
      <c r="D84" s="190" t="s">
        <v>5750</v>
      </c>
      <c r="E84" s="37">
        <v>43693</v>
      </c>
      <c r="F84" s="38" t="s">
        <v>5739</v>
      </c>
      <c r="G84" s="39">
        <v>640</v>
      </c>
      <c r="H84" s="38">
        <f t="shared" si="8"/>
        <v>32</v>
      </c>
      <c r="I84" s="38">
        <f t="shared" si="9"/>
        <v>1</v>
      </c>
      <c r="J84" s="38"/>
      <c r="K84" s="196">
        <v>43737</v>
      </c>
      <c r="L84" s="41" t="s">
        <v>5462</v>
      </c>
      <c r="M84" s="42">
        <v>43725</v>
      </c>
      <c r="N84" s="43" t="s">
        <v>5463</v>
      </c>
      <c r="O84" s="42">
        <v>43730</v>
      </c>
      <c r="P84" s="45"/>
      <c r="Q84" s="66" t="s">
        <v>5749</v>
      </c>
      <c r="R84" s="66" t="s">
        <v>211</v>
      </c>
      <c r="S84" s="38" t="s">
        <v>5748</v>
      </c>
    </row>
    <row r="85" spans="1:19" s="32" customFormat="1" ht="33" customHeight="1">
      <c r="A85" s="32" t="s">
        <v>6251</v>
      </c>
      <c r="B85" s="46" t="s">
        <v>5451</v>
      </c>
      <c r="C85" s="35" t="s">
        <v>212</v>
      </c>
      <c r="D85" s="190" t="s">
        <v>5747</v>
      </c>
      <c r="E85" s="37">
        <v>43602</v>
      </c>
      <c r="F85" s="38" t="s">
        <v>5739</v>
      </c>
      <c r="G85" s="140">
        <v>1280</v>
      </c>
      <c r="H85" s="139">
        <f t="shared" si="8"/>
        <v>64</v>
      </c>
      <c r="I85" s="139">
        <f t="shared" si="9"/>
        <v>2</v>
      </c>
      <c r="J85" s="38"/>
      <c r="K85" s="40">
        <v>43779</v>
      </c>
      <c r="L85" s="142" t="s">
        <v>6247</v>
      </c>
      <c r="M85" s="143">
        <v>43753</v>
      </c>
      <c r="N85" s="144" t="s">
        <v>4471</v>
      </c>
      <c r="O85" s="143">
        <v>43758</v>
      </c>
      <c r="P85" s="45"/>
      <c r="Q85" s="38" t="s">
        <v>4823</v>
      </c>
      <c r="R85" s="66" t="s">
        <v>211</v>
      </c>
      <c r="S85" s="38"/>
    </row>
    <row r="86" spans="1:19" s="32" customFormat="1" ht="33" customHeight="1">
      <c r="A86" s="32" t="s">
        <v>6250</v>
      </c>
      <c r="B86" s="46" t="s">
        <v>5451</v>
      </c>
      <c r="C86" s="35" t="s">
        <v>2531</v>
      </c>
      <c r="D86" s="190" t="s">
        <v>4426</v>
      </c>
      <c r="E86" s="37">
        <v>43665</v>
      </c>
      <c r="F86" s="38" t="s">
        <v>5739</v>
      </c>
      <c r="G86" s="39">
        <v>1920</v>
      </c>
      <c r="H86" s="38">
        <f t="shared" si="8"/>
        <v>96</v>
      </c>
      <c r="I86" s="38">
        <f t="shared" si="9"/>
        <v>3</v>
      </c>
      <c r="J86" s="38"/>
      <c r="K86" s="40">
        <v>43751</v>
      </c>
      <c r="L86" s="142" t="s">
        <v>6243</v>
      </c>
      <c r="M86" s="143">
        <v>43741</v>
      </c>
      <c r="N86" s="144" t="s">
        <v>6244</v>
      </c>
      <c r="O86" s="143">
        <v>43745</v>
      </c>
      <c r="P86" s="45"/>
      <c r="Q86" s="66" t="s">
        <v>5744</v>
      </c>
      <c r="R86" s="66" t="s">
        <v>211</v>
      </c>
      <c r="S86" s="38"/>
    </row>
    <row r="87" spans="1:19" s="32" customFormat="1" ht="33" customHeight="1">
      <c r="B87" s="46" t="s">
        <v>5451</v>
      </c>
      <c r="C87" s="35" t="s">
        <v>5417</v>
      </c>
      <c r="D87" s="190" t="s">
        <v>5743</v>
      </c>
      <c r="E87" s="37">
        <v>43700</v>
      </c>
      <c r="F87" s="38" t="s">
        <v>5739</v>
      </c>
      <c r="G87" s="39">
        <v>640</v>
      </c>
      <c r="H87" s="38">
        <f t="shared" si="8"/>
        <v>32</v>
      </c>
      <c r="I87" s="38">
        <f t="shared" si="9"/>
        <v>1</v>
      </c>
      <c r="J87" s="38"/>
      <c r="K87" s="40">
        <v>43765</v>
      </c>
      <c r="L87" s="142" t="s">
        <v>4475</v>
      </c>
      <c r="M87" s="143">
        <v>43746</v>
      </c>
      <c r="N87" s="144" t="s">
        <v>6245</v>
      </c>
      <c r="O87" s="143">
        <v>43751</v>
      </c>
      <c r="P87" s="45"/>
      <c r="Q87" s="38" t="s">
        <v>5742</v>
      </c>
      <c r="R87" s="66" t="s">
        <v>211</v>
      </c>
      <c r="S87" s="208" t="s">
        <v>5985</v>
      </c>
    </row>
    <row r="88" spans="1:19" s="32" customFormat="1" ht="33" customHeight="1">
      <c r="B88" s="46" t="s">
        <v>5741</v>
      </c>
      <c r="C88" s="35" t="s">
        <v>5418</v>
      </c>
      <c r="D88" s="190" t="s">
        <v>5740</v>
      </c>
      <c r="E88" s="37">
        <v>43700</v>
      </c>
      <c r="F88" s="38" t="s">
        <v>5739</v>
      </c>
      <c r="G88" s="140">
        <v>1920</v>
      </c>
      <c r="H88" s="139">
        <f t="shared" si="8"/>
        <v>96</v>
      </c>
      <c r="I88" s="139">
        <f t="shared" si="9"/>
        <v>3</v>
      </c>
      <c r="J88" s="38"/>
      <c r="K88" s="40">
        <v>43807</v>
      </c>
      <c r="L88" s="142" t="s">
        <v>5738</v>
      </c>
      <c r="M88" s="143">
        <v>43767</v>
      </c>
      <c r="N88" s="144" t="s">
        <v>4165</v>
      </c>
      <c r="O88" s="143">
        <v>43772</v>
      </c>
      <c r="P88" s="45"/>
      <c r="Q88" s="38" t="s">
        <v>5737</v>
      </c>
      <c r="R88" s="66" t="s">
        <v>211</v>
      </c>
      <c r="S88" s="38"/>
    </row>
    <row r="89" spans="1:19" s="32" customFormat="1" ht="33" customHeight="1">
      <c r="B89" s="122" t="s">
        <v>5451</v>
      </c>
      <c r="C89" s="126" t="s">
        <v>5736</v>
      </c>
      <c r="D89" s="187" t="s">
        <v>5735</v>
      </c>
      <c r="E89" s="128">
        <v>43724</v>
      </c>
      <c r="F89" s="124" t="s">
        <v>5734</v>
      </c>
      <c r="G89" s="140">
        <v>1920</v>
      </c>
      <c r="H89" s="139">
        <f t="shared" si="8"/>
        <v>96</v>
      </c>
      <c r="I89" s="139">
        <f t="shared" si="9"/>
        <v>3</v>
      </c>
      <c r="J89" s="124"/>
      <c r="K89" s="130">
        <v>43814</v>
      </c>
      <c r="L89" s="142" t="s">
        <v>6248</v>
      </c>
      <c r="M89" s="143">
        <v>43781</v>
      </c>
      <c r="N89" s="144" t="s">
        <v>6246</v>
      </c>
      <c r="O89" s="143">
        <v>43786</v>
      </c>
      <c r="P89" s="123"/>
      <c r="Q89" s="124"/>
      <c r="R89" s="134" t="s">
        <v>211</v>
      </c>
      <c r="S89" s="124"/>
    </row>
    <row r="90" spans="1:19" s="153" customFormat="1" ht="33" customHeight="1">
      <c r="B90" s="103" t="s">
        <v>5451</v>
      </c>
      <c r="C90" s="104" t="s">
        <v>225</v>
      </c>
      <c r="D90" s="189" t="s">
        <v>6240</v>
      </c>
      <c r="E90" s="106">
        <v>43728</v>
      </c>
      <c r="F90" s="107" t="s">
        <v>5734</v>
      </c>
      <c r="G90" s="108">
        <v>1280</v>
      </c>
      <c r="H90" s="107">
        <f t="shared" si="8"/>
        <v>64</v>
      </c>
      <c r="I90" s="107">
        <f t="shared" si="9"/>
        <v>2</v>
      </c>
      <c r="J90" s="107"/>
      <c r="K90" s="109">
        <v>43786</v>
      </c>
      <c r="L90" s="110" t="s">
        <v>6239</v>
      </c>
      <c r="M90" s="111">
        <v>43781</v>
      </c>
      <c r="N90" s="112" t="s">
        <v>6238</v>
      </c>
      <c r="O90" s="111">
        <v>43786</v>
      </c>
      <c r="P90" s="113"/>
      <c r="Q90" s="107"/>
      <c r="R90" s="116" t="s">
        <v>211</v>
      </c>
      <c r="S90" s="107"/>
    </row>
    <row r="91" spans="1:19" s="33" customFormat="1" ht="33" customHeight="1">
      <c r="B91" s="47" t="s">
        <v>2514</v>
      </c>
      <c r="C91" s="48" t="s">
        <v>5733</v>
      </c>
      <c r="D91" s="49" t="s">
        <v>5732</v>
      </c>
      <c r="E91" s="50">
        <v>43602</v>
      </c>
      <c r="F91" s="52" t="s">
        <v>2516</v>
      </c>
      <c r="G91" s="51">
        <v>1520</v>
      </c>
      <c r="H91" s="52">
        <v>8</v>
      </c>
      <c r="I91" s="52">
        <v>2</v>
      </c>
      <c r="J91" s="52"/>
      <c r="K91" s="53">
        <v>43702</v>
      </c>
      <c r="L91" s="54" t="s">
        <v>5731</v>
      </c>
      <c r="M91" s="55">
        <v>43697</v>
      </c>
      <c r="N91" s="56" t="s">
        <v>5730</v>
      </c>
      <c r="O91" s="55">
        <v>43702</v>
      </c>
      <c r="P91" s="58"/>
      <c r="Q91" s="52"/>
      <c r="R91" s="63" t="s">
        <v>5729</v>
      </c>
      <c r="S91" s="47"/>
    </row>
    <row r="92" spans="1:19" s="30" customFormat="1" ht="33" customHeight="1">
      <c r="B92" s="46" t="s">
        <v>2514</v>
      </c>
      <c r="C92" s="35" t="s">
        <v>285</v>
      </c>
      <c r="D92" s="36" t="s">
        <v>4436</v>
      </c>
      <c r="E92" s="37">
        <v>43665</v>
      </c>
      <c r="F92" s="38" t="s">
        <v>2516</v>
      </c>
      <c r="G92" s="39">
        <v>1520</v>
      </c>
      <c r="H92" s="38">
        <v>8</v>
      </c>
      <c r="I92" s="38">
        <v>2</v>
      </c>
      <c r="J92" s="38"/>
      <c r="K92" s="40">
        <v>43758</v>
      </c>
      <c r="L92" s="41" t="s">
        <v>5728</v>
      </c>
      <c r="M92" s="42">
        <v>43753</v>
      </c>
      <c r="N92" s="43" t="s">
        <v>5727</v>
      </c>
      <c r="O92" s="42">
        <v>43758</v>
      </c>
      <c r="P92" s="45"/>
      <c r="Q92" s="38"/>
      <c r="R92" s="66" t="s">
        <v>5726</v>
      </c>
      <c r="S92" s="46"/>
    </row>
    <row r="93" spans="1:19" s="30" customFormat="1" ht="33" customHeight="1">
      <c r="B93" s="46" t="s">
        <v>2514</v>
      </c>
      <c r="C93" s="35" t="s">
        <v>331</v>
      </c>
      <c r="D93" s="36" t="s">
        <v>4864</v>
      </c>
      <c r="E93" s="37">
        <v>43689</v>
      </c>
      <c r="F93" s="38" t="s">
        <v>2516</v>
      </c>
      <c r="G93" s="39">
        <v>1520</v>
      </c>
      <c r="H93" s="38">
        <v>8</v>
      </c>
      <c r="I93" s="38">
        <v>2</v>
      </c>
      <c r="J93" s="38"/>
      <c r="K93" s="40">
        <v>43802</v>
      </c>
      <c r="L93" s="41" t="s">
        <v>5725</v>
      </c>
      <c r="M93" s="42">
        <v>43795</v>
      </c>
      <c r="N93" s="43" t="s">
        <v>5724</v>
      </c>
      <c r="O93" s="42">
        <v>43800</v>
      </c>
      <c r="P93" s="45"/>
      <c r="Q93" s="38"/>
      <c r="R93" s="66" t="s">
        <v>5723</v>
      </c>
      <c r="S93" s="46"/>
    </row>
    <row r="94" spans="1:19" s="30" customFormat="1" ht="33" customHeight="1">
      <c r="B94" s="46" t="s">
        <v>5719</v>
      </c>
      <c r="C94" s="35" t="s">
        <v>431</v>
      </c>
      <c r="D94" s="36" t="s">
        <v>5722</v>
      </c>
      <c r="E94" s="37">
        <v>43637</v>
      </c>
      <c r="F94" s="38" t="s">
        <v>236</v>
      </c>
      <c r="G94" s="39">
        <v>3200</v>
      </c>
      <c r="H94" s="38">
        <f>SUM(G94/200)</f>
        <v>16</v>
      </c>
      <c r="I94" s="38">
        <f>SUM(H94/4)</f>
        <v>4</v>
      </c>
      <c r="J94" s="38"/>
      <c r="K94" s="40">
        <v>43730</v>
      </c>
      <c r="L94" s="41" t="s">
        <v>5721</v>
      </c>
      <c r="M94" s="42">
        <v>43725</v>
      </c>
      <c r="N94" s="43" t="s">
        <v>5720</v>
      </c>
      <c r="O94" s="42">
        <v>43730</v>
      </c>
      <c r="P94" s="45"/>
      <c r="Q94" s="38"/>
      <c r="R94" s="66"/>
      <c r="S94" s="46"/>
    </row>
    <row r="95" spans="1:19" s="30" customFormat="1" ht="33" customHeight="1">
      <c r="B95" s="46" t="s">
        <v>5719</v>
      </c>
      <c r="C95" s="35" t="s">
        <v>523</v>
      </c>
      <c r="D95" s="36" t="s">
        <v>4452</v>
      </c>
      <c r="E95" s="37">
        <v>43665</v>
      </c>
      <c r="F95" s="38" t="s">
        <v>236</v>
      </c>
      <c r="G95" s="39">
        <v>3200</v>
      </c>
      <c r="H95" s="38">
        <f>SUM(G95/200)</f>
        <v>16</v>
      </c>
      <c r="I95" s="38">
        <f>SUM(H95/4)</f>
        <v>4</v>
      </c>
      <c r="J95" s="38"/>
      <c r="K95" s="40">
        <v>43751</v>
      </c>
      <c r="L95" s="41" t="s">
        <v>5718</v>
      </c>
      <c r="M95" s="42">
        <v>43760</v>
      </c>
      <c r="N95" s="43" t="s">
        <v>5717</v>
      </c>
      <c r="O95" s="42">
        <v>43765</v>
      </c>
      <c r="P95" s="45"/>
      <c r="Q95" s="38" t="s">
        <v>5716</v>
      </c>
      <c r="R95" s="66"/>
      <c r="S95" s="46" t="s">
        <v>5686</v>
      </c>
    </row>
    <row r="96" spans="1:19" s="30" customFormat="1" ht="33" customHeight="1">
      <c r="B96" s="46" t="s">
        <v>5712</v>
      </c>
      <c r="C96" s="35" t="s">
        <v>589</v>
      </c>
      <c r="D96" s="36" t="s">
        <v>4835</v>
      </c>
      <c r="E96" s="37">
        <v>43689</v>
      </c>
      <c r="F96" s="38" t="s">
        <v>236</v>
      </c>
      <c r="G96" s="39">
        <v>2400</v>
      </c>
      <c r="H96" s="38">
        <f>SUM(G96/200)</f>
        <v>12</v>
      </c>
      <c r="I96" s="38">
        <f>SUM(H96/4)</f>
        <v>3</v>
      </c>
      <c r="J96" s="38"/>
      <c r="K96" s="40">
        <v>43793</v>
      </c>
      <c r="L96" s="41" t="s">
        <v>5715</v>
      </c>
      <c r="M96" s="42">
        <v>43788</v>
      </c>
      <c r="N96" s="43" t="s">
        <v>5714</v>
      </c>
      <c r="O96" s="42">
        <v>43793</v>
      </c>
      <c r="P96" s="45"/>
      <c r="Q96" s="38"/>
      <c r="R96" s="66" t="s">
        <v>5713</v>
      </c>
      <c r="S96" s="46" t="s">
        <v>5428</v>
      </c>
    </row>
    <row r="97" spans="2:19" s="30" customFormat="1" ht="33" customHeight="1">
      <c r="B97" s="122" t="s">
        <v>5712</v>
      </c>
      <c r="C97" s="126" t="s">
        <v>2078</v>
      </c>
      <c r="D97" s="127" t="s">
        <v>5711</v>
      </c>
      <c r="E97" s="128">
        <v>43724</v>
      </c>
      <c r="F97" s="124" t="s">
        <v>236</v>
      </c>
      <c r="G97" s="129">
        <v>4000</v>
      </c>
      <c r="H97" s="124">
        <f>SUM(G97/200)</f>
        <v>20</v>
      </c>
      <c r="I97" s="124">
        <f>SUM(H97/4)</f>
        <v>5</v>
      </c>
      <c r="J97" s="124"/>
      <c r="K97" s="130">
        <v>43814</v>
      </c>
      <c r="L97" s="119" t="s">
        <v>5977</v>
      </c>
      <c r="M97" s="120">
        <v>43809</v>
      </c>
      <c r="N97" s="121" t="s">
        <v>5963</v>
      </c>
      <c r="O97" s="120">
        <v>43814</v>
      </c>
      <c r="P97" s="123"/>
      <c r="Q97" s="124"/>
      <c r="R97" s="134"/>
      <c r="S97" s="122"/>
    </row>
    <row r="98" spans="2:19" ht="22.2">
      <c r="F98" s="177"/>
      <c r="L98" s="176"/>
      <c r="M98" s="177"/>
      <c r="N98" s="177"/>
      <c r="O98"/>
      <c r="P98" s="13"/>
      <c r="R98" s="19"/>
      <c r="S98" s="28"/>
    </row>
    <row r="99" spans="2:19" hidden="1">
      <c r="E99" s="175"/>
      <c r="L99" s="11"/>
      <c r="M99"/>
      <c r="N99"/>
      <c r="O99"/>
      <c r="P99" s="13"/>
      <c r="R99" s="19"/>
      <c r="S99" s="28"/>
    </row>
    <row r="100" spans="2:19" s="19" customFormat="1" hidden="1">
      <c r="B100"/>
      <c r="C100" s="15"/>
      <c r="D100" s="1"/>
      <c r="L100" s="178" t="s">
        <v>1825</v>
      </c>
      <c r="M100" s="178" t="s">
        <v>1826</v>
      </c>
      <c r="N100" s="178" t="s">
        <v>1827</v>
      </c>
      <c r="O100" s="178" t="s">
        <v>1828</v>
      </c>
      <c r="P100" s="179" t="s">
        <v>5710</v>
      </c>
      <c r="Q100" s="179" t="s">
        <v>5709</v>
      </c>
      <c r="R100" s="179" t="s">
        <v>1831</v>
      </c>
      <c r="S100" s="179"/>
    </row>
    <row r="101" spans="2:19" s="19" customFormat="1" hidden="1">
      <c r="B101"/>
      <c r="C101" s="15"/>
      <c r="D101" s="1"/>
      <c r="L101" s="180" t="s">
        <v>5707</v>
      </c>
      <c r="M101" s="181" t="s">
        <v>1833</v>
      </c>
      <c r="N101" s="181" t="s">
        <v>1834</v>
      </c>
      <c r="O101" s="182" t="s">
        <v>1835</v>
      </c>
      <c r="P101" s="183">
        <v>1000</v>
      </c>
      <c r="Q101" s="183">
        <v>4</v>
      </c>
      <c r="R101" s="184">
        <v>43598</v>
      </c>
      <c r="S101" s="181" t="s">
        <v>99</v>
      </c>
    </row>
    <row r="102" spans="2:19" s="19" customFormat="1" hidden="1">
      <c r="B102"/>
      <c r="C102" s="15"/>
      <c r="D102" s="1"/>
      <c r="L102" s="180" t="s">
        <v>5707</v>
      </c>
      <c r="M102" s="181" t="s">
        <v>1836</v>
      </c>
      <c r="N102" s="181" t="s">
        <v>1834</v>
      </c>
      <c r="O102" s="182" t="s">
        <v>1835</v>
      </c>
      <c r="P102" s="183">
        <v>6000</v>
      </c>
      <c r="Q102" s="183">
        <v>24</v>
      </c>
      <c r="R102" s="184">
        <v>43598</v>
      </c>
      <c r="S102" s="181" t="s">
        <v>99</v>
      </c>
    </row>
    <row r="103" spans="2:19" s="19" customFormat="1" hidden="1">
      <c r="B103"/>
      <c r="C103" s="15"/>
      <c r="D103" s="1"/>
      <c r="L103" s="180" t="s">
        <v>5707</v>
      </c>
      <c r="M103" s="181" t="s">
        <v>1837</v>
      </c>
      <c r="N103" s="181" t="s">
        <v>1834</v>
      </c>
      <c r="O103" s="182" t="s">
        <v>1835</v>
      </c>
      <c r="P103" s="183">
        <v>5000</v>
      </c>
      <c r="Q103" s="183">
        <v>20</v>
      </c>
      <c r="R103" s="185" t="s">
        <v>5708</v>
      </c>
      <c r="S103" s="180" t="s">
        <v>5705</v>
      </c>
    </row>
    <row r="104" spans="2:19" s="19" customFormat="1" hidden="1">
      <c r="B104"/>
      <c r="C104" s="15"/>
      <c r="D104" s="1"/>
      <c r="L104" s="180" t="s">
        <v>5707</v>
      </c>
      <c r="M104" s="181" t="s">
        <v>1840</v>
      </c>
      <c r="N104" s="181" t="s">
        <v>1834</v>
      </c>
      <c r="O104" s="182" t="s">
        <v>1835</v>
      </c>
      <c r="P104" s="183">
        <v>5000</v>
      </c>
      <c r="Q104" s="183">
        <v>20</v>
      </c>
      <c r="R104" s="184">
        <v>43605</v>
      </c>
      <c r="S104" s="181" t="s">
        <v>99</v>
      </c>
    </row>
    <row r="105" spans="2:19" s="19" customFormat="1" hidden="1">
      <c r="B105"/>
      <c r="C105" s="15"/>
      <c r="D105" s="1"/>
      <c r="L105" s="180" t="s">
        <v>5707</v>
      </c>
      <c r="M105" s="181" t="s">
        <v>1841</v>
      </c>
      <c r="N105" s="181" t="s">
        <v>1834</v>
      </c>
      <c r="O105" s="182" t="s">
        <v>1835</v>
      </c>
      <c r="P105" s="183">
        <v>7000</v>
      </c>
      <c r="Q105" s="183">
        <v>28</v>
      </c>
      <c r="R105" s="184">
        <v>43605</v>
      </c>
      <c r="S105" s="181" t="s">
        <v>99</v>
      </c>
    </row>
    <row r="106" spans="2:19" hidden="1">
      <c r="L106" s="180" t="s">
        <v>5704</v>
      </c>
      <c r="M106" s="181" t="s">
        <v>1843</v>
      </c>
      <c r="N106" s="181" t="s">
        <v>1844</v>
      </c>
      <c r="O106" s="182" t="s">
        <v>1835</v>
      </c>
      <c r="P106" s="183">
        <v>2000</v>
      </c>
      <c r="Q106" s="183">
        <v>8</v>
      </c>
      <c r="R106" s="184">
        <v>43598</v>
      </c>
      <c r="S106" s="181" t="s">
        <v>99</v>
      </c>
    </row>
    <row r="107" spans="2:19" hidden="1">
      <c r="L107" s="180" t="s">
        <v>5704</v>
      </c>
      <c r="M107" s="181" t="s">
        <v>1845</v>
      </c>
      <c r="N107" s="181" t="s">
        <v>1844</v>
      </c>
      <c r="O107" s="182" t="s">
        <v>1835</v>
      </c>
      <c r="P107" s="183">
        <v>2000</v>
      </c>
      <c r="Q107" s="183">
        <v>8</v>
      </c>
      <c r="R107" s="184">
        <v>43598</v>
      </c>
      <c r="S107" s="181" t="s">
        <v>99</v>
      </c>
    </row>
    <row r="108" spans="2:19" hidden="1">
      <c r="L108" s="180" t="s">
        <v>5704</v>
      </c>
      <c r="M108" s="181" t="s">
        <v>1846</v>
      </c>
      <c r="N108" s="181" t="s">
        <v>1844</v>
      </c>
      <c r="O108" s="182" t="s">
        <v>1835</v>
      </c>
      <c r="P108" s="183">
        <v>10000</v>
      </c>
      <c r="Q108" s="183">
        <v>40</v>
      </c>
      <c r="R108" s="184">
        <v>43598</v>
      </c>
      <c r="S108" s="181" t="s">
        <v>99</v>
      </c>
    </row>
    <row r="109" spans="2:19" hidden="1">
      <c r="L109" s="180" t="s">
        <v>5704</v>
      </c>
      <c r="M109" s="181" t="s">
        <v>1847</v>
      </c>
      <c r="N109" s="181" t="s">
        <v>1844</v>
      </c>
      <c r="O109" s="182" t="s">
        <v>1835</v>
      </c>
      <c r="P109" s="183">
        <v>8000</v>
      </c>
      <c r="Q109" s="183">
        <v>32</v>
      </c>
      <c r="R109" s="184">
        <v>43598</v>
      </c>
      <c r="S109" s="180"/>
    </row>
    <row r="110" spans="2:19" hidden="1">
      <c r="L110" s="180" t="s">
        <v>5704</v>
      </c>
      <c r="M110" s="181" t="s">
        <v>1848</v>
      </c>
      <c r="N110" s="181" t="s">
        <v>1844</v>
      </c>
      <c r="O110" s="182" t="s">
        <v>1835</v>
      </c>
      <c r="P110" s="183">
        <v>10000</v>
      </c>
      <c r="Q110" s="183">
        <v>40</v>
      </c>
      <c r="R110" s="185" t="s">
        <v>5706</v>
      </c>
      <c r="S110" s="180" t="s">
        <v>5705</v>
      </c>
    </row>
    <row r="111" spans="2:19" hidden="1">
      <c r="L111" s="182" t="s">
        <v>5703</v>
      </c>
      <c r="M111" s="181" t="s">
        <v>1851</v>
      </c>
      <c r="N111" s="181" t="s">
        <v>1834</v>
      </c>
      <c r="O111" s="182" t="s">
        <v>1852</v>
      </c>
      <c r="P111" s="183">
        <v>5000</v>
      </c>
      <c r="Q111" s="183">
        <v>20</v>
      </c>
      <c r="R111" s="184">
        <v>43605</v>
      </c>
      <c r="S111" s="181" t="s">
        <v>99</v>
      </c>
    </row>
    <row r="112" spans="2:19" hidden="1">
      <c r="L112" s="180" t="s">
        <v>5704</v>
      </c>
      <c r="M112" s="181" t="s">
        <v>1851</v>
      </c>
      <c r="N112" s="181" t="s">
        <v>1844</v>
      </c>
      <c r="O112" s="182" t="s">
        <v>1835</v>
      </c>
      <c r="P112" s="183">
        <v>2000</v>
      </c>
      <c r="Q112" s="183">
        <v>8</v>
      </c>
      <c r="R112" s="184">
        <v>43605</v>
      </c>
      <c r="S112" s="181" t="s">
        <v>99</v>
      </c>
    </row>
    <row r="113" spans="12:19" hidden="1">
      <c r="L113" s="182" t="s">
        <v>5703</v>
      </c>
      <c r="M113" s="181" t="s">
        <v>1855</v>
      </c>
      <c r="N113" s="181" t="s">
        <v>1834</v>
      </c>
      <c r="O113" s="182" t="s">
        <v>1852</v>
      </c>
      <c r="P113" s="183">
        <v>6000</v>
      </c>
      <c r="Q113" s="183">
        <v>24</v>
      </c>
      <c r="R113" s="184">
        <v>43605</v>
      </c>
      <c r="S113" s="181" t="s">
        <v>99</v>
      </c>
    </row>
    <row r="114" spans="12:19" hidden="1">
      <c r="L114" s="182" t="s">
        <v>5703</v>
      </c>
      <c r="M114" s="181" t="s">
        <v>1856</v>
      </c>
      <c r="N114" s="181" t="s">
        <v>1834</v>
      </c>
      <c r="O114" s="182" t="s">
        <v>1852</v>
      </c>
      <c r="P114" s="183">
        <v>6000</v>
      </c>
      <c r="Q114" s="183">
        <v>24</v>
      </c>
      <c r="R114" s="185">
        <v>43605</v>
      </c>
      <c r="S114" s="180"/>
    </row>
    <row r="115" spans="12:19" hidden="1">
      <c r="L115" s="182" t="s">
        <v>5703</v>
      </c>
      <c r="M115" s="181" t="s">
        <v>1857</v>
      </c>
      <c r="N115" s="181" t="s">
        <v>1834</v>
      </c>
      <c r="O115" s="182" t="s">
        <v>1852</v>
      </c>
      <c r="P115" s="183">
        <v>6000</v>
      </c>
      <c r="Q115" s="183">
        <v>24</v>
      </c>
      <c r="R115" s="184" t="s">
        <v>5702</v>
      </c>
      <c r="S115" s="181" t="s">
        <v>5701</v>
      </c>
    </row>
    <row r="118" spans="12:19" ht="16.2">
      <c r="L118" s="186"/>
    </row>
    <row r="119" spans="12:19" ht="16.2">
      <c r="L119" s="186"/>
    </row>
    <row r="120" spans="12:19" ht="16.2">
      <c r="L120" s="186"/>
    </row>
    <row r="121" spans="12:19">
      <c r="Q121" t="s">
        <v>5700</v>
      </c>
    </row>
    <row r="130" spans="14:14">
      <c r="N130" s="26"/>
    </row>
  </sheetData>
  <autoFilter ref="B2:R98" xr:uid="{00000000-0009-0000-0000-000005000000}">
    <sortState ref="B89:R144">
      <sortCondition descending="1" ref="L2:L148"/>
    </sortState>
  </autoFilter>
  <phoneticPr fontId="1"/>
  <pageMargins left="0.23622047244094491" right="0.23622047244094491" top="0.35433070866141736" bottom="0.35433070866141736" header="0.31496062992125984" footer="0.31496062992125984"/>
  <pageSetup paperSize="9" scale="44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79">
    <pageSetUpPr fitToPage="1"/>
  </sheetPr>
  <dimension ref="B1:S121"/>
  <sheetViews>
    <sheetView zoomScale="77" zoomScaleNormal="77" workbookViewId="0">
      <pane xSplit="4" ySplit="2" topLeftCell="E39" activePane="bottomRight" state="frozen"/>
      <selection pane="topRight" activeCell="E1" sqref="E1"/>
      <selection pane="bottomLeft" activeCell="A3" sqref="A3"/>
      <selection pane="bottomRight" activeCell="L43" sqref="L43:L44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7.12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B2" s="194"/>
      <c r="C2" s="14" t="s">
        <v>5986</v>
      </c>
      <c r="D2" s="5" t="s">
        <v>0</v>
      </c>
      <c r="E2" s="6" t="s">
        <v>5987</v>
      </c>
      <c r="F2" s="6" t="s">
        <v>5988</v>
      </c>
      <c r="G2" s="10" t="s">
        <v>1</v>
      </c>
      <c r="H2" s="6" t="s">
        <v>15</v>
      </c>
      <c r="I2" s="6" t="s">
        <v>16</v>
      </c>
      <c r="J2" s="6" t="s">
        <v>5989</v>
      </c>
      <c r="K2" s="12" t="s">
        <v>5990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5991</v>
      </c>
      <c r="Q2" s="6" t="s">
        <v>5992</v>
      </c>
      <c r="R2" s="16" t="s">
        <v>6</v>
      </c>
      <c r="S2" s="16" t="s">
        <v>5993</v>
      </c>
    </row>
    <row r="3" spans="2:19" s="33" customFormat="1" ht="33" customHeight="1">
      <c r="B3" s="47" t="s">
        <v>78</v>
      </c>
      <c r="C3" s="48" t="s">
        <v>1178</v>
      </c>
      <c r="D3" s="49" t="s">
        <v>1179</v>
      </c>
      <c r="E3" s="50">
        <v>43567</v>
      </c>
      <c r="F3" s="49" t="s">
        <v>5994</v>
      </c>
      <c r="G3" s="51">
        <v>10000</v>
      </c>
      <c r="H3" s="52">
        <f t="shared" ref="H3:H8" si="0">SUM(G3/250)</f>
        <v>40</v>
      </c>
      <c r="I3" s="52">
        <f t="shared" ref="I3:I8" si="1">SUM(H3/4)</f>
        <v>10</v>
      </c>
      <c r="J3" s="49"/>
      <c r="K3" s="53">
        <v>43674</v>
      </c>
      <c r="L3" s="54" t="s">
        <v>5995</v>
      </c>
      <c r="M3" s="55">
        <v>43682</v>
      </c>
      <c r="N3" s="56" t="s">
        <v>5996</v>
      </c>
      <c r="O3" s="55">
        <v>43688</v>
      </c>
      <c r="P3" s="54"/>
      <c r="Q3" s="49" t="s">
        <v>82</v>
      </c>
      <c r="R3" s="57" t="s">
        <v>5997</v>
      </c>
      <c r="S3" s="47" t="s">
        <v>2539</v>
      </c>
    </row>
    <row r="4" spans="2:19" s="33" customFormat="1" ht="33" customHeight="1">
      <c r="B4" s="47" t="s">
        <v>220</v>
      </c>
      <c r="C4" s="48" t="s">
        <v>1181</v>
      </c>
      <c r="D4" s="49" t="s">
        <v>1182</v>
      </c>
      <c r="E4" s="50">
        <v>43567</v>
      </c>
      <c r="F4" s="49" t="s">
        <v>5998</v>
      </c>
      <c r="G4" s="51">
        <v>10000</v>
      </c>
      <c r="H4" s="52">
        <f t="shared" si="0"/>
        <v>40</v>
      </c>
      <c r="I4" s="52">
        <f t="shared" si="1"/>
        <v>10</v>
      </c>
      <c r="J4" s="49"/>
      <c r="K4" s="53">
        <v>43674</v>
      </c>
      <c r="L4" s="54" t="s">
        <v>5995</v>
      </c>
      <c r="M4" s="55">
        <v>43682</v>
      </c>
      <c r="N4" s="56" t="s">
        <v>5996</v>
      </c>
      <c r="O4" s="55">
        <v>43688</v>
      </c>
      <c r="P4" s="54"/>
      <c r="Q4" s="49"/>
      <c r="R4" s="57" t="s">
        <v>5999</v>
      </c>
      <c r="S4" s="47" t="s">
        <v>2539</v>
      </c>
    </row>
    <row r="5" spans="2:19" s="33" customFormat="1" ht="33" customHeight="1">
      <c r="B5" s="47" t="s">
        <v>78</v>
      </c>
      <c r="C5" s="48" t="s">
        <v>2273</v>
      </c>
      <c r="D5" s="49" t="s">
        <v>2274</v>
      </c>
      <c r="E5" s="50">
        <v>43602</v>
      </c>
      <c r="F5" s="49" t="s">
        <v>79</v>
      </c>
      <c r="G5" s="51">
        <v>20000</v>
      </c>
      <c r="H5" s="52">
        <f t="shared" si="0"/>
        <v>80</v>
      </c>
      <c r="I5" s="52">
        <f t="shared" si="1"/>
        <v>20</v>
      </c>
      <c r="J5" s="49"/>
      <c r="K5" s="53">
        <v>43688</v>
      </c>
      <c r="L5" s="54" t="s">
        <v>5995</v>
      </c>
      <c r="M5" s="55">
        <v>43682</v>
      </c>
      <c r="N5" s="56" t="s">
        <v>5996</v>
      </c>
      <c r="O5" s="55">
        <v>43688</v>
      </c>
      <c r="P5" s="54"/>
      <c r="Q5" s="49" t="s">
        <v>82</v>
      </c>
      <c r="R5" s="57" t="s">
        <v>6000</v>
      </c>
      <c r="S5" s="47"/>
    </row>
    <row r="6" spans="2:19" s="33" customFormat="1" ht="33" customHeight="1">
      <c r="B6" s="47" t="s">
        <v>78</v>
      </c>
      <c r="C6" s="48" t="s">
        <v>2276</v>
      </c>
      <c r="D6" s="49" t="s">
        <v>2277</v>
      </c>
      <c r="E6" s="50">
        <v>43602</v>
      </c>
      <c r="F6" s="49" t="s">
        <v>79</v>
      </c>
      <c r="G6" s="51">
        <v>20000</v>
      </c>
      <c r="H6" s="52">
        <f t="shared" si="0"/>
        <v>80</v>
      </c>
      <c r="I6" s="52">
        <f t="shared" si="1"/>
        <v>20</v>
      </c>
      <c r="J6" s="49"/>
      <c r="K6" s="53">
        <v>43695</v>
      </c>
      <c r="L6" s="54" t="s">
        <v>5995</v>
      </c>
      <c r="M6" s="55">
        <v>43682</v>
      </c>
      <c r="N6" s="56" t="s">
        <v>5996</v>
      </c>
      <c r="O6" s="55">
        <v>43688</v>
      </c>
      <c r="P6" s="54"/>
      <c r="Q6" s="49" t="s">
        <v>82</v>
      </c>
      <c r="R6" s="57" t="s">
        <v>6001</v>
      </c>
      <c r="S6" s="47"/>
    </row>
    <row r="7" spans="2:19" s="33" customFormat="1" ht="33" customHeight="1">
      <c r="B7" s="47" t="s">
        <v>220</v>
      </c>
      <c r="C7" s="48" t="s">
        <v>2279</v>
      </c>
      <c r="D7" s="49" t="s">
        <v>2280</v>
      </c>
      <c r="E7" s="50">
        <v>43602</v>
      </c>
      <c r="F7" s="49" t="s">
        <v>79</v>
      </c>
      <c r="G7" s="51">
        <v>20000</v>
      </c>
      <c r="H7" s="52">
        <f t="shared" si="0"/>
        <v>80</v>
      </c>
      <c r="I7" s="52">
        <f t="shared" si="1"/>
        <v>20</v>
      </c>
      <c r="J7" s="49"/>
      <c r="K7" s="53">
        <v>43695</v>
      </c>
      <c r="L7" s="54" t="s">
        <v>5995</v>
      </c>
      <c r="M7" s="55">
        <v>43682</v>
      </c>
      <c r="N7" s="56" t="s">
        <v>5996</v>
      </c>
      <c r="O7" s="55">
        <v>43688</v>
      </c>
      <c r="P7" s="54"/>
      <c r="Q7" s="49"/>
      <c r="R7" s="57" t="s">
        <v>6002</v>
      </c>
      <c r="S7" s="47"/>
    </row>
    <row r="8" spans="2:19" s="33" customFormat="1" ht="33" customHeight="1">
      <c r="B8" s="47" t="s">
        <v>78</v>
      </c>
      <c r="C8" s="48" t="s">
        <v>2282</v>
      </c>
      <c r="D8" s="49" t="s">
        <v>2283</v>
      </c>
      <c r="E8" s="50">
        <v>43602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43709</v>
      </c>
      <c r="L8" s="54" t="s">
        <v>6003</v>
      </c>
      <c r="M8" s="55">
        <v>43703</v>
      </c>
      <c r="N8" s="56" t="s">
        <v>6004</v>
      </c>
      <c r="O8" s="55">
        <v>43709</v>
      </c>
      <c r="P8" s="54"/>
      <c r="Q8" s="49" t="s">
        <v>82</v>
      </c>
      <c r="R8" s="57" t="s">
        <v>6005</v>
      </c>
      <c r="S8" s="47"/>
    </row>
    <row r="9" spans="2:19" s="33" customFormat="1" ht="33" customHeight="1">
      <c r="B9" s="47" t="s">
        <v>220</v>
      </c>
      <c r="C9" s="48" t="s">
        <v>6006</v>
      </c>
      <c r="D9" s="49" t="s">
        <v>3354</v>
      </c>
      <c r="E9" s="50">
        <v>43637</v>
      </c>
      <c r="F9" s="49" t="s">
        <v>79</v>
      </c>
      <c r="G9" s="51">
        <v>20000</v>
      </c>
      <c r="H9" s="52">
        <v>64</v>
      </c>
      <c r="I9" s="52">
        <v>16</v>
      </c>
      <c r="J9" s="49"/>
      <c r="K9" s="53">
        <v>43716</v>
      </c>
      <c r="L9" s="54" t="s">
        <v>6007</v>
      </c>
      <c r="M9" s="55">
        <v>43717</v>
      </c>
      <c r="N9" s="56" t="s">
        <v>5448</v>
      </c>
      <c r="O9" s="55">
        <v>43723</v>
      </c>
      <c r="P9" s="54"/>
      <c r="Q9" s="49"/>
      <c r="R9" s="57" t="s">
        <v>6008</v>
      </c>
      <c r="S9" s="47" t="s">
        <v>5465</v>
      </c>
    </row>
    <row r="10" spans="2:19" s="33" customFormat="1" ht="33" customHeight="1">
      <c r="B10" s="47" t="s">
        <v>78</v>
      </c>
      <c r="C10" s="48" t="s">
        <v>3356</v>
      </c>
      <c r="D10" s="49" t="s">
        <v>3357</v>
      </c>
      <c r="E10" s="50">
        <v>43637</v>
      </c>
      <c r="F10" s="49" t="s">
        <v>79</v>
      </c>
      <c r="G10" s="51">
        <v>20000</v>
      </c>
      <c r="H10" s="52">
        <f>SUM(G10/250)</f>
        <v>80</v>
      </c>
      <c r="I10" s="52">
        <f t="shared" ref="I10:I37" si="2">SUM(H10/4)</f>
        <v>20</v>
      </c>
      <c r="J10" s="49"/>
      <c r="K10" s="53">
        <v>43723</v>
      </c>
      <c r="L10" s="54" t="s">
        <v>3555</v>
      </c>
      <c r="M10" s="55">
        <v>43717</v>
      </c>
      <c r="N10" s="56" t="s">
        <v>6009</v>
      </c>
      <c r="O10" s="55">
        <v>43723</v>
      </c>
      <c r="P10" s="54"/>
      <c r="Q10" s="49" t="s">
        <v>82</v>
      </c>
      <c r="R10" s="57" t="s">
        <v>6010</v>
      </c>
      <c r="S10" s="47"/>
    </row>
    <row r="11" spans="2:19" s="30" customFormat="1" ht="33" customHeight="1">
      <c r="B11" s="46" t="s">
        <v>78</v>
      </c>
      <c r="C11" s="35" t="s">
        <v>3359</v>
      </c>
      <c r="D11" s="36" t="s">
        <v>3360</v>
      </c>
      <c r="E11" s="37">
        <v>43637</v>
      </c>
      <c r="F11" s="36" t="s">
        <v>79</v>
      </c>
      <c r="G11" s="39">
        <v>20000</v>
      </c>
      <c r="H11" s="38">
        <f>SUM(G11/250)</f>
        <v>80</v>
      </c>
      <c r="I11" s="38">
        <f t="shared" si="2"/>
        <v>20</v>
      </c>
      <c r="J11" s="36"/>
      <c r="K11" s="40">
        <v>43737</v>
      </c>
      <c r="L11" s="41" t="s">
        <v>3556</v>
      </c>
      <c r="M11" s="42">
        <v>43728</v>
      </c>
      <c r="N11" s="43" t="s">
        <v>6011</v>
      </c>
      <c r="O11" s="42">
        <v>43737</v>
      </c>
      <c r="P11" s="41"/>
      <c r="Q11" s="36" t="s">
        <v>82</v>
      </c>
      <c r="R11" s="44" t="s">
        <v>6012</v>
      </c>
      <c r="S11" s="46"/>
    </row>
    <row r="12" spans="2:19" s="30" customFormat="1" ht="33" customHeight="1">
      <c r="B12" s="46" t="s">
        <v>220</v>
      </c>
      <c r="C12" s="35" t="s">
        <v>4252</v>
      </c>
      <c r="D12" s="36" t="s">
        <v>4253</v>
      </c>
      <c r="E12" s="37">
        <v>43665</v>
      </c>
      <c r="F12" s="36" t="s">
        <v>79</v>
      </c>
      <c r="G12" s="39">
        <v>24000</v>
      </c>
      <c r="H12" s="38">
        <v>96</v>
      </c>
      <c r="I12" s="38">
        <f t="shared" si="2"/>
        <v>24</v>
      </c>
      <c r="J12" s="36"/>
      <c r="K12" s="40">
        <v>43744</v>
      </c>
      <c r="L12" s="41" t="s">
        <v>3556</v>
      </c>
      <c r="M12" s="42">
        <v>43728</v>
      </c>
      <c r="N12" s="43" t="s">
        <v>5449</v>
      </c>
      <c r="O12" s="42">
        <v>43737</v>
      </c>
      <c r="P12" s="41"/>
      <c r="Q12" s="36"/>
      <c r="R12" s="44" t="s">
        <v>6013</v>
      </c>
      <c r="S12" s="46" t="s">
        <v>5464</v>
      </c>
    </row>
    <row r="13" spans="2:19" s="30" customFormat="1" ht="33" customHeight="1">
      <c r="B13" s="46" t="s">
        <v>78</v>
      </c>
      <c r="C13" s="35" t="s">
        <v>4255</v>
      </c>
      <c r="D13" s="36" t="s">
        <v>4256</v>
      </c>
      <c r="E13" s="37">
        <v>43665</v>
      </c>
      <c r="F13" s="36" t="s">
        <v>79</v>
      </c>
      <c r="G13" s="39">
        <v>20000</v>
      </c>
      <c r="H13" s="38">
        <f t="shared" ref="H13:H28" si="3">SUM(G13/250)</f>
        <v>80</v>
      </c>
      <c r="I13" s="38">
        <f t="shared" si="2"/>
        <v>20</v>
      </c>
      <c r="J13" s="36"/>
      <c r="K13" s="40">
        <v>43744</v>
      </c>
      <c r="L13" s="41" t="s">
        <v>6014</v>
      </c>
      <c r="M13" s="42">
        <v>43738</v>
      </c>
      <c r="N13" s="43" t="s">
        <v>6015</v>
      </c>
      <c r="O13" s="42">
        <v>43744</v>
      </c>
      <c r="P13" s="41"/>
      <c r="Q13" s="36" t="s">
        <v>82</v>
      </c>
      <c r="R13" s="44" t="s">
        <v>6016</v>
      </c>
      <c r="S13" s="46"/>
    </row>
    <row r="14" spans="2:19" s="30" customFormat="1" ht="33" customHeight="1">
      <c r="B14" s="46" t="s">
        <v>78</v>
      </c>
      <c r="C14" s="35" t="s">
        <v>4258</v>
      </c>
      <c r="D14" s="36" t="s">
        <v>4259</v>
      </c>
      <c r="E14" s="37">
        <v>43665</v>
      </c>
      <c r="F14" s="36" t="s">
        <v>79</v>
      </c>
      <c r="G14" s="39">
        <v>20000</v>
      </c>
      <c r="H14" s="38">
        <f t="shared" si="3"/>
        <v>80</v>
      </c>
      <c r="I14" s="38">
        <f t="shared" si="2"/>
        <v>20</v>
      </c>
      <c r="J14" s="36"/>
      <c r="K14" s="40">
        <v>43758</v>
      </c>
      <c r="L14" s="41" t="s">
        <v>6017</v>
      </c>
      <c r="M14" s="42">
        <v>43749</v>
      </c>
      <c r="N14" s="43" t="s">
        <v>6018</v>
      </c>
      <c r="O14" s="42">
        <v>43758</v>
      </c>
      <c r="P14" s="41"/>
      <c r="Q14" s="36" t="s">
        <v>82</v>
      </c>
      <c r="R14" s="44" t="s">
        <v>6019</v>
      </c>
      <c r="S14" s="46"/>
    </row>
    <row r="15" spans="2:19" s="30" customFormat="1" ht="33" customHeight="1">
      <c r="B15" s="46" t="s">
        <v>78</v>
      </c>
      <c r="C15" s="35" t="s">
        <v>4261</v>
      </c>
      <c r="D15" s="36" t="s">
        <v>4262</v>
      </c>
      <c r="E15" s="37">
        <v>43665</v>
      </c>
      <c r="F15" s="36" t="s">
        <v>79</v>
      </c>
      <c r="G15" s="39">
        <v>20000</v>
      </c>
      <c r="H15" s="38">
        <f t="shared" si="3"/>
        <v>80</v>
      </c>
      <c r="I15" s="38">
        <f t="shared" si="2"/>
        <v>20</v>
      </c>
      <c r="J15" s="36"/>
      <c r="K15" s="40">
        <v>43765</v>
      </c>
      <c r="L15" s="41" t="s">
        <v>6020</v>
      </c>
      <c r="M15" s="42">
        <v>43756</v>
      </c>
      <c r="N15" s="43" t="s">
        <v>6021</v>
      </c>
      <c r="O15" s="42">
        <v>43765</v>
      </c>
      <c r="P15" s="41"/>
      <c r="Q15" s="36" t="s">
        <v>82</v>
      </c>
      <c r="R15" s="44" t="s">
        <v>6022</v>
      </c>
      <c r="S15" s="46"/>
    </row>
    <row r="16" spans="2:19" s="30" customFormat="1" ht="33" customHeight="1">
      <c r="B16" s="46" t="s">
        <v>220</v>
      </c>
      <c r="C16" s="35" t="s">
        <v>4264</v>
      </c>
      <c r="D16" s="36" t="s">
        <v>4265</v>
      </c>
      <c r="E16" s="37">
        <v>43665</v>
      </c>
      <c r="F16" s="36" t="s">
        <v>79</v>
      </c>
      <c r="G16" s="39">
        <v>20000</v>
      </c>
      <c r="H16" s="38">
        <f t="shared" si="3"/>
        <v>80</v>
      </c>
      <c r="I16" s="38">
        <f t="shared" si="2"/>
        <v>20</v>
      </c>
      <c r="J16" s="36"/>
      <c r="K16" s="40">
        <v>43758</v>
      </c>
      <c r="L16" s="41" t="s">
        <v>6017</v>
      </c>
      <c r="M16" s="42">
        <v>43749</v>
      </c>
      <c r="N16" s="43" t="s">
        <v>6018</v>
      </c>
      <c r="O16" s="42">
        <v>43758</v>
      </c>
      <c r="P16" s="41"/>
      <c r="Q16" s="36"/>
      <c r="R16" s="44" t="s">
        <v>5058</v>
      </c>
      <c r="S16" s="46"/>
    </row>
    <row r="17" spans="2:19" s="30" customFormat="1" ht="33" customHeight="1">
      <c r="B17" s="46" t="s">
        <v>78</v>
      </c>
      <c r="C17" s="35" t="s">
        <v>5057</v>
      </c>
      <c r="D17" s="36" t="s">
        <v>6023</v>
      </c>
      <c r="E17" s="37">
        <v>43689</v>
      </c>
      <c r="F17" s="36" t="s">
        <v>79</v>
      </c>
      <c r="G17" s="39">
        <v>20000</v>
      </c>
      <c r="H17" s="38">
        <f t="shared" si="3"/>
        <v>80</v>
      </c>
      <c r="I17" s="38">
        <f t="shared" si="2"/>
        <v>20</v>
      </c>
      <c r="J17" s="36"/>
      <c r="K17" s="40">
        <v>43772</v>
      </c>
      <c r="L17" s="41" t="s">
        <v>6024</v>
      </c>
      <c r="M17" s="42">
        <v>43766</v>
      </c>
      <c r="N17" s="43" t="s">
        <v>6025</v>
      </c>
      <c r="O17" s="42">
        <v>43772</v>
      </c>
      <c r="P17" s="41"/>
      <c r="Q17" s="36"/>
      <c r="R17" s="44" t="s">
        <v>6026</v>
      </c>
      <c r="S17" s="46"/>
    </row>
    <row r="18" spans="2:19" s="30" customFormat="1" ht="33" customHeight="1">
      <c r="B18" s="46" t="s">
        <v>220</v>
      </c>
      <c r="C18" s="35" t="s">
        <v>5055</v>
      </c>
      <c r="D18" s="36" t="s">
        <v>6027</v>
      </c>
      <c r="E18" s="37">
        <v>43689</v>
      </c>
      <c r="F18" s="36" t="s">
        <v>79</v>
      </c>
      <c r="G18" s="39">
        <v>20000</v>
      </c>
      <c r="H18" s="38">
        <f t="shared" si="3"/>
        <v>80</v>
      </c>
      <c r="I18" s="38">
        <f t="shared" si="2"/>
        <v>20</v>
      </c>
      <c r="J18" s="36"/>
      <c r="K18" s="40">
        <v>43779</v>
      </c>
      <c r="L18" s="41" t="s">
        <v>6028</v>
      </c>
      <c r="M18" s="42">
        <v>43770</v>
      </c>
      <c r="N18" s="43" t="s">
        <v>6029</v>
      </c>
      <c r="O18" s="42">
        <v>43779</v>
      </c>
      <c r="P18" s="41"/>
      <c r="Q18" s="36"/>
      <c r="R18" s="44" t="s">
        <v>6030</v>
      </c>
      <c r="S18" s="46"/>
    </row>
    <row r="19" spans="2:19" s="30" customFormat="1" ht="33" customHeight="1">
      <c r="B19" s="46" t="s">
        <v>78</v>
      </c>
      <c r="C19" s="35" t="s">
        <v>5053</v>
      </c>
      <c r="D19" s="36" t="s">
        <v>6031</v>
      </c>
      <c r="E19" s="37">
        <v>43689</v>
      </c>
      <c r="F19" s="36" t="s">
        <v>79</v>
      </c>
      <c r="G19" s="39">
        <v>20000</v>
      </c>
      <c r="H19" s="38">
        <f t="shared" si="3"/>
        <v>80</v>
      </c>
      <c r="I19" s="38">
        <f t="shared" si="2"/>
        <v>20</v>
      </c>
      <c r="J19" s="36"/>
      <c r="K19" s="40">
        <v>43786</v>
      </c>
      <c r="L19" s="41" t="s">
        <v>6032</v>
      </c>
      <c r="M19" s="42">
        <v>43780</v>
      </c>
      <c r="N19" s="43" t="s">
        <v>6033</v>
      </c>
      <c r="O19" s="42">
        <v>43786</v>
      </c>
      <c r="P19" s="41"/>
      <c r="Q19" s="36"/>
      <c r="R19" s="44" t="s">
        <v>6034</v>
      </c>
      <c r="S19" s="46"/>
    </row>
    <row r="20" spans="2:19" s="30" customFormat="1" ht="33" customHeight="1">
      <c r="B20" s="46" t="s">
        <v>78</v>
      </c>
      <c r="C20" s="35" t="s">
        <v>5051</v>
      </c>
      <c r="D20" s="36" t="s">
        <v>6035</v>
      </c>
      <c r="E20" s="37">
        <v>43689</v>
      </c>
      <c r="F20" s="36" t="s">
        <v>79</v>
      </c>
      <c r="G20" s="39">
        <v>20000</v>
      </c>
      <c r="H20" s="38">
        <f t="shared" si="3"/>
        <v>80</v>
      </c>
      <c r="I20" s="38">
        <f t="shared" si="2"/>
        <v>20</v>
      </c>
      <c r="J20" s="36"/>
      <c r="K20" s="40">
        <v>43793</v>
      </c>
      <c r="L20" s="41" t="s">
        <v>6036</v>
      </c>
      <c r="M20" s="42">
        <v>43787</v>
      </c>
      <c r="N20" s="43" t="s">
        <v>6037</v>
      </c>
      <c r="O20" s="42">
        <v>43793</v>
      </c>
      <c r="P20" s="41"/>
      <c r="Q20" s="36"/>
      <c r="R20" s="44" t="s">
        <v>6038</v>
      </c>
      <c r="S20" s="46"/>
    </row>
    <row r="21" spans="2:19" s="30" customFormat="1" ht="33" customHeight="1">
      <c r="B21" s="46" t="s">
        <v>6039</v>
      </c>
      <c r="C21" s="35" t="s">
        <v>5049</v>
      </c>
      <c r="D21" s="36" t="s">
        <v>6040</v>
      </c>
      <c r="E21" s="37">
        <v>43689</v>
      </c>
      <c r="F21" s="36" t="s">
        <v>79</v>
      </c>
      <c r="G21" s="39">
        <v>20000</v>
      </c>
      <c r="H21" s="38">
        <f t="shared" si="3"/>
        <v>80</v>
      </c>
      <c r="I21" s="38">
        <f t="shared" si="2"/>
        <v>20</v>
      </c>
      <c r="J21" s="36"/>
      <c r="K21" s="40">
        <v>43800</v>
      </c>
      <c r="L21" s="41" t="s">
        <v>6041</v>
      </c>
      <c r="M21" s="42">
        <v>43795</v>
      </c>
      <c r="N21" s="43" t="s">
        <v>6042</v>
      </c>
      <c r="O21" s="42">
        <v>43800</v>
      </c>
      <c r="P21" s="41"/>
      <c r="Q21" s="36"/>
      <c r="R21" s="44" t="s">
        <v>6043</v>
      </c>
      <c r="S21" s="46"/>
    </row>
    <row r="22" spans="2:19" s="30" customFormat="1" ht="33" customHeight="1">
      <c r="B22" s="46" t="s">
        <v>220</v>
      </c>
      <c r="C22" s="35" t="s">
        <v>5047</v>
      </c>
      <c r="D22" s="36" t="s">
        <v>6044</v>
      </c>
      <c r="E22" s="37">
        <v>43689</v>
      </c>
      <c r="F22" s="36" t="s">
        <v>79</v>
      </c>
      <c r="G22" s="39">
        <v>20000</v>
      </c>
      <c r="H22" s="38">
        <f t="shared" si="3"/>
        <v>80</v>
      </c>
      <c r="I22" s="38">
        <f t="shared" si="2"/>
        <v>20</v>
      </c>
      <c r="J22" s="36"/>
      <c r="K22" s="40">
        <v>43793</v>
      </c>
      <c r="L22" s="41" t="s">
        <v>6036</v>
      </c>
      <c r="M22" s="42">
        <v>43787</v>
      </c>
      <c r="N22" s="43" t="s">
        <v>6037</v>
      </c>
      <c r="O22" s="42">
        <v>43793</v>
      </c>
      <c r="P22" s="41"/>
      <c r="Q22" s="36"/>
      <c r="R22" s="44" t="s">
        <v>6045</v>
      </c>
      <c r="S22" s="46"/>
    </row>
    <row r="23" spans="2:19" s="147" customFormat="1" ht="33" customHeight="1">
      <c r="B23" s="103" t="s">
        <v>6039</v>
      </c>
      <c r="C23" s="104" t="s">
        <v>5899</v>
      </c>
      <c r="D23" s="105" t="s">
        <v>5898</v>
      </c>
      <c r="E23" s="106">
        <v>43724</v>
      </c>
      <c r="F23" s="105" t="s">
        <v>79</v>
      </c>
      <c r="G23" s="108">
        <v>20000</v>
      </c>
      <c r="H23" s="107">
        <f t="shared" si="3"/>
        <v>80</v>
      </c>
      <c r="I23" s="107">
        <f t="shared" si="2"/>
        <v>20</v>
      </c>
      <c r="J23" s="105"/>
      <c r="K23" s="109">
        <v>43807</v>
      </c>
      <c r="L23" s="110" t="s">
        <v>6046</v>
      </c>
      <c r="M23" s="204">
        <v>43801</v>
      </c>
      <c r="N23" s="205" t="s">
        <v>6047</v>
      </c>
      <c r="O23" s="204">
        <v>43807</v>
      </c>
      <c r="P23" s="110"/>
      <c r="Q23" s="105"/>
      <c r="R23" s="114" t="s">
        <v>6048</v>
      </c>
      <c r="S23" s="103"/>
    </row>
    <row r="24" spans="2:19" s="147" customFormat="1" ht="33" customHeight="1">
      <c r="B24" s="103" t="s">
        <v>6039</v>
      </c>
      <c r="C24" s="104" t="s">
        <v>5896</v>
      </c>
      <c r="D24" s="105" t="s">
        <v>5895</v>
      </c>
      <c r="E24" s="106">
        <v>43724</v>
      </c>
      <c r="F24" s="105" t="s">
        <v>6049</v>
      </c>
      <c r="G24" s="108">
        <v>30000</v>
      </c>
      <c r="H24" s="107">
        <f t="shared" si="3"/>
        <v>120</v>
      </c>
      <c r="I24" s="107">
        <f t="shared" si="2"/>
        <v>30</v>
      </c>
      <c r="J24" s="105"/>
      <c r="K24" s="109">
        <v>43814</v>
      </c>
      <c r="L24" s="110" t="s">
        <v>6050</v>
      </c>
      <c r="M24" s="204">
        <v>43808</v>
      </c>
      <c r="N24" s="205" t="s">
        <v>6051</v>
      </c>
      <c r="O24" s="204">
        <v>43814</v>
      </c>
      <c r="P24" s="110"/>
      <c r="Q24" s="105"/>
      <c r="R24" s="114" t="s">
        <v>6052</v>
      </c>
      <c r="S24" s="103"/>
    </row>
    <row r="25" spans="2:19" s="147" customFormat="1" ht="33" customHeight="1">
      <c r="B25" s="103" t="s">
        <v>220</v>
      </c>
      <c r="C25" s="104" t="s">
        <v>5892</v>
      </c>
      <c r="D25" s="105" t="s">
        <v>5891</v>
      </c>
      <c r="E25" s="106">
        <v>43724</v>
      </c>
      <c r="F25" s="105" t="s">
        <v>6053</v>
      </c>
      <c r="G25" s="108">
        <v>10000</v>
      </c>
      <c r="H25" s="107">
        <f t="shared" si="3"/>
        <v>40</v>
      </c>
      <c r="I25" s="107">
        <f t="shared" si="2"/>
        <v>10</v>
      </c>
      <c r="J25" s="105"/>
      <c r="K25" s="109">
        <v>43814</v>
      </c>
      <c r="L25" s="110" t="s">
        <v>5959</v>
      </c>
      <c r="M25" s="204">
        <v>43808</v>
      </c>
      <c r="N25" s="205" t="s">
        <v>6051</v>
      </c>
      <c r="O25" s="204">
        <v>43814</v>
      </c>
      <c r="P25" s="110"/>
      <c r="Q25" s="105"/>
      <c r="R25" s="114" t="s">
        <v>6054</v>
      </c>
      <c r="S25" s="103"/>
    </row>
    <row r="26" spans="2:19" s="147" customFormat="1" ht="33" customHeight="1">
      <c r="B26" s="103" t="s">
        <v>6039</v>
      </c>
      <c r="C26" s="104" t="s">
        <v>5889</v>
      </c>
      <c r="D26" s="105" t="s">
        <v>5888</v>
      </c>
      <c r="E26" s="106">
        <v>43724</v>
      </c>
      <c r="F26" s="105" t="s">
        <v>6053</v>
      </c>
      <c r="G26" s="108">
        <v>10000</v>
      </c>
      <c r="H26" s="107">
        <f t="shared" si="3"/>
        <v>40</v>
      </c>
      <c r="I26" s="107">
        <f t="shared" si="2"/>
        <v>10</v>
      </c>
      <c r="J26" s="105"/>
      <c r="K26" s="109">
        <v>43821</v>
      </c>
      <c r="L26" s="110" t="s">
        <v>5961</v>
      </c>
      <c r="M26" s="204">
        <v>43815</v>
      </c>
      <c r="N26" s="205" t="s">
        <v>6055</v>
      </c>
      <c r="O26" s="204">
        <v>43821</v>
      </c>
      <c r="P26" s="110"/>
      <c r="Q26" s="105"/>
      <c r="R26" s="114" t="s">
        <v>6056</v>
      </c>
      <c r="S26" s="103"/>
    </row>
    <row r="27" spans="2:19" s="147" customFormat="1" ht="33" customHeight="1">
      <c r="B27" s="103" t="s">
        <v>220</v>
      </c>
      <c r="C27" s="104" t="s">
        <v>5886</v>
      </c>
      <c r="D27" s="105" t="s">
        <v>5885</v>
      </c>
      <c r="E27" s="106">
        <v>43724</v>
      </c>
      <c r="F27" s="105" t="s">
        <v>6053</v>
      </c>
      <c r="G27" s="108">
        <v>10000</v>
      </c>
      <c r="H27" s="107">
        <f t="shared" si="3"/>
        <v>40</v>
      </c>
      <c r="I27" s="107">
        <f t="shared" si="2"/>
        <v>10</v>
      </c>
      <c r="J27" s="105"/>
      <c r="K27" s="109">
        <v>43821</v>
      </c>
      <c r="L27" s="110" t="s">
        <v>5961</v>
      </c>
      <c r="M27" s="204">
        <v>43815</v>
      </c>
      <c r="N27" s="205" t="s">
        <v>6055</v>
      </c>
      <c r="O27" s="204">
        <v>43821</v>
      </c>
      <c r="P27" s="110"/>
      <c r="Q27" s="105"/>
      <c r="R27" s="114" t="s">
        <v>6057</v>
      </c>
      <c r="S27" s="103"/>
    </row>
    <row r="28" spans="2:19" s="147" customFormat="1" ht="33" customHeight="1">
      <c r="B28" s="103" t="s">
        <v>6039</v>
      </c>
      <c r="C28" s="104" t="s">
        <v>5881</v>
      </c>
      <c r="D28" s="105" t="s">
        <v>5880</v>
      </c>
      <c r="E28" s="106">
        <v>43724</v>
      </c>
      <c r="F28" s="105" t="s">
        <v>79</v>
      </c>
      <c r="G28" s="108">
        <v>20000</v>
      </c>
      <c r="H28" s="107">
        <f t="shared" si="3"/>
        <v>80</v>
      </c>
      <c r="I28" s="107">
        <f t="shared" si="2"/>
        <v>20</v>
      </c>
      <c r="J28" s="105"/>
      <c r="K28" s="109">
        <v>43828</v>
      </c>
      <c r="L28" s="110" t="s">
        <v>5962</v>
      </c>
      <c r="M28" s="204">
        <v>43822</v>
      </c>
      <c r="N28" s="205" t="s">
        <v>6058</v>
      </c>
      <c r="O28" s="204">
        <v>43828</v>
      </c>
      <c r="P28" s="110"/>
      <c r="Q28" s="105"/>
      <c r="R28" s="114" t="s">
        <v>6059</v>
      </c>
      <c r="S28" s="103"/>
    </row>
    <row r="29" spans="2:19" s="96" customFormat="1" ht="33" customHeight="1">
      <c r="B29" s="47" t="s">
        <v>17</v>
      </c>
      <c r="C29" s="48" t="s">
        <v>6060</v>
      </c>
      <c r="D29" s="49" t="s">
        <v>2300</v>
      </c>
      <c r="E29" s="50">
        <v>43602</v>
      </c>
      <c r="F29" s="52" t="s">
        <v>6061</v>
      </c>
      <c r="G29" s="51">
        <v>9200</v>
      </c>
      <c r="H29" s="52">
        <f>SUM(G29/230)</f>
        <v>40</v>
      </c>
      <c r="I29" s="52">
        <f t="shared" si="2"/>
        <v>10</v>
      </c>
      <c r="J29" s="49"/>
      <c r="K29" s="53">
        <v>43695</v>
      </c>
      <c r="L29" s="54" t="s">
        <v>6062</v>
      </c>
      <c r="M29" s="55">
        <v>43683</v>
      </c>
      <c r="N29" s="56" t="s">
        <v>6063</v>
      </c>
      <c r="O29" s="55">
        <v>43688</v>
      </c>
      <c r="P29" s="58"/>
      <c r="Q29" s="52" t="s">
        <v>82</v>
      </c>
      <c r="R29" s="57" t="s">
        <v>6064</v>
      </c>
      <c r="S29" s="47" t="s">
        <v>2764</v>
      </c>
    </row>
    <row r="30" spans="2:19" s="96" customFormat="1" ht="33" customHeight="1">
      <c r="B30" s="47" t="s">
        <v>17</v>
      </c>
      <c r="C30" s="48" t="s">
        <v>3702</v>
      </c>
      <c r="D30" s="49" t="s">
        <v>3703</v>
      </c>
      <c r="E30" s="50">
        <v>43643</v>
      </c>
      <c r="F30" s="52" t="s">
        <v>6061</v>
      </c>
      <c r="G30" s="51">
        <v>4600</v>
      </c>
      <c r="H30" s="52">
        <f>SUM(G30/230)</f>
        <v>20</v>
      </c>
      <c r="I30" s="52">
        <f t="shared" si="2"/>
        <v>5</v>
      </c>
      <c r="J30" s="49"/>
      <c r="K30" s="53">
        <v>43688</v>
      </c>
      <c r="L30" s="54" t="s">
        <v>6062</v>
      </c>
      <c r="M30" s="55">
        <v>43683</v>
      </c>
      <c r="N30" s="56" t="s">
        <v>6063</v>
      </c>
      <c r="O30" s="55">
        <v>43688</v>
      </c>
      <c r="P30" s="58"/>
      <c r="Q30" s="52" t="s">
        <v>82</v>
      </c>
      <c r="R30" s="57"/>
      <c r="S30" s="47"/>
    </row>
    <row r="31" spans="2:19" s="96" customFormat="1" ht="33" customHeight="1">
      <c r="B31" s="47" t="s">
        <v>17</v>
      </c>
      <c r="C31" s="48" t="s">
        <v>6065</v>
      </c>
      <c r="D31" s="49" t="s">
        <v>3377</v>
      </c>
      <c r="E31" s="50">
        <v>43637</v>
      </c>
      <c r="F31" s="52" t="s">
        <v>6061</v>
      </c>
      <c r="G31" s="51">
        <v>9200</v>
      </c>
      <c r="H31" s="52">
        <v>36</v>
      </c>
      <c r="I31" s="52">
        <f t="shared" si="2"/>
        <v>9</v>
      </c>
      <c r="J31" s="49"/>
      <c r="K31" s="53">
        <v>43716</v>
      </c>
      <c r="L31" s="54" t="s">
        <v>5459</v>
      </c>
      <c r="M31" s="55">
        <v>43718</v>
      </c>
      <c r="N31" s="56" t="s">
        <v>5460</v>
      </c>
      <c r="O31" s="55">
        <v>43723</v>
      </c>
      <c r="P31" s="58"/>
      <c r="Q31" s="52"/>
      <c r="R31" s="57" t="s">
        <v>6066</v>
      </c>
      <c r="S31" s="47" t="s">
        <v>5457</v>
      </c>
    </row>
    <row r="32" spans="2:19" s="67" customFormat="1" ht="33" customHeight="1">
      <c r="B32" s="46" t="s">
        <v>17</v>
      </c>
      <c r="C32" s="35" t="s">
        <v>6067</v>
      </c>
      <c r="D32" s="36" t="s">
        <v>3380</v>
      </c>
      <c r="E32" s="37">
        <v>43637</v>
      </c>
      <c r="F32" s="38" t="s">
        <v>6061</v>
      </c>
      <c r="G32" s="39">
        <v>9200</v>
      </c>
      <c r="H32" s="38">
        <f>SUM(G32/230)</f>
        <v>40</v>
      </c>
      <c r="I32" s="38">
        <f t="shared" si="2"/>
        <v>10</v>
      </c>
      <c r="J32" s="36"/>
      <c r="K32" s="40">
        <v>43744</v>
      </c>
      <c r="L32" s="41" t="s">
        <v>6068</v>
      </c>
      <c r="M32" s="42">
        <v>43732</v>
      </c>
      <c r="N32" s="43" t="s">
        <v>6069</v>
      </c>
      <c r="O32" s="42">
        <v>43737</v>
      </c>
      <c r="P32" s="45"/>
      <c r="Q32" s="38"/>
      <c r="R32" s="44" t="s">
        <v>6070</v>
      </c>
      <c r="S32" s="46" t="s">
        <v>5696</v>
      </c>
    </row>
    <row r="33" spans="2:19" s="67" customFormat="1" ht="33" customHeight="1">
      <c r="B33" s="46" t="s">
        <v>17</v>
      </c>
      <c r="C33" s="35" t="s">
        <v>5033</v>
      </c>
      <c r="D33" s="36" t="s">
        <v>6071</v>
      </c>
      <c r="E33" s="37">
        <v>43689</v>
      </c>
      <c r="F33" s="38" t="s">
        <v>6061</v>
      </c>
      <c r="G33" s="39">
        <v>4600</v>
      </c>
      <c r="H33" s="38">
        <f>SUM(G33/230)</f>
        <v>20</v>
      </c>
      <c r="I33" s="38">
        <f t="shared" si="2"/>
        <v>5</v>
      </c>
      <c r="J33" s="36"/>
      <c r="K33" s="40">
        <v>43800</v>
      </c>
      <c r="L33" s="41" t="s">
        <v>6072</v>
      </c>
      <c r="M33" s="42">
        <v>43795</v>
      </c>
      <c r="N33" s="43" t="s">
        <v>6042</v>
      </c>
      <c r="O33" s="42">
        <v>43800</v>
      </c>
      <c r="P33" s="45"/>
      <c r="Q33" s="38" t="s">
        <v>82</v>
      </c>
      <c r="R33" s="44" t="s">
        <v>6073</v>
      </c>
      <c r="S33" s="46"/>
    </row>
    <row r="34" spans="2:19" s="67" customFormat="1" ht="33" customHeight="1">
      <c r="B34" s="46" t="s">
        <v>17</v>
      </c>
      <c r="C34" s="35" t="s">
        <v>5346</v>
      </c>
      <c r="D34" s="36" t="s">
        <v>6074</v>
      </c>
      <c r="E34" s="37">
        <v>43700</v>
      </c>
      <c r="F34" s="38" t="s">
        <v>6061</v>
      </c>
      <c r="G34" s="39">
        <v>7360</v>
      </c>
      <c r="H34" s="38">
        <v>32</v>
      </c>
      <c r="I34" s="38">
        <f t="shared" si="2"/>
        <v>8</v>
      </c>
      <c r="J34" s="36"/>
      <c r="K34" s="40">
        <v>43744</v>
      </c>
      <c r="L34" s="41" t="s">
        <v>4481</v>
      </c>
      <c r="M34" s="42">
        <v>43732</v>
      </c>
      <c r="N34" s="43" t="s">
        <v>6069</v>
      </c>
      <c r="O34" s="42">
        <v>43737</v>
      </c>
      <c r="P34" s="45"/>
      <c r="Q34" s="38" t="s">
        <v>82</v>
      </c>
      <c r="R34" s="44" t="s">
        <v>5347</v>
      </c>
      <c r="S34" s="46" t="s">
        <v>5695</v>
      </c>
    </row>
    <row r="35" spans="2:19" s="67" customFormat="1" ht="33" customHeight="1">
      <c r="B35" s="46" t="s">
        <v>17</v>
      </c>
      <c r="C35" s="35" t="s">
        <v>5348</v>
      </c>
      <c r="D35" s="36" t="s">
        <v>6075</v>
      </c>
      <c r="E35" s="37">
        <v>43700</v>
      </c>
      <c r="F35" s="38" t="s">
        <v>6061</v>
      </c>
      <c r="G35" s="39">
        <v>6440</v>
      </c>
      <c r="H35" s="38">
        <f t="shared" ref="H35:H48" si="4">SUM(G35/230)</f>
        <v>28</v>
      </c>
      <c r="I35" s="38">
        <f t="shared" si="2"/>
        <v>7</v>
      </c>
      <c r="J35" s="36"/>
      <c r="K35" s="40">
        <v>43765</v>
      </c>
      <c r="L35" s="41" t="s">
        <v>4477</v>
      </c>
      <c r="M35" s="42">
        <v>43760</v>
      </c>
      <c r="N35" s="43" t="s">
        <v>6076</v>
      </c>
      <c r="O35" s="42">
        <v>43765</v>
      </c>
      <c r="P35" s="45"/>
      <c r="Q35" s="38" t="s">
        <v>82</v>
      </c>
      <c r="R35" s="44" t="s">
        <v>6077</v>
      </c>
      <c r="S35" s="46"/>
    </row>
    <row r="36" spans="2:19" s="117" customFormat="1" ht="33" customHeight="1">
      <c r="B36" s="103" t="s">
        <v>17</v>
      </c>
      <c r="C36" s="104" t="s">
        <v>5861</v>
      </c>
      <c r="D36" s="105" t="s">
        <v>5860</v>
      </c>
      <c r="E36" s="106">
        <v>43724</v>
      </c>
      <c r="F36" s="107" t="s">
        <v>6078</v>
      </c>
      <c r="G36" s="108">
        <v>9200</v>
      </c>
      <c r="H36" s="107">
        <f t="shared" si="4"/>
        <v>40</v>
      </c>
      <c r="I36" s="107">
        <f t="shared" si="2"/>
        <v>10</v>
      </c>
      <c r="J36" s="105"/>
      <c r="K36" s="109">
        <v>43814</v>
      </c>
      <c r="L36" s="110" t="s">
        <v>6079</v>
      </c>
      <c r="M36" s="204">
        <v>43809</v>
      </c>
      <c r="N36" s="205" t="s">
        <v>6080</v>
      </c>
      <c r="O36" s="204">
        <v>43814</v>
      </c>
      <c r="P36" s="113"/>
      <c r="Q36" s="107" t="s">
        <v>82</v>
      </c>
      <c r="R36" s="114" t="s">
        <v>6081</v>
      </c>
      <c r="S36" s="103"/>
    </row>
    <row r="37" spans="2:19" s="67" customFormat="1" ht="33" customHeight="1">
      <c r="B37" s="46" t="s">
        <v>81</v>
      </c>
      <c r="C37" s="35" t="s">
        <v>3406</v>
      </c>
      <c r="D37" s="36" t="s">
        <v>3407</v>
      </c>
      <c r="E37" s="37">
        <v>43637</v>
      </c>
      <c r="F37" s="38" t="s">
        <v>6078</v>
      </c>
      <c r="G37" s="39">
        <v>12880</v>
      </c>
      <c r="H37" s="38">
        <f t="shared" si="4"/>
        <v>56</v>
      </c>
      <c r="I37" s="38">
        <f t="shared" si="2"/>
        <v>14</v>
      </c>
      <c r="J37" s="38"/>
      <c r="K37" s="40">
        <v>43723</v>
      </c>
      <c r="L37" s="41" t="s">
        <v>5462</v>
      </c>
      <c r="M37" s="42">
        <v>43725</v>
      </c>
      <c r="N37" s="43" t="s">
        <v>5463</v>
      </c>
      <c r="O37" s="42">
        <v>43730</v>
      </c>
      <c r="P37" s="45"/>
      <c r="Q37" s="46"/>
      <c r="R37" s="44" t="s">
        <v>6082</v>
      </c>
      <c r="S37" s="46" t="s">
        <v>6083</v>
      </c>
    </row>
    <row r="38" spans="2:19" s="96" customFormat="1" ht="33" customHeight="1">
      <c r="B38" s="47" t="s">
        <v>81</v>
      </c>
      <c r="C38" s="48" t="s">
        <v>6084</v>
      </c>
      <c r="D38" s="49" t="s">
        <v>3407</v>
      </c>
      <c r="E38" s="50">
        <v>43637</v>
      </c>
      <c r="F38" s="52" t="s">
        <v>6078</v>
      </c>
      <c r="G38" s="51">
        <v>920</v>
      </c>
      <c r="H38" s="52">
        <f t="shared" si="4"/>
        <v>4</v>
      </c>
      <c r="I38" s="52">
        <v>1</v>
      </c>
      <c r="J38" s="52"/>
      <c r="K38" s="53">
        <v>43723</v>
      </c>
      <c r="L38" s="54" t="s">
        <v>5459</v>
      </c>
      <c r="M38" s="55">
        <v>43718</v>
      </c>
      <c r="N38" s="56" t="s">
        <v>5460</v>
      </c>
      <c r="O38" s="55">
        <v>43723</v>
      </c>
      <c r="P38" s="58"/>
      <c r="Q38" s="47"/>
      <c r="R38" s="57" t="s">
        <v>6082</v>
      </c>
      <c r="S38" s="47" t="s">
        <v>6083</v>
      </c>
    </row>
    <row r="39" spans="2:19" s="96" customFormat="1" ht="33" customHeight="1">
      <c r="B39" s="47" t="s">
        <v>81</v>
      </c>
      <c r="C39" s="48" t="s">
        <v>3409</v>
      </c>
      <c r="D39" s="49" t="s">
        <v>3743</v>
      </c>
      <c r="E39" s="50">
        <v>43665</v>
      </c>
      <c r="F39" s="52" t="s">
        <v>6078</v>
      </c>
      <c r="G39" s="51">
        <v>9200</v>
      </c>
      <c r="H39" s="52">
        <f t="shared" si="4"/>
        <v>40</v>
      </c>
      <c r="I39" s="52">
        <f t="shared" ref="I39:I48" si="5">SUM(H39/4)</f>
        <v>10</v>
      </c>
      <c r="J39" s="52"/>
      <c r="K39" s="53">
        <v>43667</v>
      </c>
      <c r="L39" s="54" t="s">
        <v>6085</v>
      </c>
      <c r="M39" s="55">
        <v>43718</v>
      </c>
      <c r="N39" s="56" t="s">
        <v>6086</v>
      </c>
      <c r="O39" s="55">
        <v>43667</v>
      </c>
      <c r="P39" s="58"/>
      <c r="Q39" s="47"/>
      <c r="R39" s="57"/>
      <c r="S39" s="47"/>
    </row>
    <row r="40" spans="2:19" s="67" customFormat="1" ht="33" customHeight="1">
      <c r="B40" s="46" t="s">
        <v>81</v>
      </c>
      <c r="C40" s="35" t="s">
        <v>4318</v>
      </c>
      <c r="D40" s="36" t="s">
        <v>4319</v>
      </c>
      <c r="E40" s="37">
        <v>43665</v>
      </c>
      <c r="F40" s="38" t="s">
        <v>6078</v>
      </c>
      <c r="G40" s="39">
        <v>9200</v>
      </c>
      <c r="H40" s="38">
        <f t="shared" si="4"/>
        <v>40</v>
      </c>
      <c r="I40" s="38">
        <f t="shared" si="5"/>
        <v>10</v>
      </c>
      <c r="J40" s="38"/>
      <c r="K40" s="40">
        <v>43751</v>
      </c>
      <c r="L40" s="41" t="s">
        <v>6087</v>
      </c>
      <c r="M40" s="42">
        <v>43746</v>
      </c>
      <c r="N40" s="43" t="s">
        <v>6088</v>
      </c>
      <c r="O40" s="42">
        <v>43751</v>
      </c>
      <c r="P40" s="45"/>
      <c r="Q40" s="46"/>
      <c r="R40" s="44" t="s">
        <v>6089</v>
      </c>
      <c r="S40" s="46"/>
    </row>
    <row r="41" spans="2:19" s="67" customFormat="1" ht="33" customHeight="1">
      <c r="B41" s="46" t="s">
        <v>81</v>
      </c>
      <c r="C41" s="35" t="s">
        <v>4321</v>
      </c>
      <c r="D41" s="36" t="s">
        <v>4322</v>
      </c>
      <c r="E41" s="37">
        <v>43665</v>
      </c>
      <c r="F41" s="38" t="s">
        <v>6078</v>
      </c>
      <c r="G41" s="39">
        <v>8740</v>
      </c>
      <c r="H41" s="38">
        <f t="shared" si="4"/>
        <v>38</v>
      </c>
      <c r="I41" s="38">
        <f t="shared" si="5"/>
        <v>9.5</v>
      </c>
      <c r="J41" s="38"/>
      <c r="K41" s="40">
        <v>43765</v>
      </c>
      <c r="L41" s="41" t="s">
        <v>6090</v>
      </c>
      <c r="M41" s="42">
        <v>43760</v>
      </c>
      <c r="N41" s="43" t="s">
        <v>6091</v>
      </c>
      <c r="O41" s="42">
        <v>43765</v>
      </c>
      <c r="P41" s="45"/>
      <c r="Q41" s="46"/>
      <c r="R41" s="44" t="s">
        <v>6092</v>
      </c>
      <c r="S41" s="46"/>
    </row>
    <row r="42" spans="2:19" s="67" customFormat="1" ht="33" customHeight="1">
      <c r="B42" s="46" t="s">
        <v>81</v>
      </c>
      <c r="C42" s="35" t="s">
        <v>6093</v>
      </c>
      <c r="D42" s="36" t="s">
        <v>5849</v>
      </c>
      <c r="E42" s="37">
        <v>43714</v>
      </c>
      <c r="F42" s="38" t="s">
        <v>6078</v>
      </c>
      <c r="G42" s="39">
        <v>4600</v>
      </c>
      <c r="H42" s="38">
        <f t="shared" si="4"/>
        <v>20</v>
      </c>
      <c r="I42" s="38">
        <f t="shared" si="5"/>
        <v>5</v>
      </c>
      <c r="J42" s="38"/>
      <c r="K42" s="40">
        <v>43765</v>
      </c>
      <c r="L42" s="41" t="s">
        <v>4477</v>
      </c>
      <c r="M42" s="42">
        <v>43760</v>
      </c>
      <c r="N42" s="43" t="s">
        <v>4549</v>
      </c>
      <c r="O42" s="42">
        <v>43765</v>
      </c>
      <c r="P42" s="45"/>
      <c r="Q42" s="46"/>
      <c r="R42" s="44" t="s">
        <v>6092</v>
      </c>
      <c r="S42" s="46"/>
    </row>
    <row r="43" spans="2:19" s="67" customFormat="1" ht="33" customHeight="1">
      <c r="B43" s="46" t="s">
        <v>81</v>
      </c>
      <c r="C43" s="35" t="s">
        <v>5006</v>
      </c>
      <c r="D43" s="36" t="s">
        <v>5005</v>
      </c>
      <c r="E43" s="37">
        <v>43689</v>
      </c>
      <c r="F43" s="38" t="s">
        <v>6078</v>
      </c>
      <c r="G43" s="39">
        <v>9200</v>
      </c>
      <c r="H43" s="38">
        <f t="shared" si="4"/>
        <v>40</v>
      </c>
      <c r="I43" s="38">
        <f t="shared" si="5"/>
        <v>10</v>
      </c>
      <c r="J43" s="38"/>
      <c r="K43" s="40">
        <v>43786</v>
      </c>
      <c r="L43" s="41" t="s">
        <v>6094</v>
      </c>
      <c r="M43" s="42">
        <v>43781</v>
      </c>
      <c r="N43" s="43" t="s">
        <v>6095</v>
      </c>
      <c r="O43" s="42">
        <v>43786</v>
      </c>
      <c r="P43" s="45"/>
      <c r="Q43" s="46"/>
      <c r="R43" s="44" t="s">
        <v>6096</v>
      </c>
      <c r="S43" s="46"/>
    </row>
    <row r="44" spans="2:19" s="67" customFormat="1" ht="33" customHeight="1">
      <c r="B44" s="46" t="s">
        <v>81</v>
      </c>
      <c r="C44" s="35" t="s">
        <v>5003</v>
      </c>
      <c r="D44" s="36" t="s">
        <v>5002</v>
      </c>
      <c r="E44" s="37">
        <v>43689</v>
      </c>
      <c r="F44" s="38" t="s">
        <v>6061</v>
      </c>
      <c r="G44" s="39">
        <v>9200</v>
      </c>
      <c r="H44" s="38">
        <f t="shared" si="4"/>
        <v>40</v>
      </c>
      <c r="I44" s="38">
        <f t="shared" si="5"/>
        <v>10</v>
      </c>
      <c r="J44" s="38"/>
      <c r="K44" s="40">
        <v>43800</v>
      </c>
      <c r="L44" s="41" t="s">
        <v>6072</v>
      </c>
      <c r="M44" s="42">
        <v>43795</v>
      </c>
      <c r="N44" s="43" t="s">
        <v>6042</v>
      </c>
      <c r="O44" s="42">
        <v>43800</v>
      </c>
      <c r="P44" s="45"/>
      <c r="Q44" s="46"/>
      <c r="R44" s="44" t="s">
        <v>6097</v>
      </c>
      <c r="S44" s="46"/>
    </row>
    <row r="45" spans="2:19" s="117" customFormat="1" ht="33" customHeight="1">
      <c r="B45" s="103" t="s">
        <v>81</v>
      </c>
      <c r="C45" s="104" t="s">
        <v>5842</v>
      </c>
      <c r="D45" s="105" t="s">
        <v>6098</v>
      </c>
      <c r="E45" s="106">
        <v>43724</v>
      </c>
      <c r="F45" s="107" t="s">
        <v>6061</v>
      </c>
      <c r="G45" s="108">
        <v>13800</v>
      </c>
      <c r="H45" s="107">
        <f t="shared" si="4"/>
        <v>60</v>
      </c>
      <c r="I45" s="107">
        <f t="shared" si="5"/>
        <v>15</v>
      </c>
      <c r="J45" s="107"/>
      <c r="K45" s="109">
        <v>43821</v>
      </c>
      <c r="L45" s="110" t="s">
        <v>6099</v>
      </c>
      <c r="M45" s="204">
        <v>43816</v>
      </c>
      <c r="N45" s="205" t="s">
        <v>6100</v>
      </c>
      <c r="O45" s="204">
        <v>43821</v>
      </c>
      <c r="P45" s="113"/>
      <c r="Q45" s="103"/>
      <c r="R45" s="114" t="s">
        <v>6101</v>
      </c>
      <c r="S45" s="103"/>
    </row>
    <row r="46" spans="2:19" s="96" customFormat="1" ht="33" customHeight="1">
      <c r="B46" s="47" t="s">
        <v>6102</v>
      </c>
      <c r="C46" s="48" t="s">
        <v>6103</v>
      </c>
      <c r="D46" s="49" t="s">
        <v>705</v>
      </c>
      <c r="E46" s="50">
        <v>43532</v>
      </c>
      <c r="F46" s="52" t="s">
        <v>6061</v>
      </c>
      <c r="G46" s="51">
        <v>920</v>
      </c>
      <c r="H46" s="52">
        <f t="shared" si="4"/>
        <v>4</v>
      </c>
      <c r="I46" s="52">
        <f t="shared" si="5"/>
        <v>1</v>
      </c>
      <c r="J46" s="52"/>
      <c r="K46" s="53">
        <v>43609</v>
      </c>
      <c r="L46" s="54" t="s">
        <v>773</v>
      </c>
      <c r="M46" s="55">
        <v>43601</v>
      </c>
      <c r="N46" s="56" t="s">
        <v>774</v>
      </c>
      <c r="O46" s="55">
        <v>43605</v>
      </c>
      <c r="P46" s="58"/>
      <c r="Q46" s="47"/>
      <c r="R46" s="57"/>
      <c r="S46" s="47" t="s">
        <v>6104</v>
      </c>
    </row>
    <row r="47" spans="2:19" s="96" customFormat="1" ht="33" customHeight="1">
      <c r="B47" s="47" t="s">
        <v>6105</v>
      </c>
      <c r="C47" s="48" t="s">
        <v>2333</v>
      </c>
      <c r="D47" s="49" t="s">
        <v>2334</v>
      </c>
      <c r="E47" s="50">
        <v>43602</v>
      </c>
      <c r="F47" s="52" t="s">
        <v>6061</v>
      </c>
      <c r="G47" s="51">
        <v>460</v>
      </c>
      <c r="H47" s="52">
        <f t="shared" si="4"/>
        <v>2</v>
      </c>
      <c r="I47" s="52">
        <f t="shared" si="5"/>
        <v>0.5</v>
      </c>
      <c r="J47" s="52"/>
      <c r="K47" s="53">
        <v>43681</v>
      </c>
      <c r="L47" s="54" t="s">
        <v>6106</v>
      </c>
      <c r="M47" s="55">
        <v>43676</v>
      </c>
      <c r="N47" s="56" t="s">
        <v>6107</v>
      </c>
      <c r="O47" s="55">
        <v>43681</v>
      </c>
      <c r="P47" s="58"/>
      <c r="Q47" s="47"/>
      <c r="R47" s="57" t="s">
        <v>6108</v>
      </c>
      <c r="S47" s="47" t="s">
        <v>3549</v>
      </c>
    </row>
    <row r="48" spans="2:19" s="67" customFormat="1" ht="33" customHeight="1">
      <c r="B48" s="46" t="s">
        <v>6105</v>
      </c>
      <c r="C48" s="35" t="s">
        <v>4329</v>
      </c>
      <c r="D48" s="36" t="s">
        <v>4330</v>
      </c>
      <c r="E48" s="37">
        <v>43665</v>
      </c>
      <c r="F48" s="38" t="s">
        <v>6061</v>
      </c>
      <c r="G48" s="39">
        <v>460</v>
      </c>
      <c r="H48" s="38">
        <f t="shared" si="4"/>
        <v>2</v>
      </c>
      <c r="I48" s="38">
        <f t="shared" si="5"/>
        <v>0.5</v>
      </c>
      <c r="J48" s="38"/>
      <c r="K48" s="40">
        <v>43765</v>
      </c>
      <c r="L48" s="41" t="s">
        <v>4477</v>
      </c>
      <c r="M48" s="42">
        <v>43760</v>
      </c>
      <c r="N48" s="43" t="s">
        <v>6076</v>
      </c>
      <c r="O48" s="42">
        <v>43765</v>
      </c>
      <c r="P48" s="45"/>
      <c r="Q48" s="46"/>
      <c r="R48" s="44" t="s">
        <v>6109</v>
      </c>
      <c r="S48" s="46"/>
    </row>
    <row r="49" spans="2:19" s="33" customFormat="1" ht="33" customHeight="1">
      <c r="B49" s="47" t="s">
        <v>6110</v>
      </c>
      <c r="C49" s="48" t="s">
        <v>2360</v>
      </c>
      <c r="D49" s="49" t="s">
        <v>6111</v>
      </c>
      <c r="E49" s="50">
        <v>43602</v>
      </c>
      <c r="F49" s="52" t="s">
        <v>6061</v>
      </c>
      <c r="G49" s="51">
        <v>2560</v>
      </c>
      <c r="H49" s="52">
        <f>SUM(G49/20)</f>
        <v>128</v>
      </c>
      <c r="I49" s="52">
        <f>SUM(H49/32)</f>
        <v>4</v>
      </c>
      <c r="J49" s="59"/>
      <c r="K49" s="53">
        <v>43695</v>
      </c>
      <c r="L49" s="54" t="s">
        <v>2505</v>
      </c>
      <c r="M49" s="55">
        <v>43683</v>
      </c>
      <c r="N49" s="56" t="s">
        <v>6063</v>
      </c>
      <c r="O49" s="55">
        <v>43688</v>
      </c>
      <c r="P49" s="58"/>
      <c r="Q49" s="60" t="s">
        <v>89</v>
      </c>
      <c r="R49" s="57" t="s">
        <v>6112</v>
      </c>
      <c r="S49" s="47"/>
    </row>
    <row r="50" spans="2:19" s="33" customFormat="1" ht="33" customHeight="1">
      <c r="B50" s="47" t="s">
        <v>6110</v>
      </c>
      <c r="C50" s="48" t="s">
        <v>3429</v>
      </c>
      <c r="D50" s="49" t="s">
        <v>3430</v>
      </c>
      <c r="E50" s="50">
        <v>43637</v>
      </c>
      <c r="F50" s="52" t="s">
        <v>6061</v>
      </c>
      <c r="G50" s="51">
        <v>3840</v>
      </c>
      <c r="H50" s="52">
        <f>SUM(G50/20)</f>
        <v>192</v>
      </c>
      <c r="I50" s="52">
        <f>SUM(H50/32)</f>
        <v>6</v>
      </c>
      <c r="J50" s="59"/>
      <c r="K50" s="53">
        <v>43723</v>
      </c>
      <c r="L50" s="54" t="s">
        <v>6113</v>
      </c>
      <c r="M50" s="55">
        <v>43718</v>
      </c>
      <c r="N50" s="56" t="s">
        <v>6114</v>
      </c>
      <c r="O50" s="55">
        <v>43723</v>
      </c>
      <c r="P50" s="58"/>
      <c r="Q50" s="60" t="s">
        <v>89</v>
      </c>
      <c r="R50" s="57" t="s">
        <v>6115</v>
      </c>
      <c r="S50" s="47"/>
    </row>
    <row r="51" spans="2:19" s="30" customFormat="1" ht="33" customHeight="1">
      <c r="B51" s="46" t="s">
        <v>6110</v>
      </c>
      <c r="C51" s="35" t="s">
        <v>4344</v>
      </c>
      <c r="D51" s="36" t="s">
        <v>4345</v>
      </c>
      <c r="E51" s="37">
        <v>43665</v>
      </c>
      <c r="F51" s="38" t="s">
        <v>6061</v>
      </c>
      <c r="G51" s="39">
        <v>3200</v>
      </c>
      <c r="H51" s="38">
        <f>SUM(G51/20)</f>
        <v>160</v>
      </c>
      <c r="I51" s="38">
        <f>SUM(H51/32)</f>
        <v>5</v>
      </c>
      <c r="J51" s="61"/>
      <c r="K51" s="40">
        <v>43758</v>
      </c>
      <c r="L51" s="41" t="s">
        <v>6116</v>
      </c>
      <c r="M51" s="42">
        <v>43753</v>
      </c>
      <c r="N51" s="43" t="s">
        <v>6117</v>
      </c>
      <c r="O51" s="42">
        <v>43758</v>
      </c>
      <c r="P51" s="45"/>
      <c r="Q51" s="62" t="s">
        <v>89</v>
      </c>
      <c r="R51" s="44" t="s">
        <v>6118</v>
      </c>
      <c r="S51" s="46"/>
    </row>
    <row r="52" spans="2:19" s="30" customFormat="1" ht="33" customHeight="1">
      <c r="B52" s="46" t="s">
        <v>6110</v>
      </c>
      <c r="C52" s="35" t="s">
        <v>4969</v>
      </c>
      <c r="D52" s="36" t="s">
        <v>4968</v>
      </c>
      <c r="E52" s="37">
        <v>43689</v>
      </c>
      <c r="F52" s="38" t="s">
        <v>6061</v>
      </c>
      <c r="G52" s="39">
        <v>3840</v>
      </c>
      <c r="H52" s="38">
        <f>SUM(G52/20)</f>
        <v>192</v>
      </c>
      <c r="I52" s="38">
        <f>SUM(H52/32)</f>
        <v>6</v>
      </c>
      <c r="J52" s="61"/>
      <c r="K52" s="40">
        <v>43786</v>
      </c>
      <c r="L52" s="41" t="s">
        <v>6119</v>
      </c>
      <c r="M52" s="42">
        <v>43781</v>
      </c>
      <c r="N52" s="43" t="s">
        <v>6120</v>
      </c>
      <c r="O52" s="42">
        <v>43786</v>
      </c>
      <c r="P52" s="45"/>
      <c r="Q52" s="62" t="s">
        <v>89</v>
      </c>
      <c r="R52" s="44" t="s">
        <v>6121</v>
      </c>
      <c r="S52" s="46"/>
    </row>
    <row r="53" spans="2:19" s="147" customFormat="1" ht="33" customHeight="1">
      <c r="B53" s="103" t="s">
        <v>6110</v>
      </c>
      <c r="C53" s="104" t="s">
        <v>5818</v>
      </c>
      <c r="D53" s="105" t="s">
        <v>5817</v>
      </c>
      <c r="E53" s="106">
        <v>43724</v>
      </c>
      <c r="F53" s="107" t="s">
        <v>6061</v>
      </c>
      <c r="G53" s="108">
        <v>3840</v>
      </c>
      <c r="H53" s="107">
        <f>SUM(G53/20)</f>
        <v>192</v>
      </c>
      <c r="I53" s="107">
        <f>SUM(H53/32)</f>
        <v>6</v>
      </c>
      <c r="J53" s="148"/>
      <c r="K53" s="109">
        <v>43814</v>
      </c>
      <c r="L53" s="110" t="s">
        <v>6122</v>
      </c>
      <c r="M53" s="204">
        <v>43809</v>
      </c>
      <c r="N53" s="205" t="s">
        <v>6123</v>
      </c>
      <c r="O53" s="204">
        <v>43814</v>
      </c>
      <c r="P53" s="113"/>
      <c r="Q53" s="149" t="s">
        <v>89</v>
      </c>
      <c r="R53" s="114" t="s">
        <v>6124</v>
      </c>
      <c r="S53" s="103"/>
    </row>
    <row r="54" spans="2:19" s="33" customFormat="1" ht="33" customHeight="1">
      <c r="B54" s="47" t="s">
        <v>38</v>
      </c>
      <c r="C54" s="48" t="s">
        <v>225</v>
      </c>
      <c r="D54" s="49" t="s">
        <v>587</v>
      </c>
      <c r="E54" s="50">
        <v>43519</v>
      </c>
      <c r="F54" s="52" t="s">
        <v>6125</v>
      </c>
      <c r="G54" s="64">
        <v>640</v>
      </c>
      <c r="H54" s="52">
        <f>SUBTOTAL(9,G54)/20</f>
        <v>32</v>
      </c>
      <c r="I54" s="52">
        <f>H54/32</f>
        <v>1</v>
      </c>
      <c r="J54" s="52"/>
      <c r="K54" s="53">
        <v>43583</v>
      </c>
      <c r="L54" s="54" t="s">
        <v>565</v>
      </c>
      <c r="M54" s="55">
        <v>43578</v>
      </c>
      <c r="N54" s="56" t="s">
        <v>6126</v>
      </c>
      <c r="O54" s="55">
        <v>43583</v>
      </c>
      <c r="P54" s="58"/>
      <c r="Q54" s="52"/>
      <c r="R54" s="63" t="s">
        <v>6127</v>
      </c>
      <c r="S54" s="47"/>
    </row>
    <row r="55" spans="2:19" s="30" customFormat="1" ht="33" customHeight="1">
      <c r="B55" s="46" t="s">
        <v>6128</v>
      </c>
      <c r="C55" s="35" t="s">
        <v>226</v>
      </c>
      <c r="D55" s="36" t="s">
        <v>1194</v>
      </c>
      <c r="E55" s="37">
        <v>43567</v>
      </c>
      <c r="F55" s="38" t="s">
        <v>6125</v>
      </c>
      <c r="G55" s="65">
        <v>640</v>
      </c>
      <c r="H55" s="38">
        <f>SUBTOTAL(9,G55)/20</f>
        <v>32</v>
      </c>
      <c r="I55" s="38">
        <f>H55/32</f>
        <v>1</v>
      </c>
      <c r="J55" s="38"/>
      <c r="K55" s="40">
        <v>43758</v>
      </c>
      <c r="L55" s="41" t="s">
        <v>6129</v>
      </c>
      <c r="M55" s="42">
        <v>43753</v>
      </c>
      <c r="N55" s="43" t="s">
        <v>4813</v>
      </c>
      <c r="O55" s="42">
        <v>43758</v>
      </c>
      <c r="P55" s="45"/>
      <c r="Q55" s="38"/>
      <c r="R55" s="66" t="s">
        <v>6130</v>
      </c>
      <c r="S55" s="46"/>
    </row>
    <row r="56" spans="2:19" s="33" customFormat="1" ht="33" customHeight="1">
      <c r="B56" s="47" t="s">
        <v>6131</v>
      </c>
      <c r="C56" s="48" t="s">
        <v>2378</v>
      </c>
      <c r="D56" s="49" t="s">
        <v>2379</v>
      </c>
      <c r="E56" s="50">
        <v>43602</v>
      </c>
      <c r="F56" s="52" t="s">
        <v>6125</v>
      </c>
      <c r="G56" s="64">
        <v>760</v>
      </c>
      <c r="H56" s="52">
        <f>SUBTOTAL(9,G56)/190</f>
        <v>4</v>
      </c>
      <c r="I56" s="52">
        <f>H56/4</f>
        <v>1</v>
      </c>
      <c r="J56" s="52"/>
      <c r="K56" s="53">
        <v>43702</v>
      </c>
      <c r="L56" s="54" t="s">
        <v>6132</v>
      </c>
      <c r="M56" s="55">
        <v>43718</v>
      </c>
      <c r="N56" s="56" t="s">
        <v>6133</v>
      </c>
      <c r="O56" s="55">
        <v>43702</v>
      </c>
      <c r="P56" s="58"/>
      <c r="Q56" s="52"/>
      <c r="R56" s="63" t="s">
        <v>6134</v>
      </c>
      <c r="S56" s="47"/>
    </row>
    <row r="57" spans="2:19" s="30" customFormat="1" ht="33" customHeight="1">
      <c r="B57" s="46" t="s">
        <v>6131</v>
      </c>
      <c r="C57" s="35" t="s">
        <v>2430</v>
      </c>
      <c r="D57" s="36" t="s">
        <v>3457</v>
      </c>
      <c r="E57" s="37">
        <v>43637</v>
      </c>
      <c r="F57" s="38" t="s">
        <v>6125</v>
      </c>
      <c r="G57" s="65">
        <v>760</v>
      </c>
      <c r="H57" s="38">
        <f>SUBTOTAL(9,G57)/190</f>
        <v>4</v>
      </c>
      <c r="I57" s="38">
        <f>H57/4</f>
        <v>1</v>
      </c>
      <c r="J57" s="38"/>
      <c r="K57" s="40">
        <v>43731</v>
      </c>
      <c r="L57" s="41" t="s">
        <v>6135</v>
      </c>
      <c r="M57" s="42">
        <v>43725</v>
      </c>
      <c r="N57" s="43" t="s">
        <v>6136</v>
      </c>
      <c r="O57" s="42">
        <v>43730</v>
      </c>
      <c r="P57" s="45"/>
      <c r="Q57" s="38"/>
      <c r="R57" s="66" t="s">
        <v>6137</v>
      </c>
      <c r="S57" s="46"/>
    </row>
    <row r="58" spans="2:19" s="30" customFormat="1" ht="33" customHeight="1">
      <c r="B58" s="46" t="s">
        <v>6131</v>
      </c>
      <c r="C58" s="35" t="s">
        <v>2527</v>
      </c>
      <c r="D58" s="36" t="s">
        <v>4369</v>
      </c>
      <c r="E58" s="37">
        <v>43657</v>
      </c>
      <c r="F58" s="38" t="s">
        <v>6125</v>
      </c>
      <c r="G58" s="65">
        <v>760</v>
      </c>
      <c r="H58" s="38">
        <f>SUBTOTAL(9,G58)/190</f>
        <v>4</v>
      </c>
      <c r="I58" s="38">
        <f>H58/4</f>
        <v>1</v>
      </c>
      <c r="J58" s="38"/>
      <c r="K58" s="40">
        <v>43758</v>
      </c>
      <c r="L58" s="41" t="s">
        <v>6138</v>
      </c>
      <c r="M58" s="42">
        <v>43753</v>
      </c>
      <c r="N58" s="43" t="s">
        <v>4813</v>
      </c>
      <c r="O58" s="42">
        <v>43758</v>
      </c>
      <c r="P58" s="45"/>
      <c r="Q58" s="38"/>
      <c r="R58" s="66" t="s">
        <v>6139</v>
      </c>
      <c r="S58" s="46"/>
    </row>
    <row r="59" spans="2:19" s="30" customFormat="1" ht="33" customHeight="1">
      <c r="B59" s="46" t="s">
        <v>6140</v>
      </c>
      <c r="C59" s="35" t="s">
        <v>2528</v>
      </c>
      <c r="D59" s="36" t="s">
        <v>6141</v>
      </c>
      <c r="E59" s="37">
        <v>43700</v>
      </c>
      <c r="F59" s="38" t="s">
        <v>6142</v>
      </c>
      <c r="G59" s="65">
        <v>760</v>
      </c>
      <c r="H59" s="38">
        <f>SUBTOTAL(9,G59)/190</f>
        <v>4</v>
      </c>
      <c r="I59" s="38">
        <f>H59/4</f>
        <v>1</v>
      </c>
      <c r="J59" s="38"/>
      <c r="K59" s="40">
        <v>43802</v>
      </c>
      <c r="L59" s="41" t="s">
        <v>5437</v>
      </c>
      <c r="M59" s="42">
        <v>43795</v>
      </c>
      <c r="N59" s="43" t="s">
        <v>5429</v>
      </c>
      <c r="O59" s="42">
        <v>43800</v>
      </c>
      <c r="P59" s="45"/>
      <c r="Q59" s="38"/>
      <c r="R59" s="66" t="s">
        <v>6143</v>
      </c>
      <c r="S59" s="46"/>
    </row>
    <row r="60" spans="2:19" s="147" customFormat="1" ht="33" customHeight="1">
      <c r="B60" s="103" t="s">
        <v>6131</v>
      </c>
      <c r="C60" s="104" t="s">
        <v>2529</v>
      </c>
      <c r="D60" s="105" t="s">
        <v>6144</v>
      </c>
      <c r="E60" s="106">
        <v>43724</v>
      </c>
      <c r="F60" s="107" t="s">
        <v>6125</v>
      </c>
      <c r="G60" s="151">
        <v>760</v>
      </c>
      <c r="H60" s="107">
        <f>SUBTOTAL(9,G60)/190</f>
        <v>4</v>
      </c>
      <c r="I60" s="107">
        <f>H60/4</f>
        <v>1</v>
      </c>
      <c r="J60" s="107"/>
      <c r="K60" s="109">
        <v>43828</v>
      </c>
      <c r="L60" s="110" t="s">
        <v>6145</v>
      </c>
      <c r="M60" s="204">
        <v>43823</v>
      </c>
      <c r="N60" s="205" t="s">
        <v>6146</v>
      </c>
      <c r="O60" s="204">
        <v>43828</v>
      </c>
      <c r="P60" s="113"/>
      <c r="Q60" s="107"/>
      <c r="R60" s="116" t="s">
        <v>6147</v>
      </c>
      <c r="S60" s="103"/>
    </row>
    <row r="61" spans="2:19" s="33" customFormat="1" ht="33" customHeight="1">
      <c r="B61" s="47" t="s">
        <v>6148</v>
      </c>
      <c r="C61" s="48" t="s">
        <v>430</v>
      </c>
      <c r="D61" s="49" t="s">
        <v>2696</v>
      </c>
      <c r="E61" s="50">
        <v>43609</v>
      </c>
      <c r="F61" s="52" t="s">
        <v>77</v>
      </c>
      <c r="G61" s="51">
        <v>7680</v>
      </c>
      <c r="H61" s="52">
        <f t="shared" ref="H61:H66" si="6">SUM(G61/240)</f>
        <v>32</v>
      </c>
      <c r="I61" s="52">
        <f t="shared" ref="I61:I66" si="7">SUM(H61/4)</f>
        <v>8</v>
      </c>
      <c r="J61" s="52"/>
      <c r="K61" s="53">
        <v>43702</v>
      </c>
      <c r="L61" s="54" t="s">
        <v>2509</v>
      </c>
      <c r="M61" s="55">
        <v>43718</v>
      </c>
      <c r="N61" s="56" t="s">
        <v>2498</v>
      </c>
      <c r="O61" s="55">
        <v>43702</v>
      </c>
      <c r="P61" s="58"/>
      <c r="Q61" s="52"/>
      <c r="R61" s="118" t="s">
        <v>6149</v>
      </c>
      <c r="S61" s="47"/>
    </row>
    <row r="62" spans="2:19" s="33" customFormat="1" ht="33" customHeight="1">
      <c r="B62" s="47" t="s">
        <v>6148</v>
      </c>
      <c r="C62" s="48" t="s">
        <v>519</v>
      </c>
      <c r="D62" s="49" t="s">
        <v>3473</v>
      </c>
      <c r="E62" s="50">
        <v>43637</v>
      </c>
      <c r="F62" s="52" t="s">
        <v>77</v>
      </c>
      <c r="G62" s="51">
        <v>9600</v>
      </c>
      <c r="H62" s="52">
        <f t="shared" si="6"/>
        <v>40</v>
      </c>
      <c r="I62" s="52">
        <f t="shared" si="7"/>
        <v>10</v>
      </c>
      <c r="J62" s="52"/>
      <c r="K62" s="53">
        <v>43716</v>
      </c>
      <c r="L62" s="54" t="s">
        <v>6150</v>
      </c>
      <c r="M62" s="55">
        <v>43718</v>
      </c>
      <c r="N62" s="56" t="s">
        <v>6151</v>
      </c>
      <c r="O62" s="55">
        <v>43716</v>
      </c>
      <c r="P62" s="58"/>
      <c r="Q62" s="52"/>
      <c r="R62" s="118" t="s">
        <v>6152</v>
      </c>
      <c r="S62" s="47"/>
    </row>
    <row r="63" spans="2:19" s="30" customFormat="1" ht="33" customHeight="1">
      <c r="B63" s="46" t="s">
        <v>6148</v>
      </c>
      <c r="C63" s="35" t="s">
        <v>520</v>
      </c>
      <c r="D63" s="36" t="s">
        <v>4386</v>
      </c>
      <c r="E63" s="37">
        <v>43665</v>
      </c>
      <c r="F63" s="38" t="s">
        <v>77</v>
      </c>
      <c r="G63" s="39">
        <v>5760</v>
      </c>
      <c r="H63" s="38">
        <f t="shared" si="6"/>
        <v>24</v>
      </c>
      <c r="I63" s="38">
        <f t="shared" si="7"/>
        <v>6</v>
      </c>
      <c r="J63" s="38"/>
      <c r="K63" s="40">
        <v>43765</v>
      </c>
      <c r="L63" s="41" t="s">
        <v>4477</v>
      </c>
      <c r="M63" s="42">
        <v>43760</v>
      </c>
      <c r="N63" s="43" t="s">
        <v>6076</v>
      </c>
      <c r="O63" s="42">
        <v>43765</v>
      </c>
      <c r="P63" s="45"/>
      <c r="Q63" s="38"/>
      <c r="R63" s="115" t="s">
        <v>6153</v>
      </c>
      <c r="S63" s="46"/>
    </row>
    <row r="64" spans="2:19" s="30" customFormat="1" ht="33" customHeight="1">
      <c r="B64" s="46" t="s">
        <v>6148</v>
      </c>
      <c r="C64" s="35" t="s">
        <v>586</v>
      </c>
      <c r="D64" s="36" t="s">
        <v>4932</v>
      </c>
      <c r="E64" s="37">
        <v>43689</v>
      </c>
      <c r="F64" s="38" t="s">
        <v>77</v>
      </c>
      <c r="G64" s="39">
        <v>5760</v>
      </c>
      <c r="H64" s="38">
        <f t="shared" si="6"/>
        <v>24</v>
      </c>
      <c r="I64" s="38">
        <f t="shared" si="7"/>
        <v>6</v>
      </c>
      <c r="J64" s="38"/>
      <c r="K64" s="40">
        <v>43793</v>
      </c>
      <c r="L64" s="41" t="s">
        <v>6154</v>
      </c>
      <c r="M64" s="42">
        <v>43718</v>
      </c>
      <c r="N64" s="43" t="s">
        <v>6155</v>
      </c>
      <c r="O64" s="42">
        <v>43793</v>
      </c>
      <c r="P64" s="45"/>
      <c r="Q64" s="38"/>
      <c r="R64" s="115" t="s">
        <v>6156</v>
      </c>
      <c r="S64" s="46"/>
    </row>
    <row r="65" spans="2:19" s="30" customFormat="1" ht="33" customHeight="1">
      <c r="B65" s="46" t="s">
        <v>6148</v>
      </c>
      <c r="C65" s="35" t="s">
        <v>6157</v>
      </c>
      <c r="D65" s="36" t="s">
        <v>5789</v>
      </c>
      <c r="E65" s="37">
        <v>43714</v>
      </c>
      <c r="F65" s="38" t="s">
        <v>77</v>
      </c>
      <c r="G65" s="39">
        <v>1920</v>
      </c>
      <c r="H65" s="38">
        <f t="shared" si="6"/>
        <v>8</v>
      </c>
      <c r="I65" s="38">
        <f t="shared" si="7"/>
        <v>2</v>
      </c>
      <c r="J65" s="38"/>
      <c r="K65" s="40">
        <v>43793</v>
      </c>
      <c r="L65" s="41" t="s">
        <v>6154</v>
      </c>
      <c r="M65" s="42">
        <v>43718</v>
      </c>
      <c r="N65" s="43" t="s">
        <v>5440</v>
      </c>
      <c r="O65" s="42">
        <v>43793</v>
      </c>
      <c r="P65" s="45"/>
      <c r="Q65" s="38"/>
      <c r="R65" s="115" t="s">
        <v>6156</v>
      </c>
      <c r="S65" s="46"/>
    </row>
    <row r="66" spans="2:19" s="147" customFormat="1" ht="33" customHeight="1">
      <c r="B66" s="103" t="s">
        <v>5786</v>
      </c>
      <c r="C66" s="104" t="s">
        <v>6158</v>
      </c>
      <c r="D66" s="105" t="s">
        <v>5784</v>
      </c>
      <c r="E66" s="106">
        <v>43724</v>
      </c>
      <c r="F66" s="107" t="s">
        <v>77</v>
      </c>
      <c r="G66" s="108">
        <v>8640</v>
      </c>
      <c r="H66" s="107">
        <f t="shared" si="6"/>
        <v>36</v>
      </c>
      <c r="I66" s="107">
        <f t="shared" si="7"/>
        <v>9</v>
      </c>
      <c r="J66" s="107"/>
      <c r="K66" s="109">
        <v>43814</v>
      </c>
      <c r="L66" s="110" t="s">
        <v>6122</v>
      </c>
      <c r="M66" s="204">
        <v>43809</v>
      </c>
      <c r="N66" s="205" t="s">
        <v>5963</v>
      </c>
      <c r="O66" s="204">
        <v>43814</v>
      </c>
      <c r="P66" s="113"/>
      <c r="Q66" s="107"/>
      <c r="R66" s="150" t="s">
        <v>6159</v>
      </c>
      <c r="S66" s="103"/>
    </row>
    <row r="67" spans="2:19" s="34" customFormat="1" ht="33" customHeight="1">
      <c r="B67" s="47" t="s">
        <v>6160</v>
      </c>
      <c r="C67" s="48" t="s">
        <v>2378</v>
      </c>
      <c r="D67" s="49" t="s">
        <v>6161</v>
      </c>
      <c r="E67" s="50">
        <v>43602</v>
      </c>
      <c r="F67" s="52" t="s">
        <v>218</v>
      </c>
      <c r="G67" s="51">
        <v>3200</v>
      </c>
      <c r="H67" s="52">
        <f t="shared" ref="H67:H90" si="8">SUM(G67/20)</f>
        <v>160</v>
      </c>
      <c r="I67" s="52">
        <f t="shared" ref="I67:I90" si="9">SUM(H67/32)</f>
        <v>5</v>
      </c>
      <c r="J67" s="52"/>
      <c r="K67" s="53">
        <v>43688</v>
      </c>
      <c r="L67" s="54" t="s">
        <v>2505</v>
      </c>
      <c r="M67" s="55">
        <v>43718</v>
      </c>
      <c r="N67" s="56" t="s">
        <v>6063</v>
      </c>
      <c r="O67" s="55">
        <v>43688</v>
      </c>
      <c r="P67" s="58"/>
      <c r="Q67" s="52" t="s">
        <v>2762</v>
      </c>
      <c r="R67" s="63" t="s">
        <v>211</v>
      </c>
      <c r="S67" s="47" t="s">
        <v>2764</v>
      </c>
    </row>
    <row r="68" spans="2:19" s="34" customFormat="1" ht="33" customHeight="1">
      <c r="B68" s="47" t="s">
        <v>6160</v>
      </c>
      <c r="C68" s="48" t="s">
        <v>2430</v>
      </c>
      <c r="D68" s="199" t="s">
        <v>6162</v>
      </c>
      <c r="E68" s="50">
        <v>43602</v>
      </c>
      <c r="F68" s="52" t="s">
        <v>218</v>
      </c>
      <c r="G68" s="51">
        <v>3200</v>
      </c>
      <c r="H68" s="52">
        <f t="shared" si="8"/>
        <v>160</v>
      </c>
      <c r="I68" s="52">
        <f t="shared" si="9"/>
        <v>5</v>
      </c>
      <c r="J68" s="52"/>
      <c r="K68" s="53">
        <v>43702</v>
      </c>
      <c r="L68" s="54" t="s">
        <v>2509</v>
      </c>
      <c r="M68" s="55">
        <v>43718</v>
      </c>
      <c r="N68" s="56" t="s">
        <v>6133</v>
      </c>
      <c r="O68" s="55">
        <v>43702</v>
      </c>
      <c r="P68" s="58"/>
      <c r="Q68" s="52" t="s">
        <v>2517</v>
      </c>
      <c r="R68" s="63" t="s">
        <v>211</v>
      </c>
      <c r="S68" s="52"/>
    </row>
    <row r="69" spans="2:19" s="32" customFormat="1" ht="33" customHeight="1">
      <c r="B69" s="46" t="s">
        <v>6160</v>
      </c>
      <c r="C69" s="35" t="s">
        <v>3499</v>
      </c>
      <c r="D69" s="190" t="s">
        <v>3500</v>
      </c>
      <c r="E69" s="37">
        <v>43637</v>
      </c>
      <c r="F69" s="38" t="s">
        <v>218</v>
      </c>
      <c r="G69" s="39">
        <v>3200</v>
      </c>
      <c r="H69" s="38">
        <f t="shared" si="8"/>
        <v>160</v>
      </c>
      <c r="I69" s="38">
        <f t="shared" si="9"/>
        <v>5</v>
      </c>
      <c r="J69" s="38"/>
      <c r="K69" s="40">
        <v>43730</v>
      </c>
      <c r="L69" s="41" t="s">
        <v>6163</v>
      </c>
      <c r="M69" s="42">
        <v>43725</v>
      </c>
      <c r="N69" s="43" t="s">
        <v>6136</v>
      </c>
      <c r="O69" s="42">
        <v>43730</v>
      </c>
      <c r="P69" s="45"/>
      <c r="Q69" s="38" t="s">
        <v>6164</v>
      </c>
      <c r="R69" s="66" t="s">
        <v>211</v>
      </c>
      <c r="S69" s="38"/>
    </row>
    <row r="70" spans="2:19" s="32" customFormat="1" ht="33" customHeight="1">
      <c r="B70" s="46" t="s">
        <v>6165</v>
      </c>
      <c r="C70" s="35" t="s">
        <v>3501</v>
      </c>
      <c r="D70" s="190" t="s">
        <v>3502</v>
      </c>
      <c r="E70" s="37">
        <v>43637</v>
      </c>
      <c r="F70" s="38" t="s">
        <v>218</v>
      </c>
      <c r="G70" s="39">
        <v>3200</v>
      </c>
      <c r="H70" s="38">
        <f t="shared" si="8"/>
        <v>160</v>
      </c>
      <c r="I70" s="38">
        <f t="shared" si="9"/>
        <v>5</v>
      </c>
      <c r="J70" s="38"/>
      <c r="K70" s="40">
        <v>43737</v>
      </c>
      <c r="L70" s="41" t="s">
        <v>6166</v>
      </c>
      <c r="M70" s="42">
        <v>43732</v>
      </c>
      <c r="N70" s="43" t="s">
        <v>6167</v>
      </c>
      <c r="O70" s="42">
        <v>43737</v>
      </c>
      <c r="P70" s="45"/>
      <c r="Q70" s="38" t="s">
        <v>5427</v>
      </c>
      <c r="R70" s="66" t="s">
        <v>211</v>
      </c>
      <c r="S70" s="38"/>
    </row>
    <row r="71" spans="2:19" s="34" customFormat="1" ht="33" customHeight="1">
      <c r="B71" s="47" t="s">
        <v>6165</v>
      </c>
      <c r="C71" s="48" t="s">
        <v>4103</v>
      </c>
      <c r="D71" s="199" t="s">
        <v>4408</v>
      </c>
      <c r="E71" s="50">
        <v>43657</v>
      </c>
      <c r="F71" s="52" t="s">
        <v>218</v>
      </c>
      <c r="G71" s="51">
        <v>3200</v>
      </c>
      <c r="H71" s="52">
        <f t="shared" si="8"/>
        <v>160</v>
      </c>
      <c r="I71" s="52">
        <f t="shared" si="9"/>
        <v>5</v>
      </c>
      <c r="J71" s="52"/>
      <c r="K71" s="53">
        <v>43723</v>
      </c>
      <c r="L71" s="54" t="s">
        <v>6168</v>
      </c>
      <c r="M71" s="55">
        <v>43718</v>
      </c>
      <c r="N71" s="56" t="s">
        <v>6169</v>
      </c>
      <c r="O71" s="55">
        <v>43723</v>
      </c>
      <c r="P71" s="58"/>
      <c r="Q71" s="52" t="s">
        <v>6170</v>
      </c>
      <c r="R71" s="63" t="s">
        <v>211</v>
      </c>
      <c r="S71" s="52"/>
    </row>
    <row r="72" spans="2:19" s="32" customFormat="1" ht="33" customHeight="1">
      <c r="B72" s="46" t="s">
        <v>6165</v>
      </c>
      <c r="C72" s="35" t="s">
        <v>4410</v>
      </c>
      <c r="D72" s="190" t="s">
        <v>4411</v>
      </c>
      <c r="E72" s="37">
        <v>43665</v>
      </c>
      <c r="F72" s="38" t="s">
        <v>218</v>
      </c>
      <c r="G72" s="39">
        <v>3200</v>
      </c>
      <c r="H72" s="38">
        <f t="shared" si="8"/>
        <v>160</v>
      </c>
      <c r="I72" s="38">
        <f t="shared" si="9"/>
        <v>5</v>
      </c>
      <c r="J72" s="38"/>
      <c r="K72" s="40">
        <v>43751</v>
      </c>
      <c r="L72" s="41" t="s">
        <v>4475</v>
      </c>
      <c r="M72" s="42">
        <v>43756</v>
      </c>
      <c r="N72" s="43" t="s">
        <v>6171</v>
      </c>
      <c r="O72" s="42">
        <v>43751</v>
      </c>
      <c r="P72" s="45"/>
      <c r="Q72" s="66" t="s">
        <v>6172</v>
      </c>
      <c r="R72" s="66" t="s">
        <v>6173</v>
      </c>
      <c r="S72" s="38"/>
    </row>
    <row r="73" spans="2:19" s="32" customFormat="1" ht="33" customHeight="1">
      <c r="B73" s="46" t="s">
        <v>6165</v>
      </c>
      <c r="C73" s="35" t="s">
        <v>4412</v>
      </c>
      <c r="D73" s="190" t="s">
        <v>4413</v>
      </c>
      <c r="E73" s="37">
        <v>43665</v>
      </c>
      <c r="F73" s="38" t="s">
        <v>218</v>
      </c>
      <c r="G73" s="39">
        <v>3200</v>
      </c>
      <c r="H73" s="38">
        <f t="shared" si="8"/>
        <v>160</v>
      </c>
      <c r="I73" s="38">
        <f t="shared" si="9"/>
        <v>5</v>
      </c>
      <c r="J73" s="38"/>
      <c r="K73" s="40">
        <v>43758</v>
      </c>
      <c r="L73" s="41" t="s">
        <v>4479</v>
      </c>
      <c r="M73" s="42">
        <v>43756</v>
      </c>
      <c r="N73" s="43" t="s">
        <v>6174</v>
      </c>
      <c r="O73" s="42">
        <v>43758</v>
      </c>
      <c r="P73" s="45"/>
      <c r="Q73" s="66" t="s">
        <v>4818</v>
      </c>
      <c r="R73" s="66" t="s">
        <v>6173</v>
      </c>
      <c r="S73" s="38"/>
    </row>
    <row r="74" spans="2:19" s="32" customFormat="1" ht="33" customHeight="1">
      <c r="B74" s="46" t="s">
        <v>6165</v>
      </c>
      <c r="C74" s="35" t="s">
        <v>4414</v>
      </c>
      <c r="D74" s="190" t="s">
        <v>4415</v>
      </c>
      <c r="E74" s="37">
        <v>43665</v>
      </c>
      <c r="F74" s="38" t="s">
        <v>218</v>
      </c>
      <c r="G74" s="39">
        <v>3200</v>
      </c>
      <c r="H74" s="38">
        <f t="shared" si="8"/>
        <v>160</v>
      </c>
      <c r="I74" s="38">
        <f t="shared" si="9"/>
        <v>5</v>
      </c>
      <c r="J74" s="38"/>
      <c r="K74" s="40">
        <v>43765</v>
      </c>
      <c r="L74" s="41" t="s">
        <v>4477</v>
      </c>
      <c r="M74" s="42">
        <v>43760</v>
      </c>
      <c r="N74" s="43" t="s">
        <v>6175</v>
      </c>
      <c r="O74" s="42">
        <v>43765</v>
      </c>
      <c r="P74" s="45"/>
      <c r="Q74" s="66" t="s">
        <v>4817</v>
      </c>
      <c r="R74" s="66" t="s">
        <v>6173</v>
      </c>
      <c r="S74" s="38"/>
    </row>
    <row r="75" spans="2:19" s="32" customFormat="1" ht="33" customHeight="1">
      <c r="B75" s="46" t="s">
        <v>6165</v>
      </c>
      <c r="C75" s="35" t="s">
        <v>4550</v>
      </c>
      <c r="D75" s="190" t="s">
        <v>6176</v>
      </c>
      <c r="E75" s="37">
        <v>43679</v>
      </c>
      <c r="F75" s="38" t="s">
        <v>218</v>
      </c>
      <c r="G75" s="39">
        <v>3200</v>
      </c>
      <c r="H75" s="38">
        <f t="shared" si="8"/>
        <v>160</v>
      </c>
      <c r="I75" s="38">
        <f t="shared" si="9"/>
        <v>5</v>
      </c>
      <c r="J75" s="38"/>
      <c r="K75" s="40">
        <v>43765</v>
      </c>
      <c r="L75" s="41" t="s">
        <v>4477</v>
      </c>
      <c r="M75" s="42">
        <v>43760</v>
      </c>
      <c r="N75" s="43" t="s">
        <v>4549</v>
      </c>
      <c r="O75" s="42">
        <v>43765</v>
      </c>
      <c r="P75" s="45"/>
      <c r="Q75" s="66" t="s">
        <v>4817</v>
      </c>
      <c r="R75" s="66" t="s">
        <v>6177</v>
      </c>
      <c r="S75" s="38"/>
    </row>
    <row r="76" spans="2:19" s="32" customFormat="1" ht="33" customHeight="1">
      <c r="B76" s="46" t="s">
        <v>6160</v>
      </c>
      <c r="C76" s="35" t="s">
        <v>4899</v>
      </c>
      <c r="D76" s="190" t="s">
        <v>6178</v>
      </c>
      <c r="E76" s="37">
        <v>43689</v>
      </c>
      <c r="F76" s="38" t="s">
        <v>218</v>
      </c>
      <c r="G76" s="39">
        <v>3200</v>
      </c>
      <c r="H76" s="38">
        <f t="shared" si="8"/>
        <v>160</v>
      </c>
      <c r="I76" s="38">
        <f t="shared" si="9"/>
        <v>5</v>
      </c>
      <c r="J76" s="38"/>
      <c r="K76" s="40">
        <v>43779</v>
      </c>
      <c r="L76" s="41" t="s">
        <v>6179</v>
      </c>
      <c r="M76" s="42">
        <v>43756</v>
      </c>
      <c r="N76" s="43" t="s">
        <v>6180</v>
      </c>
      <c r="O76" s="42">
        <v>43779</v>
      </c>
      <c r="P76" s="45"/>
      <c r="Q76" s="66" t="s">
        <v>6181</v>
      </c>
      <c r="R76" s="66" t="s">
        <v>211</v>
      </c>
      <c r="S76" s="38"/>
    </row>
    <row r="77" spans="2:19" s="32" customFormat="1" ht="33" customHeight="1">
      <c r="B77" s="46" t="s">
        <v>6165</v>
      </c>
      <c r="C77" s="35" t="s">
        <v>4897</v>
      </c>
      <c r="D77" s="190" t="s">
        <v>6182</v>
      </c>
      <c r="E77" s="37">
        <v>43689</v>
      </c>
      <c r="F77" s="38" t="s">
        <v>218</v>
      </c>
      <c r="G77" s="39">
        <v>3200</v>
      </c>
      <c r="H77" s="38">
        <f t="shared" si="8"/>
        <v>160</v>
      </c>
      <c r="I77" s="38">
        <f t="shared" si="9"/>
        <v>5</v>
      </c>
      <c r="J77" s="38"/>
      <c r="K77" s="40">
        <v>43793</v>
      </c>
      <c r="L77" s="41" t="s">
        <v>6154</v>
      </c>
      <c r="M77" s="42">
        <v>43788</v>
      </c>
      <c r="N77" s="43" t="s">
        <v>6155</v>
      </c>
      <c r="O77" s="42">
        <v>43793</v>
      </c>
      <c r="P77" s="45"/>
      <c r="Q77" s="66" t="s">
        <v>6183</v>
      </c>
      <c r="R77" s="66" t="s">
        <v>211</v>
      </c>
      <c r="S77" s="38"/>
    </row>
    <row r="78" spans="2:19" s="153" customFormat="1" ht="33" customHeight="1">
      <c r="B78" s="103" t="s">
        <v>6160</v>
      </c>
      <c r="C78" s="104" t="s">
        <v>5762</v>
      </c>
      <c r="D78" s="189" t="s">
        <v>6184</v>
      </c>
      <c r="E78" s="106">
        <v>43724</v>
      </c>
      <c r="F78" s="107" t="s">
        <v>218</v>
      </c>
      <c r="G78" s="108">
        <v>3200</v>
      </c>
      <c r="H78" s="107">
        <f t="shared" si="8"/>
        <v>160</v>
      </c>
      <c r="I78" s="107">
        <f t="shared" si="9"/>
        <v>5</v>
      </c>
      <c r="J78" s="107"/>
      <c r="K78" s="109">
        <v>43800</v>
      </c>
      <c r="L78" s="110" t="s">
        <v>6185</v>
      </c>
      <c r="M78" s="204">
        <v>43795</v>
      </c>
      <c r="N78" s="205" t="s">
        <v>6042</v>
      </c>
      <c r="O78" s="204">
        <v>43800</v>
      </c>
      <c r="P78" s="113"/>
      <c r="Q78" s="116"/>
      <c r="R78" s="116" t="s">
        <v>211</v>
      </c>
      <c r="S78" s="107"/>
    </row>
    <row r="79" spans="2:19" s="153" customFormat="1" ht="33" customHeight="1">
      <c r="B79" s="103" t="s">
        <v>6160</v>
      </c>
      <c r="C79" s="104" t="s">
        <v>5761</v>
      </c>
      <c r="D79" s="189" t="s">
        <v>6186</v>
      </c>
      <c r="E79" s="106">
        <v>43724</v>
      </c>
      <c r="F79" s="107" t="s">
        <v>218</v>
      </c>
      <c r="G79" s="108">
        <v>3200</v>
      </c>
      <c r="H79" s="107">
        <f t="shared" si="8"/>
        <v>160</v>
      </c>
      <c r="I79" s="107">
        <f t="shared" si="9"/>
        <v>5</v>
      </c>
      <c r="J79" s="107"/>
      <c r="K79" s="109">
        <v>43814</v>
      </c>
      <c r="L79" s="110" t="s">
        <v>6122</v>
      </c>
      <c r="M79" s="204">
        <v>43809</v>
      </c>
      <c r="N79" s="205" t="s">
        <v>5963</v>
      </c>
      <c r="O79" s="204">
        <v>43814</v>
      </c>
      <c r="P79" s="113"/>
      <c r="Q79" s="116"/>
      <c r="R79" s="116" t="s">
        <v>211</v>
      </c>
      <c r="S79" s="107"/>
    </row>
    <row r="80" spans="2:19" s="153" customFormat="1" ht="33" customHeight="1">
      <c r="B80" s="103" t="s">
        <v>6160</v>
      </c>
      <c r="C80" s="104" t="s">
        <v>5759</v>
      </c>
      <c r="D80" s="189" t="s">
        <v>5758</v>
      </c>
      <c r="E80" s="106">
        <v>43724</v>
      </c>
      <c r="F80" s="107" t="s">
        <v>218</v>
      </c>
      <c r="G80" s="108">
        <v>6400</v>
      </c>
      <c r="H80" s="107">
        <f t="shared" si="8"/>
        <v>320</v>
      </c>
      <c r="I80" s="107">
        <f t="shared" si="9"/>
        <v>10</v>
      </c>
      <c r="J80" s="107"/>
      <c r="K80" s="109">
        <v>43487</v>
      </c>
      <c r="L80" s="110" t="s">
        <v>6187</v>
      </c>
      <c r="M80" s="204">
        <v>43479</v>
      </c>
      <c r="N80" s="205" t="s">
        <v>6188</v>
      </c>
      <c r="O80" s="204">
        <v>43484</v>
      </c>
      <c r="P80" s="113"/>
      <c r="Q80" s="116"/>
      <c r="R80" s="116" t="s">
        <v>211</v>
      </c>
      <c r="S80" s="107"/>
    </row>
    <row r="81" spans="2:19" s="153" customFormat="1" ht="33" customHeight="1">
      <c r="B81" s="103" t="s">
        <v>6160</v>
      </c>
      <c r="C81" s="104" t="s">
        <v>6189</v>
      </c>
      <c r="D81" s="189"/>
      <c r="E81" s="106">
        <v>43728</v>
      </c>
      <c r="F81" s="107" t="s">
        <v>218</v>
      </c>
      <c r="G81" s="108">
        <v>3200</v>
      </c>
      <c r="H81" s="107">
        <f t="shared" si="8"/>
        <v>160</v>
      </c>
      <c r="I81" s="107">
        <f t="shared" si="9"/>
        <v>5</v>
      </c>
      <c r="J81" s="107"/>
      <c r="K81" s="109">
        <v>43828</v>
      </c>
      <c r="L81" s="110"/>
      <c r="M81" s="111"/>
      <c r="N81" s="112"/>
      <c r="O81" s="111"/>
      <c r="P81" s="113"/>
      <c r="Q81" s="116"/>
      <c r="R81" s="116" t="s">
        <v>211</v>
      </c>
      <c r="S81" s="107"/>
    </row>
    <row r="82" spans="2:19" s="34" customFormat="1" ht="33" customHeight="1">
      <c r="B82" s="47" t="s">
        <v>5451</v>
      </c>
      <c r="C82" s="48" t="s">
        <v>2088</v>
      </c>
      <c r="D82" s="49" t="s">
        <v>6190</v>
      </c>
      <c r="E82" s="50">
        <v>43595</v>
      </c>
      <c r="F82" s="52" t="s">
        <v>6191</v>
      </c>
      <c r="G82" s="51">
        <v>640</v>
      </c>
      <c r="H82" s="52">
        <f t="shared" si="8"/>
        <v>32</v>
      </c>
      <c r="I82" s="52">
        <f t="shared" si="9"/>
        <v>1</v>
      </c>
      <c r="J82" s="52"/>
      <c r="K82" s="53">
        <v>43709</v>
      </c>
      <c r="L82" s="54" t="s">
        <v>6150</v>
      </c>
      <c r="M82" s="55">
        <v>43756</v>
      </c>
      <c r="N82" s="56" t="s">
        <v>6151</v>
      </c>
      <c r="O82" s="55">
        <v>43716</v>
      </c>
      <c r="P82" s="58"/>
      <c r="Q82" s="63" t="s">
        <v>2548</v>
      </c>
      <c r="R82" s="63" t="s">
        <v>211</v>
      </c>
      <c r="S82" s="47" t="s">
        <v>6192</v>
      </c>
    </row>
    <row r="83" spans="2:19" s="32" customFormat="1" ht="33" customHeight="1">
      <c r="B83" s="46" t="s">
        <v>6193</v>
      </c>
      <c r="C83" s="35" t="s">
        <v>208</v>
      </c>
      <c r="D83" s="190" t="s">
        <v>6194</v>
      </c>
      <c r="E83" s="37">
        <v>43602</v>
      </c>
      <c r="F83" s="38" t="s">
        <v>6191</v>
      </c>
      <c r="G83" s="39">
        <v>640</v>
      </c>
      <c r="H83" s="38">
        <f t="shared" si="8"/>
        <v>32</v>
      </c>
      <c r="I83" s="38">
        <f t="shared" si="9"/>
        <v>1</v>
      </c>
      <c r="J83" s="38"/>
      <c r="K83" s="196">
        <v>43737</v>
      </c>
      <c r="L83" s="41" t="s">
        <v>5462</v>
      </c>
      <c r="M83" s="42">
        <v>43725</v>
      </c>
      <c r="N83" s="43" t="s">
        <v>5463</v>
      </c>
      <c r="O83" s="42">
        <v>43730</v>
      </c>
      <c r="P83" s="45"/>
      <c r="Q83" s="66" t="s">
        <v>6195</v>
      </c>
      <c r="R83" s="66" t="s">
        <v>211</v>
      </c>
      <c r="S83" s="38" t="s">
        <v>5467</v>
      </c>
    </row>
    <row r="84" spans="2:19" s="32" customFormat="1" ht="33" customHeight="1">
      <c r="B84" s="46" t="s">
        <v>5451</v>
      </c>
      <c r="C84" s="35" t="s">
        <v>6196</v>
      </c>
      <c r="D84" s="190" t="s">
        <v>6197</v>
      </c>
      <c r="E84" s="37">
        <v>43693</v>
      </c>
      <c r="F84" s="38" t="s">
        <v>6191</v>
      </c>
      <c r="G84" s="39">
        <v>640</v>
      </c>
      <c r="H84" s="38">
        <f t="shared" si="8"/>
        <v>32</v>
      </c>
      <c r="I84" s="38">
        <f t="shared" si="9"/>
        <v>1</v>
      </c>
      <c r="J84" s="38"/>
      <c r="K84" s="196">
        <v>43737</v>
      </c>
      <c r="L84" s="41" t="s">
        <v>5462</v>
      </c>
      <c r="M84" s="42">
        <v>43725</v>
      </c>
      <c r="N84" s="43" t="s">
        <v>5463</v>
      </c>
      <c r="O84" s="42">
        <v>43730</v>
      </c>
      <c r="P84" s="45"/>
      <c r="Q84" s="66" t="s">
        <v>6195</v>
      </c>
      <c r="R84" s="66" t="s">
        <v>211</v>
      </c>
      <c r="S84" s="38" t="s">
        <v>6198</v>
      </c>
    </row>
    <row r="85" spans="2:19" s="32" customFormat="1" ht="33" customHeight="1">
      <c r="B85" s="46" t="s">
        <v>5451</v>
      </c>
      <c r="C85" s="35" t="s">
        <v>212</v>
      </c>
      <c r="D85" s="190" t="s">
        <v>6199</v>
      </c>
      <c r="E85" s="37">
        <v>43602</v>
      </c>
      <c r="F85" s="38" t="s">
        <v>6191</v>
      </c>
      <c r="G85" s="39">
        <v>640</v>
      </c>
      <c r="H85" s="38">
        <f t="shared" si="8"/>
        <v>32</v>
      </c>
      <c r="I85" s="38">
        <f t="shared" si="9"/>
        <v>1</v>
      </c>
      <c r="J85" s="38"/>
      <c r="K85" s="40">
        <v>43779</v>
      </c>
      <c r="L85" s="41" t="s">
        <v>6179</v>
      </c>
      <c r="M85" s="42">
        <v>43756</v>
      </c>
      <c r="N85" s="43" t="s">
        <v>6180</v>
      </c>
      <c r="O85" s="42">
        <v>43779</v>
      </c>
      <c r="P85" s="45"/>
      <c r="Q85" s="38" t="s">
        <v>4823</v>
      </c>
      <c r="R85" s="66" t="s">
        <v>211</v>
      </c>
      <c r="S85" s="38"/>
    </row>
    <row r="86" spans="2:19" s="32" customFormat="1" ht="33" customHeight="1">
      <c r="B86" s="46" t="s">
        <v>5451</v>
      </c>
      <c r="C86" s="35" t="s">
        <v>2531</v>
      </c>
      <c r="D86" s="190" t="s">
        <v>4426</v>
      </c>
      <c r="E86" s="37">
        <v>43665</v>
      </c>
      <c r="F86" s="38" t="s">
        <v>6191</v>
      </c>
      <c r="G86" s="39">
        <v>1920</v>
      </c>
      <c r="H86" s="38">
        <f t="shared" si="8"/>
        <v>96</v>
      </c>
      <c r="I86" s="38">
        <f t="shared" si="9"/>
        <v>3</v>
      </c>
      <c r="J86" s="38"/>
      <c r="K86" s="40">
        <v>43751</v>
      </c>
      <c r="L86" s="41" t="s">
        <v>4475</v>
      </c>
      <c r="M86" s="42">
        <v>43756</v>
      </c>
      <c r="N86" s="43" t="s">
        <v>6200</v>
      </c>
      <c r="O86" s="42">
        <v>43751</v>
      </c>
      <c r="P86" s="45"/>
      <c r="Q86" s="66" t="s">
        <v>6201</v>
      </c>
      <c r="R86" s="66" t="s">
        <v>211</v>
      </c>
      <c r="S86" s="38"/>
    </row>
    <row r="87" spans="2:19" s="32" customFormat="1" ht="33" customHeight="1">
      <c r="B87" s="46" t="s">
        <v>5451</v>
      </c>
      <c r="C87" s="35" t="s">
        <v>5417</v>
      </c>
      <c r="D87" s="190" t="s">
        <v>6202</v>
      </c>
      <c r="E87" s="37">
        <v>43700</v>
      </c>
      <c r="F87" s="38" t="s">
        <v>6191</v>
      </c>
      <c r="G87" s="39">
        <v>640</v>
      </c>
      <c r="H87" s="38">
        <f t="shared" si="8"/>
        <v>32</v>
      </c>
      <c r="I87" s="38">
        <f t="shared" si="9"/>
        <v>1</v>
      </c>
      <c r="J87" s="38"/>
      <c r="K87" s="40">
        <v>43765</v>
      </c>
      <c r="L87" s="41" t="s">
        <v>4477</v>
      </c>
      <c r="M87" s="42">
        <v>43760</v>
      </c>
      <c r="N87" s="43" t="s">
        <v>4549</v>
      </c>
      <c r="O87" s="42">
        <v>43765</v>
      </c>
      <c r="P87" s="45"/>
      <c r="Q87" s="38" t="s">
        <v>6203</v>
      </c>
      <c r="R87" s="66" t="s">
        <v>211</v>
      </c>
      <c r="S87" s="38"/>
    </row>
    <row r="88" spans="2:19" s="32" customFormat="1" ht="33" customHeight="1">
      <c r="B88" s="46" t="s">
        <v>6193</v>
      </c>
      <c r="C88" s="35" t="s">
        <v>5418</v>
      </c>
      <c r="D88" s="190" t="s">
        <v>6204</v>
      </c>
      <c r="E88" s="37">
        <v>43700</v>
      </c>
      <c r="F88" s="38" t="s">
        <v>6191</v>
      </c>
      <c r="G88" s="108">
        <v>640</v>
      </c>
      <c r="H88" s="107">
        <f t="shared" si="8"/>
        <v>32</v>
      </c>
      <c r="I88" s="107">
        <f t="shared" si="9"/>
        <v>1</v>
      </c>
      <c r="J88" s="38"/>
      <c r="K88" s="40">
        <v>43807</v>
      </c>
      <c r="L88" s="41" t="s">
        <v>6205</v>
      </c>
      <c r="M88" s="42">
        <v>43802</v>
      </c>
      <c r="N88" s="43" t="s">
        <v>6206</v>
      </c>
      <c r="O88" s="42">
        <v>43807</v>
      </c>
      <c r="P88" s="45"/>
      <c r="Q88" s="38" t="s">
        <v>6207</v>
      </c>
      <c r="R88" s="66" t="s">
        <v>211</v>
      </c>
      <c r="S88" s="38"/>
    </row>
    <row r="89" spans="2:19" s="153" customFormat="1" ht="33" customHeight="1">
      <c r="B89" s="103" t="s">
        <v>5451</v>
      </c>
      <c r="C89" s="104" t="s">
        <v>6208</v>
      </c>
      <c r="D89" s="189" t="s">
        <v>5735</v>
      </c>
      <c r="E89" s="106">
        <v>43724</v>
      </c>
      <c r="F89" s="107" t="s">
        <v>5734</v>
      </c>
      <c r="G89" s="108">
        <v>1280</v>
      </c>
      <c r="H89" s="107">
        <f t="shared" si="8"/>
        <v>64</v>
      </c>
      <c r="I89" s="107">
        <f t="shared" si="9"/>
        <v>2</v>
      </c>
      <c r="J89" s="107"/>
      <c r="K89" s="109">
        <v>43814</v>
      </c>
      <c r="L89" s="110" t="s">
        <v>6122</v>
      </c>
      <c r="M89" s="204">
        <v>43809</v>
      </c>
      <c r="N89" s="205" t="s">
        <v>5963</v>
      </c>
      <c r="O89" s="204">
        <v>43814</v>
      </c>
      <c r="P89" s="113"/>
      <c r="Q89" s="107"/>
      <c r="R89" s="116" t="s">
        <v>211</v>
      </c>
      <c r="S89" s="107"/>
    </row>
    <row r="90" spans="2:19" s="153" customFormat="1" ht="33" customHeight="1">
      <c r="B90" s="103" t="s">
        <v>5451</v>
      </c>
      <c r="C90" s="104" t="s">
        <v>225</v>
      </c>
      <c r="D90" s="189"/>
      <c r="E90" s="106">
        <v>43728</v>
      </c>
      <c r="F90" s="107" t="s">
        <v>5734</v>
      </c>
      <c r="G90" s="108">
        <v>1280</v>
      </c>
      <c r="H90" s="107">
        <f t="shared" si="8"/>
        <v>64</v>
      </c>
      <c r="I90" s="107">
        <f t="shared" si="9"/>
        <v>2</v>
      </c>
      <c r="J90" s="107"/>
      <c r="K90" s="109">
        <v>43786</v>
      </c>
      <c r="L90" s="110"/>
      <c r="M90" s="111"/>
      <c r="N90" s="112"/>
      <c r="O90" s="111"/>
      <c r="P90" s="113"/>
      <c r="Q90" s="107"/>
      <c r="R90" s="116" t="s">
        <v>211</v>
      </c>
      <c r="S90" s="107"/>
    </row>
    <row r="91" spans="2:19" s="33" customFormat="1" ht="33" customHeight="1">
      <c r="B91" s="47" t="s">
        <v>2514</v>
      </c>
      <c r="C91" s="48" t="s">
        <v>6209</v>
      </c>
      <c r="D91" s="49" t="s">
        <v>6210</v>
      </c>
      <c r="E91" s="50">
        <v>43602</v>
      </c>
      <c r="F91" s="52" t="s">
        <v>2516</v>
      </c>
      <c r="G91" s="51">
        <v>1520</v>
      </c>
      <c r="H91" s="52">
        <v>8</v>
      </c>
      <c r="I91" s="52">
        <v>2</v>
      </c>
      <c r="J91" s="52"/>
      <c r="K91" s="53">
        <v>43702</v>
      </c>
      <c r="L91" s="54" t="s">
        <v>6132</v>
      </c>
      <c r="M91" s="55">
        <v>43697</v>
      </c>
      <c r="N91" s="56" t="s">
        <v>6133</v>
      </c>
      <c r="O91" s="55">
        <v>43702</v>
      </c>
      <c r="P91" s="58"/>
      <c r="Q91" s="52"/>
      <c r="R91" s="63" t="s">
        <v>6211</v>
      </c>
      <c r="S91" s="47"/>
    </row>
    <row r="92" spans="2:19" s="30" customFormat="1" ht="33" customHeight="1">
      <c r="B92" s="46" t="s">
        <v>2514</v>
      </c>
      <c r="C92" s="35" t="s">
        <v>285</v>
      </c>
      <c r="D92" s="36" t="s">
        <v>4436</v>
      </c>
      <c r="E92" s="37">
        <v>43665</v>
      </c>
      <c r="F92" s="38" t="s">
        <v>2516</v>
      </c>
      <c r="G92" s="39">
        <v>1520</v>
      </c>
      <c r="H92" s="38">
        <v>8</v>
      </c>
      <c r="I92" s="38">
        <v>2</v>
      </c>
      <c r="J92" s="38"/>
      <c r="K92" s="40">
        <v>43758</v>
      </c>
      <c r="L92" s="41" t="s">
        <v>6129</v>
      </c>
      <c r="M92" s="42">
        <v>43753</v>
      </c>
      <c r="N92" s="43" t="s">
        <v>6117</v>
      </c>
      <c r="O92" s="42">
        <v>43758</v>
      </c>
      <c r="P92" s="45"/>
      <c r="Q92" s="38"/>
      <c r="R92" s="66" t="s">
        <v>6212</v>
      </c>
      <c r="S92" s="46"/>
    </row>
    <row r="93" spans="2:19" s="30" customFormat="1" ht="33" customHeight="1">
      <c r="B93" s="46" t="s">
        <v>2514</v>
      </c>
      <c r="C93" s="35" t="s">
        <v>331</v>
      </c>
      <c r="D93" s="36" t="s">
        <v>4864</v>
      </c>
      <c r="E93" s="37">
        <v>43689</v>
      </c>
      <c r="F93" s="38" t="s">
        <v>2516</v>
      </c>
      <c r="G93" s="39">
        <v>1520</v>
      </c>
      <c r="H93" s="38">
        <v>8</v>
      </c>
      <c r="I93" s="38">
        <v>2</v>
      </c>
      <c r="J93" s="38"/>
      <c r="K93" s="40">
        <v>43802</v>
      </c>
      <c r="L93" s="41" t="s">
        <v>6213</v>
      </c>
      <c r="M93" s="42">
        <v>43795</v>
      </c>
      <c r="N93" s="43" t="s">
        <v>6042</v>
      </c>
      <c r="O93" s="42">
        <v>43800</v>
      </c>
      <c r="P93" s="45"/>
      <c r="Q93" s="38"/>
      <c r="R93" s="66" t="s">
        <v>6214</v>
      </c>
      <c r="S93" s="46"/>
    </row>
    <row r="94" spans="2:19" s="30" customFormat="1" ht="33" customHeight="1">
      <c r="B94" s="46" t="s">
        <v>6215</v>
      </c>
      <c r="C94" s="35" t="s">
        <v>431</v>
      </c>
      <c r="D94" s="36" t="s">
        <v>6216</v>
      </c>
      <c r="E94" s="37">
        <v>43637</v>
      </c>
      <c r="F94" s="38" t="s">
        <v>236</v>
      </c>
      <c r="G94" s="39">
        <v>3200</v>
      </c>
      <c r="H94" s="38">
        <f>SUM(G94/200)</f>
        <v>16</v>
      </c>
      <c r="I94" s="38">
        <f>SUM(H94/4)</f>
        <v>4</v>
      </c>
      <c r="J94" s="38"/>
      <c r="K94" s="40">
        <v>43730</v>
      </c>
      <c r="L94" s="41" t="s">
        <v>6135</v>
      </c>
      <c r="M94" s="42">
        <v>43725</v>
      </c>
      <c r="N94" s="43" t="s">
        <v>6136</v>
      </c>
      <c r="O94" s="42">
        <v>43730</v>
      </c>
      <c r="P94" s="45"/>
      <c r="Q94" s="38"/>
      <c r="R94" s="66"/>
      <c r="S94" s="46"/>
    </row>
    <row r="95" spans="2:19" s="30" customFormat="1" ht="33" customHeight="1">
      <c r="B95" s="46" t="s">
        <v>6215</v>
      </c>
      <c r="C95" s="35" t="s">
        <v>523</v>
      </c>
      <c r="D95" s="36" t="s">
        <v>4452</v>
      </c>
      <c r="E95" s="37">
        <v>43665</v>
      </c>
      <c r="F95" s="38" t="s">
        <v>236</v>
      </c>
      <c r="G95" s="39">
        <v>3200</v>
      </c>
      <c r="H95" s="38">
        <f>SUM(G95/200)</f>
        <v>16</v>
      </c>
      <c r="I95" s="38">
        <f>SUM(H95/4)</f>
        <v>4</v>
      </c>
      <c r="J95" s="38"/>
      <c r="K95" s="40">
        <v>43751</v>
      </c>
      <c r="L95" s="41" t="s">
        <v>6217</v>
      </c>
      <c r="M95" s="42">
        <v>43760</v>
      </c>
      <c r="N95" s="43" t="s">
        <v>6175</v>
      </c>
      <c r="O95" s="42">
        <v>43765</v>
      </c>
      <c r="P95" s="45"/>
      <c r="Q95" s="38" t="s">
        <v>6218</v>
      </c>
      <c r="R95" s="66"/>
      <c r="S95" s="46" t="s">
        <v>5686</v>
      </c>
    </row>
    <row r="96" spans="2:19" s="30" customFormat="1" ht="33" customHeight="1">
      <c r="B96" s="46" t="s">
        <v>6219</v>
      </c>
      <c r="C96" s="35" t="s">
        <v>589</v>
      </c>
      <c r="D96" s="36" t="s">
        <v>4835</v>
      </c>
      <c r="E96" s="37">
        <v>43689</v>
      </c>
      <c r="F96" s="38" t="s">
        <v>236</v>
      </c>
      <c r="G96" s="39">
        <v>2400</v>
      </c>
      <c r="H96" s="38">
        <f>SUM(G96/200)</f>
        <v>12</v>
      </c>
      <c r="I96" s="38">
        <f>SUM(H96/4)</f>
        <v>3</v>
      </c>
      <c r="J96" s="38"/>
      <c r="K96" s="40">
        <v>43793</v>
      </c>
      <c r="L96" s="41" t="s">
        <v>6220</v>
      </c>
      <c r="M96" s="42">
        <v>43788</v>
      </c>
      <c r="N96" s="43" t="s">
        <v>6221</v>
      </c>
      <c r="O96" s="42">
        <v>43793</v>
      </c>
      <c r="P96" s="45"/>
      <c r="Q96" s="38"/>
      <c r="R96" s="66" t="s">
        <v>6222</v>
      </c>
      <c r="S96" s="46" t="s">
        <v>5428</v>
      </c>
    </row>
    <row r="97" spans="2:19" s="147" customFormat="1" ht="33" customHeight="1">
      <c r="B97" s="103" t="s">
        <v>6215</v>
      </c>
      <c r="C97" s="104" t="s">
        <v>2078</v>
      </c>
      <c r="D97" s="105" t="s">
        <v>5711</v>
      </c>
      <c r="E97" s="106">
        <v>43724</v>
      </c>
      <c r="F97" s="107" t="s">
        <v>236</v>
      </c>
      <c r="G97" s="108">
        <v>4000</v>
      </c>
      <c r="H97" s="107">
        <f>SUM(G97/200)</f>
        <v>20</v>
      </c>
      <c r="I97" s="107">
        <f>SUM(H97/4)</f>
        <v>5</v>
      </c>
      <c r="J97" s="107"/>
      <c r="K97" s="109">
        <v>43814</v>
      </c>
      <c r="L97" s="110" t="s">
        <v>6223</v>
      </c>
      <c r="M97" s="204">
        <v>43809</v>
      </c>
      <c r="N97" s="205" t="s">
        <v>5963</v>
      </c>
      <c r="O97" s="204">
        <v>43814</v>
      </c>
      <c r="P97" s="113"/>
      <c r="Q97" s="107"/>
      <c r="R97" s="116"/>
      <c r="S97" s="103"/>
    </row>
    <row r="98" spans="2:19" ht="22.2">
      <c r="F98" s="177"/>
      <c r="L98" s="176"/>
      <c r="M98" s="177"/>
      <c r="N98" s="177"/>
      <c r="O98"/>
      <c r="P98" s="13"/>
      <c r="R98" s="19"/>
      <c r="S98" s="28"/>
    </row>
    <row r="99" spans="2:19" hidden="1">
      <c r="E99" s="175"/>
      <c r="L99" s="11"/>
      <c r="M99"/>
      <c r="N99"/>
      <c r="O99"/>
      <c r="P99" s="13"/>
      <c r="R99" s="19"/>
      <c r="S99" s="28"/>
    </row>
    <row r="100" spans="2:19" s="19" customFormat="1" hidden="1">
      <c r="B100"/>
      <c r="C100" s="15"/>
      <c r="D100" s="1"/>
      <c r="L100" s="178" t="s">
        <v>1825</v>
      </c>
      <c r="M100" s="178" t="s">
        <v>1826</v>
      </c>
      <c r="N100" s="178" t="s">
        <v>1827</v>
      </c>
      <c r="O100" s="178" t="s">
        <v>1828</v>
      </c>
      <c r="P100" s="179" t="s">
        <v>6224</v>
      </c>
      <c r="Q100" s="179" t="s">
        <v>6225</v>
      </c>
      <c r="R100" s="179" t="s">
        <v>1831</v>
      </c>
      <c r="S100" s="179"/>
    </row>
    <row r="101" spans="2:19" s="19" customFormat="1" hidden="1">
      <c r="B101"/>
      <c r="C101" s="15"/>
      <c r="D101" s="1"/>
      <c r="L101" s="180" t="s">
        <v>6226</v>
      </c>
      <c r="M101" s="181" t="s">
        <v>1833</v>
      </c>
      <c r="N101" s="181" t="s">
        <v>1834</v>
      </c>
      <c r="O101" s="182" t="s">
        <v>1835</v>
      </c>
      <c r="P101" s="183">
        <v>1000</v>
      </c>
      <c r="Q101" s="183">
        <v>4</v>
      </c>
      <c r="R101" s="184">
        <v>43598</v>
      </c>
      <c r="S101" s="181" t="s">
        <v>99</v>
      </c>
    </row>
    <row r="102" spans="2:19" s="19" customFormat="1" hidden="1">
      <c r="B102"/>
      <c r="C102" s="15"/>
      <c r="D102" s="1"/>
      <c r="L102" s="180" t="s">
        <v>6226</v>
      </c>
      <c r="M102" s="181" t="s">
        <v>1836</v>
      </c>
      <c r="N102" s="181" t="s">
        <v>1834</v>
      </c>
      <c r="O102" s="182" t="s">
        <v>1835</v>
      </c>
      <c r="P102" s="183">
        <v>6000</v>
      </c>
      <c r="Q102" s="183">
        <v>24</v>
      </c>
      <c r="R102" s="184">
        <v>43598</v>
      </c>
      <c r="S102" s="181" t="s">
        <v>99</v>
      </c>
    </row>
    <row r="103" spans="2:19" s="19" customFormat="1" hidden="1">
      <c r="B103"/>
      <c r="C103" s="15"/>
      <c r="D103" s="1"/>
      <c r="L103" s="180" t="s">
        <v>6226</v>
      </c>
      <c r="M103" s="181" t="s">
        <v>1837</v>
      </c>
      <c r="N103" s="181" t="s">
        <v>1834</v>
      </c>
      <c r="O103" s="182" t="s">
        <v>1835</v>
      </c>
      <c r="P103" s="183">
        <v>5000</v>
      </c>
      <c r="Q103" s="183">
        <v>20</v>
      </c>
      <c r="R103" s="185" t="s">
        <v>6227</v>
      </c>
      <c r="S103" s="180" t="s">
        <v>6228</v>
      </c>
    </row>
    <row r="104" spans="2:19" s="19" customFormat="1" hidden="1">
      <c r="B104"/>
      <c r="C104" s="15"/>
      <c r="D104" s="1"/>
      <c r="L104" s="180" t="s">
        <v>6226</v>
      </c>
      <c r="M104" s="181" t="s">
        <v>1840</v>
      </c>
      <c r="N104" s="181" t="s">
        <v>1834</v>
      </c>
      <c r="O104" s="182" t="s">
        <v>1835</v>
      </c>
      <c r="P104" s="183">
        <v>5000</v>
      </c>
      <c r="Q104" s="183">
        <v>20</v>
      </c>
      <c r="R104" s="184">
        <v>43605</v>
      </c>
      <c r="S104" s="181" t="s">
        <v>99</v>
      </c>
    </row>
    <row r="105" spans="2:19" s="19" customFormat="1" hidden="1">
      <c r="B105"/>
      <c r="C105" s="15"/>
      <c r="D105" s="1"/>
      <c r="L105" s="180" t="s">
        <v>6226</v>
      </c>
      <c r="M105" s="181" t="s">
        <v>1841</v>
      </c>
      <c r="N105" s="181" t="s">
        <v>1834</v>
      </c>
      <c r="O105" s="182" t="s">
        <v>1835</v>
      </c>
      <c r="P105" s="183">
        <v>7000</v>
      </c>
      <c r="Q105" s="183">
        <v>28</v>
      </c>
      <c r="R105" s="184">
        <v>43605</v>
      </c>
      <c r="S105" s="181" t="s">
        <v>99</v>
      </c>
    </row>
    <row r="106" spans="2:19" hidden="1">
      <c r="L106" s="180" t="s">
        <v>6229</v>
      </c>
      <c r="M106" s="181" t="s">
        <v>1843</v>
      </c>
      <c r="N106" s="181" t="s">
        <v>1844</v>
      </c>
      <c r="O106" s="182" t="s">
        <v>1835</v>
      </c>
      <c r="P106" s="183">
        <v>2000</v>
      </c>
      <c r="Q106" s="183">
        <v>8</v>
      </c>
      <c r="R106" s="184">
        <v>43598</v>
      </c>
      <c r="S106" s="181" t="s">
        <v>99</v>
      </c>
    </row>
    <row r="107" spans="2:19" hidden="1">
      <c r="L107" s="180" t="s">
        <v>6229</v>
      </c>
      <c r="M107" s="181" t="s">
        <v>1845</v>
      </c>
      <c r="N107" s="181" t="s">
        <v>1844</v>
      </c>
      <c r="O107" s="182" t="s">
        <v>1835</v>
      </c>
      <c r="P107" s="183">
        <v>2000</v>
      </c>
      <c r="Q107" s="183">
        <v>8</v>
      </c>
      <c r="R107" s="184">
        <v>43598</v>
      </c>
      <c r="S107" s="181" t="s">
        <v>99</v>
      </c>
    </row>
    <row r="108" spans="2:19" hidden="1">
      <c r="L108" s="180" t="s">
        <v>6229</v>
      </c>
      <c r="M108" s="181" t="s">
        <v>1846</v>
      </c>
      <c r="N108" s="181" t="s">
        <v>1844</v>
      </c>
      <c r="O108" s="182" t="s">
        <v>1835</v>
      </c>
      <c r="P108" s="183">
        <v>10000</v>
      </c>
      <c r="Q108" s="183">
        <v>40</v>
      </c>
      <c r="R108" s="184">
        <v>43598</v>
      </c>
      <c r="S108" s="181" t="s">
        <v>99</v>
      </c>
    </row>
    <row r="109" spans="2:19" hidden="1">
      <c r="L109" s="180" t="s">
        <v>6229</v>
      </c>
      <c r="M109" s="181" t="s">
        <v>1847</v>
      </c>
      <c r="N109" s="181" t="s">
        <v>1844</v>
      </c>
      <c r="O109" s="182" t="s">
        <v>1835</v>
      </c>
      <c r="P109" s="183">
        <v>8000</v>
      </c>
      <c r="Q109" s="183">
        <v>32</v>
      </c>
      <c r="R109" s="184">
        <v>43598</v>
      </c>
      <c r="S109" s="180"/>
    </row>
    <row r="110" spans="2:19" hidden="1">
      <c r="L110" s="180" t="s">
        <v>6229</v>
      </c>
      <c r="M110" s="181" t="s">
        <v>1848</v>
      </c>
      <c r="N110" s="181" t="s">
        <v>1844</v>
      </c>
      <c r="O110" s="182" t="s">
        <v>1835</v>
      </c>
      <c r="P110" s="183">
        <v>10000</v>
      </c>
      <c r="Q110" s="183">
        <v>40</v>
      </c>
      <c r="R110" s="185" t="s">
        <v>6230</v>
      </c>
      <c r="S110" s="180" t="s">
        <v>6228</v>
      </c>
    </row>
    <row r="111" spans="2:19" hidden="1">
      <c r="L111" s="182" t="s">
        <v>6231</v>
      </c>
      <c r="M111" s="181" t="s">
        <v>1851</v>
      </c>
      <c r="N111" s="181" t="s">
        <v>1834</v>
      </c>
      <c r="O111" s="182" t="s">
        <v>1852</v>
      </c>
      <c r="P111" s="183">
        <v>5000</v>
      </c>
      <c r="Q111" s="183">
        <v>20</v>
      </c>
      <c r="R111" s="184">
        <v>43605</v>
      </c>
      <c r="S111" s="181" t="s">
        <v>99</v>
      </c>
    </row>
    <row r="112" spans="2:19" hidden="1">
      <c r="L112" s="180" t="s">
        <v>6232</v>
      </c>
      <c r="M112" s="181" t="s">
        <v>1851</v>
      </c>
      <c r="N112" s="181" t="s">
        <v>1844</v>
      </c>
      <c r="O112" s="182" t="s">
        <v>1835</v>
      </c>
      <c r="P112" s="183">
        <v>2000</v>
      </c>
      <c r="Q112" s="183">
        <v>8</v>
      </c>
      <c r="R112" s="184">
        <v>43605</v>
      </c>
      <c r="S112" s="181" t="s">
        <v>99</v>
      </c>
    </row>
    <row r="113" spans="12:19" hidden="1">
      <c r="L113" s="182" t="s">
        <v>6233</v>
      </c>
      <c r="M113" s="181" t="s">
        <v>1855</v>
      </c>
      <c r="N113" s="181" t="s">
        <v>1834</v>
      </c>
      <c r="O113" s="182" t="s">
        <v>1852</v>
      </c>
      <c r="P113" s="183">
        <v>6000</v>
      </c>
      <c r="Q113" s="183">
        <v>24</v>
      </c>
      <c r="R113" s="184">
        <v>43605</v>
      </c>
      <c r="S113" s="181" t="s">
        <v>99</v>
      </c>
    </row>
    <row r="114" spans="12:19" hidden="1">
      <c r="L114" s="182" t="s">
        <v>6233</v>
      </c>
      <c r="M114" s="181" t="s">
        <v>1856</v>
      </c>
      <c r="N114" s="181" t="s">
        <v>1834</v>
      </c>
      <c r="O114" s="182" t="s">
        <v>1852</v>
      </c>
      <c r="P114" s="183">
        <v>6000</v>
      </c>
      <c r="Q114" s="183">
        <v>24</v>
      </c>
      <c r="R114" s="185">
        <v>43605</v>
      </c>
      <c r="S114" s="180"/>
    </row>
    <row r="115" spans="12:19" hidden="1">
      <c r="L115" s="182" t="s">
        <v>6233</v>
      </c>
      <c r="M115" s="181" t="s">
        <v>1857</v>
      </c>
      <c r="N115" s="181" t="s">
        <v>1834</v>
      </c>
      <c r="O115" s="182" t="s">
        <v>1852</v>
      </c>
      <c r="P115" s="183">
        <v>6000</v>
      </c>
      <c r="Q115" s="183">
        <v>24</v>
      </c>
      <c r="R115" s="184" t="s">
        <v>6234</v>
      </c>
      <c r="S115" s="181" t="s">
        <v>6235</v>
      </c>
    </row>
    <row r="118" spans="12:19" ht="16.2">
      <c r="L118" s="186"/>
    </row>
    <row r="119" spans="12:19" ht="16.2">
      <c r="L119" s="186"/>
    </row>
    <row r="120" spans="12:19" ht="16.2">
      <c r="L120" s="186"/>
    </row>
    <row r="121" spans="12:19">
      <c r="Q121" t="s">
        <v>6236</v>
      </c>
    </row>
  </sheetData>
  <autoFilter ref="B2:R98" xr:uid="{00000000-0009-0000-0000-000006000000}">
    <sortState ref="B89:R144">
      <sortCondition descending="1" ref="L2:L148"/>
    </sortState>
  </autoFilter>
  <phoneticPr fontId="1"/>
  <pageMargins left="0.23622047244094491" right="0.23622047244094491" top="0.35433070866141736" bottom="0.35433070866141736" header="0.31496062992125984" footer="0.31496062992125984"/>
  <pageSetup paperSize="9" scale="44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77">
    <pageSetUpPr fitToPage="1"/>
  </sheetPr>
  <dimension ref="A1:S193"/>
  <sheetViews>
    <sheetView topLeftCell="A28" zoomScale="77" zoomScaleNormal="77" workbookViewId="0">
      <selection activeCell="B47" sqref="B47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7.12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B2" s="194"/>
      <c r="C2" s="14" t="s">
        <v>9</v>
      </c>
      <c r="D2" s="5" t="s">
        <v>0</v>
      </c>
      <c r="E2" s="6" t="s">
        <v>93</v>
      </c>
      <c r="F2" s="6" t="s">
        <v>11</v>
      </c>
      <c r="G2" s="10" t="s">
        <v>1</v>
      </c>
      <c r="H2" s="6" t="s">
        <v>15</v>
      </c>
      <c r="I2" s="6" t="s">
        <v>16</v>
      </c>
      <c r="J2" s="6" t="s">
        <v>95</v>
      </c>
      <c r="K2" s="12" t="s">
        <v>7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85</v>
      </c>
      <c r="Q2" s="6" t="s">
        <v>8</v>
      </c>
      <c r="R2" s="16" t="s">
        <v>6</v>
      </c>
      <c r="S2" s="16" t="s">
        <v>80</v>
      </c>
    </row>
    <row r="3" spans="2:19" s="33" customFormat="1" ht="33" customHeight="1">
      <c r="B3" s="47" t="s">
        <v>220</v>
      </c>
      <c r="C3" s="48" t="s">
        <v>377</v>
      </c>
      <c r="D3" s="49" t="s">
        <v>378</v>
      </c>
      <c r="E3" s="50">
        <v>43455</v>
      </c>
      <c r="F3" s="49" t="s">
        <v>91</v>
      </c>
      <c r="G3" s="51">
        <v>14000</v>
      </c>
      <c r="H3" s="52">
        <f t="shared" ref="H3:H48" si="0">SUM(G3/250)</f>
        <v>56</v>
      </c>
      <c r="I3" s="52">
        <f t="shared" ref="I3:I66" si="1">SUM(H3/4)</f>
        <v>14</v>
      </c>
      <c r="J3" s="49"/>
      <c r="K3" s="53">
        <v>43548</v>
      </c>
      <c r="L3" s="54" t="s">
        <v>802</v>
      </c>
      <c r="M3" s="55">
        <v>43563</v>
      </c>
      <c r="N3" s="56" t="s">
        <v>438</v>
      </c>
      <c r="O3" s="55">
        <v>43569</v>
      </c>
      <c r="P3" s="54" t="s">
        <v>839</v>
      </c>
      <c r="Q3" s="49"/>
      <c r="R3" s="57" t="s">
        <v>379</v>
      </c>
      <c r="S3" s="47"/>
    </row>
    <row r="4" spans="2:19" s="33" customFormat="1" ht="33" customHeight="1">
      <c r="B4" s="47" t="s">
        <v>220</v>
      </c>
      <c r="C4" s="48" t="s">
        <v>421</v>
      </c>
      <c r="D4" s="49" t="s">
        <v>453</v>
      </c>
      <c r="E4" s="50">
        <v>43483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43576</v>
      </c>
      <c r="L4" s="54" t="s">
        <v>443</v>
      </c>
      <c r="M4" s="55">
        <v>43570</v>
      </c>
      <c r="N4" s="56" t="s">
        <v>440</v>
      </c>
      <c r="O4" s="55">
        <v>43576</v>
      </c>
      <c r="P4" s="54" t="s">
        <v>981</v>
      </c>
      <c r="Q4" s="49"/>
      <c r="R4" s="57" t="s">
        <v>454</v>
      </c>
      <c r="S4" s="47"/>
    </row>
    <row r="5" spans="2:19" s="33" customFormat="1" ht="33" customHeight="1">
      <c r="B5" s="47" t="s">
        <v>78</v>
      </c>
      <c r="C5" s="48" t="s">
        <v>422</v>
      </c>
      <c r="D5" s="49" t="s">
        <v>455</v>
      </c>
      <c r="E5" s="50">
        <v>43483</v>
      </c>
      <c r="F5" s="49" t="s">
        <v>91</v>
      </c>
      <c r="G5" s="51">
        <v>10000</v>
      </c>
      <c r="H5" s="52">
        <f t="shared" si="0"/>
        <v>40</v>
      </c>
      <c r="I5" s="52">
        <f t="shared" si="1"/>
        <v>10</v>
      </c>
      <c r="J5" s="49"/>
      <c r="K5" s="53">
        <v>43618</v>
      </c>
      <c r="L5" s="54" t="s">
        <v>442</v>
      </c>
      <c r="M5" s="55">
        <v>43612</v>
      </c>
      <c r="N5" s="56" t="s">
        <v>637</v>
      </c>
      <c r="O5" s="55">
        <v>43618</v>
      </c>
      <c r="P5" s="54" t="s">
        <v>2155</v>
      </c>
      <c r="Q5" s="49" t="s">
        <v>82</v>
      </c>
      <c r="R5" s="57" t="s">
        <v>616</v>
      </c>
      <c r="S5" s="47"/>
    </row>
    <row r="6" spans="2:19" s="33" customFormat="1" ht="33" customHeight="1">
      <c r="B6" s="47" t="s">
        <v>78</v>
      </c>
      <c r="C6" s="48" t="s">
        <v>617</v>
      </c>
      <c r="D6" s="49" t="s">
        <v>455</v>
      </c>
      <c r="E6" s="50">
        <v>43523</v>
      </c>
      <c r="F6" s="49" t="s">
        <v>91</v>
      </c>
      <c r="G6" s="51">
        <v>10000</v>
      </c>
      <c r="H6" s="52">
        <f t="shared" si="0"/>
        <v>40</v>
      </c>
      <c r="I6" s="52">
        <f t="shared" si="1"/>
        <v>10</v>
      </c>
      <c r="J6" s="49"/>
      <c r="K6" s="53">
        <v>43618</v>
      </c>
      <c r="L6" s="54" t="s">
        <v>638</v>
      </c>
      <c r="M6" s="55">
        <v>43612</v>
      </c>
      <c r="N6" s="56" t="s">
        <v>636</v>
      </c>
      <c r="O6" s="55">
        <v>43618</v>
      </c>
      <c r="P6" s="54" t="s">
        <v>2156</v>
      </c>
      <c r="Q6" s="49" t="s">
        <v>82</v>
      </c>
      <c r="R6" s="57" t="s">
        <v>618</v>
      </c>
      <c r="S6" s="47"/>
    </row>
    <row r="7" spans="2:19" s="33" customFormat="1" ht="33" customHeight="1">
      <c r="B7" s="47" t="s">
        <v>78</v>
      </c>
      <c r="C7" s="48" t="s">
        <v>1330</v>
      </c>
      <c r="D7" s="49" t="s">
        <v>1337</v>
      </c>
      <c r="E7" s="50">
        <v>43483</v>
      </c>
      <c r="F7" s="49" t="s">
        <v>91</v>
      </c>
      <c r="G7" s="51">
        <v>20000</v>
      </c>
      <c r="H7" s="52">
        <f t="shared" si="0"/>
        <v>80</v>
      </c>
      <c r="I7" s="52">
        <f t="shared" si="1"/>
        <v>20</v>
      </c>
      <c r="J7" s="49"/>
      <c r="K7" s="53">
        <v>43618</v>
      </c>
      <c r="L7" s="54" t="s">
        <v>442</v>
      </c>
      <c r="M7" s="55">
        <v>43612</v>
      </c>
      <c r="N7" s="56" t="s">
        <v>637</v>
      </c>
      <c r="O7" s="55">
        <v>43618</v>
      </c>
      <c r="P7" s="54" t="s">
        <v>2157</v>
      </c>
      <c r="Q7" s="49" t="s">
        <v>82</v>
      </c>
      <c r="R7" s="57" t="s">
        <v>616</v>
      </c>
      <c r="S7" s="47" t="s">
        <v>479</v>
      </c>
    </row>
    <row r="8" spans="2:19" s="33" customFormat="1" ht="33" customHeight="1">
      <c r="B8" s="47" t="s">
        <v>78</v>
      </c>
      <c r="C8" s="48" t="s">
        <v>423</v>
      </c>
      <c r="D8" s="49" t="s">
        <v>457</v>
      </c>
      <c r="E8" s="50">
        <v>43483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43576</v>
      </c>
      <c r="L8" s="54" t="s">
        <v>443</v>
      </c>
      <c r="M8" s="55">
        <v>43570</v>
      </c>
      <c r="N8" s="56" t="s">
        <v>440</v>
      </c>
      <c r="O8" s="55">
        <v>43576</v>
      </c>
      <c r="P8" s="54" t="s">
        <v>982</v>
      </c>
      <c r="Q8" s="49" t="s">
        <v>82</v>
      </c>
      <c r="R8" s="57" t="s">
        <v>424</v>
      </c>
      <c r="S8" s="47"/>
    </row>
    <row r="9" spans="2:19" s="33" customFormat="1" ht="33" customHeight="1">
      <c r="B9" s="47" t="s">
        <v>220</v>
      </c>
      <c r="C9" s="48" t="s">
        <v>425</v>
      </c>
      <c r="D9" s="49" t="s">
        <v>459</v>
      </c>
      <c r="E9" s="50">
        <v>43483</v>
      </c>
      <c r="F9" s="49" t="s">
        <v>79</v>
      </c>
      <c r="G9" s="51">
        <v>20000</v>
      </c>
      <c r="H9" s="52">
        <f t="shared" si="0"/>
        <v>80</v>
      </c>
      <c r="I9" s="52">
        <f t="shared" si="1"/>
        <v>20</v>
      </c>
      <c r="J9" s="49"/>
      <c r="K9" s="53">
        <v>43583</v>
      </c>
      <c r="L9" s="54" t="s">
        <v>444</v>
      </c>
      <c r="M9" s="55">
        <v>43577</v>
      </c>
      <c r="N9" s="56" t="s">
        <v>441</v>
      </c>
      <c r="O9" s="55">
        <v>43583</v>
      </c>
      <c r="P9" s="54" t="s">
        <v>1568</v>
      </c>
      <c r="Q9" s="49"/>
      <c r="R9" s="57" t="s">
        <v>426</v>
      </c>
      <c r="S9" s="47"/>
    </row>
    <row r="10" spans="2:19" s="33" customFormat="1" ht="33" customHeight="1">
      <c r="B10" s="47" t="s">
        <v>78</v>
      </c>
      <c r="C10" s="48" t="s">
        <v>462</v>
      </c>
      <c r="D10" s="49" t="s">
        <v>483</v>
      </c>
      <c r="E10" s="50">
        <v>43490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43583</v>
      </c>
      <c r="L10" s="54" t="s">
        <v>444</v>
      </c>
      <c r="M10" s="55">
        <v>43577</v>
      </c>
      <c r="N10" s="56" t="s">
        <v>441</v>
      </c>
      <c r="O10" s="55">
        <v>43583</v>
      </c>
      <c r="P10" s="54" t="s">
        <v>983</v>
      </c>
      <c r="Q10" s="49" t="s">
        <v>82</v>
      </c>
      <c r="R10" s="57" t="s">
        <v>463</v>
      </c>
      <c r="S10" s="47"/>
    </row>
    <row r="11" spans="2:19" s="33" customFormat="1" ht="33" customHeight="1">
      <c r="B11" s="47" t="s">
        <v>78</v>
      </c>
      <c r="C11" s="48" t="s">
        <v>570</v>
      </c>
      <c r="D11" s="49" t="s">
        <v>571</v>
      </c>
      <c r="E11" s="50">
        <v>43519</v>
      </c>
      <c r="F11" s="49" t="s">
        <v>79</v>
      </c>
      <c r="G11" s="51">
        <v>20000</v>
      </c>
      <c r="H11" s="52">
        <f t="shared" si="0"/>
        <v>80</v>
      </c>
      <c r="I11" s="52">
        <f t="shared" si="1"/>
        <v>20</v>
      </c>
      <c r="J11" s="49"/>
      <c r="K11" s="53">
        <v>43590</v>
      </c>
      <c r="L11" s="54" t="s">
        <v>602</v>
      </c>
      <c r="M11" s="55">
        <v>43577</v>
      </c>
      <c r="N11" s="56" t="s">
        <v>441</v>
      </c>
      <c r="O11" s="55">
        <v>43583</v>
      </c>
      <c r="P11" s="54" t="s">
        <v>984</v>
      </c>
      <c r="Q11" s="49" t="s">
        <v>82</v>
      </c>
      <c r="R11" s="57" t="s">
        <v>572</v>
      </c>
      <c r="S11" s="47"/>
    </row>
    <row r="12" spans="2:19" s="33" customFormat="1" ht="33" customHeight="1">
      <c r="B12" s="47" t="s">
        <v>78</v>
      </c>
      <c r="C12" s="48" t="s">
        <v>573</v>
      </c>
      <c r="D12" s="49" t="s">
        <v>574</v>
      </c>
      <c r="E12" s="50">
        <v>43519</v>
      </c>
      <c r="F12" s="49" t="s">
        <v>79</v>
      </c>
      <c r="G12" s="51">
        <v>20000</v>
      </c>
      <c r="H12" s="52">
        <f t="shared" si="0"/>
        <v>80</v>
      </c>
      <c r="I12" s="52">
        <f t="shared" si="1"/>
        <v>20</v>
      </c>
      <c r="J12" s="49"/>
      <c r="K12" s="53">
        <v>43604</v>
      </c>
      <c r="L12" s="54" t="s">
        <v>757</v>
      </c>
      <c r="M12" s="55">
        <v>43598</v>
      </c>
      <c r="N12" s="56" t="s">
        <v>756</v>
      </c>
      <c r="O12" s="55">
        <v>43604</v>
      </c>
      <c r="P12" s="54" t="s">
        <v>1811</v>
      </c>
      <c r="Q12" s="49" t="s">
        <v>82</v>
      </c>
      <c r="R12" s="57" t="s">
        <v>575</v>
      </c>
      <c r="S12" s="47"/>
    </row>
    <row r="13" spans="2:19" s="33" customFormat="1" ht="33" customHeight="1">
      <c r="B13" s="47" t="s">
        <v>78</v>
      </c>
      <c r="C13" s="48" t="s">
        <v>785</v>
      </c>
      <c r="D13" s="49" t="s">
        <v>577</v>
      </c>
      <c r="E13" s="50">
        <v>43519</v>
      </c>
      <c r="F13" s="49" t="s">
        <v>91</v>
      </c>
      <c r="G13" s="51">
        <v>10000</v>
      </c>
      <c r="H13" s="52">
        <f t="shared" si="0"/>
        <v>40</v>
      </c>
      <c r="I13" s="52">
        <f t="shared" si="1"/>
        <v>10</v>
      </c>
      <c r="J13" s="49"/>
      <c r="K13" s="53">
        <v>43598</v>
      </c>
      <c r="L13" s="54" t="s">
        <v>803</v>
      </c>
      <c r="M13" s="55">
        <v>43598</v>
      </c>
      <c r="N13" s="56" t="s">
        <v>804</v>
      </c>
      <c r="O13" s="55">
        <v>43604</v>
      </c>
      <c r="P13" s="54" t="s">
        <v>1812</v>
      </c>
      <c r="Q13" s="49" t="s">
        <v>82</v>
      </c>
      <c r="R13" s="57" t="s">
        <v>786</v>
      </c>
      <c r="S13" s="47"/>
    </row>
    <row r="14" spans="2:19" s="33" customFormat="1" ht="33" customHeight="1">
      <c r="B14" s="47" t="s">
        <v>220</v>
      </c>
      <c r="C14" s="48" t="s">
        <v>579</v>
      </c>
      <c r="D14" s="49" t="s">
        <v>580</v>
      </c>
      <c r="E14" s="50">
        <v>43519</v>
      </c>
      <c r="F14" s="49" t="s">
        <v>79</v>
      </c>
      <c r="G14" s="51">
        <v>10000</v>
      </c>
      <c r="H14" s="52">
        <f t="shared" si="0"/>
        <v>40</v>
      </c>
      <c r="I14" s="52">
        <f t="shared" si="1"/>
        <v>10</v>
      </c>
      <c r="J14" s="49"/>
      <c r="K14" s="53">
        <v>43598</v>
      </c>
      <c r="L14" s="54" t="s">
        <v>803</v>
      </c>
      <c r="M14" s="55">
        <v>43598</v>
      </c>
      <c r="N14" s="56" t="s">
        <v>804</v>
      </c>
      <c r="O14" s="55">
        <v>43604</v>
      </c>
      <c r="P14" s="54" t="s">
        <v>1813</v>
      </c>
      <c r="Q14" s="49"/>
      <c r="R14" s="57" t="s">
        <v>787</v>
      </c>
      <c r="S14" s="47"/>
    </row>
    <row r="15" spans="2:19" s="33" customFormat="1" ht="33" customHeight="1">
      <c r="B15" s="47" t="s">
        <v>78</v>
      </c>
      <c r="C15" s="48" t="s">
        <v>576</v>
      </c>
      <c r="D15" s="49" t="s">
        <v>577</v>
      </c>
      <c r="E15" s="50">
        <v>43519</v>
      </c>
      <c r="F15" s="49" t="s">
        <v>79</v>
      </c>
      <c r="G15" s="51">
        <v>20000</v>
      </c>
      <c r="H15" s="52">
        <f t="shared" si="0"/>
        <v>80</v>
      </c>
      <c r="I15" s="52">
        <f t="shared" si="1"/>
        <v>20</v>
      </c>
      <c r="J15" s="49"/>
      <c r="K15" s="53">
        <v>43611</v>
      </c>
      <c r="L15" s="54" t="s">
        <v>604</v>
      </c>
      <c r="M15" s="55">
        <v>43605</v>
      </c>
      <c r="N15" s="56" t="s">
        <v>639</v>
      </c>
      <c r="O15" s="55">
        <v>43611</v>
      </c>
      <c r="P15" s="54" t="s">
        <v>1858</v>
      </c>
      <c r="Q15" s="49" t="s">
        <v>82</v>
      </c>
      <c r="R15" s="57" t="s">
        <v>578</v>
      </c>
      <c r="S15" s="47"/>
    </row>
    <row r="16" spans="2:19" s="33" customFormat="1" ht="33" customHeight="1">
      <c r="B16" s="47" t="s">
        <v>78</v>
      </c>
      <c r="C16" s="48" t="s">
        <v>685</v>
      </c>
      <c r="D16" s="49" t="s">
        <v>686</v>
      </c>
      <c r="E16" s="50">
        <v>43532</v>
      </c>
      <c r="F16" s="49" t="s">
        <v>79</v>
      </c>
      <c r="G16" s="51">
        <v>20000</v>
      </c>
      <c r="H16" s="52">
        <f t="shared" si="0"/>
        <v>80</v>
      </c>
      <c r="I16" s="52">
        <f t="shared" si="1"/>
        <v>20</v>
      </c>
      <c r="J16" s="49"/>
      <c r="K16" s="53">
        <v>43625</v>
      </c>
      <c r="L16" s="54" t="s">
        <v>761</v>
      </c>
      <c r="M16" s="55">
        <v>43619</v>
      </c>
      <c r="N16" s="56" t="s">
        <v>758</v>
      </c>
      <c r="O16" s="55">
        <v>43625</v>
      </c>
      <c r="P16" s="54"/>
      <c r="Q16" s="49" t="s">
        <v>82</v>
      </c>
      <c r="R16" s="57" t="s">
        <v>687</v>
      </c>
      <c r="S16" s="47"/>
    </row>
    <row r="17" spans="2:19" s="33" customFormat="1" ht="33" customHeight="1">
      <c r="B17" s="47" t="s">
        <v>78</v>
      </c>
      <c r="C17" s="48" t="s">
        <v>1332</v>
      </c>
      <c r="D17" s="49" t="s">
        <v>1366</v>
      </c>
      <c r="E17" s="50">
        <v>43532</v>
      </c>
      <c r="F17" s="49" t="s">
        <v>79</v>
      </c>
      <c r="G17" s="51">
        <v>20000</v>
      </c>
      <c r="H17" s="52">
        <f t="shared" si="0"/>
        <v>80</v>
      </c>
      <c r="I17" s="52">
        <f t="shared" si="1"/>
        <v>20</v>
      </c>
      <c r="J17" s="49"/>
      <c r="K17" s="53">
        <v>43625</v>
      </c>
      <c r="L17" s="54" t="s">
        <v>761</v>
      </c>
      <c r="M17" s="55">
        <v>43619</v>
      </c>
      <c r="N17" s="56" t="s">
        <v>758</v>
      </c>
      <c r="O17" s="55">
        <v>43625</v>
      </c>
      <c r="P17" s="54"/>
      <c r="Q17" s="49" t="s">
        <v>82</v>
      </c>
      <c r="R17" s="57" t="s">
        <v>687</v>
      </c>
      <c r="S17" s="47" t="s">
        <v>479</v>
      </c>
    </row>
    <row r="18" spans="2:19" s="33" customFormat="1" ht="33" customHeight="1">
      <c r="B18" s="47" t="s">
        <v>220</v>
      </c>
      <c r="C18" s="48" t="s">
        <v>688</v>
      </c>
      <c r="D18" s="49" t="s">
        <v>689</v>
      </c>
      <c r="E18" s="50">
        <v>43532</v>
      </c>
      <c r="F18" s="49" t="s">
        <v>79</v>
      </c>
      <c r="G18" s="51">
        <v>20000</v>
      </c>
      <c r="H18" s="52">
        <f t="shared" si="0"/>
        <v>80</v>
      </c>
      <c r="I18" s="52">
        <f t="shared" si="1"/>
        <v>20</v>
      </c>
      <c r="J18" s="49"/>
      <c r="K18" s="53">
        <v>43632</v>
      </c>
      <c r="L18" s="54" t="s">
        <v>762</v>
      </c>
      <c r="M18" s="55">
        <v>43626</v>
      </c>
      <c r="N18" s="56" t="s">
        <v>759</v>
      </c>
      <c r="O18" s="55">
        <v>43632</v>
      </c>
      <c r="P18" s="54" t="s">
        <v>1820</v>
      </c>
      <c r="Q18" s="49"/>
      <c r="R18" s="57" t="s">
        <v>690</v>
      </c>
      <c r="S18" s="47"/>
    </row>
    <row r="19" spans="2:19" s="33" customFormat="1" ht="33" customHeight="1">
      <c r="B19" s="47" t="s">
        <v>78</v>
      </c>
      <c r="C19" s="48" t="s">
        <v>691</v>
      </c>
      <c r="D19" s="49" t="s">
        <v>692</v>
      </c>
      <c r="E19" s="50">
        <v>43532</v>
      </c>
      <c r="F19" s="49" t="s">
        <v>79</v>
      </c>
      <c r="G19" s="51">
        <v>20000</v>
      </c>
      <c r="H19" s="52">
        <f t="shared" si="0"/>
        <v>80</v>
      </c>
      <c r="I19" s="52">
        <f t="shared" si="1"/>
        <v>20</v>
      </c>
      <c r="J19" s="49"/>
      <c r="K19" s="53">
        <v>43639</v>
      </c>
      <c r="L19" s="54" t="s">
        <v>763</v>
      </c>
      <c r="M19" s="55">
        <v>43633</v>
      </c>
      <c r="N19" s="56" t="s">
        <v>760</v>
      </c>
      <c r="O19" s="55">
        <v>43639</v>
      </c>
      <c r="P19" s="54"/>
      <c r="Q19" s="49" t="s">
        <v>82</v>
      </c>
      <c r="R19" s="57" t="s">
        <v>693</v>
      </c>
      <c r="S19" s="47"/>
    </row>
    <row r="20" spans="2:19" s="33" customFormat="1" ht="33" customHeight="1">
      <c r="B20" s="47" t="s">
        <v>78</v>
      </c>
      <c r="C20" s="48" t="s">
        <v>1816</v>
      </c>
      <c r="D20" s="49" t="s">
        <v>1156</v>
      </c>
      <c r="E20" s="50">
        <v>43566</v>
      </c>
      <c r="F20" s="49" t="s">
        <v>79</v>
      </c>
      <c r="G20" s="51">
        <v>6000</v>
      </c>
      <c r="H20" s="52">
        <f t="shared" si="0"/>
        <v>24</v>
      </c>
      <c r="I20" s="52">
        <f t="shared" si="1"/>
        <v>6</v>
      </c>
      <c r="J20" s="49"/>
      <c r="K20" s="53">
        <v>43611</v>
      </c>
      <c r="L20" s="54" t="s">
        <v>603</v>
      </c>
      <c r="M20" s="55">
        <v>43605</v>
      </c>
      <c r="N20" s="56" t="s">
        <v>1080</v>
      </c>
      <c r="O20" s="55">
        <v>43611</v>
      </c>
      <c r="P20" s="54" t="s">
        <v>1859</v>
      </c>
      <c r="Q20" s="49" t="s">
        <v>82</v>
      </c>
      <c r="R20" s="57" t="s">
        <v>1605</v>
      </c>
      <c r="S20" s="47"/>
    </row>
    <row r="21" spans="2:19" s="33" customFormat="1" ht="33" customHeight="1">
      <c r="B21" s="47" t="s">
        <v>1817</v>
      </c>
      <c r="C21" s="48" t="s">
        <v>986</v>
      </c>
      <c r="D21" s="49" t="s">
        <v>1156</v>
      </c>
      <c r="E21" s="50">
        <v>43566</v>
      </c>
      <c r="F21" s="49" t="s">
        <v>79</v>
      </c>
      <c r="G21" s="51">
        <v>14000</v>
      </c>
      <c r="H21" s="52">
        <f t="shared" si="0"/>
        <v>56</v>
      </c>
      <c r="I21" s="52">
        <f t="shared" si="1"/>
        <v>14</v>
      </c>
      <c r="J21" s="49"/>
      <c r="K21" s="53">
        <v>43611</v>
      </c>
      <c r="L21" s="54" t="s">
        <v>603</v>
      </c>
      <c r="M21" s="55">
        <v>43605</v>
      </c>
      <c r="N21" s="56" t="s">
        <v>1080</v>
      </c>
      <c r="O21" s="55">
        <v>43611</v>
      </c>
      <c r="P21" s="54" t="s">
        <v>1824</v>
      </c>
      <c r="Q21" s="49"/>
      <c r="R21" s="57" t="s">
        <v>1605</v>
      </c>
      <c r="S21" s="47"/>
    </row>
    <row r="22" spans="2:19" s="33" customFormat="1" ht="33" customHeight="1">
      <c r="B22" s="47" t="s">
        <v>78</v>
      </c>
      <c r="C22" s="48" t="s">
        <v>988</v>
      </c>
      <c r="D22" s="49" t="s">
        <v>1158</v>
      </c>
      <c r="E22" s="50">
        <v>43566</v>
      </c>
      <c r="F22" s="49" t="s">
        <v>79</v>
      </c>
      <c r="G22" s="51">
        <v>20000</v>
      </c>
      <c r="H22" s="52">
        <f t="shared" si="0"/>
        <v>80</v>
      </c>
      <c r="I22" s="52">
        <f t="shared" si="1"/>
        <v>20</v>
      </c>
      <c r="J22" s="49"/>
      <c r="K22" s="53">
        <v>43632</v>
      </c>
      <c r="L22" s="54" t="s">
        <v>1081</v>
      </c>
      <c r="M22" s="55">
        <v>43626</v>
      </c>
      <c r="N22" s="56" t="s">
        <v>1082</v>
      </c>
      <c r="O22" s="55">
        <v>43632</v>
      </c>
      <c r="P22" s="54"/>
      <c r="Q22" s="49" t="s">
        <v>82</v>
      </c>
      <c r="R22" s="57" t="s">
        <v>989</v>
      </c>
      <c r="S22" s="47"/>
    </row>
    <row r="23" spans="2:19" s="33" customFormat="1" ht="33" customHeight="1">
      <c r="B23" s="47" t="s">
        <v>78</v>
      </c>
      <c r="C23" s="48" t="s">
        <v>1160</v>
      </c>
      <c r="D23" s="49" t="s">
        <v>1161</v>
      </c>
      <c r="E23" s="50">
        <v>43567</v>
      </c>
      <c r="F23" s="49" t="s">
        <v>63</v>
      </c>
      <c r="G23" s="51">
        <v>40000</v>
      </c>
      <c r="H23" s="52">
        <f t="shared" si="0"/>
        <v>160</v>
      </c>
      <c r="I23" s="52">
        <f t="shared" si="1"/>
        <v>40</v>
      </c>
      <c r="J23" s="49"/>
      <c r="K23" s="53">
        <v>43646</v>
      </c>
      <c r="L23" s="54" t="s">
        <v>1316</v>
      </c>
      <c r="M23" s="55">
        <v>43640</v>
      </c>
      <c r="N23" s="56" t="s">
        <v>1308</v>
      </c>
      <c r="O23" s="55">
        <v>43646</v>
      </c>
      <c r="P23" s="54"/>
      <c r="Q23" s="49" t="s">
        <v>82</v>
      </c>
      <c r="R23" s="57" t="s">
        <v>2141</v>
      </c>
      <c r="S23" s="47" t="s">
        <v>2140</v>
      </c>
    </row>
    <row r="24" spans="2:19" s="33" customFormat="1" ht="33" customHeight="1">
      <c r="B24" s="47" t="s">
        <v>220</v>
      </c>
      <c r="C24" s="48" t="s">
        <v>1163</v>
      </c>
      <c r="D24" s="49" t="s">
        <v>1164</v>
      </c>
      <c r="E24" s="50">
        <v>43567</v>
      </c>
      <c r="F24" s="49" t="s">
        <v>79</v>
      </c>
      <c r="G24" s="51">
        <v>20000</v>
      </c>
      <c r="H24" s="52">
        <f t="shared" si="0"/>
        <v>80</v>
      </c>
      <c r="I24" s="52">
        <f t="shared" si="1"/>
        <v>20</v>
      </c>
      <c r="J24" s="49"/>
      <c r="K24" s="53">
        <v>43646</v>
      </c>
      <c r="L24" s="54" t="s">
        <v>1316</v>
      </c>
      <c r="M24" s="55">
        <v>43640</v>
      </c>
      <c r="N24" s="56" t="s">
        <v>1308</v>
      </c>
      <c r="O24" s="55">
        <v>43646</v>
      </c>
      <c r="P24" s="54"/>
      <c r="Q24" s="49"/>
      <c r="R24" s="57" t="s">
        <v>2139</v>
      </c>
      <c r="S24" s="47" t="s">
        <v>2140</v>
      </c>
    </row>
    <row r="25" spans="2:19" s="33" customFormat="1" ht="33" customHeight="1">
      <c r="B25" s="47" t="s">
        <v>78</v>
      </c>
      <c r="C25" s="48" t="s">
        <v>1166</v>
      </c>
      <c r="D25" s="49" t="s">
        <v>1167</v>
      </c>
      <c r="E25" s="50">
        <v>43567</v>
      </c>
      <c r="F25" s="49" t="s">
        <v>79</v>
      </c>
      <c r="G25" s="51">
        <v>20000</v>
      </c>
      <c r="H25" s="52">
        <f t="shared" si="0"/>
        <v>80</v>
      </c>
      <c r="I25" s="52">
        <f t="shared" si="1"/>
        <v>20</v>
      </c>
      <c r="J25" s="49"/>
      <c r="K25" s="53">
        <v>43653</v>
      </c>
      <c r="L25" s="54" t="s">
        <v>1317</v>
      </c>
      <c r="M25" s="55">
        <v>43647</v>
      </c>
      <c r="N25" s="56" t="s">
        <v>1309</v>
      </c>
      <c r="O25" s="55">
        <v>43653</v>
      </c>
      <c r="P25" s="54"/>
      <c r="Q25" s="49" t="s">
        <v>82</v>
      </c>
      <c r="R25" s="57" t="s">
        <v>2142</v>
      </c>
      <c r="S25" s="47" t="s">
        <v>2140</v>
      </c>
    </row>
    <row r="26" spans="2:19" s="33" customFormat="1" ht="33" customHeight="1">
      <c r="B26" s="47" t="s">
        <v>78</v>
      </c>
      <c r="C26" s="48" t="s">
        <v>1169</v>
      </c>
      <c r="D26" s="49" t="s">
        <v>1170</v>
      </c>
      <c r="E26" s="50">
        <v>43567</v>
      </c>
      <c r="F26" s="49" t="s">
        <v>79</v>
      </c>
      <c r="G26" s="51">
        <v>20000</v>
      </c>
      <c r="H26" s="52">
        <f t="shared" si="0"/>
        <v>80</v>
      </c>
      <c r="I26" s="52">
        <f t="shared" si="1"/>
        <v>20</v>
      </c>
      <c r="J26" s="49"/>
      <c r="K26" s="53">
        <v>43660</v>
      </c>
      <c r="L26" s="54" t="s">
        <v>1318</v>
      </c>
      <c r="M26" s="55">
        <v>43654</v>
      </c>
      <c r="N26" s="56" t="s">
        <v>1310</v>
      </c>
      <c r="O26" s="55">
        <v>43660</v>
      </c>
      <c r="P26" s="54"/>
      <c r="Q26" s="49" t="s">
        <v>82</v>
      </c>
      <c r="R26" s="57" t="s">
        <v>2767</v>
      </c>
      <c r="S26" s="47" t="s">
        <v>2140</v>
      </c>
    </row>
    <row r="27" spans="2:19" s="33" customFormat="1" ht="33" customHeight="1">
      <c r="B27" s="47" t="s">
        <v>78</v>
      </c>
      <c r="C27" s="48" t="s">
        <v>1172</v>
      </c>
      <c r="D27" s="49" t="s">
        <v>1173</v>
      </c>
      <c r="E27" s="50">
        <v>43567</v>
      </c>
      <c r="F27" s="49" t="s">
        <v>79</v>
      </c>
      <c r="G27" s="51">
        <v>20000</v>
      </c>
      <c r="H27" s="52">
        <f t="shared" si="0"/>
        <v>80</v>
      </c>
      <c r="I27" s="52">
        <f t="shared" si="1"/>
        <v>20</v>
      </c>
      <c r="J27" s="49"/>
      <c r="K27" s="53">
        <v>43667</v>
      </c>
      <c r="L27" s="54" t="s">
        <v>1320</v>
      </c>
      <c r="M27" s="55">
        <v>43658</v>
      </c>
      <c r="N27" s="56" t="s">
        <v>1311</v>
      </c>
      <c r="O27" s="55">
        <v>43667</v>
      </c>
      <c r="P27" s="54"/>
      <c r="Q27" s="49" t="s">
        <v>82</v>
      </c>
      <c r="R27" s="57" t="s">
        <v>2768</v>
      </c>
      <c r="S27" s="47" t="s">
        <v>2140</v>
      </c>
    </row>
    <row r="28" spans="2:19" s="33" customFormat="1" ht="33" customHeight="1">
      <c r="B28" s="47" t="s">
        <v>220</v>
      </c>
      <c r="C28" s="48" t="s">
        <v>1175</v>
      </c>
      <c r="D28" s="49" t="s">
        <v>1176</v>
      </c>
      <c r="E28" s="50">
        <v>43567</v>
      </c>
      <c r="F28" s="49" t="s">
        <v>79</v>
      </c>
      <c r="G28" s="51">
        <v>20000</v>
      </c>
      <c r="H28" s="52">
        <f t="shared" si="0"/>
        <v>80</v>
      </c>
      <c r="I28" s="52">
        <f t="shared" si="1"/>
        <v>20</v>
      </c>
      <c r="J28" s="49"/>
      <c r="K28" s="53">
        <v>43667</v>
      </c>
      <c r="L28" s="54" t="s">
        <v>1322</v>
      </c>
      <c r="M28" s="55">
        <v>43675</v>
      </c>
      <c r="N28" s="56" t="s">
        <v>4169</v>
      </c>
      <c r="O28" s="55">
        <v>43681</v>
      </c>
      <c r="P28" s="54"/>
      <c r="Q28" s="49"/>
      <c r="R28" s="57" t="s">
        <v>1177</v>
      </c>
      <c r="S28" s="47" t="s">
        <v>2539</v>
      </c>
    </row>
    <row r="29" spans="2:19" s="33" customFormat="1" ht="33" customHeight="1">
      <c r="B29" s="47" t="s">
        <v>78</v>
      </c>
      <c r="C29" s="48" t="s">
        <v>1178</v>
      </c>
      <c r="D29" s="49" t="s">
        <v>1179</v>
      </c>
      <c r="E29" s="50">
        <v>43567</v>
      </c>
      <c r="F29" s="49" t="s">
        <v>91</v>
      </c>
      <c r="G29" s="51">
        <v>10000</v>
      </c>
      <c r="H29" s="52">
        <f t="shared" si="0"/>
        <v>40</v>
      </c>
      <c r="I29" s="52">
        <f t="shared" si="1"/>
        <v>10</v>
      </c>
      <c r="J29" s="49"/>
      <c r="K29" s="53">
        <v>43674</v>
      </c>
      <c r="L29" s="54" t="s">
        <v>2503</v>
      </c>
      <c r="M29" s="55">
        <v>43682</v>
      </c>
      <c r="N29" s="56" t="s">
        <v>2493</v>
      </c>
      <c r="O29" s="55">
        <v>43688</v>
      </c>
      <c r="P29" s="54"/>
      <c r="Q29" s="49" t="s">
        <v>82</v>
      </c>
      <c r="R29" s="57" t="s">
        <v>2271</v>
      </c>
      <c r="S29" s="47" t="s">
        <v>2539</v>
      </c>
    </row>
    <row r="30" spans="2:19" s="33" customFormat="1" ht="33" customHeight="1">
      <c r="B30" s="47" t="s">
        <v>220</v>
      </c>
      <c r="C30" s="48" t="s">
        <v>1181</v>
      </c>
      <c r="D30" s="49" t="s">
        <v>1182</v>
      </c>
      <c r="E30" s="50">
        <v>43567</v>
      </c>
      <c r="F30" s="49" t="s">
        <v>91</v>
      </c>
      <c r="G30" s="51">
        <v>10000</v>
      </c>
      <c r="H30" s="52">
        <f t="shared" si="0"/>
        <v>40</v>
      </c>
      <c r="I30" s="52">
        <f t="shared" si="1"/>
        <v>10</v>
      </c>
      <c r="J30" s="49"/>
      <c r="K30" s="53">
        <v>43674</v>
      </c>
      <c r="L30" s="54" t="s">
        <v>2503</v>
      </c>
      <c r="M30" s="55">
        <v>43682</v>
      </c>
      <c r="N30" s="56" t="s">
        <v>2493</v>
      </c>
      <c r="O30" s="55">
        <v>43688</v>
      </c>
      <c r="P30" s="54"/>
      <c r="Q30" s="49"/>
      <c r="R30" s="57" t="s">
        <v>1183</v>
      </c>
      <c r="S30" s="47" t="s">
        <v>2539</v>
      </c>
    </row>
    <row r="31" spans="2:19" s="33" customFormat="1" ht="33" customHeight="1">
      <c r="B31" s="47" t="s">
        <v>78</v>
      </c>
      <c r="C31" s="48" t="s">
        <v>2273</v>
      </c>
      <c r="D31" s="49" t="s">
        <v>2274</v>
      </c>
      <c r="E31" s="50">
        <v>43602</v>
      </c>
      <c r="F31" s="49" t="s">
        <v>79</v>
      </c>
      <c r="G31" s="51">
        <v>20000</v>
      </c>
      <c r="H31" s="52">
        <f t="shared" si="0"/>
        <v>80</v>
      </c>
      <c r="I31" s="52">
        <f t="shared" si="1"/>
        <v>20</v>
      </c>
      <c r="J31" s="49"/>
      <c r="K31" s="53">
        <v>43688</v>
      </c>
      <c r="L31" s="54" t="s">
        <v>2503</v>
      </c>
      <c r="M31" s="55">
        <v>43682</v>
      </c>
      <c r="N31" s="56" t="s">
        <v>2493</v>
      </c>
      <c r="O31" s="55">
        <v>43688</v>
      </c>
      <c r="P31" s="54"/>
      <c r="Q31" s="49" t="s">
        <v>82</v>
      </c>
      <c r="R31" s="57" t="s">
        <v>2275</v>
      </c>
      <c r="S31" s="47"/>
    </row>
    <row r="32" spans="2:19" s="33" customFormat="1" ht="33" customHeight="1">
      <c r="B32" s="47" t="s">
        <v>78</v>
      </c>
      <c r="C32" s="48" t="s">
        <v>2276</v>
      </c>
      <c r="D32" s="49" t="s">
        <v>2277</v>
      </c>
      <c r="E32" s="50">
        <v>43602</v>
      </c>
      <c r="F32" s="49" t="s">
        <v>79</v>
      </c>
      <c r="G32" s="51">
        <v>20000</v>
      </c>
      <c r="H32" s="52">
        <f t="shared" si="0"/>
        <v>80</v>
      </c>
      <c r="I32" s="52">
        <f t="shared" si="1"/>
        <v>20</v>
      </c>
      <c r="J32" s="49"/>
      <c r="K32" s="53">
        <v>43695</v>
      </c>
      <c r="L32" s="54" t="s">
        <v>2503</v>
      </c>
      <c r="M32" s="55">
        <v>43682</v>
      </c>
      <c r="N32" s="56" t="s">
        <v>2493</v>
      </c>
      <c r="O32" s="55">
        <v>43688</v>
      </c>
      <c r="P32" s="54"/>
      <c r="Q32" s="49" t="s">
        <v>82</v>
      </c>
      <c r="R32" s="57" t="s">
        <v>2278</v>
      </c>
      <c r="S32" s="47"/>
    </row>
    <row r="33" spans="2:19" s="33" customFormat="1" ht="33" customHeight="1">
      <c r="B33" s="47" t="s">
        <v>220</v>
      </c>
      <c r="C33" s="48" t="s">
        <v>2279</v>
      </c>
      <c r="D33" s="49" t="s">
        <v>2280</v>
      </c>
      <c r="E33" s="50">
        <v>43602</v>
      </c>
      <c r="F33" s="49" t="s">
        <v>79</v>
      </c>
      <c r="G33" s="51">
        <v>20000</v>
      </c>
      <c r="H33" s="52">
        <f t="shared" si="0"/>
        <v>80</v>
      </c>
      <c r="I33" s="52">
        <f t="shared" si="1"/>
        <v>20</v>
      </c>
      <c r="J33" s="49"/>
      <c r="K33" s="53">
        <v>43695</v>
      </c>
      <c r="L33" s="54" t="s">
        <v>2503</v>
      </c>
      <c r="M33" s="55">
        <v>43682</v>
      </c>
      <c r="N33" s="56" t="s">
        <v>2493</v>
      </c>
      <c r="O33" s="55">
        <v>43688</v>
      </c>
      <c r="P33" s="54"/>
      <c r="Q33" s="49"/>
      <c r="R33" s="57" t="s">
        <v>2281</v>
      </c>
      <c r="S33" s="47"/>
    </row>
    <row r="34" spans="2:19" s="33" customFormat="1" ht="33" customHeight="1">
      <c r="B34" s="47" t="s">
        <v>78</v>
      </c>
      <c r="C34" s="48" t="s">
        <v>2282</v>
      </c>
      <c r="D34" s="49" t="s">
        <v>2283</v>
      </c>
      <c r="E34" s="50">
        <v>43602</v>
      </c>
      <c r="F34" s="49" t="s">
        <v>79</v>
      </c>
      <c r="G34" s="51">
        <v>20000</v>
      </c>
      <c r="H34" s="52">
        <f t="shared" si="0"/>
        <v>80</v>
      </c>
      <c r="I34" s="52">
        <f t="shared" si="1"/>
        <v>20</v>
      </c>
      <c r="J34" s="49"/>
      <c r="K34" s="53">
        <v>43709</v>
      </c>
      <c r="L34" s="54" t="s">
        <v>2504</v>
      </c>
      <c r="M34" s="55">
        <v>43703</v>
      </c>
      <c r="N34" s="56" t="s">
        <v>2494</v>
      </c>
      <c r="O34" s="55">
        <v>43709</v>
      </c>
      <c r="P34" s="54"/>
      <c r="Q34" s="49" t="s">
        <v>82</v>
      </c>
      <c r="R34" s="57" t="s">
        <v>2284</v>
      </c>
      <c r="S34" s="47"/>
    </row>
    <row r="35" spans="2:19" s="33" customFormat="1" ht="33" customHeight="1">
      <c r="B35" s="47" t="s">
        <v>220</v>
      </c>
      <c r="C35" s="48" t="s">
        <v>4821</v>
      </c>
      <c r="D35" s="49" t="s">
        <v>3354</v>
      </c>
      <c r="E35" s="50">
        <v>43637</v>
      </c>
      <c r="F35" s="49" t="s">
        <v>79</v>
      </c>
      <c r="G35" s="51">
        <v>20000</v>
      </c>
      <c r="H35" s="52">
        <v>64</v>
      </c>
      <c r="I35" s="52">
        <v>16</v>
      </c>
      <c r="J35" s="49"/>
      <c r="K35" s="53">
        <v>43716</v>
      </c>
      <c r="L35" s="54" t="s">
        <v>5447</v>
      </c>
      <c r="M35" s="55">
        <v>43717</v>
      </c>
      <c r="N35" s="56" t="s">
        <v>5448</v>
      </c>
      <c r="O35" s="55">
        <v>43723</v>
      </c>
      <c r="P35" s="54"/>
      <c r="Q35" s="49"/>
      <c r="R35" s="57" t="s">
        <v>3355</v>
      </c>
      <c r="S35" s="47" t="s">
        <v>5465</v>
      </c>
    </row>
    <row r="36" spans="2:19" s="33" customFormat="1" ht="33" customHeight="1">
      <c r="B36" s="47" t="s">
        <v>78</v>
      </c>
      <c r="C36" s="48" t="s">
        <v>3356</v>
      </c>
      <c r="D36" s="49" t="s">
        <v>3357</v>
      </c>
      <c r="E36" s="50">
        <v>43637</v>
      </c>
      <c r="F36" s="49" t="s">
        <v>79</v>
      </c>
      <c r="G36" s="51">
        <v>20000</v>
      </c>
      <c r="H36" s="52">
        <f t="shared" si="0"/>
        <v>80</v>
      </c>
      <c r="I36" s="52">
        <f t="shared" si="1"/>
        <v>20</v>
      </c>
      <c r="J36" s="49"/>
      <c r="K36" s="53">
        <v>43723</v>
      </c>
      <c r="L36" s="54" t="s">
        <v>3555</v>
      </c>
      <c r="M36" s="55">
        <v>43717</v>
      </c>
      <c r="N36" s="56" t="s">
        <v>3551</v>
      </c>
      <c r="O36" s="55">
        <v>43723</v>
      </c>
      <c r="P36" s="54"/>
      <c r="Q36" s="49" t="s">
        <v>82</v>
      </c>
      <c r="R36" s="57" t="s">
        <v>3358</v>
      </c>
      <c r="S36" s="47"/>
    </row>
    <row r="37" spans="2:19" s="30" customFormat="1" ht="33" customHeight="1">
      <c r="B37" s="46" t="s">
        <v>78</v>
      </c>
      <c r="C37" s="35" t="s">
        <v>3359</v>
      </c>
      <c r="D37" s="36" t="s">
        <v>3360</v>
      </c>
      <c r="E37" s="37">
        <v>43637</v>
      </c>
      <c r="F37" s="36" t="s">
        <v>79</v>
      </c>
      <c r="G37" s="39">
        <v>20000</v>
      </c>
      <c r="H37" s="38">
        <f t="shared" si="0"/>
        <v>80</v>
      </c>
      <c r="I37" s="38">
        <f t="shared" si="1"/>
        <v>20</v>
      </c>
      <c r="J37" s="36"/>
      <c r="K37" s="40">
        <v>43737</v>
      </c>
      <c r="L37" s="41" t="s">
        <v>3556</v>
      </c>
      <c r="M37" s="42">
        <v>43728</v>
      </c>
      <c r="N37" s="43" t="s">
        <v>4164</v>
      </c>
      <c r="O37" s="42">
        <v>43737</v>
      </c>
      <c r="P37" s="41"/>
      <c r="Q37" s="36" t="s">
        <v>82</v>
      </c>
      <c r="R37" s="44" t="s">
        <v>3969</v>
      </c>
      <c r="S37" s="46"/>
    </row>
    <row r="38" spans="2:19" s="30" customFormat="1" ht="33" customHeight="1">
      <c r="B38" s="46" t="s">
        <v>220</v>
      </c>
      <c r="C38" s="35" t="s">
        <v>4252</v>
      </c>
      <c r="D38" s="36" t="s">
        <v>4253</v>
      </c>
      <c r="E38" s="37">
        <v>43665</v>
      </c>
      <c r="F38" s="36" t="s">
        <v>79</v>
      </c>
      <c r="G38" s="108">
        <v>24000</v>
      </c>
      <c r="H38" s="38">
        <v>96</v>
      </c>
      <c r="I38" s="38">
        <f t="shared" si="1"/>
        <v>24</v>
      </c>
      <c r="J38" s="36"/>
      <c r="K38" s="40">
        <v>43744</v>
      </c>
      <c r="L38" s="41" t="s">
        <v>3556</v>
      </c>
      <c r="M38" s="42">
        <v>43728</v>
      </c>
      <c r="N38" s="43" t="s">
        <v>5449</v>
      </c>
      <c r="O38" s="42">
        <v>43737</v>
      </c>
      <c r="P38" s="41"/>
      <c r="Q38" s="36"/>
      <c r="R38" s="44" t="s">
        <v>4254</v>
      </c>
      <c r="S38" s="46" t="s">
        <v>5464</v>
      </c>
    </row>
    <row r="39" spans="2:19" s="30" customFormat="1" ht="33" customHeight="1">
      <c r="B39" s="46" t="s">
        <v>78</v>
      </c>
      <c r="C39" s="35" t="s">
        <v>4255</v>
      </c>
      <c r="D39" s="36" t="s">
        <v>4256</v>
      </c>
      <c r="E39" s="37">
        <v>43665</v>
      </c>
      <c r="F39" s="36" t="s">
        <v>79</v>
      </c>
      <c r="G39" s="39">
        <v>20000</v>
      </c>
      <c r="H39" s="38">
        <f t="shared" si="0"/>
        <v>80</v>
      </c>
      <c r="I39" s="38">
        <f t="shared" si="1"/>
        <v>20</v>
      </c>
      <c r="J39" s="36"/>
      <c r="K39" s="40">
        <v>43744</v>
      </c>
      <c r="L39" s="41" t="s">
        <v>4473</v>
      </c>
      <c r="M39" s="42">
        <v>43738</v>
      </c>
      <c r="N39" s="43" t="s">
        <v>4466</v>
      </c>
      <c r="O39" s="42">
        <v>43744</v>
      </c>
      <c r="P39" s="41"/>
      <c r="Q39" s="36" t="s">
        <v>82</v>
      </c>
      <c r="R39" s="44" t="s">
        <v>4257</v>
      </c>
      <c r="S39" s="46"/>
    </row>
    <row r="40" spans="2:19" s="30" customFormat="1" ht="33" customHeight="1">
      <c r="B40" s="46" t="s">
        <v>78</v>
      </c>
      <c r="C40" s="35" t="s">
        <v>4258</v>
      </c>
      <c r="D40" s="36" t="s">
        <v>4259</v>
      </c>
      <c r="E40" s="37">
        <v>43665</v>
      </c>
      <c r="F40" s="36" t="s">
        <v>79</v>
      </c>
      <c r="G40" s="39">
        <v>20000</v>
      </c>
      <c r="H40" s="38">
        <f t="shared" si="0"/>
        <v>80</v>
      </c>
      <c r="I40" s="38">
        <f t="shared" si="1"/>
        <v>20</v>
      </c>
      <c r="J40" s="36"/>
      <c r="K40" s="40">
        <v>43758</v>
      </c>
      <c r="L40" s="41" t="s">
        <v>4484</v>
      </c>
      <c r="M40" s="42">
        <v>43749</v>
      </c>
      <c r="N40" s="43" t="s">
        <v>4467</v>
      </c>
      <c r="O40" s="42">
        <v>43758</v>
      </c>
      <c r="P40" s="41"/>
      <c r="Q40" s="36" t="s">
        <v>82</v>
      </c>
      <c r="R40" s="44" t="s">
        <v>4260</v>
      </c>
      <c r="S40" s="46"/>
    </row>
    <row r="41" spans="2:19" s="30" customFormat="1" ht="33" customHeight="1">
      <c r="B41" s="46" t="s">
        <v>78</v>
      </c>
      <c r="C41" s="35" t="s">
        <v>4261</v>
      </c>
      <c r="D41" s="36" t="s">
        <v>4262</v>
      </c>
      <c r="E41" s="37">
        <v>43665</v>
      </c>
      <c r="F41" s="36" t="s">
        <v>79</v>
      </c>
      <c r="G41" s="39">
        <v>20000</v>
      </c>
      <c r="H41" s="38">
        <f t="shared" si="0"/>
        <v>80</v>
      </c>
      <c r="I41" s="38">
        <f t="shared" si="1"/>
        <v>20</v>
      </c>
      <c r="J41" s="36"/>
      <c r="K41" s="40">
        <v>43765</v>
      </c>
      <c r="L41" s="41" t="s">
        <v>4474</v>
      </c>
      <c r="M41" s="42">
        <v>43756</v>
      </c>
      <c r="N41" s="43" t="s">
        <v>4468</v>
      </c>
      <c r="O41" s="42">
        <v>43765</v>
      </c>
      <c r="P41" s="41"/>
      <c r="Q41" s="36" t="s">
        <v>82</v>
      </c>
      <c r="R41" s="44" t="s">
        <v>4263</v>
      </c>
      <c r="S41" s="46"/>
    </row>
    <row r="42" spans="2:19" s="30" customFormat="1" ht="33" customHeight="1">
      <c r="B42" s="46" t="s">
        <v>220</v>
      </c>
      <c r="C42" s="35" t="s">
        <v>4264</v>
      </c>
      <c r="D42" s="36" t="s">
        <v>4265</v>
      </c>
      <c r="E42" s="37">
        <v>43665</v>
      </c>
      <c r="F42" s="36" t="s">
        <v>79</v>
      </c>
      <c r="G42" s="39">
        <v>20000</v>
      </c>
      <c r="H42" s="38">
        <f t="shared" si="0"/>
        <v>80</v>
      </c>
      <c r="I42" s="38">
        <f t="shared" si="1"/>
        <v>20</v>
      </c>
      <c r="J42" s="36"/>
      <c r="K42" s="40">
        <v>43758</v>
      </c>
      <c r="L42" s="41" t="s">
        <v>4484</v>
      </c>
      <c r="M42" s="42">
        <v>43749</v>
      </c>
      <c r="N42" s="43" t="s">
        <v>4467</v>
      </c>
      <c r="O42" s="42">
        <v>43758</v>
      </c>
      <c r="P42" s="41"/>
      <c r="Q42" s="36"/>
      <c r="R42" s="44" t="s">
        <v>5058</v>
      </c>
      <c r="S42" s="46"/>
    </row>
    <row r="43" spans="2:19" s="30" customFormat="1" ht="33" customHeight="1">
      <c r="B43" s="46" t="s">
        <v>78</v>
      </c>
      <c r="C43" s="35" t="s">
        <v>5057</v>
      </c>
      <c r="D43" s="36" t="s">
        <v>5192</v>
      </c>
      <c r="E43" s="37">
        <v>43689</v>
      </c>
      <c r="F43" s="36" t="s">
        <v>79</v>
      </c>
      <c r="G43" s="39">
        <v>20000</v>
      </c>
      <c r="H43" s="38">
        <f t="shared" si="0"/>
        <v>80</v>
      </c>
      <c r="I43" s="38">
        <f t="shared" si="1"/>
        <v>20</v>
      </c>
      <c r="J43" s="36"/>
      <c r="K43" s="40">
        <v>43772</v>
      </c>
      <c r="L43" s="41" t="s">
        <v>5182</v>
      </c>
      <c r="M43" s="42">
        <v>43766</v>
      </c>
      <c r="N43" s="43" t="s">
        <v>5175</v>
      </c>
      <c r="O43" s="42">
        <v>43772</v>
      </c>
      <c r="P43" s="41"/>
      <c r="Q43" s="36"/>
      <c r="R43" s="44" t="s">
        <v>5056</v>
      </c>
      <c r="S43" s="46"/>
    </row>
    <row r="44" spans="2:19" s="30" customFormat="1" ht="33" customHeight="1">
      <c r="B44" s="46" t="s">
        <v>220</v>
      </c>
      <c r="C44" s="35" t="s">
        <v>5055</v>
      </c>
      <c r="D44" s="36" t="s">
        <v>5193</v>
      </c>
      <c r="E44" s="37">
        <v>43689</v>
      </c>
      <c r="F44" s="36" t="s">
        <v>79</v>
      </c>
      <c r="G44" s="39">
        <v>20000</v>
      </c>
      <c r="H44" s="38">
        <f t="shared" si="0"/>
        <v>80</v>
      </c>
      <c r="I44" s="38">
        <f t="shared" si="1"/>
        <v>20</v>
      </c>
      <c r="J44" s="36"/>
      <c r="K44" s="40">
        <v>43779</v>
      </c>
      <c r="L44" s="41" t="s">
        <v>5183</v>
      </c>
      <c r="M44" s="42">
        <v>43770</v>
      </c>
      <c r="N44" s="43" t="s">
        <v>5176</v>
      </c>
      <c r="O44" s="42">
        <v>43779</v>
      </c>
      <c r="P44" s="41"/>
      <c r="Q44" s="36"/>
      <c r="R44" s="44" t="s">
        <v>5054</v>
      </c>
      <c r="S44" s="46"/>
    </row>
    <row r="45" spans="2:19" s="30" customFormat="1" ht="33" customHeight="1">
      <c r="B45" s="46" t="s">
        <v>78</v>
      </c>
      <c r="C45" s="35" t="s">
        <v>5053</v>
      </c>
      <c r="D45" s="36" t="s">
        <v>5194</v>
      </c>
      <c r="E45" s="37">
        <v>43689</v>
      </c>
      <c r="F45" s="36" t="s">
        <v>79</v>
      </c>
      <c r="G45" s="39">
        <v>20000</v>
      </c>
      <c r="H45" s="38">
        <f t="shared" si="0"/>
        <v>80</v>
      </c>
      <c r="I45" s="38">
        <f t="shared" si="1"/>
        <v>20</v>
      </c>
      <c r="J45" s="36"/>
      <c r="K45" s="40">
        <v>43786</v>
      </c>
      <c r="L45" s="41" t="s">
        <v>5184</v>
      </c>
      <c r="M45" s="42">
        <v>43780</v>
      </c>
      <c r="N45" s="43" t="s">
        <v>5177</v>
      </c>
      <c r="O45" s="42">
        <v>43786</v>
      </c>
      <c r="P45" s="41"/>
      <c r="Q45" s="36"/>
      <c r="R45" s="44" t="s">
        <v>5052</v>
      </c>
      <c r="S45" s="46"/>
    </row>
    <row r="46" spans="2:19" s="30" customFormat="1" ht="33" customHeight="1">
      <c r="B46" s="46" t="s">
        <v>78</v>
      </c>
      <c r="C46" s="35" t="s">
        <v>5051</v>
      </c>
      <c r="D46" s="36" t="s">
        <v>5195</v>
      </c>
      <c r="E46" s="37">
        <v>43689</v>
      </c>
      <c r="F46" s="36" t="s">
        <v>79</v>
      </c>
      <c r="G46" s="39">
        <v>20000</v>
      </c>
      <c r="H46" s="38">
        <f t="shared" si="0"/>
        <v>80</v>
      </c>
      <c r="I46" s="38">
        <f t="shared" si="1"/>
        <v>20</v>
      </c>
      <c r="J46" s="36"/>
      <c r="K46" s="40">
        <v>43793</v>
      </c>
      <c r="L46" s="41" t="s">
        <v>5185</v>
      </c>
      <c r="M46" s="42">
        <v>43787</v>
      </c>
      <c r="N46" s="43" t="s">
        <v>5178</v>
      </c>
      <c r="O46" s="42">
        <v>43793</v>
      </c>
      <c r="P46" s="41"/>
      <c r="Q46" s="36"/>
      <c r="R46" s="44" t="s">
        <v>5050</v>
      </c>
      <c r="S46" s="46"/>
    </row>
    <row r="47" spans="2:19" s="30" customFormat="1" ht="33" customHeight="1">
      <c r="B47" s="46" t="s">
        <v>126</v>
      </c>
      <c r="C47" s="35" t="s">
        <v>5049</v>
      </c>
      <c r="D47" s="36" t="s">
        <v>5196</v>
      </c>
      <c r="E47" s="37">
        <v>43689</v>
      </c>
      <c r="F47" s="36" t="s">
        <v>79</v>
      </c>
      <c r="G47" s="39">
        <v>20000</v>
      </c>
      <c r="H47" s="38">
        <f t="shared" si="0"/>
        <v>80</v>
      </c>
      <c r="I47" s="38">
        <f t="shared" si="1"/>
        <v>20</v>
      </c>
      <c r="J47" s="36"/>
      <c r="K47" s="40">
        <v>43800</v>
      </c>
      <c r="L47" s="41" t="s">
        <v>5186</v>
      </c>
      <c r="M47" s="42">
        <v>43795</v>
      </c>
      <c r="N47" s="43" t="s">
        <v>5179</v>
      </c>
      <c r="O47" s="42">
        <v>43800</v>
      </c>
      <c r="P47" s="41"/>
      <c r="Q47" s="36"/>
      <c r="R47" s="44" t="s">
        <v>5320</v>
      </c>
      <c r="S47" s="46"/>
    </row>
    <row r="48" spans="2:19" s="30" customFormat="1" ht="33" customHeight="1">
      <c r="B48" s="46" t="s">
        <v>220</v>
      </c>
      <c r="C48" s="35" t="s">
        <v>5047</v>
      </c>
      <c r="D48" s="36" t="s">
        <v>5197</v>
      </c>
      <c r="E48" s="37">
        <v>43689</v>
      </c>
      <c r="F48" s="36" t="s">
        <v>79</v>
      </c>
      <c r="G48" s="39">
        <v>20000</v>
      </c>
      <c r="H48" s="38">
        <f t="shared" si="0"/>
        <v>80</v>
      </c>
      <c r="I48" s="38">
        <f t="shared" si="1"/>
        <v>20</v>
      </c>
      <c r="J48" s="36"/>
      <c r="K48" s="40">
        <v>43793</v>
      </c>
      <c r="L48" s="41" t="s">
        <v>5185</v>
      </c>
      <c r="M48" s="42">
        <v>43787</v>
      </c>
      <c r="N48" s="43" t="s">
        <v>5178</v>
      </c>
      <c r="O48" s="42">
        <v>43793</v>
      </c>
      <c r="P48" s="41"/>
      <c r="Q48" s="36"/>
      <c r="R48" s="44" t="s">
        <v>5046</v>
      </c>
      <c r="S48" s="46"/>
    </row>
    <row r="49" spans="2:19" s="96" customFormat="1" ht="33" customHeight="1">
      <c r="B49" s="47" t="s">
        <v>17</v>
      </c>
      <c r="C49" s="48" t="s">
        <v>427</v>
      </c>
      <c r="D49" s="49" t="s">
        <v>491</v>
      </c>
      <c r="E49" s="50">
        <v>43483</v>
      </c>
      <c r="F49" s="52" t="s">
        <v>84</v>
      </c>
      <c r="G49" s="51">
        <v>9200</v>
      </c>
      <c r="H49" s="52">
        <f t="shared" ref="H49:H53" si="2">SUM(G49/230)</f>
        <v>40</v>
      </c>
      <c r="I49" s="52">
        <f t="shared" si="1"/>
        <v>10</v>
      </c>
      <c r="J49" s="49"/>
      <c r="K49" s="53">
        <v>43576</v>
      </c>
      <c r="L49" s="54" t="s">
        <v>446</v>
      </c>
      <c r="M49" s="55">
        <v>43571</v>
      </c>
      <c r="N49" s="56" t="s">
        <v>445</v>
      </c>
      <c r="O49" s="55">
        <v>43576</v>
      </c>
      <c r="P49" s="58"/>
      <c r="Q49" s="52" t="s">
        <v>82</v>
      </c>
      <c r="R49" s="57" t="s">
        <v>466</v>
      </c>
      <c r="S49" s="47"/>
    </row>
    <row r="50" spans="2:19" s="96" customFormat="1" ht="33" customHeight="1">
      <c r="B50" s="47" t="s">
        <v>17</v>
      </c>
      <c r="C50" s="48" t="s">
        <v>581</v>
      </c>
      <c r="D50" s="49" t="s">
        <v>582</v>
      </c>
      <c r="E50" s="50">
        <v>43519</v>
      </c>
      <c r="F50" s="52" t="s">
        <v>84</v>
      </c>
      <c r="G50" s="51">
        <v>9200</v>
      </c>
      <c r="H50" s="52">
        <f t="shared" si="2"/>
        <v>40</v>
      </c>
      <c r="I50" s="52">
        <f t="shared" si="1"/>
        <v>10</v>
      </c>
      <c r="J50" s="49"/>
      <c r="K50" s="53">
        <v>43632</v>
      </c>
      <c r="L50" s="54" t="s">
        <v>975</v>
      </c>
      <c r="M50" s="55">
        <v>43620</v>
      </c>
      <c r="N50" s="56" t="s">
        <v>768</v>
      </c>
      <c r="O50" s="55">
        <v>43625</v>
      </c>
      <c r="P50" s="58"/>
      <c r="Q50" s="52" t="s">
        <v>82</v>
      </c>
      <c r="R50" s="57" t="s">
        <v>825</v>
      </c>
      <c r="S50" s="47"/>
    </row>
    <row r="51" spans="2:19" s="96" customFormat="1" ht="33" customHeight="1">
      <c r="B51" s="47" t="s">
        <v>17</v>
      </c>
      <c r="C51" s="48" t="s">
        <v>694</v>
      </c>
      <c r="D51" s="49" t="s">
        <v>695</v>
      </c>
      <c r="E51" s="50">
        <v>43532</v>
      </c>
      <c r="F51" s="52" t="s">
        <v>213</v>
      </c>
      <c r="G51" s="51">
        <v>9200</v>
      </c>
      <c r="H51" s="52">
        <f t="shared" si="2"/>
        <v>40</v>
      </c>
      <c r="I51" s="52">
        <f t="shared" si="1"/>
        <v>10</v>
      </c>
      <c r="J51" s="49"/>
      <c r="K51" s="53">
        <v>43653</v>
      </c>
      <c r="L51" s="54" t="s">
        <v>1326</v>
      </c>
      <c r="M51" s="55">
        <v>43648</v>
      </c>
      <c r="N51" s="56" t="s">
        <v>2540</v>
      </c>
      <c r="O51" s="55">
        <v>43653</v>
      </c>
      <c r="P51" s="58"/>
      <c r="Q51" s="52" t="s">
        <v>82</v>
      </c>
      <c r="R51" s="57" t="s">
        <v>2537</v>
      </c>
      <c r="S51" s="47"/>
    </row>
    <row r="52" spans="2:19" s="96" customFormat="1" ht="33" customHeight="1">
      <c r="B52" s="47" t="s">
        <v>17</v>
      </c>
      <c r="C52" s="48" t="s">
        <v>2299</v>
      </c>
      <c r="D52" s="49" t="s">
        <v>2641</v>
      </c>
      <c r="E52" s="50">
        <v>43609</v>
      </c>
      <c r="F52" s="52" t="s">
        <v>213</v>
      </c>
      <c r="G52" s="51">
        <v>2760</v>
      </c>
      <c r="H52" s="52">
        <f t="shared" si="2"/>
        <v>12</v>
      </c>
      <c r="I52" s="52">
        <f t="shared" si="1"/>
        <v>3</v>
      </c>
      <c r="J52" s="49"/>
      <c r="K52" s="53">
        <v>43653</v>
      </c>
      <c r="L52" s="54" t="s">
        <v>1326</v>
      </c>
      <c r="M52" s="55">
        <v>43648</v>
      </c>
      <c r="N52" s="56" t="s">
        <v>2540</v>
      </c>
      <c r="O52" s="55">
        <v>43653</v>
      </c>
      <c r="P52" s="58"/>
      <c r="Q52" s="52" t="s">
        <v>82</v>
      </c>
      <c r="R52" s="57" t="s">
        <v>2537</v>
      </c>
      <c r="S52" s="47"/>
    </row>
    <row r="53" spans="2:19" s="96" customFormat="1" ht="33" customHeight="1">
      <c r="B53" s="47" t="s">
        <v>17</v>
      </c>
      <c r="C53" s="48" t="s">
        <v>2769</v>
      </c>
      <c r="D53" s="49" t="s">
        <v>2300</v>
      </c>
      <c r="E53" s="50">
        <v>43602</v>
      </c>
      <c r="F53" s="52" t="s">
        <v>213</v>
      </c>
      <c r="G53" s="51">
        <v>9200</v>
      </c>
      <c r="H53" s="52">
        <f t="shared" si="2"/>
        <v>40</v>
      </c>
      <c r="I53" s="52">
        <f t="shared" si="1"/>
        <v>10</v>
      </c>
      <c r="J53" s="49"/>
      <c r="K53" s="53">
        <v>43695</v>
      </c>
      <c r="L53" s="54" t="s">
        <v>2506</v>
      </c>
      <c r="M53" s="55">
        <v>43683</v>
      </c>
      <c r="N53" s="56" t="s">
        <v>2763</v>
      </c>
      <c r="O53" s="55">
        <v>43688</v>
      </c>
      <c r="P53" s="58"/>
      <c r="Q53" s="52" t="s">
        <v>82</v>
      </c>
      <c r="R53" s="57" t="s">
        <v>2302</v>
      </c>
      <c r="S53" s="47" t="s">
        <v>2764</v>
      </c>
    </row>
    <row r="54" spans="2:19" s="96" customFormat="1" ht="33" customHeight="1">
      <c r="B54" s="47" t="s">
        <v>17</v>
      </c>
      <c r="C54" s="48" t="s">
        <v>3702</v>
      </c>
      <c r="D54" s="49" t="s">
        <v>3703</v>
      </c>
      <c r="E54" s="50">
        <v>43643</v>
      </c>
      <c r="F54" s="52" t="s">
        <v>213</v>
      </c>
      <c r="G54" s="51">
        <v>4600</v>
      </c>
      <c r="H54" s="52">
        <f>SUM(G54/230)</f>
        <v>20</v>
      </c>
      <c r="I54" s="52">
        <f t="shared" si="1"/>
        <v>5</v>
      </c>
      <c r="J54" s="49"/>
      <c r="K54" s="53">
        <v>43688</v>
      </c>
      <c r="L54" s="54" t="s">
        <v>2506</v>
      </c>
      <c r="M54" s="55">
        <v>43683</v>
      </c>
      <c r="N54" s="56" t="s">
        <v>2763</v>
      </c>
      <c r="O54" s="55">
        <v>43688</v>
      </c>
      <c r="P54" s="58"/>
      <c r="Q54" s="52" t="s">
        <v>82</v>
      </c>
      <c r="R54" s="57"/>
      <c r="S54" s="47"/>
    </row>
    <row r="55" spans="2:19" s="96" customFormat="1" ht="33" customHeight="1">
      <c r="B55" s="47" t="s">
        <v>17</v>
      </c>
      <c r="C55" s="48" t="s">
        <v>3376</v>
      </c>
      <c r="D55" s="49" t="s">
        <v>3377</v>
      </c>
      <c r="E55" s="50">
        <v>43637</v>
      </c>
      <c r="F55" s="52" t="s">
        <v>213</v>
      </c>
      <c r="G55" s="51">
        <v>9200</v>
      </c>
      <c r="H55" s="107">
        <v>36</v>
      </c>
      <c r="I55" s="107">
        <f t="shared" si="1"/>
        <v>9</v>
      </c>
      <c r="J55" s="49"/>
      <c r="K55" s="53">
        <v>43716</v>
      </c>
      <c r="L55" s="54" t="s">
        <v>5459</v>
      </c>
      <c r="M55" s="55">
        <v>43718</v>
      </c>
      <c r="N55" s="56" t="s">
        <v>5460</v>
      </c>
      <c r="O55" s="55">
        <v>43723</v>
      </c>
      <c r="P55" s="58"/>
      <c r="Q55" s="52"/>
      <c r="R55" s="57" t="s">
        <v>3378</v>
      </c>
      <c r="S55" s="47" t="s">
        <v>5457</v>
      </c>
    </row>
    <row r="56" spans="2:19" s="67" customFormat="1" ht="33" customHeight="1">
      <c r="B56" s="122" t="s">
        <v>17</v>
      </c>
      <c r="C56" s="126" t="s">
        <v>3379</v>
      </c>
      <c r="D56" s="127" t="s">
        <v>3380</v>
      </c>
      <c r="E56" s="128">
        <v>43637</v>
      </c>
      <c r="F56" s="124" t="s">
        <v>213</v>
      </c>
      <c r="G56" s="129">
        <v>9200</v>
      </c>
      <c r="H56" s="124">
        <f t="shared" ref="H56" si="3">SUM(G56/230)</f>
        <v>40</v>
      </c>
      <c r="I56" s="124">
        <f t="shared" si="1"/>
        <v>10</v>
      </c>
      <c r="J56" s="127"/>
      <c r="K56" s="130">
        <v>43744</v>
      </c>
      <c r="L56" s="110" t="s">
        <v>5205</v>
      </c>
      <c r="M56" s="111">
        <v>43732</v>
      </c>
      <c r="N56" s="112" t="s">
        <v>5697</v>
      </c>
      <c r="O56" s="111">
        <v>43737</v>
      </c>
      <c r="P56" s="123"/>
      <c r="Q56" s="124"/>
      <c r="R56" s="125" t="s">
        <v>3381</v>
      </c>
      <c r="S56" s="103" t="s">
        <v>5696</v>
      </c>
    </row>
    <row r="57" spans="2:19" s="67" customFormat="1" ht="33" customHeight="1">
      <c r="B57" s="46" t="s">
        <v>17</v>
      </c>
      <c r="C57" s="35" t="s">
        <v>5033</v>
      </c>
      <c r="D57" s="36" t="s">
        <v>5032</v>
      </c>
      <c r="E57" s="37">
        <v>43689</v>
      </c>
      <c r="F57" s="38" t="s">
        <v>213</v>
      </c>
      <c r="G57" s="39">
        <v>4600</v>
      </c>
      <c r="H57" s="38">
        <f>SUM(G57/230)</f>
        <v>20</v>
      </c>
      <c r="I57" s="38">
        <f t="shared" si="1"/>
        <v>5</v>
      </c>
      <c r="J57" s="36"/>
      <c r="K57" s="40">
        <v>43800</v>
      </c>
      <c r="L57" s="41" t="s">
        <v>5189</v>
      </c>
      <c r="M57" s="42">
        <v>43795</v>
      </c>
      <c r="N57" s="43" t="s">
        <v>5179</v>
      </c>
      <c r="O57" s="42">
        <v>43800</v>
      </c>
      <c r="P57" s="45"/>
      <c r="Q57" s="38" t="s">
        <v>82</v>
      </c>
      <c r="R57" s="44" t="s">
        <v>5345</v>
      </c>
      <c r="S57" s="46"/>
    </row>
    <row r="58" spans="2:19" s="67" customFormat="1" ht="33" customHeight="1">
      <c r="B58" s="122" t="s">
        <v>17</v>
      </c>
      <c r="C58" s="126" t="s">
        <v>5346</v>
      </c>
      <c r="D58" s="127" t="s">
        <v>5454</v>
      </c>
      <c r="E58" s="128">
        <v>43700</v>
      </c>
      <c r="F58" s="124" t="s">
        <v>213</v>
      </c>
      <c r="G58" s="129">
        <v>7360</v>
      </c>
      <c r="H58" s="201">
        <v>32</v>
      </c>
      <c r="I58" s="201">
        <f t="shared" si="1"/>
        <v>8</v>
      </c>
      <c r="J58" s="127"/>
      <c r="K58" s="130">
        <v>43744</v>
      </c>
      <c r="L58" s="110" t="s">
        <v>5205</v>
      </c>
      <c r="M58" s="111">
        <v>43732</v>
      </c>
      <c r="N58" s="112" t="s">
        <v>5699</v>
      </c>
      <c r="O58" s="111">
        <v>43737</v>
      </c>
      <c r="P58" s="123"/>
      <c r="Q58" s="124" t="s">
        <v>82</v>
      </c>
      <c r="R58" s="125" t="s">
        <v>5347</v>
      </c>
      <c r="S58" s="103" t="s">
        <v>5695</v>
      </c>
    </row>
    <row r="59" spans="2:19" s="67" customFormat="1" ht="33" customHeight="1">
      <c r="B59" s="122" t="s">
        <v>17</v>
      </c>
      <c r="C59" s="126" t="s">
        <v>5348</v>
      </c>
      <c r="D59" s="127" t="s">
        <v>5691</v>
      </c>
      <c r="E59" s="128">
        <v>43700</v>
      </c>
      <c r="F59" s="124" t="s">
        <v>213</v>
      </c>
      <c r="G59" s="129">
        <v>6440</v>
      </c>
      <c r="H59" s="124">
        <f>SUM(G59/230)</f>
        <v>28</v>
      </c>
      <c r="I59" s="124">
        <f t="shared" si="1"/>
        <v>7</v>
      </c>
      <c r="J59" s="127"/>
      <c r="K59" s="130">
        <v>43765</v>
      </c>
      <c r="L59" s="119" t="s">
        <v>4477</v>
      </c>
      <c r="M59" s="111">
        <v>43753</v>
      </c>
      <c r="N59" s="112" t="s">
        <v>4471</v>
      </c>
      <c r="O59" s="111">
        <v>43758</v>
      </c>
      <c r="P59" s="123"/>
      <c r="Q59" s="124" t="s">
        <v>82</v>
      </c>
      <c r="R59" s="125" t="s">
        <v>5349</v>
      </c>
      <c r="S59" s="122"/>
    </row>
    <row r="60" spans="2:19" s="96" customFormat="1" ht="33" customHeight="1">
      <c r="B60" s="47" t="s">
        <v>81</v>
      </c>
      <c r="C60" s="48" t="s">
        <v>279</v>
      </c>
      <c r="D60" s="49" t="s">
        <v>288</v>
      </c>
      <c r="E60" s="50">
        <v>43392</v>
      </c>
      <c r="F60" s="52" t="s">
        <v>84</v>
      </c>
      <c r="G60" s="51">
        <v>11960</v>
      </c>
      <c r="H60" s="52">
        <f t="shared" ref="H60:H81" si="4">SUM(G60/230)</f>
        <v>52</v>
      </c>
      <c r="I60" s="52">
        <f t="shared" si="1"/>
        <v>13</v>
      </c>
      <c r="J60" s="52"/>
      <c r="K60" s="53">
        <v>43597</v>
      </c>
      <c r="L60" s="54" t="s">
        <v>562</v>
      </c>
      <c r="M60" s="55">
        <v>43756</v>
      </c>
      <c r="N60" s="56" t="s">
        <v>561</v>
      </c>
      <c r="O60" s="55">
        <v>43598</v>
      </c>
      <c r="P60" s="58" t="s">
        <v>1567</v>
      </c>
      <c r="Q60" s="47"/>
      <c r="R60" s="57" t="s">
        <v>515</v>
      </c>
      <c r="S60" s="47"/>
    </row>
    <row r="61" spans="2:19" s="96" customFormat="1" ht="33" customHeight="1">
      <c r="B61" s="47" t="s">
        <v>81</v>
      </c>
      <c r="C61" s="48" t="s">
        <v>1328</v>
      </c>
      <c r="D61" s="49" t="s">
        <v>288</v>
      </c>
      <c r="E61" s="50">
        <v>43392</v>
      </c>
      <c r="F61" s="52" t="s">
        <v>84</v>
      </c>
      <c r="G61" s="51">
        <v>1840</v>
      </c>
      <c r="H61" s="52">
        <f t="shared" si="4"/>
        <v>8</v>
      </c>
      <c r="I61" s="52">
        <f t="shared" si="1"/>
        <v>2</v>
      </c>
      <c r="J61" s="52"/>
      <c r="K61" s="53">
        <v>43597</v>
      </c>
      <c r="L61" s="54" t="s">
        <v>773</v>
      </c>
      <c r="M61" s="55">
        <v>43756</v>
      </c>
      <c r="N61" s="56" t="s">
        <v>601</v>
      </c>
      <c r="O61" s="55">
        <v>43605</v>
      </c>
      <c r="P61" s="58" t="s">
        <v>1567</v>
      </c>
      <c r="Q61" s="47"/>
      <c r="R61" s="57" t="s">
        <v>515</v>
      </c>
      <c r="S61" s="47" t="s">
        <v>1329</v>
      </c>
    </row>
    <row r="62" spans="2:19" s="96" customFormat="1" ht="33" customHeight="1">
      <c r="B62" s="47" t="s">
        <v>81</v>
      </c>
      <c r="C62" s="48" t="s">
        <v>318</v>
      </c>
      <c r="D62" s="49" t="s">
        <v>319</v>
      </c>
      <c r="E62" s="50">
        <v>43420</v>
      </c>
      <c r="F62" s="52" t="s">
        <v>213</v>
      </c>
      <c r="G62" s="51">
        <v>17940</v>
      </c>
      <c r="H62" s="52">
        <f t="shared" si="4"/>
        <v>78</v>
      </c>
      <c r="I62" s="52">
        <f t="shared" si="1"/>
        <v>19.5</v>
      </c>
      <c r="J62" s="52"/>
      <c r="K62" s="53">
        <v>43576</v>
      </c>
      <c r="L62" s="54" t="s">
        <v>480</v>
      </c>
      <c r="M62" s="55">
        <v>43756</v>
      </c>
      <c r="N62" s="56" t="s">
        <v>405</v>
      </c>
      <c r="O62" s="55">
        <v>43569</v>
      </c>
      <c r="P62" s="58"/>
      <c r="Q62" s="47"/>
      <c r="R62" s="57" t="s">
        <v>516</v>
      </c>
      <c r="S62" s="47" t="s">
        <v>391</v>
      </c>
    </row>
    <row r="63" spans="2:19" s="96" customFormat="1" ht="33" customHeight="1">
      <c r="B63" s="47" t="s">
        <v>81</v>
      </c>
      <c r="C63" s="48" t="s">
        <v>700</v>
      </c>
      <c r="D63" s="49" t="s">
        <v>701</v>
      </c>
      <c r="E63" s="50">
        <v>43532</v>
      </c>
      <c r="F63" s="52" t="s">
        <v>213</v>
      </c>
      <c r="G63" s="51">
        <v>13800</v>
      </c>
      <c r="H63" s="52">
        <f t="shared" si="4"/>
        <v>60</v>
      </c>
      <c r="I63" s="52">
        <f t="shared" si="1"/>
        <v>15</v>
      </c>
      <c r="J63" s="52"/>
      <c r="K63" s="53">
        <v>43615</v>
      </c>
      <c r="L63" s="54" t="s">
        <v>977</v>
      </c>
      <c r="M63" s="55">
        <v>43756</v>
      </c>
      <c r="N63" s="56" t="s">
        <v>766</v>
      </c>
      <c r="O63" s="55">
        <v>43618</v>
      </c>
      <c r="P63" s="58"/>
      <c r="Q63" s="47"/>
      <c r="R63" s="57" t="s">
        <v>850</v>
      </c>
      <c r="S63" s="47"/>
    </row>
    <row r="64" spans="2:19" s="96" customFormat="1" ht="33" customHeight="1">
      <c r="B64" s="47" t="s">
        <v>81</v>
      </c>
      <c r="C64" s="48" t="s">
        <v>2158</v>
      </c>
      <c r="D64" s="49" t="s">
        <v>2535</v>
      </c>
      <c r="E64" s="50">
        <v>43532</v>
      </c>
      <c r="F64" s="52" t="s">
        <v>213</v>
      </c>
      <c r="G64" s="51">
        <v>4600</v>
      </c>
      <c r="H64" s="52">
        <f t="shared" si="4"/>
        <v>20</v>
      </c>
      <c r="I64" s="52">
        <f t="shared" si="1"/>
        <v>5</v>
      </c>
      <c r="J64" s="52"/>
      <c r="K64" s="53">
        <v>43615</v>
      </c>
      <c r="L64" s="54" t="s">
        <v>975</v>
      </c>
      <c r="M64" s="55">
        <v>43756</v>
      </c>
      <c r="N64" s="56" t="s">
        <v>768</v>
      </c>
      <c r="O64" s="55">
        <v>43625</v>
      </c>
      <c r="P64" s="58"/>
      <c r="Q64" s="47"/>
      <c r="R64" s="57" t="s">
        <v>850</v>
      </c>
      <c r="S64" s="47"/>
    </row>
    <row r="65" spans="2:19" s="96" customFormat="1" ht="33" customHeight="1">
      <c r="B65" s="47" t="s">
        <v>81</v>
      </c>
      <c r="C65" s="48" t="s">
        <v>702</v>
      </c>
      <c r="D65" s="49" t="s">
        <v>703</v>
      </c>
      <c r="E65" s="50">
        <v>43532</v>
      </c>
      <c r="F65" s="52" t="s">
        <v>213</v>
      </c>
      <c r="G65" s="51">
        <v>9200</v>
      </c>
      <c r="H65" s="52">
        <f t="shared" si="4"/>
        <v>40</v>
      </c>
      <c r="I65" s="52">
        <f t="shared" si="1"/>
        <v>10</v>
      </c>
      <c r="J65" s="52"/>
      <c r="K65" s="53">
        <v>43632</v>
      </c>
      <c r="L65" s="54" t="s">
        <v>807</v>
      </c>
      <c r="M65" s="55">
        <v>43756</v>
      </c>
      <c r="N65" s="56" t="s">
        <v>808</v>
      </c>
      <c r="O65" s="55">
        <v>43632</v>
      </c>
      <c r="P65" s="58"/>
      <c r="Q65" s="47"/>
      <c r="R65" s="57" t="s">
        <v>2160</v>
      </c>
      <c r="S65" s="47"/>
    </row>
    <row r="66" spans="2:19" s="96" customFormat="1" ht="33" customHeight="1">
      <c r="B66" s="47" t="s">
        <v>81</v>
      </c>
      <c r="C66" s="48" t="s">
        <v>852</v>
      </c>
      <c r="D66" s="49" t="s">
        <v>1990</v>
      </c>
      <c r="E66" s="50">
        <v>43558</v>
      </c>
      <c r="F66" s="52" t="s">
        <v>213</v>
      </c>
      <c r="G66" s="51">
        <v>9200</v>
      </c>
      <c r="H66" s="52">
        <f t="shared" si="4"/>
        <v>40</v>
      </c>
      <c r="I66" s="52">
        <f t="shared" si="1"/>
        <v>10</v>
      </c>
      <c r="J66" s="52"/>
      <c r="K66" s="53">
        <v>43639</v>
      </c>
      <c r="L66" s="54" t="s">
        <v>1083</v>
      </c>
      <c r="M66" s="55">
        <v>43756</v>
      </c>
      <c r="N66" s="56" t="s">
        <v>1084</v>
      </c>
      <c r="O66" s="55">
        <v>43639</v>
      </c>
      <c r="P66" s="58"/>
      <c r="Q66" s="47"/>
      <c r="R66" s="57" t="s">
        <v>2160</v>
      </c>
      <c r="S66" s="47"/>
    </row>
    <row r="67" spans="2:19" s="96" customFormat="1" ht="33" customHeight="1">
      <c r="B67" s="47" t="s">
        <v>81</v>
      </c>
      <c r="C67" s="48" t="s">
        <v>1435</v>
      </c>
      <c r="D67" s="49" t="s">
        <v>1436</v>
      </c>
      <c r="E67" s="50">
        <v>43574</v>
      </c>
      <c r="F67" s="52" t="s">
        <v>213</v>
      </c>
      <c r="G67" s="51">
        <v>18400</v>
      </c>
      <c r="H67" s="52">
        <f t="shared" si="4"/>
        <v>80</v>
      </c>
      <c r="I67" s="52">
        <f t="shared" ref="I67:I70" si="5">SUM(H67/4)</f>
        <v>20</v>
      </c>
      <c r="J67" s="52"/>
      <c r="K67" s="53">
        <v>43646</v>
      </c>
      <c r="L67" s="54" t="s">
        <v>3252</v>
      </c>
      <c r="M67" s="55">
        <v>43756</v>
      </c>
      <c r="N67" s="56" t="s">
        <v>776</v>
      </c>
      <c r="O67" s="55">
        <v>43646</v>
      </c>
      <c r="P67" s="58"/>
      <c r="Q67" s="47"/>
      <c r="R67" s="57" t="s">
        <v>1993</v>
      </c>
      <c r="S67" s="47" t="s">
        <v>3251</v>
      </c>
    </row>
    <row r="68" spans="2:19" s="96" customFormat="1" ht="33" customHeight="1">
      <c r="B68" s="47" t="s">
        <v>81</v>
      </c>
      <c r="C68" s="48" t="s">
        <v>2322</v>
      </c>
      <c r="D68" s="49" t="s">
        <v>2323</v>
      </c>
      <c r="E68" s="50">
        <v>43602</v>
      </c>
      <c r="F68" s="52" t="s">
        <v>213</v>
      </c>
      <c r="G68" s="51">
        <v>18400</v>
      </c>
      <c r="H68" s="52">
        <f t="shared" si="4"/>
        <v>80</v>
      </c>
      <c r="I68" s="52">
        <f t="shared" si="5"/>
        <v>20</v>
      </c>
      <c r="J68" s="52"/>
      <c r="K68" s="53">
        <v>43674</v>
      </c>
      <c r="L68" s="54" t="s">
        <v>2146</v>
      </c>
      <c r="M68" s="55">
        <v>43756</v>
      </c>
      <c r="N68" s="56" t="s">
        <v>2551</v>
      </c>
      <c r="O68" s="55">
        <v>43674</v>
      </c>
      <c r="P68" s="58"/>
      <c r="Q68" s="47"/>
      <c r="R68" s="57" t="s">
        <v>2663</v>
      </c>
      <c r="S68" s="47"/>
    </row>
    <row r="69" spans="2:19" s="96" customFormat="1" ht="33" customHeight="1">
      <c r="B69" s="47" t="s">
        <v>81</v>
      </c>
      <c r="C69" s="48" t="s">
        <v>2325</v>
      </c>
      <c r="D69" s="49" t="s">
        <v>2326</v>
      </c>
      <c r="E69" s="50">
        <v>43602</v>
      </c>
      <c r="F69" s="52" t="s">
        <v>213</v>
      </c>
      <c r="G69" s="51">
        <v>10580</v>
      </c>
      <c r="H69" s="52">
        <f t="shared" si="4"/>
        <v>46</v>
      </c>
      <c r="I69" s="52">
        <f t="shared" si="5"/>
        <v>11.5</v>
      </c>
      <c r="J69" s="52"/>
      <c r="K69" s="53">
        <v>43681</v>
      </c>
      <c r="L69" s="54" t="s">
        <v>3253</v>
      </c>
      <c r="M69" s="55">
        <v>43756</v>
      </c>
      <c r="N69" s="56" t="s">
        <v>2497</v>
      </c>
      <c r="O69" s="55">
        <v>43681</v>
      </c>
      <c r="P69" s="58"/>
      <c r="Q69" s="47"/>
      <c r="R69" s="57" t="s">
        <v>3548</v>
      </c>
      <c r="S69" s="47" t="s">
        <v>3549</v>
      </c>
    </row>
    <row r="70" spans="2:19" s="67" customFormat="1" ht="33" customHeight="1">
      <c r="B70" s="46" t="s">
        <v>81</v>
      </c>
      <c r="C70" s="35" t="s">
        <v>3406</v>
      </c>
      <c r="D70" s="36" t="s">
        <v>3407</v>
      </c>
      <c r="E70" s="37">
        <v>43637</v>
      </c>
      <c r="F70" s="38" t="s">
        <v>213</v>
      </c>
      <c r="G70" s="39">
        <v>12880</v>
      </c>
      <c r="H70" s="38">
        <f t="shared" si="4"/>
        <v>56</v>
      </c>
      <c r="I70" s="38">
        <f t="shared" si="5"/>
        <v>14</v>
      </c>
      <c r="J70" s="38"/>
      <c r="K70" s="40">
        <v>43723</v>
      </c>
      <c r="L70" s="41" t="s">
        <v>5462</v>
      </c>
      <c r="M70" s="42">
        <v>43725</v>
      </c>
      <c r="N70" s="43" t="s">
        <v>5463</v>
      </c>
      <c r="O70" s="42">
        <v>43730</v>
      </c>
      <c r="P70" s="45"/>
      <c r="Q70" s="46"/>
      <c r="R70" s="44" t="s">
        <v>3408</v>
      </c>
      <c r="S70" s="46" t="s">
        <v>5458</v>
      </c>
    </row>
    <row r="71" spans="2:19" s="96" customFormat="1" ht="33" customHeight="1">
      <c r="B71" s="47" t="s">
        <v>81</v>
      </c>
      <c r="C71" s="48" t="s">
        <v>3570</v>
      </c>
      <c r="D71" s="49" t="s">
        <v>3407</v>
      </c>
      <c r="E71" s="50">
        <v>43637</v>
      </c>
      <c r="F71" s="52" t="s">
        <v>213</v>
      </c>
      <c r="G71" s="51">
        <v>920</v>
      </c>
      <c r="H71" s="52">
        <f t="shared" si="4"/>
        <v>4</v>
      </c>
      <c r="I71" s="52">
        <v>1</v>
      </c>
      <c r="J71" s="52"/>
      <c r="K71" s="53">
        <v>43723</v>
      </c>
      <c r="L71" s="54" t="s">
        <v>5459</v>
      </c>
      <c r="M71" s="55">
        <v>43718</v>
      </c>
      <c r="N71" s="56" t="s">
        <v>5460</v>
      </c>
      <c r="O71" s="55">
        <v>43723</v>
      </c>
      <c r="P71" s="58"/>
      <c r="Q71" s="47"/>
      <c r="R71" s="57" t="s">
        <v>3408</v>
      </c>
      <c r="S71" s="47" t="s">
        <v>5458</v>
      </c>
    </row>
    <row r="72" spans="2:19" s="96" customFormat="1" ht="33" customHeight="1">
      <c r="B72" s="47" t="s">
        <v>81</v>
      </c>
      <c r="C72" s="48" t="s">
        <v>3409</v>
      </c>
      <c r="D72" s="49" t="s">
        <v>3743</v>
      </c>
      <c r="E72" s="50">
        <v>43665</v>
      </c>
      <c r="F72" s="52" t="s">
        <v>213</v>
      </c>
      <c r="G72" s="51">
        <v>9200</v>
      </c>
      <c r="H72" s="52">
        <f t="shared" si="4"/>
        <v>40</v>
      </c>
      <c r="I72" s="52">
        <f t="shared" ref="I72:I81" si="6">SUM(H72/4)</f>
        <v>10</v>
      </c>
      <c r="J72" s="52"/>
      <c r="K72" s="53">
        <v>43667</v>
      </c>
      <c r="L72" s="54" t="s">
        <v>3564</v>
      </c>
      <c r="M72" s="55">
        <v>43718</v>
      </c>
      <c r="N72" s="56" t="s">
        <v>836</v>
      </c>
      <c r="O72" s="55">
        <v>43667</v>
      </c>
      <c r="P72" s="58"/>
      <c r="Q72" s="47"/>
      <c r="R72" s="57"/>
      <c r="S72" s="47"/>
    </row>
    <row r="73" spans="2:19" s="67" customFormat="1" ht="33" customHeight="1">
      <c r="B73" s="46" t="s">
        <v>81</v>
      </c>
      <c r="C73" s="35" t="s">
        <v>4318</v>
      </c>
      <c r="D73" s="36" t="s">
        <v>4319</v>
      </c>
      <c r="E73" s="37">
        <v>43665</v>
      </c>
      <c r="F73" s="38" t="s">
        <v>213</v>
      </c>
      <c r="G73" s="39">
        <v>9200</v>
      </c>
      <c r="H73" s="38">
        <f t="shared" si="4"/>
        <v>40</v>
      </c>
      <c r="I73" s="38">
        <f t="shared" si="6"/>
        <v>10</v>
      </c>
      <c r="J73" s="38"/>
      <c r="K73" s="40">
        <v>43751</v>
      </c>
      <c r="L73" s="41" t="s">
        <v>4476</v>
      </c>
      <c r="M73" s="42">
        <v>43746</v>
      </c>
      <c r="N73" s="43" t="s">
        <v>4469</v>
      </c>
      <c r="O73" s="42">
        <v>43751</v>
      </c>
      <c r="P73" s="45"/>
      <c r="Q73" s="46"/>
      <c r="R73" s="44" t="s">
        <v>4320</v>
      </c>
      <c r="S73" s="46"/>
    </row>
    <row r="74" spans="2:19" s="67" customFormat="1" ht="33" customHeight="1">
      <c r="B74" s="46" t="s">
        <v>81</v>
      </c>
      <c r="C74" s="35" t="s">
        <v>4321</v>
      </c>
      <c r="D74" s="36" t="s">
        <v>4322</v>
      </c>
      <c r="E74" s="37">
        <v>43665</v>
      </c>
      <c r="F74" s="38" t="s">
        <v>213</v>
      </c>
      <c r="G74" s="39">
        <v>8740</v>
      </c>
      <c r="H74" s="38">
        <f t="shared" si="4"/>
        <v>38</v>
      </c>
      <c r="I74" s="38">
        <f t="shared" si="6"/>
        <v>9.5</v>
      </c>
      <c r="J74" s="38"/>
      <c r="K74" s="40">
        <v>43765</v>
      </c>
      <c r="L74" s="41" t="s">
        <v>4478</v>
      </c>
      <c r="M74" s="42">
        <v>43760</v>
      </c>
      <c r="N74" s="43" t="s">
        <v>3878</v>
      </c>
      <c r="O74" s="42">
        <v>43765</v>
      </c>
      <c r="P74" s="45"/>
      <c r="Q74" s="46"/>
      <c r="R74" s="44" t="s">
        <v>4323</v>
      </c>
      <c r="S74" s="46"/>
    </row>
    <row r="75" spans="2:19" s="67" customFormat="1" ht="33" customHeight="1">
      <c r="B75" s="46" t="s">
        <v>81</v>
      </c>
      <c r="C75" s="35" t="s">
        <v>5639</v>
      </c>
      <c r="D75" s="36"/>
      <c r="E75" s="37">
        <v>43714</v>
      </c>
      <c r="F75" s="38" t="s">
        <v>213</v>
      </c>
      <c r="G75" s="39">
        <v>4600</v>
      </c>
      <c r="H75" s="38">
        <f t="shared" si="4"/>
        <v>20</v>
      </c>
      <c r="I75" s="38">
        <f t="shared" si="6"/>
        <v>5</v>
      </c>
      <c r="J75" s="38"/>
      <c r="K75" s="40">
        <v>43765</v>
      </c>
      <c r="L75" s="41" t="s">
        <v>4477</v>
      </c>
      <c r="M75" s="42">
        <v>43760</v>
      </c>
      <c r="N75" s="43" t="s">
        <v>4549</v>
      </c>
      <c r="O75" s="42">
        <v>43765</v>
      </c>
      <c r="P75" s="45"/>
      <c r="Q75" s="46"/>
      <c r="R75" s="44" t="s">
        <v>4323</v>
      </c>
      <c r="S75" s="46"/>
    </row>
    <row r="76" spans="2:19" s="67" customFormat="1" ht="33" customHeight="1">
      <c r="B76" s="46" t="s">
        <v>81</v>
      </c>
      <c r="C76" s="35" t="s">
        <v>5006</v>
      </c>
      <c r="D76" s="36" t="s">
        <v>5005</v>
      </c>
      <c r="E76" s="37">
        <v>43689</v>
      </c>
      <c r="F76" s="38" t="s">
        <v>213</v>
      </c>
      <c r="G76" s="39">
        <v>9200</v>
      </c>
      <c r="H76" s="38">
        <f t="shared" si="4"/>
        <v>40</v>
      </c>
      <c r="I76" s="38">
        <f t="shared" si="6"/>
        <v>10</v>
      </c>
      <c r="J76" s="38"/>
      <c r="K76" s="40">
        <v>43786</v>
      </c>
      <c r="L76" s="41" t="s">
        <v>5187</v>
      </c>
      <c r="M76" s="42">
        <v>43781</v>
      </c>
      <c r="N76" s="43" t="s">
        <v>5173</v>
      </c>
      <c r="O76" s="42">
        <v>43786</v>
      </c>
      <c r="P76" s="45"/>
      <c r="Q76" s="46"/>
      <c r="R76" s="44" t="s">
        <v>5004</v>
      </c>
      <c r="S76" s="46"/>
    </row>
    <row r="77" spans="2:19" s="67" customFormat="1" ht="33" customHeight="1">
      <c r="B77" s="46" t="s">
        <v>81</v>
      </c>
      <c r="C77" s="35" t="s">
        <v>5003</v>
      </c>
      <c r="D77" s="36" t="s">
        <v>5002</v>
      </c>
      <c r="E77" s="37">
        <v>43689</v>
      </c>
      <c r="F77" s="38" t="s">
        <v>213</v>
      </c>
      <c r="G77" s="39">
        <v>9200</v>
      </c>
      <c r="H77" s="38">
        <f t="shared" si="4"/>
        <v>40</v>
      </c>
      <c r="I77" s="38">
        <f t="shared" si="6"/>
        <v>10</v>
      </c>
      <c r="J77" s="38"/>
      <c r="K77" s="40">
        <v>43800</v>
      </c>
      <c r="L77" s="41" t="s">
        <v>5189</v>
      </c>
      <c r="M77" s="42">
        <v>43795</v>
      </c>
      <c r="N77" s="43" t="s">
        <v>5179</v>
      </c>
      <c r="O77" s="42">
        <v>43800</v>
      </c>
      <c r="P77" s="45"/>
      <c r="Q77" s="46"/>
      <c r="R77" s="44" t="s">
        <v>5001</v>
      </c>
      <c r="S77" s="46"/>
    </row>
    <row r="78" spans="2:19" s="96" customFormat="1" ht="33" customHeight="1">
      <c r="B78" s="47" t="s">
        <v>704</v>
      </c>
      <c r="C78" s="48" t="s">
        <v>209</v>
      </c>
      <c r="D78" s="49" t="s">
        <v>705</v>
      </c>
      <c r="E78" s="50">
        <v>43532</v>
      </c>
      <c r="F78" s="52" t="s">
        <v>213</v>
      </c>
      <c r="G78" s="51">
        <v>920</v>
      </c>
      <c r="H78" s="52">
        <f t="shared" si="4"/>
        <v>4</v>
      </c>
      <c r="I78" s="52">
        <f t="shared" si="6"/>
        <v>1</v>
      </c>
      <c r="J78" s="52"/>
      <c r="K78" s="53">
        <v>43609</v>
      </c>
      <c r="L78" s="54" t="s">
        <v>773</v>
      </c>
      <c r="M78" s="55">
        <v>43601</v>
      </c>
      <c r="N78" s="56" t="s">
        <v>774</v>
      </c>
      <c r="O78" s="55">
        <v>43605</v>
      </c>
      <c r="P78" s="58"/>
      <c r="Q78" s="47"/>
      <c r="R78" s="57"/>
      <c r="S78" s="47" t="s">
        <v>706</v>
      </c>
    </row>
    <row r="79" spans="2:19" s="96" customFormat="1" ht="33" customHeight="1">
      <c r="B79" s="47" t="s">
        <v>517</v>
      </c>
      <c r="C79" s="48" t="s">
        <v>209</v>
      </c>
      <c r="D79" s="49" t="s">
        <v>583</v>
      </c>
      <c r="E79" s="50">
        <v>43511</v>
      </c>
      <c r="F79" s="52" t="s">
        <v>213</v>
      </c>
      <c r="G79" s="51">
        <v>460</v>
      </c>
      <c r="H79" s="52">
        <f t="shared" si="4"/>
        <v>2</v>
      </c>
      <c r="I79" s="52">
        <f t="shared" si="6"/>
        <v>0.5</v>
      </c>
      <c r="J79" s="52"/>
      <c r="K79" s="53">
        <v>43576</v>
      </c>
      <c r="L79" s="54" t="s">
        <v>480</v>
      </c>
      <c r="M79" s="55">
        <v>43564</v>
      </c>
      <c r="N79" s="56" t="s">
        <v>646</v>
      </c>
      <c r="O79" s="55">
        <v>43569</v>
      </c>
      <c r="P79" s="58"/>
      <c r="Q79" s="47"/>
      <c r="R79" s="57" t="s">
        <v>516</v>
      </c>
      <c r="S79" s="47"/>
    </row>
    <row r="80" spans="2:19" s="96" customFormat="1" ht="33" customHeight="1">
      <c r="B80" s="47" t="s">
        <v>517</v>
      </c>
      <c r="C80" s="48" t="s">
        <v>2333</v>
      </c>
      <c r="D80" s="49" t="s">
        <v>2334</v>
      </c>
      <c r="E80" s="50">
        <v>43602</v>
      </c>
      <c r="F80" s="52" t="s">
        <v>213</v>
      </c>
      <c r="G80" s="51">
        <v>460</v>
      </c>
      <c r="H80" s="52">
        <f t="shared" si="4"/>
        <v>2</v>
      </c>
      <c r="I80" s="52">
        <f t="shared" si="6"/>
        <v>0.5</v>
      </c>
      <c r="J80" s="52"/>
      <c r="K80" s="53">
        <v>43681</v>
      </c>
      <c r="L80" s="54" t="s">
        <v>3253</v>
      </c>
      <c r="M80" s="55">
        <v>43676</v>
      </c>
      <c r="N80" s="56" t="s">
        <v>2497</v>
      </c>
      <c r="O80" s="55">
        <v>43681</v>
      </c>
      <c r="P80" s="58"/>
      <c r="Q80" s="47"/>
      <c r="R80" s="57" t="s">
        <v>3548</v>
      </c>
      <c r="S80" s="47" t="s">
        <v>3549</v>
      </c>
    </row>
    <row r="81" spans="2:19" s="67" customFormat="1" ht="33" customHeight="1">
      <c r="B81" s="46" t="s">
        <v>517</v>
      </c>
      <c r="C81" s="35" t="s">
        <v>4329</v>
      </c>
      <c r="D81" s="36" t="s">
        <v>4330</v>
      </c>
      <c r="E81" s="37">
        <v>43665</v>
      </c>
      <c r="F81" s="38" t="s">
        <v>213</v>
      </c>
      <c r="G81" s="39">
        <v>460</v>
      </c>
      <c r="H81" s="38">
        <f t="shared" si="4"/>
        <v>2</v>
      </c>
      <c r="I81" s="38">
        <f t="shared" si="6"/>
        <v>0.5</v>
      </c>
      <c r="J81" s="38"/>
      <c r="K81" s="40">
        <v>43765</v>
      </c>
      <c r="L81" s="41" t="s">
        <v>4477</v>
      </c>
      <c r="M81" s="42">
        <v>43760</v>
      </c>
      <c r="N81" s="43" t="s">
        <v>3878</v>
      </c>
      <c r="O81" s="42">
        <v>43765</v>
      </c>
      <c r="P81" s="45"/>
      <c r="Q81" s="46"/>
      <c r="R81" s="44" t="s">
        <v>4323</v>
      </c>
      <c r="S81" s="46"/>
    </row>
    <row r="82" spans="2:19" s="33" customFormat="1" ht="33" customHeight="1">
      <c r="B82" s="47" t="s">
        <v>222</v>
      </c>
      <c r="C82" s="48" t="s">
        <v>430</v>
      </c>
      <c r="D82" s="49" t="s">
        <v>470</v>
      </c>
      <c r="E82" s="50">
        <v>43473</v>
      </c>
      <c r="F82" s="52" t="s">
        <v>213</v>
      </c>
      <c r="G82" s="51">
        <v>1920</v>
      </c>
      <c r="H82" s="52">
        <f t="shared" ref="H82:H93" si="7">SUM(G82/20)</f>
        <v>96</v>
      </c>
      <c r="I82" s="52">
        <f t="shared" ref="I82:I93" si="8">SUM(H82/32)</f>
        <v>3</v>
      </c>
      <c r="J82" s="59"/>
      <c r="K82" s="53">
        <v>43555</v>
      </c>
      <c r="L82" s="54" t="s">
        <v>480</v>
      </c>
      <c r="M82" s="55">
        <v>43564</v>
      </c>
      <c r="N82" s="56" t="s">
        <v>405</v>
      </c>
      <c r="O82" s="55">
        <v>43569</v>
      </c>
      <c r="P82" s="58"/>
      <c r="Q82" s="60" t="s">
        <v>89</v>
      </c>
      <c r="R82" s="57" t="s">
        <v>518</v>
      </c>
      <c r="S82" s="47"/>
    </row>
    <row r="83" spans="2:19" s="33" customFormat="1" ht="33" customHeight="1">
      <c r="B83" s="47" t="s">
        <v>222</v>
      </c>
      <c r="C83" s="48" t="s">
        <v>519</v>
      </c>
      <c r="D83" s="49" t="s">
        <v>710</v>
      </c>
      <c r="E83" s="50">
        <v>43511</v>
      </c>
      <c r="F83" s="52" t="s">
        <v>213</v>
      </c>
      <c r="G83" s="51">
        <v>640</v>
      </c>
      <c r="H83" s="52">
        <f t="shared" si="7"/>
        <v>32</v>
      </c>
      <c r="I83" s="52">
        <f t="shared" si="8"/>
        <v>1</v>
      </c>
      <c r="J83" s="59"/>
      <c r="K83" s="53">
        <v>43555</v>
      </c>
      <c r="L83" s="54" t="s">
        <v>608</v>
      </c>
      <c r="M83" s="55">
        <v>43557</v>
      </c>
      <c r="N83" s="56" t="s">
        <v>403</v>
      </c>
      <c r="O83" s="55">
        <v>43562</v>
      </c>
      <c r="P83" s="58"/>
      <c r="Q83" s="60" t="s">
        <v>89</v>
      </c>
      <c r="R83" s="57" t="s">
        <v>518</v>
      </c>
      <c r="S83" s="47"/>
    </row>
    <row r="84" spans="2:19" s="33" customFormat="1" ht="33" customHeight="1">
      <c r="B84" s="47" t="s">
        <v>222</v>
      </c>
      <c r="C84" s="48" t="s">
        <v>520</v>
      </c>
      <c r="D84" s="49" t="s">
        <v>584</v>
      </c>
      <c r="E84" s="50">
        <v>43511</v>
      </c>
      <c r="F84" s="52" t="s">
        <v>213</v>
      </c>
      <c r="G84" s="51">
        <v>1920</v>
      </c>
      <c r="H84" s="52">
        <f t="shared" si="7"/>
        <v>96</v>
      </c>
      <c r="I84" s="52">
        <f t="shared" si="8"/>
        <v>3</v>
      </c>
      <c r="J84" s="59"/>
      <c r="K84" s="53">
        <v>43576</v>
      </c>
      <c r="L84" s="54" t="s">
        <v>503</v>
      </c>
      <c r="M84" s="55">
        <v>43571</v>
      </c>
      <c r="N84" s="56" t="s">
        <v>445</v>
      </c>
      <c r="O84" s="55">
        <v>43576</v>
      </c>
      <c r="P84" s="58"/>
      <c r="Q84" s="60" t="s">
        <v>89</v>
      </c>
      <c r="R84" s="57" t="s">
        <v>585</v>
      </c>
      <c r="S84" s="47"/>
    </row>
    <row r="85" spans="2:19" s="33" customFormat="1" ht="33" customHeight="1">
      <c r="B85" s="47" t="s">
        <v>222</v>
      </c>
      <c r="C85" s="48" t="s">
        <v>586</v>
      </c>
      <c r="D85" s="49" t="s">
        <v>640</v>
      </c>
      <c r="E85" s="50">
        <v>43519</v>
      </c>
      <c r="F85" s="52" t="s">
        <v>213</v>
      </c>
      <c r="G85" s="51">
        <v>2560</v>
      </c>
      <c r="H85" s="52">
        <f t="shared" si="7"/>
        <v>128</v>
      </c>
      <c r="I85" s="52">
        <f t="shared" si="8"/>
        <v>4</v>
      </c>
      <c r="J85" s="59"/>
      <c r="K85" s="53">
        <v>43611</v>
      </c>
      <c r="L85" s="54" t="s">
        <v>773</v>
      </c>
      <c r="M85" s="55">
        <v>43601</v>
      </c>
      <c r="N85" s="56" t="s">
        <v>601</v>
      </c>
      <c r="O85" s="55">
        <v>43605</v>
      </c>
      <c r="P85" s="58"/>
      <c r="Q85" s="60" t="s">
        <v>89</v>
      </c>
      <c r="R85" s="57" t="s">
        <v>790</v>
      </c>
      <c r="S85" s="47" t="s">
        <v>980</v>
      </c>
    </row>
    <row r="86" spans="2:19" s="33" customFormat="1" ht="33" customHeight="1">
      <c r="B86" s="47" t="s">
        <v>222</v>
      </c>
      <c r="C86" s="48" t="s">
        <v>713</v>
      </c>
      <c r="D86" s="49" t="s">
        <v>714</v>
      </c>
      <c r="E86" s="50">
        <v>43532</v>
      </c>
      <c r="F86" s="52" t="s">
        <v>213</v>
      </c>
      <c r="G86" s="51">
        <v>1920</v>
      </c>
      <c r="H86" s="52">
        <f t="shared" si="7"/>
        <v>96</v>
      </c>
      <c r="I86" s="52">
        <f t="shared" si="8"/>
        <v>3</v>
      </c>
      <c r="J86" s="59"/>
      <c r="K86" s="53">
        <v>43639</v>
      </c>
      <c r="L86" s="54" t="s">
        <v>1083</v>
      </c>
      <c r="M86" s="55">
        <v>43634</v>
      </c>
      <c r="N86" s="56" t="s">
        <v>1084</v>
      </c>
      <c r="O86" s="55">
        <v>43639</v>
      </c>
      <c r="P86" s="58"/>
      <c r="Q86" s="60" t="s">
        <v>89</v>
      </c>
      <c r="R86" s="57" t="s">
        <v>1026</v>
      </c>
      <c r="S86" s="47"/>
    </row>
    <row r="87" spans="2:19" s="33" customFormat="1" ht="33" customHeight="1">
      <c r="B87" s="47" t="s">
        <v>222</v>
      </c>
      <c r="C87" s="48" t="s">
        <v>1184</v>
      </c>
      <c r="D87" s="49" t="s">
        <v>1185</v>
      </c>
      <c r="E87" s="50">
        <v>43567</v>
      </c>
      <c r="F87" s="52" t="s">
        <v>213</v>
      </c>
      <c r="G87" s="51">
        <v>2560</v>
      </c>
      <c r="H87" s="52">
        <f t="shared" si="7"/>
        <v>128</v>
      </c>
      <c r="I87" s="52">
        <f t="shared" si="8"/>
        <v>4</v>
      </c>
      <c r="J87" s="59"/>
      <c r="K87" s="53">
        <v>43653</v>
      </c>
      <c r="L87" s="54" t="s">
        <v>1326</v>
      </c>
      <c r="M87" s="55">
        <v>43648</v>
      </c>
      <c r="N87" s="56" t="s">
        <v>2540</v>
      </c>
      <c r="O87" s="55">
        <v>43653</v>
      </c>
      <c r="P87" s="58"/>
      <c r="Q87" s="60" t="s">
        <v>89</v>
      </c>
      <c r="R87" s="57" t="s">
        <v>2523</v>
      </c>
      <c r="S87" s="47"/>
    </row>
    <row r="88" spans="2:19" s="33" customFormat="1" ht="33" customHeight="1">
      <c r="B88" s="47" t="s">
        <v>222</v>
      </c>
      <c r="C88" s="48" t="s">
        <v>2524</v>
      </c>
      <c r="D88" s="49" t="s">
        <v>2685</v>
      </c>
      <c r="E88" s="50">
        <v>43609</v>
      </c>
      <c r="F88" s="52" t="s">
        <v>213</v>
      </c>
      <c r="G88" s="51">
        <v>1280</v>
      </c>
      <c r="H88" s="52">
        <f t="shared" si="7"/>
        <v>64</v>
      </c>
      <c r="I88" s="52">
        <f t="shared" si="8"/>
        <v>2</v>
      </c>
      <c r="J88" s="59"/>
      <c r="K88" s="53">
        <v>43653</v>
      </c>
      <c r="L88" s="54" t="s">
        <v>1326</v>
      </c>
      <c r="M88" s="55">
        <v>43648</v>
      </c>
      <c r="N88" s="56" t="s">
        <v>2540</v>
      </c>
      <c r="O88" s="55">
        <v>43653</v>
      </c>
      <c r="P88" s="58"/>
      <c r="Q88" s="60" t="s">
        <v>89</v>
      </c>
      <c r="R88" s="57" t="s">
        <v>2523</v>
      </c>
      <c r="S88" s="47"/>
    </row>
    <row r="89" spans="2:19" s="33" customFormat="1" ht="33" customHeight="1">
      <c r="B89" s="47" t="s">
        <v>222</v>
      </c>
      <c r="C89" s="48" t="s">
        <v>2357</v>
      </c>
      <c r="D89" s="49" t="s">
        <v>2358</v>
      </c>
      <c r="E89" s="50">
        <v>43602</v>
      </c>
      <c r="F89" s="52" t="s">
        <v>213</v>
      </c>
      <c r="G89" s="51">
        <v>2560</v>
      </c>
      <c r="H89" s="52">
        <f t="shared" si="7"/>
        <v>128</v>
      </c>
      <c r="I89" s="52">
        <f t="shared" si="8"/>
        <v>4</v>
      </c>
      <c r="J89" s="59"/>
      <c r="K89" s="53">
        <v>43674</v>
      </c>
      <c r="L89" s="54" t="s">
        <v>2146</v>
      </c>
      <c r="M89" s="55">
        <v>43669</v>
      </c>
      <c r="N89" s="56" t="s">
        <v>2551</v>
      </c>
      <c r="O89" s="55">
        <v>43674</v>
      </c>
      <c r="P89" s="58"/>
      <c r="Q89" s="60" t="s">
        <v>89</v>
      </c>
      <c r="R89" s="57" t="s">
        <v>2686</v>
      </c>
      <c r="S89" s="47"/>
    </row>
    <row r="90" spans="2:19" s="33" customFormat="1" ht="33" customHeight="1">
      <c r="B90" s="47" t="s">
        <v>222</v>
      </c>
      <c r="C90" s="48" t="s">
        <v>2360</v>
      </c>
      <c r="D90" s="49" t="s">
        <v>2534</v>
      </c>
      <c r="E90" s="50">
        <v>43602</v>
      </c>
      <c r="F90" s="52" t="s">
        <v>213</v>
      </c>
      <c r="G90" s="51">
        <v>2560</v>
      </c>
      <c r="H90" s="52">
        <f t="shared" si="7"/>
        <v>128</v>
      </c>
      <c r="I90" s="52">
        <f t="shared" si="8"/>
        <v>4</v>
      </c>
      <c r="J90" s="59"/>
      <c r="K90" s="53">
        <v>43695</v>
      </c>
      <c r="L90" s="54" t="s">
        <v>2505</v>
      </c>
      <c r="M90" s="55">
        <v>43683</v>
      </c>
      <c r="N90" s="56" t="s">
        <v>2763</v>
      </c>
      <c r="O90" s="55">
        <v>43688</v>
      </c>
      <c r="P90" s="58"/>
      <c r="Q90" s="60" t="s">
        <v>89</v>
      </c>
      <c r="R90" s="57" t="s">
        <v>2688</v>
      </c>
      <c r="S90" s="47"/>
    </row>
    <row r="91" spans="2:19" s="33" customFormat="1" ht="33" customHeight="1">
      <c r="B91" s="47" t="s">
        <v>222</v>
      </c>
      <c r="C91" s="48" t="s">
        <v>3429</v>
      </c>
      <c r="D91" s="49" t="s">
        <v>3430</v>
      </c>
      <c r="E91" s="50">
        <v>43637</v>
      </c>
      <c r="F91" s="52" t="s">
        <v>213</v>
      </c>
      <c r="G91" s="51">
        <v>3840</v>
      </c>
      <c r="H91" s="52">
        <f t="shared" si="7"/>
        <v>192</v>
      </c>
      <c r="I91" s="52">
        <f t="shared" si="8"/>
        <v>6</v>
      </c>
      <c r="J91" s="59"/>
      <c r="K91" s="53">
        <v>43723</v>
      </c>
      <c r="L91" s="54" t="s">
        <v>3567</v>
      </c>
      <c r="M91" s="55">
        <v>43718</v>
      </c>
      <c r="N91" s="56" t="s">
        <v>3559</v>
      </c>
      <c r="O91" s="55">
        <v>43723</v>
      </c>
      <c r="P91" s="58"/>
      <c r="Q91" s="60" t="s">
        <v>89</v>
      </c>
      <c r="R91" s="57" t="s">
        <v>3431</v>
      </c>
      <c r="S91" s="47"/>
    </row>
    <row r="92" spans="2:19" s="30" customFormat="1" ht="33" customHeight="1">
      <c r="B92" s="46" t="s">
        <v>222</v>
      </c>
      <c r="C92" s="35" t="s">
        <v>4344</v>
      </c>
      <c r="D92" s="36" t="s">
        <v>4345</v>
      </c>
      <c r="E92" s="37">
        <v>43665</v>
      </c>
      <c r="F92" s="38" t="s">
        <v>213</v>
      </c>
      <c r="G92" s="39">
        <v>3200</v>
      </c>
      <c r="H92" s="38">
        <f t="shared" si="7"/>
        <v>160</v>
      </c>
      <c r="I92" s="38">
        <f t="shared" si="8"/>
        <v>5</v>
      </c>
      <c r="J92" s="61"/>
      <c r="K92" s="40">
        <v>43758</v>
      </c>
      <c r="L92" s="41" t="s">
        <v>4480</v>
      </c>
      <c r="M92" s="42">
        <v>43753</v>
      </c>
      <c r="N92" s="43" t="s">
        <v>4471</v>
      </c>
      <c r="O92" s="42">
        <v>43758</v>
      </c>
      <c r="P92" s="45"/>
      <c r="Q92" s="62" t="s">
        <v>89</v>
      </c>
      <c r="R92" s="44" t="s">
        <v>4347</v>
      </c>
      <c r="S92" s="46"/>
    </row>
    <row r="93" spans="2:19" s="30" customFormat="1" ht="33" customHeight="1">
      <c r="B93" s="46" t="s">
        <v>222</v>
      </c>
      <c r="C93" s="35" t="s">
        <v>4969</v>
      </c>
      <c r="D93" s="36" t="s">
        <v>4968</v>
      </c>
      <c r="E93" s="37">
        <v>43689</v>
      </c>
      <c r="F93" s="38" t="s">
        <v>213</v>
      </c>
      <c r="G93" s="39">
        <v>3840</v>
      </c>
      <c r="H93" s="38">
        <f t="shared" si="7"/>
        <v>192</v>
      </c>
      <c r="I93" s="38">
        <f t="shared" si="8"/>
        <v>6</v>
      </c>
      <c r="J93" s="61"/>
      <c r="K93" s="40">
        <v>43786</v>
      </c>
      <c r="L93" s="41" t="s">
        <v>5187</v>
      </c>
      <c r="M93" s="42">
        <v>43781</v>
      </c>
      <c r="N93" s="43" t="s">
        <v>5173</v>
      </c>
      <c r="O93" s="42">
        <v>43786</v>
      </c>
      <c r="P93" s="45"/>
      <c r="Q93" s="62" t="s">
        <v>89</v>
      </c>
      <c r="R93" s="44" t="s">
        <v>4966</v>
      </c>
      <c r="S93" s="46"/>
    </row>
    <row r="94" spans="2:19" s="33" customFormat="1" ht="33" customHeight="1">
      <c r="B94" s="47" t="s">
        <v>38</v>
      </c>
      <c r="C94" s="48" t="s">
        <v>225</v>
      </c>
      <c r="D94" s="49" t="s">
        <v>587</v>
      </c>
      <c r="E94" s="50">
        <v>43519</v>
      </c>
      <c r="F94" s="52" t="s">
        <v>214</v>
      </c>
      <c r="G94" s="64">
        <v>640</v>
      </c>
      <c r="H94" s="52">
        <f>SUBTOTAL(9,G94)/20</f>
        <v>32</v>
      </c>
      <c r="I94" s="52">
        <f>H94/32</f>
        <v>1</v>
      </c>
      <c r="J94" s="52"/>
      <c r="K94" s="53">
        <v>43583</v>
      </c>
      <c r="L94" s="54" t="s">
        <v>565</v>
      </c>
      <c r="M94" s="55">
        <v>43578</v>
      </c>
      <c r="N94" s="56" t="s">
        <v>447</v>
      </c>
      <c r="O94" s="55">
        <v>43583</v>
      </c>
      <c r="P94" s="58"/>
      <c r="Q94" s="52"/>
      <c r="R94" s="63" t="s">
        <v>515</v>
      </c>
      <c r="S94" s="47"/>
    </row>
    <row r="95" spans="2:19" s="30" customFormat="1" ht="33" customHeight="1">
      <c r="B95" s="46" t="s">
        <v>4485</v>
      </c>
      <c r="C95" s="35" t="s">
        <v>226</v>
      </c>
      <c r="D95" s="36" t="s">
        <v>1194</v>
      </c>
      <c r="E95" s="37">
        <v>43567</v>
      </c>
      <c r="F95" s="38" t="s">
        <v>214</v>
      </c>
      <c r="G95" s="65">
        <v>640</v>
      </c>
      <c r="H95" s="38">
        <f>SUBTOTAL(9,G95)/20</f>
        <v>32</v>
      </c>
      <c r="I95" s="38">
        <f>H95/32</f>
        <v>1</v>
      </c>
      <c r="J95" s="38"/>
      <c r="K95" s="40">
        <v>43758</v>
      </c>
      <c r="L95" s="41" t="s">
        <v>4483</v>
      </c>
      <c r="M95" s="42">
        <v>43753</v>
      </c>
      <c r="N95" s="43" t="s">
        <v>4813</v>
      </c>
      <c r="O95" s="42">
        <v>43758</v>
      </c>
      <c r="P95" s="45"/>
      <c r="Q95" s="38"/>
      <c r="R95" s="66" t="s">
        <v>4607</v>
      </c>
      <c r="S95" s="46"/>
    </row>
    <row r="96" spans="2:19" s="33" customFormat="1" ht="33" customHeight="1">
      <c r="B96" s="47" t="s">
        <v>88</v>
      </c>
      <c r="C96" s="48" t="s">
        <v>431</v>
      </c>
      <c r="D96" s="49" t="s">
        <v>471</v>
      </c>
      <c r="E96" s="50">
        <v>43483</v>
      </c>
      <c r="F96" s="52" t="s">
        <v>214</v>
      </c>
      <c r="G96" s="64">
        <v>760</v>
      </c>
      <c r="H96" s="52">
        <f t="shared" ref="H96:H104" si="9">SUBTOTAL(9,G96)/190</f>
        <v>4</v>
      </c>
      <c r="I96" s="52">
        <f t="shared" ref="I96:I104" si="10">H96/4</f>
        <v>1</v>
      </c>
      <c r="J96" s="52"/>
      <c r="K96" s="53">
        <v>43569</v>
      </c>
      <c r="L96" s="54" t="s">
        <v>417</v>
      </c>
      <c r="M96" s="55">
        <v>43564</v>
      </c>
      <c r="N96" s="56" t="s">
        <v>405</v>
      </c>
      <c r="O96" s="55">
        <v>43569</v>
      </c>
      <c r="P96" s="58"/>
      <c r="Q96" s="52"/>
      <c r="R96" s="63" t="s">
        <v>493</v>
      </c>
      <c r="S96" s="47"/>
    </row>
    <row r="97" spans="2:19" s="33" customFormat="1" ht="33" customHeight="1">
      <c r="B97" s="47" t="s">
        <v>88</v>
      </c>
      <c r="C97" s="48" t="s">
        <v>523</v>
      </c>
      <c r="D97" s="49" t="s">
        <v>588</v>
      </c>
      <c r="E97" s="50">
        <v>43511</v>
      </c>
      <c r="F97" s="52" t="s">
        <v>214</v>
      </c>
      <c r="G97" s="64">
        <v>760</v>
      </c>
      <c r="H97" s="52">
        <f t="shared" si="9"/>
        <v>4</v>
      </c>
      <c r="I97" s="52">
        <f t="shared" si="10"/>
        <v>1</v>
      </c>
      <c r="J97" s="52"/>
      <c r="K97" s="53">
        <v>43583</v>
      </c>
      <c r="L97" s="54" t="s">
        <v>565</v>
      </c>
      <c r="M97" s="55">
        <v>43578</v>
      </c>
      <c r="N97" s="56" t="s">
        <v>447</v>
      </c>
      <c r="O97" s="55">
        <v>43583</v>
      </c>
      <c r="P97" s="58"/>
      <c r="Q97" s="52"/>
      <c r="R97" s="63" t="s">
        <v>320</v>
      </c>
      <c r="S97" s="47"/>
    </row>
    <row r="98" spans="2:19" s="33" customFormat="1" ht="33" customHeight="1">
      <c r="B98" s="47" t="s">
        <v>88</v>
      </c>
      <c r="C98" s="48" t="s">
        <v>589</v>
      </c>
      <c r="D98" s="49" t="s">
        <v>590</v>
      </c>
      <c r="E98" s="50">
        <v>43519</v>
      </c>
      <c r="F98" s="52" t="s">
        <v>214</v>
      </c>
      <c r="G98" s="64">
        <v>760</v>
      </c>
      <c r="H98" s="52">
        <f t="shared" si="9"/>
        <v>4</v>
      </c>
      <c r="I98" s="52">
        <f t="shared" si="10"/>
        <v>1</v>
      </c>
      <c r="J98" s="52"/>
      <c r="K98" s="53">
        <v>43597</v>
      </c>
      <c r="L98" s="54" t="s">
        <v>606</v>
      </c>
      <c r="M98" s="55">
        <v>43592</v>
      </c>
      <c r="N98" s="56" t="s">
        <v>600</v>
      </c>
      <c r="O98" s="55">
        <v>43597</v>
      </c>
      <c r="P98" s="58"/>
      <c r="Q98" s="52"/>
      <c r="R98" s="63" t="s">
        <v>469</v>
      </c>
      <c r="S98" s="47"/>
    </row>
    <row r="99" spans="2:19" s="33" customFormat="1" ht="33" customHeight="1">
      <c r="B99" s="47" t="s">
        <v>88</v>
      </c>
      <c r="C99" s="48" t="s">
        <v>1333</v>
      </c>
      <c r="D99" s="49" t="s">
        <v>1207</v>
      </c>
      <c r="E99" s="50">
        <v>43567</v>
      </c>
      <c r="F99" s="52" t="s">
        <v>214</v>
      </c>
      <c r="G99" s="64">
        <v>760</v>
      </c>
      <c r="H99" s="52">
        <f t="shared" si="9"/>
        <v>4</v>
      </c>
      <c r="I99" s="52">
        <f t="shared" si="10"/>
        <v>1</v>
      </c>
      <c r="J99" s="52"/>
      <c r="K99" s="53">
        <v>43667</v>
      </c>
      <c r="L99" s="54" t="s">
        <v>1327</v>
      </c>
      <c r="M99" s="55">
        <v>43655</v>
      </c>
      <c r="N99" s="56" t="s">
        <v>1315</v>
      </c>
      <c r="O99" s="55">
        <v>43660</v>
      </c>
      <c r="P99" s="58"/>
      <c r="Q99" s="52"/>
      <c r="R99" s="63" t="s">
        <v>1208</v>
      </c>
      <c r="S99" s="47" t="s">
        <v>980</v>
      </c>
    </row>
    <row r="100" spans="2:19" s="33" customFormat="1" ht="33" customHeight="1">
      <c r="B100" s="47" t="s">
        <v>5438</v>
      </c>
      <c r="C100" s="48" t="s">
        <v>2079</v>
      </c>
      <c r="D100" s="49" t="s">
        <v>2536</v>
      </c>
      <c r="E100" s="50">
        <v>43602</v>
      </c>
      <c r="F100" s="52" t="s">
        <v>214</v>
      </c>
      <c r="G100" s="64">
        <v>760</v>
      </c>
      <c r="H100" s="52">
        <f t="shared" si="9"/>
        <v>4</v>
      </c>
      <c r="I100" s="52">
        <f t="shared" si="10"/>
        <v>1</v>
      </c>
      <c r="J100" s="52"/>
      <c r="K100" s="53">
        <v>43667</v>
      </c>
      <c r="L100" s="54" t="s">
        <v>1327</v>
      </c>
      <c r="M100" s="55">
        <v>43655</v>
      </c>
      <c r="N100" s="56" t="s">
        <v>1315</v>
      </c>
      <c r="O100" s="55">
        <v>43660</v>
      </c>
      <c r="P100" s="58"/>
      <c r="Q100" s="52"/>
      <c r="R100" s="63" t="s">
        <v>1208</v>
      </c>
      <c r="S100" s="47" t="s">
        <v>980</v>
      </c>
    </row>
    <row r="101" spans="2:19" s="33" customFormat="1" ht="33" customHeight="1">
      <c r="B101" s="47" t="s">
        <v>5438</v>
      </c>
      <c r="C101" s="48" t="s">
        <v>2378</v>
      </c>
      <c r="D101" s="49" t="s">
        <v>2379</v>
      </c>
      <c r="E101" s="50">
        <v>43602</v>
      </c>
      <c r="F101" s="52" t="s">
        <v>214</v>
      </c>
      <c r="G101" s="64">
        <v>760</v>
      </c>
      <c r="H101" s="52">
        <f t="shared" si="9"/>
        <v>4</v>
      </c>
      <c r="I101" s="52">
        <f t="shared" si="10"/>
        <v>1</v>
      </c>
      <c r="J101" s="52"/>
      <c r="K101" s="53">
        <v>43702</v>
      </c>
      <c r="L101" s="54" t="s">
        <v>2512</v>
      </c>
      <c r="M101" s="55">
        <v>43718</v>
      </c>
      <c r="N101" s="56" t="s">
        <v>2499</v>
      </c>
      <c r="O101" s="55">
        <v>43702</v>
      </c>
      <c r="P101" s="58"/>
      <c r="Q101" s="52"/>
      <c r="R101" s="63" t="s">
        <v>2380</v>
      </c>
      <c r="S101" s="47"/>
    </row>
    <row r="102" spans="2:19" s="30" customFormat="1" ht="33" customHeight="1">
      <c r="B102" s="46" t="s">
        <v>5438</v>
      </c>
      <c r="C102" s="35" t="s">
        <v>2430</v>
      </c>
      <c r="D102" s="36" t="s">
        <v>3457</v>
      </c>
      <c r="E102" s="37">
        <v>43637</v>
      </c>
      <c r="F102" s="38" t="s">
        <v>214</v>
      </c>
      <c r="G102" s="65">
        <v>760</v>
      </c>
      <c r="H102" s="38">
        <f t="shared" si="9"/>
        <v>4</v>
      </c>
      <c r="I102" s="38">
        <f t="shared" si="10"/>
        <v>1</v>
      </c>
      <c r="J102" s="38"/>
      <c r="K102" s="40">
        <v>43731</v>
      </c>
      <c r="L102" s="41" t="s">
        <v>3571</v>
      </c>
      <c r="M102" s="42">
        <v>43725</v>
      </c>
      <c r="N102" s="43" t="s">
        <v>2546</v>
      </c>
      <c r="O102" s="42">
        <v>43730</v>
      </c>
      <c r="P102" s="45"/>
      <c r="Q102" s="38"/>
      <c r="R102" s="66" t="s">
        <v>2335</v>
      </c>
      <c r="S102" s="46"/>
    </row>
    <row r="103" spans="2:19" s="30" customFormat="1" ht="33" customHeight="1">
      <c r="B103" s="46" t="s">
        <v>5438</v>
      </c>
      <c r="C103" s="35" t="s">
        <v>2527</v>
      </c>
      <c r="D103" s="36" t="s">
        <v>4369</v>
      </c>
      <c r="E103" s="37">
        <v>43657</v>
      </c>
      <c r="F103" s="38" t="s">
        <v>214</v>
      </c>
      <c r="G103" s="65">
        <v>760</v>
      </c>
      <c r="H103" s="38">
        <f t="shared" si="9"/>
        <v>4</v>
      </c>
      <c r="I103" s="38">
        <f t="shared" si="10"/>
        <v>1</v>
      </c>
      <c r="J103" s="38"/>
      <c r="K103" s="40">
        <v>43758</v>
      </c>
      <c r="L103" s="41" t="s">
        <v>4483</v>
      </c>
      <c r="M103" s="42">
        <v>43753</v>
      </c>
      <c r="N103" s="43" t="s">
        <v>4813</v>
      </c>
      <c r="O103" s="42">
        <v>43758</v>
      </c>
      <c r="P103" s="45"/>
      <c r="Q103" s="38"/>
      <c r="R103" s="66" t="s">
        <v>4066</v>
      </c>
      <c r="S103" s="46"/>
    </row>
    <row r="104" spans="2:19" s="30" customFormat="1" ht="33" customHeight="1">
      <c r="B104" s="46" t="s">
        <v>5438</v>
      </c>
      <c r="C104" s="35" t="s">
        <v>2528</v>
      </c>
      <c r="D104" s="36" t="s">
        <v>5456</v>
      </c>
      <c r="E104" s="37">
        <v>43700</v>
      </c>
      <c r="F104" s="38" t="s">
        <v>214</v>
      </c>
      <c r="G104" s="65">
        <v>760</v>
      </c>
      <c r="H104" s="38">
        <f t="shared" si="9"/>
        <v>4</v>
      </c>
      <c r="I104" s="38">
        <f t="shared" si="10"/>
        <v>1</v>
      </c>
      <c r="J104" s="38"/>
      <c r="K104" s="40">
        <v>43802</v>
      </c>
      <c r="L104" s="41" t="s">
        <v>5437</v>
      </c>
      <c r="M104" s="42">
        <v>43795</v>
      </c>
      <c r="N104" s="43" t="s">
        <v>5429</v>
      </c>
      <c r="O104" s="42">
        <v>43800</v>
      </c>
      <c r="P104" s="45"/>
      <c r="Q104" s="38"/>
      <c r="R104" s="66" t="s">
        <v>5414</v>
      </c>
      <c r="S104" s="46"/>
    </row>
    <row r="105" spans="2:19" s="33" customFormat="1" ht="33" customHeight="1">
      <c r="B105" s="47" t="s">
        <v>3576</v>
      </c>
      <c r="C105" s="48" t="s">
        <v>244</v>
      </c>
      <c r="D105" s="49" t="s">
        <v>722</v>
      </c>
      <c r="E105" s="50">
        <v>43483</v>
      </c>
      <c r="F105" s="52" t="s">
        <v>77</v>
      </c>
      <c r="G105" s="51">
        <v>6720</v>
      </c>
      <c r="H105" s="52">
        <f t="shared" ref="H105:H114" si="11">SUM(G105/240)</f>
        <v>28</v>
      </c>
      <c r="I105" s="52">
        <f t="shared" ref="I105:I114" si="12">SUM(H105/4)</f>
        <v>7</v>
      </c>
      <c r="J105" s="52"/>
      <c r="K105" s="53">
        <v>43569</v>
      </c>
      <c r="L105" s="54" t="s">
        <v>480</v>
      </c>
      <c r="M105" s="55">
        <v>43718</v>
      </c>
      <c r="N105" s="56" t="s">
        <v>646</v>
      </c>
      <c r="O105" s="55">
        <v>43569</v>
      </c>
      <c r="P105" s="58" t="s">
        <v>659</v>
      </c>
      <c r="Q105" s="52"/>
      <c r="R105" s="118" t="s">
        <v>432</v>
      </c>
      <c r="S105" s="47"/>
    </row>
    <row r="106" spans="2:19" s="33" customFormat="1" ht="33" customHeight="1">
      <c r="B106" s="47" t="s">
        <v>3576</v>
      </c>
      <c r="C106" s="48" t="s">
        <v>660</v>
      </c>
      <c r="D106" s="49" t="s">
        <v>472</v>
      </c>
      <c r="E106" s="50">
        <v>43483</v>
      </c>
      <c r="F106" s="52" t="s">
        <v>77</v>
      </c>
      <c r="G106" s="51">
        <v>5760</v>
      </c>
      <c r="H106" s="52">
        <f t="shared" si="11"/>
        <v>24</v>
      </c>
      <c r="I106" s="52">
        <f t="shared" si="12"/>
        <v>6</v>
      </c>
      <c r="J106" s="52"/>
      <c r="K106" s="53">
        <v>43583</v>
      </c>
      <c r="L106" s="54" t="s">
        <v>448</v>
      </c>
      <c r="M106" s="55">
        <v>43718</v>
      </c>
      <c r="N106" s="56" t="s">
        <v>447</v>
      </c>
      <c r="O106" s="55">
        <v>43583</v>
      </c>
      <c r="P106" s="58" t="s">
        <v>662</v>
      </c>
      <c r="Q106" s="52"/>
      <c r="R106" s="118" t="s">
        <v>432</v>
      </c>
      <c r="S106" s="47"/>
    </row>
    <row r="107" spans="2:19" s="33" customFormat="1" ht="33" customHeight="1">
      <c r="B107" s="47" t="s">
        <v>3576</v>
      </c>
      <c r="C107" s="48" t="s">
        <v>258</v>
      </c>
      <c r="D107" s="49" t="s">
        <v>591</v>
      </c>
      <c r="E107" s="50">
        <v>43519</v>
      </c>
      <c r="F107" s="52" t="s">
        <v>77</v>
      </c>
      <c r="G107" s="51">
        <v>5760</v>
      </c>
      <c r="H107" s="52">
        <f t="shared" si="11"/>
        <v>24</v>
      </c>
      <c r="I107" s="52">
        <f t="shared" si="12"/>
        <v>6</v>
      </c>
      <c r="J107" s="52"/>
      <c r="K107" s="53">
        <v>43605</v>
      </c>
      <c r="L107" s="54" t="s">
        <v>607</v>
      </c>
      <c r="M107" s="55">
        <v>43718</v>
      </c>
      <c r="N107" s="56" t="s">
        <v>601</v>
      </c>
      <c r="O107" s="55">
        <v>43605</v>
      </c>
      <c r="P107" s="58" t="s">
        <v>663</v>
      </c>
      <c r="Q107" s="52"/>
      <c r="R107" s="118" t="s">
        <v>592</v>
      </c>
      <c r="S107" s="47"/>
    </row>
    <row r="108" spans="2:19" s="33" customFormat="1" ht="33" customHeight="1">
      <c r="B108" s="47" t="s">
        <v>3576</v>
      </c>
      <c r="C108" s="48" t="s">
        <v>321</v>
      </c>
      <c r="D108" s="49" t="s">
        <v>727</v>
      </c>
      <c r="E108" s="50">
        <v>43532</v>
      </c>
      <c r="F108" s="52" t="s">
        <v>77</v>
      </c>
      <c r="G108" s="51">
        <v>6720</v>
      </c>
      <c r="H108" s="52">
        <f t="shared" si="11"/>
        <v>28</v>
      </c>
      <c r="I108" s="52">
        <f t="shared" si="12"/>
        <v>7</v>
      </c>
      <c r="J108" s="52"/>
      <c r="K108" s="53">
        <v>43633</v>
      </c>
      <c r="L108" s="54" t="s">
        <v>807</v>
      </c>
      <c r="M108" s="55">
        <v>43718</v>
      </c>
      <c r="N108" s="56" t="s">
        <v>808</v>
      </c>
      <c r="O108" s="55">
        <v>43632</v>
      </c>
      <c r="P108" s="58"/>
      <c r="Q108" s="52"/>
      <c r="R108" s="118" t="s">
        <v>728</v>
      </c>
      <c r="S108" s="47"/>
    </row>
    <row r="109" spans="2:19" s="33" customFormat="1" ht="33" customHeight="1">
      <c r="B109" s="47" t="s">
        <v>3576</v>
      </c>
      <c r="C109" s="48" t="s">
        <v>324</v>
      </c>
      <c r="D109" s="49" t="s">
        <v>1234</v>
      </c>
      <c r="E109" s="50">
        <v>43567</v>
      </c>
      <c r="F109" s="52" t="s">
        <v>77</v>
      </c>
      <c r="G109" s="51">
        <v>5760</v>
      </c>
      <c r="H109" s="52">
        <f t="shared" si="11"/>
        <v>24</v>
      </c>
      <c r="I109" s="52">
        <f t="shared" si="12"/>
        <v>6</v>
      </c>
      <c r="J109" s="52"/>
      <c r="K109" s="53">
        <v>43674</v>
      </c>
      <c r="L109" s="54" t="s">
        <v>2147</v>
      </c>
      <c r="M109" s="55">
        <v>43718</v>
      </c>
      <c r="N109" s="56" t="s">
        <v>1313</v>
      </c>
      <c r="O109" s="55">
        <v>43674</v>
      </c>
      <c r="P109" s="58"/>
      <c r="Q109" s="52"/>
      <c r="R109" s="118" t="s">
        <v>2055</v>
      </c>
      <c r="S109" s="47"/>
    </row>
    <row r="110" spans="2:19" s="33" customFormat="1" ht="33" customHeight="1">
      <c r="B110" s="47" t="s">
        <v>3576</v>
      </c>
      <c r="C110" s="48" t="s">
        <v>430</v>
      </c>
      <c r="D110" s="49" t="s">
        <v>2696</v>
      </c>
      <c r="E110" s="50">
        <v>43609</v>
      </c>
      <c r="F110" s="52" t="s">
        <v>77</v>
      </c>
      <c r="G110" s="51">
        <v>7680</v>
      </c>
      <c r="H110" s="52">
        <f t="shared" si="11"/>
        <v>32</v>
      </c>
      <c r="I110" s="52">
        <f t="shared" si="12"/>
        <v>8</v>
      </c>
      <c r="J110" s="52"/>
      <c r="K110" s="53">
        <v>43702</v>
      </c>
      <c r="L110" s="54" t="s">
        <v>2509</v>
      </c>
      <c r="M110" s="55">
        <v>43718</v>
      </c>
      <c r="N110" s="56" t="s">
        <v>2498</v>
      </c>
      <c r="O110" s="55">
        <v>43702</v>
      </c>
      <c r="P110" s="58"/>
      <c r="Q110" s="52"/>
      <c r="R110" s="118" t="s">
        <v>2525</v>
      </c>
      <c r="S110" s="47"/>
    </row>
    <row r="111" spans="2:19" s="33" customFormat="1" ht="33" customHeight="1">
      <c r="B111" s="47" t="s">
        <v>3576</v>
      </c>
      <c r="C111" s="48" t="s">
        <v>519</v>
      </c>
      <c r="D111" s="49" t="s">
        <v>3473</v>
      </c>
      <c r="E111" s="50">
        <v>43637</v>
      </c>
      <c r="F111" s="52" t="s">
        <v>77</v>
      </c>
      <c r="G111" s="51">
        <v>9600</v>
      </c>
      <c r="H111" s="52">
        <f t="shared" si="11"/>
        <v>40</v>
      </c>
      <c r="I111" s="52">
        <f t="shared" si="12"/>
        <v>10</v>
      </c>
      <c r="J111" s="52"/>
      <c r="K111" s="53">
        <v>43716</v>
      </c>
      <c r="L111" s="54" t="s">
        <v>3565</v>
      </c>
      <c r="M111" s="55">
        <v>43718</v>
      </c>
      <c r="N111" s="56" t="s">
        <v>3557</v>
      </c>
      <c r="O111" s="55">
        <v>43716</v>
      </c>
      <c r="P111" s="58"/>
      <c r="Q111" s="52"/>
      <c r="R111" s="118" t="s">
        <v>3474</v>
      </c>
      <c r="S111" s="47"/>
    </row>
    <row r="112" spans="2:19" s="30" customFormat="1" ht="33" customHeight="1">
      <c r="B112" s="46" t="s">
        <v>3576</v>
      </c>
      <c r="C112" s="35" t="s">
        <v>520</v>
      </c>
      <c r="D112" s="36" t="s">
        <v>4386</v>
      </c>
      <c r="E112" s="37">
        <v>43665</v>
      </c>
      <c r="F112" s="38" t="s">
        <v>77</v>
      </c>
      <c r="G112" s="39">
        <v>5760</v>
      </c>
      <c r="H112" s="38">
        <f t="shared" si="11"/>
        <v>24</v>
      </c>
      <c r="I112" s="38">
        <f t="shared" si="12"/>
        <v>6</v>
      </c>
      <c r="J112" s="38"/>
      <c r="K112" s="40">
        <v>43765</v>
      </c>
      <c r="L112" s="41" t="s">
        <v>4477</v>
      </c>
      <c r="M112" s="42">
        <v>43718</v>
      </c>
      <c r="N112" s="43" t="s">
        <v>3878</v>
      </c>
      <c r="O112" s="42">
        <v>43765</v>
      </c>
      <c r="P112" s="45"/>
      <c r="Q112" s="38"/>
      <c r="R112" s="115" t="s">
        <v>4387</v>
      </c>
      <c r="S112" s="46"/>
    </row>
    <row r="113" spans="2:19" s="30" customFormat="1" ht="33" customHeight="1">
      <c r="B113" s="46" t="s">
        <v>3576</v>
      </c>
      <c r="C113" s="35" t="s">
        <v>586</v>
      </c>
      <c r="D113" s="36" t="s">
        <v>4932</v>
      </c>
      <c r="E113" s="37">
        <v>43689</v>
      </c>
      <c r="F113" s="38" t="s">
        <v>77</v>
      </c>
      <c r="G113" s="39">
        <v>5760</v>
      </c>
      <c r="H113" s="38">
        <f t="shared" si="11"/>
        <v>24</v>
      </c>
      <c r="I113" s="38">
        <f t="shared" si="12"/>
        <v>6</v>
      </c>
      <c r="J113" s="38"/>
      <c r="K113" s="40">
        <v>43793</v>
      </c>
      <c r="L113" s="41" t="s">
        <v>5188</v>
      </c>
      <c r="M113" s="42">
        <v>43788</v>
      </c>
      <c r="N113" s="43" t="s">
        <v>5174</v>
      </c>
      <c r="O113" s="42">
        <v>43793</v>
      </c>
      <c r="P113" s="45"/>
      <c r="Q113" s="38"/>
      <c r="R113" s="115" t="s">
        <v>4931</v>
      </c>
      <c r="S113" s="46"/>
    </row>
    <row r="114" spans="2:19" s="30" customFormat="1" ht="33" customHeight="1">
      <c r="B114" s="122" t="s">
        <v>3576</v>
      </c>
      <c r="C114" s="126" t="s">
        <v>5670</v>
      </c>
      <c r="D114" s="127"/>
      <c r="E114" s="128">
        <v>43714</v>
      </c>
      <c r="F114" s="124" t="s">
        <v>77</v>
      </c>
      <c r="G114" s="129">
        <v>1920</v>
      </c>
      <c r="H114" s="124">
        <f t="shared" si="11"/>
        <v>8</v>
      </c>
      <c r="I114" s="124">
        <f t="shared" si="12"/>
        <v>2</v>
      </c>
      <c r="J114" s="124"/>
      <c r="K114" s="130">
        <v>43793</v>
      </c>
      <c r="L114" s="119" t="s">
        <v>5188</v>
      </c>
      <c r="M114" s="120">
        <v>43788</v>
      </c>
      <c r="N114" s="121" t="s">
        <v>5440</v>
      </c>
      <c r="O114" s="120">
        <v>43793</v>
      </c>
      <c r="P114" s="123"/>
      <c r="Q114" s="124"/>
      <c r="R114" s="133" t="s">
        <v>4931</v>
      </c>
      <c r="S114" s="122"/>
    </row>
    <row r="115" spans="2:19" s="34" customFormat="1" ht="33" customHeight="1">
      <c r="B115" s="47" t="s">
        <v>3577</v>
      </c>
      <c r="C115" s="48" t="s">
        <v>226</v>
      </c>
      <c r="D115" s="49" t="s">
        <v>593</v>
      </c>
      <c r="E115" s="50">
        <v>43483</v>
      </c>
      <c r="F115" s="52" t="s">
        <v>218</v>
      </c>
      <c r="G115" s="51">
        <v>640</v>
      </c>
      <c r="H115" s="52">
        <f t="shared" ref="H115:H151" si="13">SUM(G115/20)</f>
        <v>32</v>
      </c>
      <c r="I115" s="52">
        <f t="shared" ref="I115:I151" si="14">SUM(H115/32)</f>
        <v>1</v>
      </c>
      <c r="J115" s="52"/>
      <c r="K115" s="53">
        <v>43534</v>
      </c>
      <c r="L115" s="54" t="s">
        <v>566</v>
      </c>
      <c r="M115" s="55">
        <v>43718</v>
      </c>
      <c r="N115" s="56"/>
      <c r="O115" s="55">
        <v>43520</v>
      </c>
      <c r="P115" s="58" t="s">
        <v>651</v>
      </c>
      <c r="Q115" s="52"/>
      <c r="R115" s="63" t="s">
        <v>211</v>
      </c>
      <c r="S115" s="52"/>
    </row>
    <row r="116" spans="2:19" s="34" customFormat="1" ht="33" customHeight="1">
      <c r="B116" s="47" t="s">
        <v>3577</v>
      </c>
      <c r="C116" s="48" t="s">
        <v>285</v>
      </c>
      <c r="D116" s="49" t="s">
        <v>526</v>
      </c>
      <c r="E116" s="50">
        <v>43507</v>
      </c>
      <c r="F116" s="52" t="s">
        <v>218</v>
      </c>
      <c r="G116" s="51">
        <v>3200</v>
      </c>
      <c r="H116" s="52">
        <f t="shared" si="13"/>
        <v>160</v>
      </c>
      <c r="I116" s="52">
        <f t="shared" si="14"/>
        <v>5</v>
      </c>
      <c r="J116" s="52"/>
      <c r="K116" s="53">
        <v>43576</v>
      </c>
      <c r="L116" s="54" t="s">
        <v>503</v>
      </c>
      <c r="M116" s="55">
        <v>43718</v>
      </c>
      <c r="N116" s="56" t="s">
        <v>445</v>
      </c>
      <c r="O116" s="55">
        <v>43576</v>
      </c>
      <c r="P116" s="58"/>
      <c r="Q116" s="52" t="s">
        <v>643</v>
      </c>
      <c r="R116" s="63" t="s">
        <v>211</v>
      </c>
      <c r="S116" s="52"/>
    </row>
    <row r="117" spans="2:19" s="34" customFormat="1" ht="33" customHeight="1">
      <c r="B117" s="47" t="s">
        <v>3577</v>
      </c>
      <c r="C117" s="48" t="s">
        <v>650</v>
      </c>
      <c r="D117" s="49" t="s">
        <v>526</v>
      </c>
      <c r="E117" s="50">
        <v>43507</v>
      </c>
      <c r="F117" s="52" t="s">
        <v>218</v>
      </c>
      <c r="G117" s="51">
        <v>640</v>
      </c>
      <c r="H117" s="52">
        <f t="shared" si="13"/>
        <v>32</v>
      </c>
      <c r="I117" s="52">
        <f t="shared" si="14"/>
        <v>1</v>
      </c>
      <c r="J117" s="52"/>
      <c r="K117" s="53">
        <v>43576</v>
      </c>
      <c r="L117" s="54" t="s">
        <v>448</v>
      </c>
      <c r="M117" s="55">
        <v>43718</v>
      </c>
      <c r="N117" s="56" t="s">
        <v>447</v>
      </c>
      <c r="O117" s="55">
        <v>43583</v>
      </c>
      <c r="P117" s="58"/>
      <c r="Q117" s="52" t="s">
        <v>643</v>
      </c>
      <c r="R117" s="63" t="s">
        <v>211</v>
      </c>
      <c r="S117" s="52"/>
    </row>
    <row r="118" spans="2:19" s="34" customFormat="1" ht="33" customHeight="1">
      <c r="B118" s="47" t="s">
        <v>3577</v>
      </c>
      <c r="C118" s="48" t="s">
        <v>331</v>
      </c>
      <c r="D118" s="49" t="s">
        <v>632</v>
      </c>
      <c r="E118" s="50">
        <v>43519</v>
      </c>
      <c r="F118" s="52" t="s">
        <v>218</v>
      </c>
      <c r="G118" s="51">
        <v>3200</v>
      </c>
      <c r="H118" s="52">
        <f t="shared" si="13"/>
        <v>160</v>
      </c>
      <c r="I118" s="52">
        <f t="shared" si="14"/>
        <v>5</v>
      </c>
      <c r="J118" s="52"/>
      <c r="K118" s="53">
        <v>43562</v>
      </c>
      <c r="L118" s="54" t="s">
        <v>608</v>
      </c>
      <c r="M118" s="55">
        <v>43718</v>
      </c>
      <c r="N118" s="56" t="s">
        <v>403</v>
      </c>
      <c r="O118" s="55">
        <v>43562</v>
      </c>
      <c r="P118" s="58"/>
      <c r="Q118" s="52" t="s">
        <v>642</v>
      </c>
      <c r="R118" s="63" t="s">
        <v>211</v>
      </c>
      <c r="S118" s="52"/>
    </row>
    <row r="119" spans="2:19" s="34" customFormat="1" ht="33" customHeight="1">
      <c r="B119" s="47" t="s">
        <v>3577</v>
      </c>
      <c r="C119" s="48" t="s">
        <v>647</v>
      </c>
      <c r="D119" s="49" t="s">
        <v>632</v>
      </c>
      <c r="E119" s="50">
        <v>43519</v>
      </c>
      <c r="F119" s="52" t="s">
        <v>218</v>
      </c>
      <c r="G119" s="51">
        <v>640</v>
      </c>
      <c r="H119" s="52">
        <f t="shared" si="13"/>
        <v>32</v>
      </c>
      <c r="I119" s="52">
        <f t="shared" si="14"/>
        <v>1</v>
      </c>
      <c r="J119" s="52"/>
      <c r="K119" s="53">
        <v>43562</v>
      </c>
      <c r="L119" s="54" t="s">
        <v>480</v>
      </c>
      <c r="M119" s="55">
        <v>43718</v>
      </c>
      <c r="N119" s="56" t="s">
        <v>646</v>
      </c>
      <c r="O119" s="55">
        <v>43569</v>
      </c>
      <c r="P119" s="58"/>
      <c r="Q119" s="52" t="s">
        <v>642</v>
      </c>
      <c r="R119" s="63" t="s">
        <v>211</v>
      </c>
      <c r="S119" s="52"/>
    </row>
    <row r="120" spans="2:19" s="34" customFormat="1" ht="33" customHeight="1">
      <c r="B120" s="47" t="s">
        <v>3577</v>
      </c>
      <c r="C120" s="48" t="s">
        <v>2527</v>
      </c>
      <c r="D120" s="199" t="s">
        <v>2532</v>
      </c>
      <c r="E120" s="50">
        <v>43609</v>
      </c>
      <c r="F120" s="52" t="s">
        <v>218</v>
      </c>
      <c r="G120" s="51">
        <v>120</v>
      </c>
      <c r="H120" s="52">
        <f t="shared" si="13"/>
        <v>6</v>
      </c>
      <c r="I120" s="52">
        <f t="shared" si="14"/>
        <v>0.1875</v>
      </c>
      <c r="J120" s="52"/>
      <c r="K120" s="53">
        <v>43646</v>
      </c>
      <c r="L120" s="54" t="s">
        <v>1083</v>
      </c>
      <c r="M120" s="55">
        <v>43718</v>
      </c>
      <c r="N120" s="56" t="s">
        <v>1084</v>
      </c>
      <c r="O120" s="55">
        <v>43639</v>
      </c>
      <c r="P120" s="58"/>
      <c r="Q120" s="63" t="s">
        <v>2543</v>
      </c>
      <c r="R120" s="63" t="s">
        <v>2542</v>
      </c>
      <c r="S120" s="52"/>
    </row>
    <row r="121" spans="2:19" s="34" customFormat="1" ht="33" customHeight="1">
      <c r="B121" s="47" t="s">
        <v>3580</v>
      </c>
      <c r="C121" s="48" t="s">
        <v>2531</v>
      </c>
      <c r="D121" s="199" t="s">
        <v>2532</v>
      </c>
      <c r="E121" s="50">
        <v>43609</v>
      </c>
      <c r="F121" s="52" t="s">
        <v>228</v>
      </c>
      <c r="G121" s="51">
        <v>120</v>
      </c>
      <c r="H121" s="52">
        <f t="shared" si="13"/>
        <v>6</v>
      </c>
      <c r="I121" s="52">
        <f t="shared" si="14"/>
        <v>0.1875</v>
      </c>
      <c r="J121" s="52"/>
      <c r="K121" s="53">
        <v>43646</v>
      </c>
      <c r="L121" s="54" t="s">
        <v>1083</v>
      </c>
      <c r="M121" s="55">
        <v>43718</v>
      </c>
      <c r="N121" s="56" t="s">
        <v>1084</v>
      </c>
      <c r="O121" s="55">
        <v>43639</v>
      </c>
      <c r="P121" s="58"/>
      <c r="Q121" s="63" t="s">
        <v>2544</v>
      </c>
      <c r="R121" s="63" t="s">
        <v>2542</v>
      </c>
      <c r="S121" s="52"/>
    </row>
    <row r="122" spans="2:19" s="34" customFormat="1" ht="33" customHeight="1">
      <c r="B122" s="47" t="s">
        <v>3577</v>
      </c>
      <c r="C122" s="48" t="s">
        <v>431</v>
      </c>
      <c r="D122" s="49" t="s">
        <v>633</v>
      </c>
      <c r="E122" s="50">
        <v>43523</v>
      </c>
      <c r="F122" s="52" t="s">
        <v>218</v>
      </c>
      <c r="G122" s="51">
        <v>3200</v>
      </c>
      <c r="H122" s="52">
        <f t="shared" si="13"/>
        <v>160</v>
      </c>
      <c r="I122" s="52">
        <f t="shared" si="14"/>
        <v>5</v>
      </c>
      <c r="J122" s="52"/>
      <c r="K122" s="53">
        <v>43597</v>
      </c>
      <c r="L122" s="54" t="s">
        <v>605</v>
      </c>
      <c r="M122" s="55">
        <v>43718</v>
      </c>
      <c r="N122" s="56" t="s">
        <v>561</v>
      </c>
      <c r="O122" s="55">
        <v>43598</v>
      </c>
      <c r="P122" s="58"/>
      <c r="Q122" s="52" t="s">
        <v>641</v>
      </c>
      <c r="R122" s="63" t="s">
        <v>211</v>
      </c>
      <c r="S122" s="52"/>
    </row>
    <row r="123" spans="2:19" s="34" customFormat="1" ht="33" customHeight="1">
      <c r="B123" s="47" t="s">
        <v>3577</v>
      </c>
      <c r="C123" s="48" t="s">
        <v>648</v>
      </c>
      <c r="D123" s="49" t="s">
        <v>633</v>
      </c>
      <c r="E123" s="50">
        <v>43523</v>
      </c>
      <c r="F123" s="52" t="s">
        <v>218</v>
      </c>
      <c r="G123" s="51">
        <v>640</v>
      </c>
      <c r="H123" s="52">
        <f t="shared" si="13"/>
        <v>32</v>
      </c>
      <c r="I123" s="52">
        <f t="shared" si="14"/>
        <v>1</v>
      </c>
      <c r="J123" s="52"/>
      <c r="K123" s="53">
        <v>43618</v>
      </c>
      <c r="L123" s="54" t="s">
        <v>977</v>
      </c>
      <c r="M123" s="55">
        <v>43718</v>
      </c>
      <c r="N123" s="56" t="s">
        <v>766</v>
      </c>
      <c r="O123" s="55">
        <v>43618</v>
      </c>
      <c r="P123" s="58"/>
      <c r="Q123" s="52" t="s">
        <v>641</v>
      </c>
      <c r="R123" s="63" t="s">
        <v>211</v>
      </c>
      <c r="S123" s="52"/>
    </row>
    <row r="124" spans="2:19" s="34" customFormat="1" ht="33" customHeight="1">
      <c r="B124" s="47" t="s">
        <v>3577</v>
      </c>
      <c r="C124" s="48" t="s">
        <v>738</v>
      </c>
      <c r="D124" s="49" t="s">
        <v>739</v>
      </c>
      <c r="E124" s="50">
        <v>43532</v>
      </c>
      <c r="F124" s="52" t="s">
        <v>218</v>
      </c>
      <c r="G124" s="51">
        <v>2560</v>
      </c>
      <c r="H124" s="52">
        <f t="shared" si="13"/>
        <v>128</v>
      </c>
      <c r="I124" s="52">
        <f t="shared" si="14"/>
        <v>4</v>
      </c>
      <c r="J124" s="52"/>
      <c r="K124" s="53">
        <v>43618</v>
      </c>
      <c r="L124" s="54" t="s">
        <v>977</v>
      </c>
      <c r="M124" s="55">
        <v>43718</v>
      </c>
      <c r="N124" s="56" t="s">
        <v>766</v>
      </c>
      <c r="O124" s="55">
        <v>43618</v>
      </c>
      <c r="P124" s="58"/>
      <c r="Q124" s="52" t="s">
        <v>970</v>
      </c>
      <c r="R124" s="63" t="s">
        <v>211</v>
      </c>
      <c r="S124" s="52"/>
    </row>
    <row r="125" spans="2:19" s="34" customFormat="1" ht="33" customHeight="1">
      <c r="B125" s="47" t="s">
        <v>3577</v>
      </c>
      <c r="C125" s="48" t="s">
        <v>589</v>
      </c>
      <c r="D125" s="49" t="s">
        <v>1260</v>
      </c>
      <c r="E125" s="50">
        <v>43558</v>
      </c>
      <c r="F125" s="52" t="s">
        <v>218</v>
      </c>
      <c r="G125" s="51">
        <v>3200</v>
      </c>
      <c r="H125" s="52">
        <f t="shared" si="13"/>
        <v>160</v>
      </c>
      <c r="I125" s="52">
        <f t="shared" si="14"/>
        <v>5</v>
      </c>
      <c r="J125" s="52"/>
      <c r="K125" s="53">
        <v>43639</v>
      </c>
      <c r="L125" s="54" t="s">
        <v>978</v>
      </c>
      <c r="M125" s="55">
        <v>43718</v>
      </c>
      <c r="N125" s="56" t="s">
        <v>764</v>
      </c>
      <c r="O125" s="55">
        <v>43639</v>
      </c>
      <c r="P125" s="58"/>
      <c r="Q125" s="52" t="s">
        <v>973</v>
      </c>
      <c r="R125" s="63" t="s">
        <v>211</v>
      </c>
      <c r="S125" s="52"/>
    </row>
    <row r="126" spans="2:19" s="34" customFormat="1" ht="33" customHeight="1">
      <c r="B126" s="47" t="s">
        <v>3577</v>
      </c>
      <c r="C126" s="48" t="s">
        <v>2078</v>
      </c>
      <c r="D126" s="49" t="s">
        <v>2426</v>
      </c>
      <c r="E126" s="50">
        <v>43602</v>
      </c>
      <c r="F126" s="52" t="s">
        <v>218</v>
      </c>
      <c r="G126" s="51">
        <v>3200</v>
      </c>
      <c r="H126" s="52">
        <f t="shared" si="13"/>
        <v>160</v>
      </c>
      <c r="I126" s="52">
        <f t="shared" si="14"/>
        <v>5</v>
      </c>
      <c r="J126" s="52"/>
      <c r="K126" s="53">
        <v>43653</v>
      </c>
      <c r="L126" s="54" t="s">
        <v>1326</v>
      </c>
      <c r="M126" s="55">
        <v>43718</v>
      </c>
      <c r="N126" s="56" t="s">
        <v>2143</v>
      </c>
      <c r="O126" s="55">
        <v>43653</v>
      </c>
      <c r="P126" s="58"/>
      <c r="Q126" s="52" t="s">
        <v>2148</v>
      </c>
      <c r="R126" s="63" t="s">
        <v>211</v>
      </c>
      <c r="S126" s="52"/>
    </row>
    <row r="127" spans="2:19" s="34" customFormat="1" ht="33" customHeight="1">
      <c r="B127" s="47" t="s">
        <v>3577</v>
      </c>
      <c r="C127" s="48" t="s">
        <v>2079</v>
      </c>
      <c r="D127" s="49" t="s">
        <v>2428</v>
      </c>
      <c r="E127" s="50">
        <v>43602</v>
      </c>
      <c r="F127" s="52" t="s">
        <v>218</v>
      </c>
      <c r="G127" s="51">
        <v>3200</v>
      </c>
      <c r="H127" s="52">
        <f t="shared" si="13"/>
        <v>160</v>
      </c>
      <c r="I127" s="52">
        <f t="shared" si="14"/>
        <v>5</v>
      </c>
      <c r="J127" s="52"/>
      <c r="K127" s="53">
        <v>43667</v>
      </c>
      <c r="L127" s="54" t="s">
        <v>2146</v>
      </c>
      <c r="M127" s="55">
        <v>43718</v>
      </c>
      <c r="N127" s="56" t="s">
        <v>2551</v>
      </c>
      <c r="O127" s="55">
        <v>43674</v>
      </c>
      <c r="P127" s="58"/>
      <c r="Q127" s="52" t="s">
        <v>2150</v>
      </c>
      <c r="R127" s="63" t="s">
        <v>211</v>
      </c>
      <c r="S127" s="52"/>
    </row>
    <row r="128" spans="2:19" s="34" customFormat="1" ht="33" customHeight="1">
      <c r="B128" s="47" t="s">
        <v>3577</v>
      </c>
      <c r="C128" s="48" t="s">
        <v>2378</v>
      </c>
      <c r="D128" s="49" t="s">
        <v>2518</v>
      </c>
      <c r="E128" s="50">
        <v>43602</v>
      </c>
      <c r="F128" s="52" t="s">
        <v>218</v>
      </c>
      <c r="G128" s="51">
        <v>3200</v>
      </c>
      <c r="H128" s="52">
        <f t="shared" si="13"/>
        <v>160</v>
      </c>
      <c r="I128" s="52">
        <f t="shared" si="14"/>
        <v>5</v>
      </c>
      <c r="J128" s="52"/>
      <c r="K128" s="53">
        <v>43688</v>
      </c>
      <c r="L128" s="54" t="s">
        <v>2505</v>
      </c>
      <c r="M128" s="55">
        <v>43718</v>
      </c>
      <c r="N128" s="56" t="s">
        <v>2763</v>
      </c>
      <c r="O128" s="55">
        <v>43688</v>
      </c>
      <c r="P128" s="58"/>
      <c r="Q128" s="52" t="s">
        <v>2762</v>
      </c>
      <c r="R128" s="63" t="s">
        <v>211</v>
      </c>
      <c r="S128" s="47" t="s">
        <v>2764</v>
      </c>
    </row>
    <row r="129" spans="2:19" s="34" customFormat="1" ht="33" customHeight="1">
      <c r="B129" s="47" t="s">
        <v>3577</v>
      </c>
      <c r="C129" s="48" t="s">
        <v>2430</v>
      </c>
      <c r="D129" s="199" t="s">
        <v>2520</v>
      </c>
      <c r="E129" s="50">
        <v>43602</v>
      </c>
      <c r="F129" s="52" t="s">
        <v>218</v>
      </c>
      <c r="G129" s="51">
        <v>3200</v>
      </c>
      <c r="H129" s="52">
        <f t="shared" si="13"/>
        <v>160</v>
      </c>
      <c r="I129" s="52">
        <f t="shared" si="14"/>
        <v>5</v>
      </c>
      <c r="J129" s="52"/>
      <c r="K129" s="53">
        <v>43702</v>
      </c>
      <c r="L129" s="54" t="s">
        <v>2509</v>
      </c>
      <c r="M129" s="55">
        <v>43718</v>
      </c>
      <c r="N129" s="56" t="s">
        <v>2499</v>
      </c>
      <c r="O129" s="55">
        <v>43702</v>
      </c>
      <c r="P129" s="58"/>
      <c r="Q129" s="52" t="s">
        <v>2517</v>
      </c>
      <c r="R129" s="63" t="s">
        <v>211</v>
      </c>
      <c r="S129" s="52"/>
    </row>
    <row r="130" spans="2:19" s="34" customFormat="1" ht="33" customHeight="1">
      <c r="B130" s="47" t="s">
        <v>3577</v>
      </c>
      <c r="C130" s="48" t="s">
        <v>2528</v>
      </c>
      <c r="D130" s="199" t="s">
        <v>2704</v>
      </c>
      <c r="E130" s="50">
        <v>43609</v>
      </c>
      <c r="F130" s="52" t="s">
        <v>218</v>
      </c>
      <c r="G130" s="51">
        <v>3200</v>
      </c>
      <c r="H130" s="52">
        <f t="shared" si="13"/>
        <v>160</v>
      </c>
      <c r="I130" s="52">
        <f t="shared" si="14"/>
        <v>5</v>
      </c>
      <c r="J130" s="52"/>
      <c r="K130" s="53">
        <v>43660</v>
      </c>
      <c r="L130" s="54" t="s">
        <v>1326</v>
      </c>
      <c r="M130" s="55">
        <v>43718</v>
      </c>
      <c r="N130" s="56" t="s">
        <v>2540</v>
      </c>
      <c r="O130" s="55">
        <v>43653</v>
      </c>
      <c r="P130" s="58"/>
      <c r="Q130" s="52" t="s">
        <v>2148</v>
      </c>
      <c r="R130" s="63" t="s">
        <v>211</v>
      </c>
      <c r="S130" s="52"/>
    </row>
    <row r="131" spans="2:19" s="34" customFormat="1" ht="33" customHeight="1">
      <c r="B131" s="47" t="s">
        <v>3577</v>
      </c>
      <c r="C131" s="48" t="s">
        <v>2529</v>
      </c>
      <c r="D131" s="199" t="s">
        <v>2705</v>
      </c>
      <c r="E131" s="50">
        <v>43609</v>
      </c>
      <c r="F131" s="52" t="s">
        <v>218</v>
      </c>
      <c r="G131" s="51">
        <v>3200</v>
      </c>
      <c r="H131" s="52">
        <f t="shared" si="13"/>
        <v>160</v>
      </c>
      <c r="I131" s="52">
        <f t="shared" si="14"/>
        <v>5</v>
      </c>
      <c r="J131" s="52"/>
      <c r="K131" s="53">
        <v>43675</v>
      </c>
      <c r="L131" s="54" t="s">
        <v>2146</v>
      </c>
      <c r="M131" s="55">
        <v>43718</v>
      </c>
      <c r="N131" s="56" t="s">
        <v>2551</v>
      </c>
      <c r="O131" s="55">
        <v>43674</v>
      </c>
      <c r="P131" s="58"/>
      <c r="Q131" s="52" t="s">
        <v>2150</v>
      </c>
      <c r="R131" s="63" t="s">
        <v>211</v>
      </c>
      <c r="S131" s="52"/>
    </row>
    <row r="132" spans="2:19" s="34" customFormat="1" ht="33" customHeight="1">
      <c r="B132" s="47" t="s">
        <v>3577</v>
      </c>
      <c r="C132" s="48" t="s">
        <v>3497</v>
      </c>
      <c r="D132" s="199" t="s">
        <v>3498</v>
      </c>
      <c r="E132" s="50">
        <v>43637</v>
      </c>
      <c r="F132" s="52" t="s">
        <v>218</v>
      </c>
      <c r="G132" s="51">
        <v>3200</v>
      </c>
      <c r="H132" s="52">
        <f t="shared" si="13"/>
        <v>160</v>
      </c>
      <c r="I132" s="52">
        <f t="shared" si="14"/>
        <v>5</v>
      </c>
      <c r="J132" s="52"/>
      <c r="K132" s="53">
        <v>43716</v>
      </c>
      <c r="L132" s="54" t="s">
        <v>3565</v>
      </c>
      <c r="M132" s="55">
        <v>43718</v>
      </c>
      <c r="N132" s="56" t="s">
        <v>3557</v>
      </c>
      <c r="O132" s="55">
        <v>43716</v>
      </c>
      <c r="P132" s="58"/>
      <c r="Q132" s="52" t="s">
        <v>4820</v>
      </c>
      <c r="R132" s="63" t="s">
        <v>211</v>
      </c>
      <c r="S132" s="52"/>
    </row>
    <row r="133" spans="2:19" s="32" customFormat="1" ht="33" customHeight="1">
      <c r="B133" s="46" t="s">
        <v>3577</v>
      </c>
      <c r="C133" s="35" t="s">
        <v>3499</v>
      </c>
      <c r="D133" s="190" t="s">
        <v>3500</v>
      </c>
      <c r="E133" s="37">
        <v>43637</v>
      </c>
      <c r="F133" s="38" t="s">
        <v>218</v>
      </c>
      <c r="G133" s="39">
        <v>3200</v>
      </c>
      <c r="H133" s="38">
        <f t="shared" si="13"/>
        <v>160</v>
      </c>
      <c r="I133" s="38">
        <f t="shared" si="14"/>
        <v>5</v>
      </c>
      <c r="J133" s="38"/>
      <c r="K133" s="40">
        <v>43730</v>
      </c>
      <c r="L133" s="41" t="s">
        <v>2553</v>
      </c>
      <c r="M133" s="42">
        <v>43725</v>
      </c>
      <c r="N133" s="43" t="s">
        <v>2546</v>
      </c>
      <c r="O133" s="42">
        <v>43730</v>
      </c>
      <c r="P133" s="45"/>
      <c r="Q133" s="38" t="s">
        <v>5446</v>
      </c>
      <c r="R133" s="66" t="s">
        <v>211</v>
      </c>
      <c r="S133" s="38"/>
    </row>
    <row r="134" spans="2:19" s="32" customFormat="1" ht="33" customHeight="1">
      <c r="B134" s="46" t="s">
        <v>3577</v>
      </c>
      <c r="C134" s="35" t="s">
        <v>3501</v>
      </c>
      <c r="D134" s="190" t="s">
        <v>3502</v>
      </c>
      <c r="E134" s="37">
        <v>43637</v>
      </c>
      <c r="F134" s="38" t="s">
        <v>218</v>
      </c>
      <c r="G134" s="39">
        <v>3200</v>
      </c>
      <c r="H134" s="38">
        <f t="shared" si="13"/>
        <v>160</v>
      </c>
      <c r="I134" s="38">
        <f t="shared" si="14"/>
        <v>5</v>
      </c>
      <c r="J134" s="38"/>
      <c r="K134" s="40">
        <v>43737</v>
      </c>
      <c r="L134" s="41" t="s">
        <v>3568</v>
      </c>
      <c r="M134" s="42">
        <v>43732</v>
      </c>
      <c r="N134" s="43" t="s">
        <v>3562</v>
      </c>
      <c r="O134" s="42">
        <v>43737</v>
      </c>
      <c r="P134" s="45"/>
      <c r="Q134" s="38" t="s">
        <v>5427</v>
      </c>
      <c r="R134" s="66" t="s">
        <v>211</v>
      </c>
      <c r="S134" s="38"/>
    </row>
    <row r="135" spans="2:19" s="34" customFormat="1" ht="33" customHeight="1">
      <c r="B135" s="47" t="s">
        <v>3577</v>
      </c>
      <c r="C135" s="48" t="s">
        <v>4103</v>
      </c>
      <c r="D135" s="199" t="s">
        <v>4408</v>
      </c>
      <c r="E135" s="50">
        <v>43657</v>
      </c>
      <c r="F135" s="52" t="s">
        <v>218</v>
      </c>
      <c r="G135" s="51">
        <v>3200</v>
      </c>
      <c r="H135" s="52">
        <f t="shared" si="13"/>
        <v>160</v>
      </c>
      <c r="I135" s="52">
        <f t="shared" si="14"/>
        <v>5</v>
      </c>
      <c r="J135" s="52"/>
      <c r="K135" s="53">
        <v>43723</v>
      </c>
      <c r="L135" s="54" t="s">
        <v>3567</v>
      </c>
      <c r="M135" s="55">
        <v>43718</v>
      </c>
      <c r="N135" s="56" t="s">
        <v>3559</v>
      </c>
      <c r="O135" s="55">
        <v>43723</v>
      </c>
      <c r="P135" s="58"/>
      <c r="Q135" s="52" t="s">
        <v>4167</v>
      </c>
      <c r="R135" s="63" t="s">
        <v>211</v>
      </c>
      <c r="S135" s="52"/>
    </row>
    <row r="136" spans="2:19" s="32" customFormat="1" ht="33" customHeight="1">
      <c r="B136" s="46" t="s">
        <v>3577</v>
      </c>
      <c r="C136" s="35" t="s">
        <v>4410</v>
      </c>
      <c r="D136" s="190" t="s">
        <v>4411</v>
      </c>
      <c r="E136" s="37">
        <v>43665</v>
      </c>
      <c r="F136" s="38" t="s">
        <v>218</v>
      </c>
      <c r="G136" s="39">
        <v>3200</v>
      </c>
      <c r="H136" s="38">
        <f t="shared" si="13"/>
        <v>160</v>
      </c>
      <c r="I136" s="38">
        <f t="shared" si="14"/>
        <v>5</v>
      </c>
      <c r="J136" s="38"/>
      <c r="K136" s="40">
        <v>43751</v>
      </c>
      <c r="L136" s="41" t="s">
        <v>4475</v>
      </c>
      <c r="M136" s="42">
        <v>43756</v>
      </c>
      <c r="N136" s="43" t="s">
        <v>4469</v>
      </c>
      <c r="O136" s="42">
        <v>43751</v>
      </c>
      <c r="P136" s="45"/>
      <c r="Q136" s="66" t="s">
        <v>5445</v>
      </c>
      <c r="R136" s="66" t="s">
        <v>2542</v>
      </c>
      <c r="S136" s="38"/>
    </row>
    <row r="137" spans="2:19" s="32" customFormat="1" ht="33" customHeight="1">
      <c r="B137" s="46" t="s">
        <v>3577</v>
      </c>
      <c r="C137" s="35" t="s">
        <v>4412</v>
      </c>
      <c r="D137" s="190" t="s">
        <v>4413</v>
      </c>
      <c r="E137" s="37">
        <v>43665</v>
      </c>
      <c r="F137" s="38" t="s">
        <v>218</v>
      </c>
      <c r="G137" s="39">
        <v>3200</v>
      </c>
      <c r="H137" s="38">
        <f t="shared" si="13"/>
        <v>160</v>
      </c>
      <c r="I137" s="38">
        <f t="shared" si="14"/>
        <v>5</v>
      </c>
      <c r="J137" s="38"/>
      <c r="K137" s="40">
        <v>43758</v>
      </c>
      <c r="L137" s="41" t="s">
        <v>4479</v>
      </c>
      <c r="M137" s="42">
        <v>43756</v>
      </c>
      <c r="N137" s="43" t="s">
        <v>4471</v>
      </c>
      <c r="O137" s="42">
        <v>43758</v>
      </c>
      <c r="P137" s="45"/>
      <c r="Q137" s="66" t="s">
        <v>4818</v>
      </c>
      <c r="R137" s="66" t="s">
        <v>2542</v>
      </c>
      <c r="S137" s="38"/>
    </row>
    <row r="138" spans="2:19" s="32" customFormat="1" ht="33" customHeight="1">
      <c r="B138" s="46" t="s">
        <v>3577</v>
      </c>
      <c r="C138" s="35" t="s">
        <v>4414</v>
      </c>
      <c r="D138" s="190" t="s">
        <v>4415</v>
      </c>
      <c r="E138" s="37">
        <v>43665</v>
      </c>
      <c r="F138" s="38" t="s">
        <v>218</v>
      </c>
      <c r="G138" s="39">
        <v>3200</v>
      </c>
      <c r="H138" s="38">
        <f t="shared" si="13"/>
        <v>160</v>
      </c>
      <c r="I138" s="38">
        <f t="shared" si="14"/>
        <v>5</v>
      </c>
      <c r="J138" s="38"/>
      <c r="K138" s="40">
        <v>43765</v>
      </c>
      <c r="L138" s="41" t="s">
        <v>4477</v>
      </c>
      <c r="M138" s="42">
        <v>43756</v>
      </c>
      <c r="N138" s="43" t="s">
        <v>3878</v>
      </c>
      <c r="O138" s="42">
        <v>43765</v>
      </c>
      <c r="P138" s="45"/>
      <c r="Q138" s="66" t="s">
        <v>4817</v>
      </c>
      <c r="R138" s="66" t="s">
        <v>2542</v>
      </c>
      <c r="S138" s="38"/>
    </row>
    <row r="139" spans="2:19" s="32" customFormat="1" ht="33" customHeight="1">
      <c r="B139" s="46" t="s">
        <v>3577</v>
      </c>
      <c r="C139" s="35" t="s">
        <v>4550</v>
      </c>
      <c r="D139" s="190" t="s">
        <v>5433</v>
      </c>
      <c r="E139" s="37">
        <v>43679</v>
      </c>
      <c r="F139" s="38" t="s">
        <v>218</v>
      </c>
      <c r="G139" s="39">
        <v>3200</v>
      </c>
      <c r="H139" s="38">
        <f t="shared" si="13"/>
        <v>160</v>
      </c>
      <c r="I139" s="38">
        <f t="shared" si="14"/>
        <v>5</v>
      </c>
      <c r="J139" s="38"/>
      <c r="K139" s="40">
        <v>43765</v>
      </c>
      <c r="L139" s="41" t="s">
        <v>4477</v>
      </c>
      <c r="M139" s="42">
        <v>43756</v>
      </c>
      <c r="N139" s="43" t="s">
        <v>4549</v>
      </c>
      <c r="O139" s="42">
        <v>43765</v>
      </c>
      <c r="P139" s="45"/>
      <c r="Q139" s="66" t="s">
        <v>4817</v>
      </c>
      <c r="R139" s="66" t="s">
        <v>2542</v>
      </c>
      <c r="S139" s="38"/>
    </row>
    <row r="140" spans="2:19" s="32" customFormat="1" ht="33" customHeight="1">
      <c r="B140" s="46" t="s">
        <v>3577</v>
      </c>
      <c r="C140" s="35" t="s">
        <v>4899</v>
      </c>
      <c r="D140" s="190" t="s">
        <v>5692</v>
      </c>
      <c r="E140" s="37">
        <v>43689</v>
      </c>
      <c r="F140" s="38" t="s">
        <v>218</v>
      </c>
      <c r="G140" s="39">
        <v>3200</v>
      </c>
      <c r="H140" s="38">
        <f t="shared" si="13"/>
        <v>160</v>
      </c>
      <c r="I140" s="38">
        <f t="shared" si="14"/>
        <v>5</v>
      </c>
      <c r="J140" s="38"/>
      <c r="K140" s="40">
        <v>43779</v>
      </c>
      <c r="L140" s="41" t="s">
        <v>4816</v>
      </c>
      <c r="M140" s="42">
        <v>43756</v>
      </c>
      <c r="N140" s="43" t="s">
        <v>4815</v>
      </c>
      <c r="O140" s="42">
        <v>43779</v>
      </c>
      <c r="P140" s="45"/>
      <c r="Q140" s="66" t="s">
        <v>5444</v>
      </c>
      <c r="R140" s="66" t="s">
        <v>211</v>
      </c>
      <c r="S140" s="38"/>
    </row>
    <row r="141" spans="2:19" s="32" customFormat="1" ht="33" customHeight="1">
      <c r="B141" s="46" t="s">
        <v>3577</v>
      </c>
      <c r="C141" s="35" t="s">
        <v>4897</v>
      </c>
      <c r="D141" s="190" t="s">
        <v>5693</v>
      </c>
      <c r="E141" s="37">
        <v>43689</v>
      </c>
      <c r="F141" s="38" t="s">
        <v>218</v>
      </c>
      <c r="G141" s="39">
        <v>3200</v>
      </c>
      <c r="H141" s="38">
        <f t="shared" si="13"/>
        <v>160</v>
      </c>
      <c r="I141" s="38">
        <f t="shared" si="14"/>
        <v>5</v>
      </c>
      <c r="J141" s="38"/>
      <c r="K141" s="40">
        <v>43793</v>
      </c>
      <c r="L141" s="41" t="s">
        <v>5188</v>
      </c>
      <c r="M141" s="42">
        <v>43788</v>
      </c>
      <c r="N141" s="43" t="s">
        <v>5174</v>
      </c>
      <c r="O141" s="42">
        <v>43793</v>
      </c>
      <c r="P141" s="45"/>
      <c r="Q141" s="66" t="s">
        <v>5442</v>
      </c>
      <c r="R141" s="66" t="s">
        <v>211</v>
      </c>
      <c r="S141" s="38"/>
    </row>
    <row r="142" spans="2:19" s="34" customFormat="1" ht="33" customHeight="1">
      <c r="B142" s="47" t="s">
        <v>5451</v>
      </c>
      <c r="C142" s="48" t="s">
        <v>235</v>
      </c>
      <c r="D142" s="49" t="s">
        <v>744</v>
      </c>
      <c r="E142" s="50">
        <v>43532</v>
      </c>
      <c r="F142" s="52" t="s">
        <v>228</v>
      </c>
      <c r="G142" s="51">
        <v>1280</v>
      </c>
      <c r="H142" s="52">
        <f t="shared" si="13"/>
        <v>64</v>
      </c>
      <c r="I142" s="52">
        <f t="shared" si="14"/>
        <v>2</v>
      </c>
      <c r="J142" s="52"/>
      <c r="K142" s="53">
        <v>43597</v>
      </c>
      <c r="L142" s="54" t="s">
        <v>605</v>
      </c>
      <c r="M142" s="55">
        <v>43756</v>
      </c>
      <c r="N142" s="56" t="s">
        <v>772</v>
      </c>
      <c r="O142" s="55">
        <v>43598</v>
      </c>
      <c r="P142" s="58"/>
      <c r="Q142" s="52" t="s">
        <v>641</v>
      </c>
      <c r="R142" s="63" t="s">
        <v>211</v>
      </c>
      <c r="S142" s="52"/>
    </row>
    <row r="143" spans="2:19" s="34" customFormat="1" ht="33" customHeight="1">
      <c r="B143" s="47" t="s">
        <v>5451</v>
      </c>
      <c r="C143" s="48" t="s">
        <v>1569</v>
      </c>
      <c r="D143" s="49" t="s">
        <v>2085</v>
      </c>
      <c r="E143" s="50">
        <v>43581</v>
      </c>
      <c r="F143" s="52" t="s">
        <v>228</v>
      </c>
      <c r="G143" s="51">
        <v>1280</v>
      </c>
      <c r="H143" s="52">
        <f t="shared" si="13"/>
        <v>64</v>
      </c>
      <c r="I143" s="52">
        <f t="shared" si="14"/>
        <v>2</v>
      </c>
      <c r="J143" s="52"/>
      <c r="K143" s="53">
        <v>43632</v>
      </c>
      <c r="L143" s="54" t="s">
        <v>807</v>
      </c>
      <c r="M143" s="55">
        <v>43756</v>
      </c>
      <c r="N143" s="56" t="s">
        <v>769</v>
      </c>
      <c r="O143" s="55">
        <v>43632</v>
      </c>
      <c r="P143" s="58"/>
      <c r="Q143" s="52" t="s">
        <v>1810</v>
      </c>
      <c r="R143" s="63" t="s">
        <v>211</v>
      </c>
      <c r="S143" s="52"/>
    </row>
    <row r="144" spans="2:19" s="34" customFormat="1" ht="33" customHeight="1">
      <c r="B144" s="47" t="s">
        <v>5451</v>
      </c>
      <c r="C144" s="48" t="s">
        <v>90</v>
      </c>
      <c r="D144" s="49" t="s">
        <v>2087</v>
      </c>
      <c r="E144" s="50">
        <v>43595</v>
      </c>
      <c r="F144" s="52" t="s">
        <v>228</v>
      </c>
      <c r="G144" s="51">
        <v>1280</v>
      </c>
      <c r="H144" s="52">
        <f t="shared" si="13"/>
        <v>64</v>
      </c>
      <c r="I144" s="52">
        <f t="shared" si="14"/>
        <v>2</v>
      </c>
      <c r="J144" s="52"/>
      <c r="K144" s="53">
        <v>43646</v>
      </c>
      <c r="L144" s="54" t="s">
        <v>1326</v>
      </c>
      <c r="M144" s="55">
        <v>43756</v>
      </c>
      <c r="N144" s="56" t="s">
        <v>2143</v>
      </c>
      <c r="O144" s="55">
        <v>43653</v>
      </c>
      <c r="P144" s="58"/>
      <c r="Q144" s="52" t="s">
        <v>2148</v>
      </c>
      <c r="R144" s="63" t="s">
        <v>211</v>
      </c>
      <c r="S144" s="52"/>
    </row>
    <row r="145" spans="1:19" s="34" customFormat="1" ht="33" customHeight="1">
      <c r="B145" s="47" t="s">
        <v>5451</v>
      </c>
      <c r="C145" s="48" t="s">
        <v>2088</v>
      </c>
      <c r="D145" s="49" t="s">
        <v>2089</v>
      </c>
      <c r="E145" s="50">
        <v>43595</v>
      </c>
      <c r="F145" s="52" t="s">
        <v>228</v>
      </c>
      <c r="G145" s="51">
        <v>640</v>
      </c>
      <c r="H145" s="52">
        <f t="shared" si="13"/>
        <v>32</v>
      </c>
      <c r="I145" s="52">
        <f t="shared" si="14"/>
        <v>1</v>
      </c>
      <c r="J145" s="52"/>
      <c r="K145" s="53">
        <v>43709</v>
      </c>
      <c r="L145" s="54" t="s">
        <v>3565</v>
      </c>
      <c r="M145" s="55">
        <v>43756</v>
      </c>
      <c r="N145" s="56" t="s">
        <v>3557</v>
      </c>
      <c r="O145" s="55">
        <v>43716</v>
      </c>
      <c r="P145" s="58"/>
      <c r="Q145" s="63" t="s">
        <v>2548</v>
      </c>
      <c r="R145" s="63" t="s">
        <v>211</v>
      </c>
      <c r="S145" s="47" t="s">
        <v>4822</v>
      </c>
    </row>
    <row r="146" spans="1:19" s="32" customFormat="1" ht="33" customHeight="1">
      <c r="B146" s="46" t="s">
        <v>3580</v>
      </c>
      <c r="C146" s="35" t="s">
        <v>208</v>
      </c>
      <c r="D146" s="190" t="s">
        <v>2443</v>
      </c>
      <c r="E146" s="37">
        <v>43602</v>
      </c>
      <c r="F146" s="38" t="s">
        <v>228</v>
      </c>
      <c r="G146" s="39">
        <v>640</v>
      </c>
      <c r="H146" s="38">
        <f t="shared" si="13"/>
        <v>32</v>
      </c>
      <c r="I146" s="38">
        <f t="shared" si="14"/>
        <v>1</v>
      </c>
      <c r="J146" s="38"/>
      <c r="K146" s="196">
        <v>43737</v>
      </c>
      <c r="L146" s="41" t="s">
        <v>5462</v>
      </c>
      <c r="M146" s="42">
        <v>43725</v>
      </c>
      <c r="N146" s="43" t="s">
        <v>5463</v>
      </c>
      <c r="O146" s="42">
        <v>43730</v>
      </c>
      <c r="P146" s="45"/>
      <c r="Q146" s="66" t="s">
        <v>5466</v>
      </c>
      <c r="R146" s="66" t="s">
        <v>211</v>
      </c>
      <c r="S146" s="38" t="s">
        <v>5467</v>
      </c>
    </row>
    <row r="147" spans="1:19" s="32" customFormat="1" ht="33" customHeight="1">
      <c r="B147" s="46" t="s">
        <v>5451</v>
      </c>
      <c r="C147" s="35" t="s">
        <v>942</v>
      </c>
      <c r="D147" s="190" t="s">
        <v>5416</v>
      </c>
      <c r="E147" s="37">
        <v>43693</v>
      </c>
      <c r="F147" s="38" t="s">
        <v>228</v>
      </c>
      <c r="G147" s="39">
        <v>640</v>
      </c>
      <c r="H147" s="38">
        <f t="shared" si="13"/>
        <v>32</v>
      </c>
      <c r="I147" s="38">
        <f t="shared" si="14"/>
        <v>1</v>
      </c>
      <c r="J147" s="38"/>
      <c r="K147" s="196">
        <v>43737</v>
      </c>
      <c r="L147" s="41" t="s">
        <v>5462</v>
      </c>
      <c r="M147" s="42">
        <v>43725</v>
      </c>
      <c r="N147" s="43" t="s">
        <v>5463</v>
      </c>
      <c r="O147" s="42">
        <v>43730</v>
      </c>
      <c r="P147" s="45"/>
      <c r="Q147" s="66" t="s">
        <v>5466</v>
      </c>
      <c r="R147" s="66" t="s">
        <v>211</v>
      </c>
      <c r="S147" s="38" t="s">
        <v>5468</v>
      </c>
    </row>
    <row r="148" spans="1:19" s="32" customFormat="1" ht="33" customHeight="1">
      <c r="B148" s="46" t="s">
        <v>5451</v>
      </c>
      <c r="C148" s="35" t="s">
        <v>212</v>
      </c>
      <c r="D148" s="190" t="s">
        <v>2444</v>
      </c>
      <c r="E148" s="37">
        <v>43602</v>
      </c>
      <c r="F148" s="38" t="s">
        <v>228</v>
      </c>
      <c r="G148" s="39">
        <v>640</v>
      </c>
      <c r="H148" s="38">
        <f t="shared" si="13"/>
        <v>32</v>
      </c>
      <c r="I148" s="38">
        <f t="shared" si="14"/>
        <v>1</v>
      </c>
      <c r="J148" s="38"/>
      <c r="K148" s="40">
        <v>43779</v>
      </c>
      <c r="L148" s="41" t="s">
        <v>4816</v>
      </c>
      <c r="M148" s="42">
        <v>43756</v>
      </c>
      <c r="N148" s="43" t="s">
        <v>4815</v>
      </c>
      <c r="O148" s="42">
        <v>43779</v>
      </c>
      <c r="P148" s="45"/>
      <c r="Q148" s="38" t="s">
        <v>4823</v>
      </c>
      <c r="R148" s="66" t="s">
        <v>211</v>
      </c>
      <c r="S148" s="38"/>
    </row>
    <row r="149" spans="1:19" s="32" customFormat="1" ht="33" customHeight="1">
      <c r="B149" s="46" t="s">
        <v>5451</v>
      </c>
      <c r="C149" s="35" t="s">
        <v>2531</v>
      </c>
      <c r="D149" s="190" t="s">
        <v>4426</v>
      </c>
      <c r="E149" s="37">
        <v>43665</v>
      </c>
      <c r="F149" s="38" t="s">
        <v>228</v>
      </c>
      <c r="G149" s="39">
        <v>1920</v>
      </c>
      <c r="H149" s="38">
        <f t="shared" si="13"/>
        <v>96</v>
      </c>
      <c r="I149" s="38">
        <f t="shared" si="14"/>
        <v>3</v>
      </c>
      <c r="J149" s="38"/>
      <c r="K149" s="40">
        <v>43751</v>
      </c>
      <c r="L149" s="41" t="s">
        <v>4475</v>
      </c>
      <c r="M149" s="42">
        <v>43746</v>
      </c>
      <c r="N149" s="43" t="s">
        <v>4469</v>
      </c>
      <c r="O149" s="42">
        <v>43751</v>
      </c>
      <c r="P149" s="45"/>
      <c r="Q149" s="66" t="s">
        <v>5445</v>
      </c>
      <c r="R149" s="66" t="s">
        <v>211</v>
      </c>
      <c r="S149" s="38"/>
    </row>
    <row r="150" spans="1:19" s="32" customFormat="1" ht="33" customHeight="1">
      <c r="B150" s="46" t="s">
        <v>5451</v>
      </c>
      <c r="C150" s="35" t="s">
        <v>5417</v>
      </c>
      <c r="D150" s="190" t="s">
        <v>5450</v>
      </c>
      <c r="E150" s="37">
        <v>43700</v>
      </c>
      <c r="F150" s="38" t="s">
        <v>228</v>
      </c>
      <c r="G150" s="39">
        <v>640</v>
      </c>
      <c r="H150" s="38">
        <f t="shared" si="13"/>
        <v>32</v>
      </c>
      <c r="I150" s="38">
        <f t="shared" si="14"/>
        <v>1</v>
      </c>
      <c r="J150" s="38"/>
      <c r="K150" s="40">
        <v>43765</v>
      </c>
      <c r="L150" s="41" t="s">
        <v>4477</v>
      </c>
      <c r="M150" s="42">
        <v>43756</v>
      </c>
      <c r="N150" s="43" t="s">
        <v>4549</v>
      </c>
      <c r="O150" s="42">
        <v>43765</v>
      </c>
      <c r="P150" s="45"/>
      <c r="Q150" s="38" t="s">
        <v>5441</v>
      </c>
      <c r="R150" s="66" t="s">
        <v>211</v>
      </c>
      <c r="S150" s="38"/>
    </row>
    <row r="151" spans="1:19" s="32" customFormat="1" ht="33" customHeight="1">
      <c r="B151" s="122" t="s">
        <v>3580</v>
      </c>
      <c r="C151" s="126" t="s">
        <v>5418</v>
      </c>
      <c r="D151" s="187" t="s">
        <v>5688</v>
      </c>
      <c r="E151" s="128">
        <v>43700</v>
      </c>
      <c r="F151" s="124" t="s">
        <v>228</v>
      </c>
      <c r="G151" s="129">
        <v>1280</v>
      </c>
      <c r="H151" s="124">
        <f t="shared" si="13"/>
        <v>64</v>
      </c>
      <c r="I151" s="124">
        <f t="shared" si="14"/>
        <v>2</v>
      </c>
      <c r="J151" s="124"/>
      <c r="K151" s="130">
        <v>43807</v>
      </c>
      <c r="L151" s="119" t="s">
        <v>5684</v>
      </c>
      <c r="M151" s="120">
        <v>43802</v>
      </c>
      <c r="N151" s="121" t="s">
        <v>5683</v>
      </c>
      <c r="O151" s="120">
        <v>43807</v>
      </c>
      <c r="P151" s="123"/>
      <c r="Q151" s="124" t="s">
        <v>5685</v>
      </c>
      <c r="R151" s="134" t="s">
        <v>211</v>
      </c>
      <c r="S151" s="124"/>
    </row>
    <row r="152" spans="1:19" s="33" customFormat="1" ht="33" customHeight="1">
      <c r="A152" s="33" t="s">
        <v>2530</v>
      </c>
      <c r="B152" s="47" t="s">
        <v>86</v>
      </c>
      <c r="C152" s="48" t="s">
        <v>225</v>
      </c>
      <c r="D152" s="49" t="s">
        <v>487</v>
      </c>
      <c r="E152" s="50">
        <v>43490</v>
      </c>
      <c r="F152" s="52" t="s">
        <v>87</v>
      </c>
      <c r="G152" s="51">
        <v>1520</v>
      </c>
      <c r="H152" s="52">
        <f>SUM(G152/190)</f>
        <v>8</v>
      </c>
      <c r="I152" s="52">
        <f>SUM(H152/4)</f>
        <v>2</v>
      </c>
      <c r="J152" s="52"/>
      <c r="K152" s="53">
        <v>43569</v>
      </c>
      <c r="L152" s="54" t="s">
        <v>417</v>
      </c>
      <c r="M152" s="55">
        <v>43564</v>
      </c>
      <c r="N152" s="56" t="s">
        <v>405</v>
      </c>
      <c r="O152" s="55">
        <v>43569</v>
      </c>
      <c r="P152" s="58"/>
      <c r="Q152" s="52"/>
      <c r="R152" s="63" t="s">
        <v>495</v>
      </c>
      <c r="S152" s="47"/>
    </row>
    <row r="153" spans="1:19" s="33" customFormat="1" ht="33" customHeight="1">
      <c r="B153" s="47" t="s">
        <v>86</v>
      </c>
      <c r="C153" s="48" t="s">
        <v>226</v>
      </c>
      <c r="D153" s="49" t="s">
        <v>833</v>
      </c>
      <c r="E153" s="50">
        <v>43546</v>
      </c>
      <c r="F153" s="52" t="s">
        <v>87</v>
      </c>
      <c r="G153" s="51">
        <v>1520</v>
      </c>
      <c r="H153" s="52">
        <f>SUM(G153/190)</f>
        <v>8</v>
      </c>
      <c r="I153" s="52">
        <f>SUM(H153/4)</f>
        <v>2</v>
      </c>
      <c r="J153" s="52"/>
      <c r="K153" s="53">
        <v>43632</v>
      </c>
      <c r="L153" s="54" t="s">
        <v>838</v>
      </c>
      <c r="M153" s="55">
        <v>43627</v>
      </c>
      <c r="N153" s="56" t="s">
        <v>769</v>
      </c>
      <c r="O153" s="55">
        <v>43632</v>
      </c>
      <c r="P153" s="58"/>
      <c r="Q153" s="52"/>
      <c r="R153" s="63" t="s">
        <v>928</v>
      </c>
      <c r="S153" s="47"/>
    </row>
    <row r="154" spans="1:19" s="33" customFormat="1" ht="33" customHeight="1">
      <c r="B154" s="47" t="s">
        <v>2514</v>
      </c>
      <c r="C154" s="48" t="s">
        <v>2515</v>
      </c>
      <c r="D154" s="49" t="s">
        <v>2480</v>
      </c>
      <c r="E154" s="50">
        <v>43602</v>
      </c>
      <c r="F154" s="52" t="s">
        <v>2516</v>
      </c>
      <c r="G154" s="51">
        <v>1520</v>
      </c>
      <c r="H154" s="52">
        <v>8</v>
      </c>
      <c r="I154" s="52">
        <v>2</v>
      </c>
      <c r="J154" s="52"/>
      <c r="K154" s="53">
        <v>43702</v>
      </c>
      <c r="L154" s="54" t="s">
        <v>2512</v>
      </c>
      <c r="M154" s="55">
        <v>43697</v>
      </c>
      <c r="N154" s="56" t="s">
        <v>2499</v>
      </c>
      <c r="O154" s="55">
        <v>43702</v>
      </c>
      <c r="P154" s="58"/>
      <c r="Q154" s="52"/>
      <c r="R154" s="63" t="s">
        <v>4435</v>
      </c>
      <c r="S154" s="47"/>
    </row>
    <row r="155" spans="1:19" s="30" customFormat="1" ht="33" customHeight="1">
      <c r="B155" s="46" t="s">
        <v>2514</v>
      </c>
      <c r="C155" s="35" t="s">
        <v>285</v>
      </c>
      <c r="D155" s="36" t="s">
        <v>4436</v>
      </c>
      <c r="E155" s="37">
        <v>43665</v>
      </c>
      <c r="F155" s="38" t="s">
        <v>2516</v>
      </c>
      <c r="G155" s="39">
        <v>1520</v>
      </c>
      <c r="H155" s="38">
        <v>8</v>
      </c>
      <c r="I155" s="38">
        <v>2</v>
      </c>
      <c r="J155" s="38"/>
      <c r="K155" s="40">
        <v>43758</v>
      </c>
      <c r="L155" s="41" t="s">
        <v>4483</v>
      </c>
      <c r="M155" s="42">
        <v>43753</v>
      </c>
      <c r="N155" s="43" t="s">
        <v>4471</v>
      </c>
      <c r="O155" s="42">
        <v>43758</v>
      </c>
      <c r="P155" s="45"/>
      <c r="Q155" s="38"/>
      <c r="R155" s="66" t="s">
        <v>4437</v>
      </c>
      <c r="S155" s="46"/>
    </row>
    <row r="156" spans="1:19" s="30" customFormat="1" ht="33" customHeight="1">
      <c r="B156" s="46" t="s">
        <v>2514</v>
      </c>
      <c r="C156" s="35" t="s">
        <v>331</v>
      </c>
      <c r="D156" s="36" t="s">
        <v>4864</v>
      </c>
      <c r="E156" s="37">
        <v>43689</v>
      </c>
      <c r="F156" s="38" t="s">
        <v>2516</v>
      </c>
      <c r="G156" s="39">
        <v>1520</v>
      </c>
      <c r="H156" s="38">
        <v>8</v>
      </c>
      <c r="I156" s="38">
        <v>2</v>
      </c>
      <c r="J156" s="38"/>
      <c r="K156" s="40">
        <v>43802</v>
      </c>
      <c r="L156" s="41" t="s">
        <v>5191</v>
      </c>
      <c r="M156" s="42">
        <v>43795</v>
      </c>
      <c r="N156" s="43" t="s">
        <v>5179</v>
      </c>
      <c r="O156" s="42">
        <v>43800</v>
      </c>
      <c r="P156" s="45"/>
      <c r="Q156" s="38"/>
      <c r="R156" s="66" t="s">
        <v>5420</v>
      </c>
      <c r="S156" s="46"/>
    </row>
    <row r="157" spans="1:19" s="33" customFormat="1" ht="33" customHeight="1">
      <c r="B157" s="47" t="s">
        <v>238</v>
      </c>
      <c r="C157" s="48" t="s">
        <v>274</v>
      </c>
      <c r="D157" s="49" t="s">
        <v>474</v>
      </c>
      <c r="E157" s="50"/>
      <c r="F157" s="52" t="s">
        <v>236</v>
      </c>
      <c r="G157" s="51">
        <v>3200</v>
      </c>
      <c r="H157" s="52">
        <f t="shared" ref="H157:H168" si="15">SUM(G157/200)</f>
        <v>16</v>
      </c>
      <c r="I157" s="52">
        <f t="shared" ref="I157:I168" si="16">SUM(H157/4)</f>
        <v>4</v>
      </c>
      <c r="J157" s="52"/>
      <c r="K157" s="53">
        <v>43562</v>
      </c>
      <c r="L157" s="54" t="s">
        <v>406</v>
      </c>
      <c r="M157" s="55">
        <v>43557</v>
      </c>
      <c r="N157" s="56" t="s">
        <v>403</v>
      </c>
      <c r="O157" s="55">
        <v>43562</v>
      </c>
      <c r="P157" s="58"/>
      <c r="Q157" s="52"/>
      <c r="R157" s="63"/>
      <c r="S157" s="47"/>
    </row>
    <row r="158" spans="1:19" s="33" customFormat="1" ht="33" customHeight="1">
      <c r="B158" s="47" t="s">
        <v>238</v>
      </c>
      <c r="C158" s="48" t="s">
        <v>404</v>
      </c>
      <c r="D158" s="49" t="s">
        <v>475</v>
      </c>
      <c r="E158" s="50"/>
      <c r="F158" s="52" t="s">
        <v>236</v>
      </c>
      <c r="G158" s="51">
        <v>1600</v>
      </c>
      <c r="H158" s="52">
        <f t="shared" si="15"/>
        <v>8</v>
      </c>
      <c r="I158" s="52">
        <f t="shared" si="16"/>
        <v>2</v>
      </c>
      <c r="J158" s="52"/>
      <c r="K158" s="53">
        <v>43562</v>
      </c>
      <c r="L158" s="54" t="s">
        <v>407</v>
      </c>
      <c r="M158" s="55">
        <v>43564</v>
      </c>
      <c r="N158" s="56" t="s">
        <v>405</v>
      </c>
      <c r="O158" s="55">
        <v>43569</v>
      </c>
      <c r="P158" s="58"/>
      <c r="Q158" s="52"/>
      <c r="R158" s="63"/>
      <c r="S158" s="47"/>
    </row>
    <row r="159" spans="1:19" s="33" customFormat="1" ht="33" customHeight="1">
      <c r="B159" s="47" t="s">
        <v>238</v>
      </c>
      <c r="C159" s="48" t="s">
        <v>490</v>
      </c>
      <c r="D159" s="49" t="s">
        <v>488</v>
      </c>
      <c r="E159" s="50">
        <v>43495</v>
      </c>
      <c r="F159" s="52" t="s">
        <v>236</v>
      </c>
      <c r="G159" s="51">
        <v>1600</v>
      </c>
      <c r="H159" s="52">
        <f t="shared" si="15"/>
        <v>8</v>
      </c>
      <c r="I159" s="52">
        <f t="shared" si="16"/>
        <v>2</v>
      </c>
      <c r="J159" s="52"/>
      <c r="K159" s="53">
        <v>43583</v>
      </c>
      <c r="L159" s="54" t="s">
        <v>481</v>
      </c>
      <c r="M159" s="55">
        <v>43578</v>
      </c>
      <c r="N159" s="56" t="s">
        <v>447</v>
      </c>
      <c r="O159" s="55">
        <v>43583</v>
      </c>
      <c r="P159" s="58"/>
      <c r="Q159" s="52"/>
      <c r="R159" s="63"/>
      <c r="S159" s="47"/>
    </row>
    <row r="160" spans="1:19" s="33" customFormat="1" ht="33" customHeight="1">
      <c r="B160" s="47" t="s">
        <v>238</v>
      </c>
      <c r="C160" s="48" t="s">
        <v>597</v>
      </c>
      <c r="D160" s="49" t="s">
        <v>598</v>
      </c>
      <c r="E160" s="50">
        <v>43519</v>
      </c>
      <c r="F160" s="52" t="s">
        <v>236</v>
      </c>
      <c r="G160" s="51">
        <v>1600</v>
      </c>
      <c r="H160" s="52">
        <f t="shared" si="15"/>
        <v>8</v>
      </c>
      <c r="I160" s="52">
        <f t="shared" si="16"/>
        <v>2</v>
      </c>
      <c r="J160" s="52"/>
      <c r="K160" s="53">
        <v>43597</v>
      </c>
      <c r="L160" s="54" t="s">
        <v>606</v>
      </c>
      <c r="M160" s="55">
        <v>43592</v>
      </c>
      <c r="N160" s="56" t="s">
        <v>600</v>
      </c>
      <c r="O160" s="55">
        <v>43597</v>
      </c>
      <c r="P160" s="58"/>
      <c r="Q160" s="52"/>
      <c r="R160" s="63"/>
      <c r="S160" s="47"/>
    </row>
    <row r="161" spans="2:19" s="33" customFormat="1" ht="33" customHeight="1">
      <c r="B161" s="47" t="s">
        <v>238</v>
      </c>
      <c r="C161" s="48" t="s">
        <v>1085</v>
      </c>
      <c r="D161" s="49" t="s">
        <v>598</v>
      </c>
      <c r="E161" s="50">
        <v>43519</v>
      </c>
      <c r="F161" s="52" t="s">
        <v>236</v>
      </c>
      <c r="G161" s="51">
        <v>1600</v>
      </c>
      <c r="H161" s="52">
        <f t="shared" si="15"/>
        <v>8</v>
      </c>
      <c r="I161" s="52">
        <f t="shared" si="16"/>
        <v>2</v>
      </c>
      <c r="J161" s="52"/>
      <c r="K161" s="53">
        <v>43597</v>
      </c>
      <c r="L161" s="54" t="s">
        <v>1086</v>
      </c>
      <c r="M161" s="55">
        <v>43606</v>
      </c>
      <c r="N161" s="56" t="s">
        <v>599</v>
      </c>
      <c r="O161" s="55">
        <v>43613</v>
      </c>
      <c r="P161" s="58"/>
      <c r="Q161" s="52"/>
      <c r="R161" s="63"/>
      <c r="S161" s="47"/>
    </row>
    <row r="162" spans="2:19" s="33" customFormat="1" ht="33" customHeight="1">
      <c r="B162" s="47" t="s">
        <v>238</v>
      </c>
      <c r="C162" s="48" t="s">
        <v>226</v>
      </c>
      <c r="D162" s="49" t="s">
        <v>749</v>
      </c>
      <c r="E162" s="50">
        <v>43532</v>
      </c>
      <c r="F162" s="52" t="s">
        <v>236</v>
      </c>
      <c r="G162" s="51">
        <v>3200</v>
      </c>
      <c r="H162" s="52">
        <f t="shared" si="15"/>
        <v>16</v>
      </c>
      <c r="I162" s="52">
        <f t="shared" si="16"/>
        <v>4</v>
      </c>
      <c r="J162" s="52"/>
      <c r="K162" s="53">
        <v>43625</v>
      </c>
      <c r="L162" s="54" t="s">
        <v>2538</v>
      </c>
      <c r="M162" s="55">
        <v>43627</v>
      </c>
      <c r="N162" s="56" t="s">
        <v>808</v>
      </c>
      <c r="O162" s="55">
        <v>43632</v>
      </c>
      <c r="P162" s="58"/>
      <c r="Q162" s="52"/>
      <c r="R162" s="63"/>
      <c r="S162" s="47" t="s">
        <v>2539</v>
      </c>
    </row>
    <row r="163" spans="2:19" s="33" customFormat="1" ht="33" customHeight="1">
      <c r="B163" s="47" t="s">
        <v>238</v>
      </c>
      <c r="C163" s="48" t="s">
        <v>233</v>
      </c>
      <c r="D163" s="49" t="s">
        <v>750</v>
      </c>
      <c r="E163" s="50">
        <v>43532</v>
      </c>
      <c r="F163" s="52" t="s">
        <v>236</v>
      </c>
      <c r="G163" s="51">
        <v>3200</v>
      </c>
      <c r="H163" s="52">
        <f t="shared" si="15"/>
        <v>16</v>
      </c>
      <c r="I163" s="52">
        <f t="shared" si="16"/>
        <v>4</v>
      </c>
      <c r="J163" s="52"/>
      <c r="K163" s="53">
        <v>43646</v>
      </c>
      <c r="L163" s="54" t="s">
        <v>778</v>
      </c>
      <c r="M163" s="55">
        <v>43641</v>
      </c>
      <c r="N163" s="56" t="s">
        <v>776</v>
      </c>
      <c r="O163" s="55">
        <v>43646</v>
      </c>
      <c r="P163" s="58"/>
      <c r="Q163" s="52"/>
      <c r="R163" s="63"/>
      <c r="S163" s="47"/>
    </row>
    <row r="164" spans="2:19" s="33" customFormat="1" ht="33" customHeight="1">
      <c r="B164" s="47" t="s">
        <v>238</v>
      </c>
      <c r="C164" s="48" t="s">
        <v>285</v>
      </c>
      <c r="D164" s="49" t="s">
        <v>1305</v>
      </c>
      <c r="E164" s="50">
        <v>43567</v>
      </c>
      <c r="F164" s="52" t="s">
        <v>236</v>
      </c>
      <c r="G164" s="51">
        <v>3200</v>
      </c>
      <c r="H164" s="52">
        <f t="shared" si="15"/>
        <v>16</v>
      </c>
      <c r="I164" s="52">
        <f t="shared" si="16"/>
        <v>4</v>
      </c>
      <c r="J164" s="52"/>
      <c r="K164" s="53">
        <v>43660</v>
      </c>
      <c r="L164" s="54" t="s">
        <v>1327</v>
      </c>
      <c r="M164" s="55">
        <v>43655</v>
      </c>
      <c r="N164" s="56" t="s">
        <v>1315</v>
      </c>
      <c r="O164" s="55">
        <v>43660</v>
      </c>
      <c r="P164" s="58"/>
      <c r="Q164" s="52"/>
      <c r="R164" s="63"/>
      <c r="S164" s="47"/>
    </row>
    <row r="165" spans="2:19" s="33" customFormat="1" ht="33" customHeight="1">
      <c r="B165" s="47" t="s">
        <v>238</v>
      </c>
      <c r="C165" s="48" t="s">
        <v>331</v>
      </c>
      <c r="D165" s="49" t="s">
        <v>1306</v>
      </c>
      <c r="E165" s="50">
        <v>43567</v>
      </c>
      <c r="F165" s="52" t="s">
        <v>236</v>
      </c>
      <c r="G165" s="51">
        <v>3200</v>
      </c>
      <c r="H165" s="52">
        <f t="shared" si="15"/>
        <v>16</v>
      </c>
      <c r="I165" s="52">
        <f t="shared" si="16"/>
        <v>4</v>
      </c>
      <c r="J165" s="52"/>
      <c r="K165" s="53">
        <v>43674</v>
      </c>
      <c r="L165" s="54" t="s">
        <v>1324</v>
      </c>
      <c r="M165" s="55">
        <v>43669</v>
      </c>
      <c r="N165" s="56" t="s">
        <v>1313</v>
      </c>
      <c r="O165" s="55">
        <v>43674</v>
      </c>
      <c r="P165" s="58"/>
      <c r="Q165" s="52"/>
      <c r="R165" s="63"/>
      <c r="S165" s="47"/>
    </row>
    <row r="166" spans="2:19" s="30" customFormat="1" ht="33" customHeight="1">
      <c r="B166" s="46" t="s">
        <v>3578</v>
      </c>
      <c r="C166" s="35" t="s">
        <v>431</v>
      </c>
      <c r="D166" s="36" t="s">
        <v>3536</v>
      </c>
      <c r="E166" s="37">
        <v>43637</v>
      </c>
      <c r="F166" s="38" t="s">
        <v>236</v>
      </c>
      <c r="G166" s="39">
        <v>3200</v>
      </c>
      <c r="H166" s="38">
        <f t="shared" si="15"/>
        <v>16</v>
      </c>
      <c r="I166" s="38">
        <f t="shared" si="16"/>
        <v>4</v>
      </c>
      <c r="J166" s="38"/>
      <c r="K166" s="40">
        <v>43730</v>
      </c>
      <c r="L166" s="41" t="s">
        <v>3571</v>
      </c>
      <c r="M166" s="42">
        <v>43725</v>
      </c>
      <c r="N166" s="43" t="s">
        <v>2546</v>
      </c>
      <c r="O166" s="42">
        <v>43730</v>
      </c>
      <c r="P166" s="45"/>
      <c r="Q166" s="38"/>
      <c r="R166" s="66"/>
      <c r="S166" s="46"/>
    </row>
    <row r="167" spans="2:19" s="30" customFormat="1" ht="33" customHeight="1">
      <c r="B167" s="122" t="s">
        <v>3578</v>
      </c>
      <c r="C167" s="126" t="s">
        <v>523</v>
      </c>
      <c r="D167" s="127" t="s">
        <v>4452</v>
      </c>
      <c r="E167" s="128">
        <v>43665</v>
      </c>
      <c r="F167" s="124" t="s">
        <v>236</v>
      </c>
      <c r="G167" s="129">
        <v>3200</v>
      </c>
      <c r="H167" s="124">
        <f t="shared" si="15"/>
        <v>16</v>
      </c>
      <c r="I167" s="124">
        <f t="shared" si="16"/>
        <v>4</v>
      </c>
      <c r="J167" s="124"/>
      <c r="K167" s="130">
        <v>43751</v>
      </c>
      <c r="L167" s="119" t="s">
        <v>4482</v>
      </c>
      <c r="M167" s="111">
        <v>43760</v>
      </c>
      <c r="N167" s="112" t="s">
        <v>3878</v>
      </c>
      <c r="O167" s="111">
        <v>43765</v>
      </c>
      <c r="P167" s="123"/>
      <c r="Q167" s="124" t="s">
        <v>5687</v>
      </c>
      <c r="R167" s="134"/>
      <c r="S167" s="122" t="s">
        <v>5686</v>
      </c>
    </row>
    <row r="168" spans="2:19" s="30" customFormat="1" ht="33" customHeight="1">
      <c r="B168" s="122" t="s">
        <v>3578</v>
      </c>
      <c r="C168" s="126" t="s">
        <v>589</v>
      </c>
      <c r="D168" s="127" t="s">
        <v>4835</v>
      </c>
      <c r="E168" s="128">
        <v>43689</v>
      </c>
      <c r="F168" s="124" t="s">
        <v>236</v>
      </c>
      <c r="G168" s="129">
        <v>2400</v>
      </c>
      <c r="H168" s="124">
        <f t="shared" si="15"/>
        <v>12</v>
      </c>
      <c r="I168" s="124">
        <f t="shared" si="16"/>
        <v>3</v>
      </c>
      <c r="J168" s="124"/>
      <c r="K168" s="130">
        <v>43793</v>
      </c>
      <c r="L168" s="119" t="s">
        <v>5190</v>
      </c>
      <c r="M168" s="120">
        <v>43788</v>
      </c>
      <c r="N168" s="121" t="s">
        <v>5174</v>
      </c>
      <c r="O168" s="120">
        <v>43793</v>
      </c>
      <c r="P168" s="123"/>
      <c r="Q168" s="124"/>
      <c r="R168" s="134" t="s">
        <v>4863</v>
      </c>
      <c r="S168" s="122" t="s">
        <v>5428</v>
      </c>
    </row>
    <row r="169" spans="2:19" ht="22.2">
      <c r="F169" s="177"/>
      <c r="L169" s="176"/>
      <c r="M169" s="177"/>
      <c r="N169" s="177"/>
      <c r="O169"/>
      <c r="P169" s="13"/>
      <c r="R169" s="19"/>
      <c r="S169" s="28"/>
    </row>
    <row r="170" spans="2:19" ht="22.2">
      <c r="F170" s="177"/>
      <c r="L170" s="176"/>
      <c r="M170" s="177"/>
      <c r="N170" s="177"/>
      <c r="O170"/>
      <c r="P170" s="13"/>
      <c r="R170" s="19"/>
      <c r="S170" s="28"/>
    </row>
    <row r="171" spans="2:19" hidden="1">
      <c r="E171" s="175"/>
      <c r="L171" s="11"/>
      <c r="M171"/>
      <c r="N171"/>
      <c r="O171"/>
      <c r="P171" s="13"/>
      <c r="R171" s="19"/>
      <c r="S171" s="28"/>
    </row>
    <row r="172" spans="2:19" s="19" customFormat="1" hidden="1">
      <c r="B172"/>
      <c r="C172" s="15"/>
      <c r="D172" s="1"/>
      <c r="L172" s="178" t="s">
        <v>1825</v>
      </c>
      <c r="M172" s="178" t="s">
        <v>1826</v>
      </c>
      <c r="N172" s="178" t="s">
        <v>1827</v>
      </c>
      <c r="O172" s="178" t="s">
        <v>1828</v>
      </c>
      <c r="P172" s="179" t="s">
        <v>1829</v>
      </c>
      <c r="Q172" s="179" t="s">
        <v>1830</v>
      </c>
      <c r="R172" s="179" t="s">
        <v>1831</v>
      </c>
      <c r="S172" s="179"/>
    </row>
    <row r="173" spans="2:19" s="19" customFormat="1" hidden="1">
      <c r="B173"/>
      <c r="C173" s="15"/>
      <c r="D173" s="1"/>
      <c r="L173" s="180" t="s">
        <v>1832</v>
      </c>
      <c r="M173" s="181" t="s">
        <v>1833</v>
      </c>
      <c r="N173" s="181" t="s">
        <v>1834</v>
      </c>
      <c r="O173" s="182" t="s">
        <v>1835</v>
      </c>
      <c r="P173" s="183">
        <v>1000</v>
      </c>
      <c r="Q173" s="183">
        <v>4</v>
      </c>
      <c r="R173" s="184">
        <v>43598</v>
      </c>
      <c r="S173" s="181" t="s">
        <v>99</v>
      </c>
    </row>
    <row r="174" spans="2:19" s="19" customFormat="1" hidden="1">
      <c r="B174"/>
      <c r="C174" s="15"/>
      <c r="D174" s="1"/>
      <c r="L174" s="180" t="s">
        <v>1832</v>
      </c>
      <c r="M174" s="181" t="s">
        <v>1836</v>
      </c>
      <c r="N174" s="181" t="s">
        <v>1834</v>
      </c>
      <c r="O174" s="182" t="s">
        <v>1835</v>
      </c>
      <c r="P174" s="183">
        <v>6000</v>
      </c>
      <c r="Q174" s="183">
        <v>24</v>
      </c>
      <c r="R174" s="184">
        <v>43598</v>
      </c>
      <c r="S174" s="181" t="s">
        <v>99</v>
      </c>
    </row>
    <row r="175" spans="2:19" s="19" customFormat="1" hidden="1">
      <c r="B175"/>
      <c r="C175" s="15"/>
      <c r="D175" s="1"/>
      <c r="L175" s="180" t="s">
        <v>1832</v>
      </c>
      <c r="M175" s="181" t="s">
        <v>1837</v>
      </c>
      <c r="N175" s="181" t="s">
        <v>1834</v>
      </c>
      <c r="O175" s="182" t="s">
        <v>1835</v>
      </c>
      <c r="P175" s="183">
        <v>5000</v>
      </c>
      <c r="Q175" s="183">
        <v>20</v>
      </c>
      <c r="R175" s="185" t="s">
        <v>1838</v>
      </c>
      <c r="S175" s="180" t="s">
        <v>1839</v>
      </c>
    </row>
    <row r="176" spans="2:19" s="19" customFormat="1" hidden="1">
      <c r="B176"/>
      <c r="C176" s="15"/>
      <c r="D176" s="1"/>
      <c r="L176" s="180" t="s">
        <v>1832</v>
      </c>
      <c r="M176" s="181" t="s">
        <v>1840</v>
      </c>
      <c r="N176" s="181" t="s">
        <v>1834</v>
      </c>
      <c r="O176" s="182" t="s">
        <v>1835</v>
      </c>
      <c r="P176" s="183">
        <v>5000</v>
      </c>
      <c r="Q176" s="183">
        <v>20</v>
      </c>
      <c r="R176" s="184">
        <v>43605</v>
      </c>
      <c r="S176" s="181" t="s">
        <v>99</v>
      </c>
    </row>
    <row r="177" spans="2:19" s="19" customFormat="1" hidden="1">
      <c r="B177"/>
      <c r="C177" s="15"/>
      <c r="D177" s="1"/>
      <c r="L177" s="180" t="s">
        <v>1832</v>
      </c>
      <c r="M177" s="181" t="s">
        <v>1841</v>
      </c>
      <c r="N177" s="181" t="s">
        <v>1834</v>
      </c>
      <c r="O177" s="182" t="s">
        <v>1835</v>
      </c>
      <c r="P177" s="183">
        <v>7000</v>
      </c>
      <c r="Q177" s="183">
        <v>28</v>
      </c>
      <c r="R177" s="184">
        <v>43605</v>
      </c>
      <c r="S177" s="181" t="s">
        <v>99</v>
      </c>
    </row>
    <row r="178" spans="2:19" hidden="1">
      <c r="L178" s="180" t="s">
        <v>1842</v>
      </c>
      <c r="M178" s="181" t="s">
        <v>1843</v>
      </c>
      <c r="N178" s="181" t="s">
        <v>1844</v>
      </c>
      <c r="O178" s="182" t="s">
        <v>1835</v>
      </c>
      <c r="P178" s="183">
        <v>2000</v>
      </c>
      <c r="Q178" s="183">
        <v>8</v>
      </c>
      <c r="R178" s="184">
        <v>43598</v>
      </c>
      <c r="S178" s="181" t="s">
        <v>99</v>
      </c>
    </row>
    <row r="179" spans="2:19" hidden="1">
      <c r="L179" s="180" t="s">
        <v>1842</v>
      </c>
      <c r="M179" s="181" t="s">
        <v>1845</v>
      </c>
      <c r="N179" s="181" t="s">
        <v>1844</v>
      </c>
      <c r="O179" s="182" t="s">
        <v>1835</v>
      </c>
      <c r="P179" s="183">
        <v>2000</v>
      </c>
      <c r="Q179" s="183">
        <v>8</v>
      </c>
      <c r="R179" s="184">
        <v>43598</v>
      </c>
      <c r="S179" s="181" t="s">
        <v>99</v>
      </c>
    </row>
    <row r="180" spans="2:19" hidden="1">
      <c r="L180" s="180" t="s">
        <v>1842</v>
      </c>
      <c r="M180" s="181" t="s">
        <v>1846</v>
      </c>
      <c r="N180" s="181" t="s">
        <v>1844</v>
      </c>
      <c r="O180" s="182" t="s">
        <v>1835</v>
      </c>
      <c r="P180" s="183">
        <v>10000</v>
      </c>
      <c r="Q180" s="183">
        <v>40</v>
      </c>
      <c r="R180" s="184">
        <v>43598</v>
      </c>
      <c r="S180" s="181" t="s">
        <v>99</v>
      </c>
    </row>
    <row r="181" spans="2:19" hidden="1">
      <c r="L181" s="180" t="s">
        <v>1842</v>
      </c>
      <c r="M181" s="181" t="s">
        <v>1847</v>
      </c>
      <c r="N181" s="181" t="s">
        <v>1844</v>
      </c>
      <c r="O181" s="182" t="s">
        <v>1835</v>
      </c>
      <c r="P181" s="183">
        <v>8000</v>
      </c>
      <c r="Q181" s="183">
        <v>32</v>
      </c>
      <c r="R181" s="184">
        <v>43598</v>
      </c>
      <c r="S181" s="180"/>
    </row>
    <row r="182" spans="2:19" hidden="1">
      <c r="L182" s="180" t="s">
        <v>1842</v>
      </c>
      <c r="M182" s="181" t="s">
        <v>1848</v>
      </c>
      <c r="N182" s="181" t="s">
        <v>1844</v>
      </c>
      <c r="O182" s="182" t="s">
        <v>1835</v>
      </c>
      <c r="P182" s="183">
        <v>10000</v>
      </c>
      <c r="Q182" s="183">
        <v>40</v>
      </c>
      <c r="R182" s="185" t="s">
        <v>1849</v>
      </c>
      <c r="S182" s="180" t="s">
        <v>1839</v>
      </c>
    </row>
    <row r="183" spans="2:19" hidden="1">
      <c r="L183" s="182" t="s">
        <v>1850</v>
      </c>
      <c r="M183" s="181" t="s">
        <v>1851</v>
      </c>
      <c r="N183" s="181" t="s">
        <v>1834</v>
      </c>
      <c r="O183" s="182" t="s">
        <v>1852</v>
      </c>
      <c r="P183" s="183">
        <v>5000</v>
      </c>
      <c r="Q183" s="183">
        <v>20</v>
      </c>
      <c r="R183" s="184">
        <v>43605</v>
      </c>
      <c r="S183" s="181" t="s">
        <v>99</v>
      </c>
    </row>
    <row r="184" spans="2:19" hidden="1">
      <c r="L184" s="180" t="s">
        <v>1842</v>
      </c>
      <c r="M184" s="181" t="s">
        <v>1851</v>
      </c>
      <c r="N184" s="181" t="s">
        <v>1844</v>
      </c>
      <c r="O184" s="182" t="s">
        <v>1835</v>
      </c>
      <c r="P184" s="183">
        <v>2000</v>
      </c>
      <c r="Q184" s="183">
        <v>8</v>
      </c>
      <c r="R184" s="184">
        <v>43605</v>
      </c>
      <c r="S184" s="181" t="s">
        <v>99</v>
      </c>
    </row>
    <row r="185" spans="2:19" hidden="1">
      <c r="L185" s="182" t="s">
        <v>1850</v>
      </c>
      <c r="M185" s="181" t="s">
        <v>1855</v>
      </c>
      <c r="N185" s="181" t="s">
        <v>1834</v>
      </c>
      <c r="O185" s="182" t="s">
        <v>1852</v>
      </c>
      <c r="P185" s="183">
        <v>6000</v>
      </c>
      <c r="Q185" s="183">
        <v>24</v>
      </c>
      <c r="R185" s="184">
        <v>43605</v>
      </c>
      <c r="S185" s="181" t="s">
        <v>99</v>
      </c>
    </row>
    <row r="186" spans="2:19" hidden="1">
      <c r="L186" s="182" t="s">
        <v>1850</v>
      </c>
      <c r="M186" s="181" t="s">
        <v>1856</v>
      </c>
      <c r="N186" s="181" t="s">
        <v>1834</v>
      </c>
      <c r="O186" s="182" t="s">
        <v>1852</v>
      </c>
      <c r="P186" s="183">
        <v>6000</v>
      </c>
      <c r="Q186" s="183">
        <v>24</v>
      </c>
      <c r="R186" s="185">
        <v>43605</v>
      </c>
      <c r="S186" s="180"/>
    </row>
    <row r="187" spans="2:19" hidden="1">
      <c r="L187" s="182" t="s">
        <v>1850</v>
      </c>
      <c r="M187" s="181" t="s">
        <v>1857</v>
      </c>
      <c r="N187" s="181" t="s">
        <v>1834</v>
      </c>
      <c r="O187" s="182" t="s">
        <v>1852</v>
      </c>
      <c r="P187" s="183">
        <v>6000</v>
      </c>
      <c r="Q187" s="183">
        <v>24</v>
      </c>
      <c r="R187" s="184" t="s">
        <v>1861</v>
      </c>
      <c r="S187" s="181" t="s">
        <v>1862</v>
      </c>
    </row>
    <row r="189" spans="2:19">
      <c r="M189" s="202"/>
      <c r="N189" s="203"/>
      <c r="O189" s="202"/>
    </row>
    <row r="190" spans="2:19" ht="16.2">
      <c r="L190" s="186"/>
    </row>
    <row r="191" spans="2:19" ht="16.2">
      <c r="L191" s="186"/>
    </row>
    <row r="192" spans="2:19" ht="16.2">
      <c r="L192" s="186"/>
    </row>
    <row r="193" spans="17:17">
      <c r="Q193" t="s">
        <v>3581</v>
      </c>
    </row>
  </sheetData>
  <autoFilter ref="B2:R170" xr:uid="{00000000-0009-0000-0000-000007000000}">
    <sortState ref="B89:R144">
      <sortCondition descending="1" ref="L2:L148"/>
    </sortState>
  </autoFilter>
  <phoneticPr fontId="1"/>
  <pageMargins left="0.23622047244094491" right="0.23622047244094491" top="0.35433070866141736" bottom="0.35433070866141736" header="0.31496062992125984" footer="0.31496062992125984"/>
  <pageSetup paperSize="9" scale="44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6" filterMode="1">
    <pageSetUpPr fitToPage="1"/>
  </sheetPr>
  <dimension ref="A1:S193"/>
  <sheetViews>
    <sheetView zoomScale="77" zoomScaleNormal="77" workbookViewId="0">
      <selection activeCell="B208" sqref="B208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7.12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B2" s="194"/>
      <c r="C2" s="14" t="s">
        <v>92</v>
      </c>
      <c r="D2" s="5" t="s">
        <v>0</v>
      </c>
      <c r="E2" s="6" t="s">
        <v>93</v>
      </c>
      <c r="F2" s="6" t="s">
        <v>94</v>
      </c>
      <c r="G2" s="10" t="s">
        <v>1</v>
      </c>
      <c r="H2" s="6" t="s">
        <v>15</v>
      </c>
      <c r="I2" s="6" t="s">
        <v>16</v>
      </c>
      <c r="J2" s="6" t="s">
        <v>95</v>
      </c>
      <c r="K2" s="12" t="s">
        <v>296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85</v>
      </c>
      <c r="Q2" s="6" t="s">
        <v>96</v>
      </c>
      <c r="R2" s="16" t="s">
        <v>6</v>
      </c>
      <c r="S2" s="16" t="s">
        <v>80</v>
      </c>
    </row>
    <row r="3" spans="2:19" s="33" customFormat="1" ht="33" hidden="1" customHeight="1">
      <c r="B3" s="47" t="s">
        <v>220</v>
      </c>
      <c r="C3" s="48" t="s">
        <v>377</v>
      </c>
      <c r="D3" s="49" t="s">
        <v>378</v>
      </c>
      <c r="E3" s="50">
        <v>43455</v>
      </c>
      <c r="F3" s="49" t="s">
        <v>91</v>
      </c>
      <c r="G3" s="51">
        <v>14000</v>
      </c>
      <c r="H3" s="52">
        <f t="shared" ref="H3:H48" si="0">SUM(G3/250)</f>
        <v>56</v>
      </c>
      <c r="I3" s="52">
        <f t="shared" ref="I3:I66" si="1">SUM(H3/4)</f>
        <v>14</v>
      </c>
      <c r="J3" s="49"/>
      <c r="K3" s="53">
        <v>43548</v>
      </c>
      <c r="L3" s="54" t="s">
        <v>802</v>
      </c>
      <c r="M3" s="55">
        <v>43563</v>
      </c>
      <c r="N3" s="56" t="s">
        <v>438</v>
      </c>
      <c r="O3" s="55">
        <v>43569</v>
      </c>
      <c r="P3" s="54" t="s">
        <v>839</v>
      </c>
      <c r="Q3" s="49"/>
      <c r="R3" s="57" t="s">
        <v>379</v>
      </c>
      <c r="S3" s="47"/>
    </row>
    <row r="4" spans="2:19" s="33" customFormat="1" ht="33" hidden="1" customHeight="1">
      <c r="B4" s="47" t="s">
        <v>220</v>
      </c>
      <c r="C4" s="48" t="s">
        <v>421</v>
      </c>
      <c r="D4" s="49" t="s">
        <v>453</v>
      </c>
      <c r="E4" s="50">
        <v>43483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43576</v>
      </c>
      <c r="L4" s="54" t="s">
        <v>443</v>
      </c>
      <c r="M4" s="55">
        <v>43570</v>
      </c>
      <c r="N4" s="56" t="s">
        <v>440</v>
      </c>
      <c r="O4" s="55">
        <v>43576</v>
      </c>
      <c r="P4" s="54" t="s">
        <v>981</v>
      </c>
      <c r="Q4" s="49"/>
      <c r="R4" s="57" t="s">
        <v>454</v>
      </c>
      <c r="S4" s="47"/>
    </row>
    <row r="5" spans="2:19" s="33" customFormat="1" ht="33" hidden="1" customHeight="1">
      <c r="B5" s="47" t="s">
        <v>78</v>
      </c>
      <c r="C5" s="48" t="s">
        <v>422</v>
      </c>
      <c r="D5" s="49" t="s">
        <v>455</v>
      </c>
      <c r="E5" s="50">
        <v>43483</v>
      </c>
      <c r="F5" s="49" t="s">
        <v>91</v>
      </c>
      <c r="G5" s="51">
        <v>10000</v>
      </c>
      <c r="H5" s="52">
        <f t="shared" si="0"/>
        <v>40</v>
      </c>
      <c r="I5" s="52">
        <f t="shared" si="1"/>
        <v>10</v>
      </c>
      <c r="J5" s="49"/>
      <c r="K5" s="53">
        <v>43618</v>
      </c>
      <c r="L5" s="54" t="s">
        <v>442</v>
      </c>
      <c r="M5" s="55">
        <v>43612</v>
      </c>
      <c r="N5" s="56" t="s">
        <v>637</v>
      </c>
      <c r="O5" s="55">
        <v>43618</v>
      </c>
      <c r="P5" s="54" t="s">
        <v>2155</v>
      </c>
      <c r="Q5" s="49" t="s">
        <v>82</v>
      </c>
      <c r="R5" s="57" t="s">
        <v>616</v>
      </c>
      <c r="S5" s="47"/>
    </row>
    <row r="6" spans="2:19" s="33" customFormat="1" ht="33" hidden="1" customHeight="1">
      <c r="B6" s="47" t="s">
        <v>78</v>
      </c>
      <c r="C6" s="48" t="s">
        <v>617</v>
      </c>
      <c r="D6" s="49" t="s">
        <v>455</v>
      </c>
      <c r="E6" s="50">
        <v>43523</v>
      </c>
      <c r="F6" s="49" t="s">
        <v>91</v>
      </c>
      <c r="G6" s="51">
        <v>10000</v>
      </c>
      <c r="H6" s="52">
        <f t="shared" si="0"/>
        <v>40</v>
      </c>
      <c r="I6" s="52">
        <f t="shared" si="1"/>
        <v>10</v>
      </c>
      <c r="J6" s="49"/>
      <c r="K6" s="53">
        <v>43618</v>
      </c>
      <c r="L6" s="54" t="s">
        <v>638</v>
      </c>
      <c r="M6" s="55">
        <v>43612</v>
      </c>
      <c r="N6" s="56" t="s">
        <v>636</v>
      </c>
      <c r="O6" s="55">
        <v>43618</v>
      </c>
      <c r="P6" s="54" t="s">
        <v>2156</v>
      </c>
      <c r="Q6" s="49" t="s">
        <v>82</v>
      </c>
      <c r="R6" s="57" t="s">
        <v>618</v>
      </c>
      <c r="S6" s="47"/>
    </row>
    <row r="7" spans="2:19" s="33" customFormat="1" ht="33" hidden="1" customHeight="1">
      <c r="B7" s="47" t="s">
        <v>78</v>
      </c>
      <c r="C7" s="48" t="s">
        <v>1898</v>
      </c>
      <c r="D7" s="49" t="s">
        <v>1337</v>
      </c>
      <c r="E7" s="50">
        <v>43483</v>
      </c>
      <c r="F7" s="49" t="s">
        <v>91</v>
      </c>
      <c r="G7" s="51">
        <v>20000</v>
      </c>
      <c r="H7" s="52">
        <f t="shared" si="0"/>
        <v>80</v>
      </c>
      <c r="I7" s="52">
        <f t="shared" si="1"/>
        <v>20</v>
      </c>
      <c r="J7" s="49"/>
      <c r="K7" s="53">
        <v>43618</v>
      </c>
      <c r="L7" s="54" t="s">
        <v>442</v>
      </c>
      <c r="M7" s="55">
        <v>43612</v>
      </c>
      <c r="N7" s="56" t="s">
        <v>637</v>
      </c>
      <c r="O7" s="55">
        <v>43618</v>
      </c>
      <c r="P7" s="54" t="s">
        <v>2157</v>
      </c>
      <c r="Q7" s="49" t="s">
        <v>82</v>
      </c>
      <c r="R7" s="57" t="s">
        <v>616</v>
      </c>
      <c r="S7" s="47" t="s">
        <v>479</v>
      </c>
    </row>
    <row r="8" spans="2:19" s="33" customFormat="1" ht="33" hidden="1" customHeight="1">
      <c r="B8" s="47" t="s">
        <v>78</v>
      </c>
      <c r="C8" s="48" t="s">
        <v>423</v>
      </c>
      <c r="D8" s="49" t="s">
        <v>457</v>
      </c>
      <c r="E8" s="50">
        <v>43483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43576</v>
      </c>
      <c r="L8" s="54" t="s">
        <v>5469</v>
      </c>
      <c r="M8" s="55">
        <v>43570</v>
      </c>
      <c r="N8" s="56" t="s">
        <v>5470</v>
      </c>
      <c r="O8" s="55">
        <v>43576</v>
      </c>
      <c r="P8" s="54" t="s">
        <v>5471</v>
      </c>
      <c r="Q8" s="49" t="s">
        <v>82</v>
      </c>
      <c r="R8" s="57" t="s">
        <v>5472</v>
      </c>
      <c r="S8" s="47"/>
    </row>
    <row r="9" spans="2:19" s="33" customFormat="1" ht="33" hidden="1" customHeight="1">
      <c r="B9" s="47" t="s">
        <v>220</v>
      </c>
      <c r="C9" s="48" t="s">
        <v>425</v>
      </c>
      <c r="D9" s="49" t="s">
        <v>459</v>
      </c>
      <c r="E9" s="50">
        <v>43483</v>
      </c>
      <c r="F9" s="49" t="s">
        <v>79</v>
      </c>
      <c r="G9" s="51">
        <v>20000</v>
      </c>
      <c r="H9" s="52">
        <f t="shared" si="0"/>
        <v>80</v>
      </c>
      <c r="I9" s="52">
        <f t="shared" si="1"/>
        <v>20</v>
      </c>
      <c r="J9" s="49"/>
      <c r="K9" s="53">
        <v>43583</v>
      </c>
      <c r="L9" s="54" t="s">
        <v>5473</v>
      </c>
      <c r="M9" s="55">
        <v>43577</v>
      </c>
      <c r="N9" s="56" t="s">
        <v>5474</v>
      </c>
      <c r="O9" s="55">
        <v>43583</v>
      </c>
      <c r="P9" s="54" t="s">
        <v>5475</v>
      </c>
      <c r="Q9" s="49"/>
      <c r="R9" s="57" t="s">
        <v>5476</v>
      </c>
      <c r="S9" s="47"/>
    </row>
    <row r="10" spans="2:19" s="33" customFormat="1" ht="33" hidden="1" customHeight="1">
      <c r="B10" s="47" t="s">
        <v>78</v>
      </c>
      <c r="C10" s="48" t="s">
        <v>462</v>
      </c>
      <c r="D10" s="49" t="s">
        <v>483</v>
      </c>
      <c r="E10" s="50">
        <v>43490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43583</v>
      </c>
      <c r="L10" s="54" t="s">
        <v>5473</v>
      </c>
      <c r="M10" s="55">
        <v>43577</v>
      </c>
      <c r="N10" s="56" t="s">
        <v>5474</v>
      </c>
      <c r="O10" s="55">
        <v>43583</v>
      </c>
      <c r="P10" s="54" t="s">
        <v>5477</v>
      </c>
      <c r="Q10" s="49" t="s">
        <v>82</v>
      </c>
      <c r="R10" s="57" t="s">
        <v>5478</v>
      </c>
      <c r="S10" s="47"/>
    </row>
    <row r="11" spans="2:19" s="33" customFormat="1" ht="33" hidden="1" customHeight="1">
      <c r="B11" s="47" t="s">
        <v>78</v>
      </c>
      <c r="C11" s="48" t="s">
        <v>570</v>
      </c>
      <c r="D11" s="49" t="s">
        <v>571</v>
      </c>
      <c r="E11" s="50">
        <v>43519</v>
      </c>
      <c r="F11" s="49" t="s">
        <v>79</v>
      </c>
      <c r="G11" s="51">
        <v>20000</v>
      </c>
      <c r="H11" s="52">
        <f t="shared" si="0"/>
        <v>80</v>
      </c>
      <c r="I11" s="52">
        <f t="shared" si="1"/>
        <v>20</v>
      </c>
      <c r="J11" s="49"/>
      <c r="K11" s="53">
        <v>43590</v>
      </c>
      <c r="L11" s="54" t="s">
        <v>602</v>
      </c>
      <c r="M11" s="55">
        <v>43577</v>
      </c>
      <c r="N11" s="56" t="s">
        <v>5474</v>
      </c>
      <c r="O11" s="55">
        <v>43583</v>
      </c>
      <c r="P11" s="54" t="s">
        <v>5479</v>
      </c>
      <c r="Q11" s="49" t="s">
        <v>82</v>
      </c>
      <c r="R11" s="57" t="s">
        <v>5480</v>
      </c>
      <c r="S11" s="47"/>
    </row>
    <row r="12" spans="2:19" s="33" customFormat="1" ht="33" hidden="1" customHeight="1">
      <c r="B12" s="47" t="s">
        <v>78</v>
      </c>
      <c r="C12" s="48" t="s">
        <v>573</v>
      </c>
      <c r="D12" s="49" t="s">
        <v>574</v>
      </c>
      <c r="E12" s="50">
        <v>43519</v>
      </c>
      <c r="F12" s="49" t="s">
        <v>79</v>
      </c>
      <c r="G12" s="51">
        <v>20000</v>
      </c>
      <c r="H12" s="52">
        <f t="shared" si="0"/>
        <v>80</v>
      </c>
      <c r="I12" s="52">
        <f t="shared" si="1"/>
        <v>20</v>
      </c>
      <c r="J12" s="49"/>
      <c r="K12" s="53">
        <v>43604</v>
      </c>
      <c r="L12" s="54" t="s">
        <v>5481</v>
      </c>
      <c r="M12" s="55">
        <v>43598</v>
      </c>
      <c r="N12" s="56" t="s">
        <v>5482</v>
      </c>
      <c r="O12" s="55">
        <v>43604</v>
      </c>
      <c r="P12" s="54" t="s">
        <v>5483</v>
      </c>
      <c r="Q12" s="49" t="s">
        <v>82</v>
      </c>
      <c r="R12" s="57" t="s">
        <v>5484</v>
      </c>
      <c r="S12" s="47"/>
    </row>
    <row r="13" spans="2:19" s="33" customFormat="1" ht="33" hidden="1" customHeight="1">
      <c r="B13" s="47" t="s">
        <v>78</v>
      </c>
      <c r="C13" s="48" t="s">
        <v>5485</v>
      </c>
      <c r="D13" s="49" t="s">
        <v>577</v>
      </c>
      <c r="E13" s="50">
        <v>43519</v>
      </c>
      <c r="F13" s="49" t="s">
        <v>5486</v>
      </c>
      <c r="G13" s="51">
        <v>10000</v>
      </c>
      <c r="H13" s="52">
        <f t="shared" si="0"/>
        <v>40</v>
      </c>
      <c r="I13" s="52">
        <f t="shared" si="1"/>
        <v>10</v>
      </c>
      <c r="J13" s="49"/>
      <c r="K13" s="53">
        <v>43598</v>
      </c>
      <c r="L13" s="54" t="s">
        <v>803</v>
      </c>
      <c r="M13" s="55">
        <v>43598</v>
      </c>
      <c r="N13" s="56" t="s">
        <v>804</v>
      </c>
      <c r="O13" s="55">
        <v>43604</v>
      </c>
      <c r="P13" s="54" t="s">
        <v>5487</v>
      </c>
      <c r="Q13" s="49" t="s">
        <v>82</v>
      </c>
      <c r="R13" s="57" t="s">
        <v>5488</v>
      </c>
      <c r="S13" s="47"/>
    </row>
    <row r="14" spans="2:19" s="33" customFormat="1" ht="33" hidden="1" customHeight="1">
      <c r="B14" s="47" t="s">
        <v>220</v>
      </c>
      <c r="C14" s="48" t="s">
        <v>579</v>
      </c>
      <c r="D14" s="49" t="s">
        <v>580</v>
      </c>
      <c r="E14" s="50">
        <v>43519</v>
      </c>
      <c r="F14" s="49" t="s">
        <v>79</v>
      </c>
      <c r="G14" s="51">
        <v>10000</v>
      </c>
      <c r="H14" s="52">
        <f t="shared" si="0"/>
        <v>40</v>
      </c>
      <c r="I14" s="52">
        <f t="shared" si="1"/>
        <v>10</v>
      </c>
      <c r="J14" s="49"/>
      <c r="K14" s="53">
        <v>43598</v>
      </c>
      <c r="L14" s="54" t="s">
        <v>803</v>
      </c>
      <c r="M14" s="55">
        <v>43598</v>
      </c>
      <c r="N14" s="56" t="s">
        <v>804</v>
      </c>
      <c r="O14" s="55">
        <v>43604</v>
      </c>
      <c r="P14" s="54" t="s">
        <v>5489</v>
      </c>
      <c r="Q14" s="49"/>
      <c r="R14" s="57" t="s">
        <v>5490</v>
      </c>
      <c r="S14" s="47"/>
    </row>
    <row r="15" spans="2:19" s="33" customFormat="1" ht="33" hidden="1" customHeight="1">
      <c r="B15" s="47" t="s">
        <v>78</v>
      </c>
      <c r="C15" s="48" t="s">
        <v>576</v>
      </c>
      <c r="D15" s="49" t="s">
        <v>577</v>
      </c>
      <c r="E15" s="50">
        <v>43519</v>
      </c>
      <c r="F15" s="49" t="s">
        <v>79</v>
      </c>
      <c r="G15" s="51">
        <v>20000</v>
      </c>
      <c r="H15" s="52">
        <f t="shared" si="0"/>
        <v>80</v>
      </c>
      <c r="I15" s="52">
        <f t="shared" si="1"/>
        <v>20</v>
      </c>
      <c r="J15" s="49"/>
      <c r="K15" s="53">
        <v>43611</v>
      </c>
      <c r="L15" s="54" t="s">
        <v>5491</v>
      </c>
      <c r="M15" s="55">
        <v>43605</v>
      </c>
      <c r="N15" s="56" t="s">
        <v>5492</v>
      </c>
      <c r="O15" s="55">
        <v>43611</v>
      </c>
      <c r="P15" s="54" t="s">
        <v>5493</v>
      </c>
      <c r="Q15" s="49" t="s">
        <v>82</v>
      </c>
      <c r="R15" s="57" t="s">
        <v>5494</v>
      </c>
      <c r="S15" s="47"/>
    </row>
    <row r="16" spans="2:19" s="33" customFormat="1" ht="33" hidden="1" customHeight="1">
      <c r="B16" s="47" t="s">
        <v>78</v>
      </c>
      <c r="C16" s="48" t="s">
        <v>685</v>
      </c>
      <c r="D16" s="49" t="s">
        <v>686</v>
      </c>
      <c r="E16" s="50">
        <v>43532</v>
      </c>
      <c r="F16" s="49" t="s">
        <v>79</v>
      </c>
      <c r="G16" s="51">
        <v>20000</v>
      </c>
      <c r="H16" s="52">
        <f t="shared" si="0"/>
        <v>80</v>
      </c>
      <c r="I16" s="52">
        <f t="shared" si="1"/>
        <v>20</v>
      </c>
      <c r="J16" s="49"/>
      <c r="K16" s="53">
        <v>43625</v>
      </c>
      <c r="L16" s="54" t="s">
        <v>5495</v>
      </c>
      <c r="M16" s="55">
        <v>43619</v>
      </c>
      <c r="N16" s="56" t="s">
        <v>5496</v>
      </c>
      <c r="O16" s="55">
        <v>43625</v>
      </c>
      <c r="P16" s="54"/>
      <c r="Q16" s="49" t="s">
        <v>82</v>
      </c>
      <c r="R16" s="57" t="s">
        <v>5497</v>
      </c>
      <c r="S16" s="47"/>
    </row>
    <row r="17" spans="2:19" s="33" customFormat="1" ht="33" hidden="1" customHeight="1">
      <c r="B17" s="47" t="s">
        <v>78</v>
      </c>
      <c r="C17" s="48" t="s">
        <v>5498</v>
      </c>
      <c r="D17" s="49" t="s">
        <v>1366</v>
      </c>
      <c r="E17" s="50">
        <v>43532</v>
      </c>
      <c r="F17" s="49" t="s">
        <v>79</v>
      </c>
      <c r="G17" s="51">
        <v>20000</v>
      </c>
      <c r="H17" s="52">
        <f t="shared" si="0"/>
        <v>80</v>
      </c>
      <c r="I17" s="52">
        <f t="shared" si="1"/>
        <v>20</v>
      </c>
      <c r="J17" s="49"/>
      <c r="K17" s="53">
        <v>43625</v>
      </c>
      <c r="L17" s="54" t="s">
        <v>5495</v>
      </c>
      <c r="M17" s="55">
        <v>43619</v>
      </c>
      <c r="N17" s="56" t="s">
        <v>5496</v>
      </c>
      <c r="O17" s="55">
        <v>43625</v>
      </c>
      <c r="P17" s="54"/>
      <c r="Q17" s="49" t="s">
        <v>82</v>
      </c>
      <c r="R17" s="57" t="s">
        <v>5497</v>
      </c>
      <c r="S17" s="47" t="s">
        <v>479</v>
      </c>
    </row>
    <row r="18" spans="2:19" s="33" customFormat="1" ht="33" hidden="1" customHeight="1">
      <c r="B18" s="47" t="s">
        <v>220</v>
      </c>
      <c r="C18" s="48" t="s">
        <v>688</v>
      </c>
      <c r="D18" s="49" t="s">
        <v>689</v>
      </c>
      <c r="E18" s="50">
        <v>43532</v>
      </c>
      <c r="F18" s="49" t="s">
        <v>79</v>
      </c>
      <c r="G18" s="51">
        <v>20000</v>
      </c>
      <c r="H18" s="52">
        <f t="shared" si="0"/>
        <v>80</v>
      </c>
      <c r="I18" s="52">
        <f t="shared" si="1"/>
        <v>20</v>
      </c>
      <c r="J18" s="49"/>
      <c r="K18" s="53">
        <v>43632</v>
      </c>
      <c r="L18" s="54" t="s">
        <v>5499</v>
      </c>
      <c r="M18" s="55">
        <v>43626</v>
      </c>
      <c r="N18" s="56" t="s">
        <v>5500</v>
      </c>
      <c r="O18" s="55">
        <v>43632</v>
      </c>
      <c r="P18" s="54" t="s">
        <v>5501</v>
      </c>
      <c r="Q18" s="49"/>
      <c r="R18" s="57" t="s">
        <v>5502</v>
      </c>
      <c r="S18" s="47"/>
    </row>
    <row r="19" spans="2:19" s="33" customFormat="1" ht="33" hidden="1" customHeight="1">
      <c r="B19" s="47" t="s">
        <v>78</v>
      </c>
      <c r="C19" s="48" t="s">
        <v>691</v>
      </c>
      <c r="D19" s="49" t="s">
        <v>692</v>
      </c>
      <c r="E19" s="50">
        <v>43532</v>
      </c>
      <c r="F19" s="49" t="s">
        <v>79</v>
      </c>
      <c r="G19" s="51">
        <v>20000</v>
      </c>
      <c r="H19" s="52">
        <f t="shared" si="0"/>
        <v>80</v>
      </c>
      <c r="I19" s="52">
        <f t="shared" si="1"/>
        <v>20</v>
      </c>
      <c r="J19" s="49"/>
      <c r="K19" s="53">
        <v>43639</v>
      </c>
      <c r="L19" s="54" t="s">
        <v>5503</v>
      </c>
      <c r="M19" s="55">
        <v>43633</v>
      </c>
      <c r="N19" s="56" t="s">
        <v>5504</v>
      </c>
      <c r="O19" s="55">
        <v>43639</v>
      </c>
      <c r="P19" s="54"/>
      <c r="Q19" s="49" t="s">
        <v>82</v>
      </c>
      <c r="R19" s="57" t="s">
        <v>5505</v>
      </c>
      <c r="S19" s="47"/>
    </row>
    <row r="20" spans="2:19" s="33" customFormat="1" ht="33" hidden="1" customHeight="1">
      <c r="B20" s="47" t="s">
        <v>78</v>
      </c>
      <c r="C20" s="48" t="s">
        <v>5506</v>
      </c>
      <c r="D20" s="49" t="s">
        <v>5507</v>
      </c>
      <c r="E20" s="50">
        <v>43566</v>
      </c>
      <c r="F20" s="49" t="s">
        <v>79</v>
      </c>
      <c r="G20" s="51">
        <v>6000</v>
      </c>
      <c r="H20" s="52">
        <f t="shared" si="0"/>
        <v>24</v>
      </c>
      <c r="I20" s="52">
        <f t="shared" si="1"/>
        <v>6</v>
      </c>
      <c r="J20" s="49"/>
      <c r="K20" s="53">
        <v>43611</v>
      </c>
      <c r="L20" s="54" t="s">
        <v>603</v>
      </c>
      <c r="M20" s="55">
        <v>43605</v>
      </c>
      <c r="N20" s="56" t="s">
        <v>1080</v>
      </c>
      <c r="O20" s="55">
        <v>43611</v>
      </c>
      <c r="P20" s="54" t="s">
        <v>5508</v>
      </c>
      <c r="Q20" s="49" t="s">
        <v>82</v>
      </c>
      <c r="R20" s="57" t="s">
        <v>5509</v>
      </c>
      <c r="S20" s="47"/>
    </row>
    <row r="21" spans="2:19" s="33" customFormat="1" ht="33" hidden="1" customHeight="1">
      <c r="B21" s="47" t="s">
        <v>5510</v>
      </c>
      <c r="C21" s="48" t="s">
        <v>986</v>
      </c>
      <c r="D21" s="49" t="s">
        <v>5507</v>
      </c>
      <c r="E21" s="50">
        <v>43566</v>
      </c>
      <c r="F21" s="49" t="s">
        <v>79</v>
      </c>
      <c r="G21" s="51">
        <v>14000</v>
      </c>
      <c r="H21" s="52">
        <f t="shared" si="0"/>
        <v>56</v>
      </c>
      <c r="I21" s="52">
        <f t="shared" si="1"/>
        <v>14</v>
      </c>
      <c r="J21" s="49"/>
      <c r="K21" s="53">
        <v>43611</v>
      </c>
      <c r="L21" s="54" t="s">
        <v>603</v>
      </c>
      <c r="M21" s="55">
        <v>43605</v>
      </c>
      <c r="N21" s="56" t="s">
        <v>1080</v>
      </c>
      <c r="O21" s="55">
        <v>43611</v>
      </c>
      <c r="P21" s="54" t="s">
        <v>5511</v>
      </c>
      <c r="Q21" s="49"/>
      <c r="R21" s="57" t="s">
        <v>5509</v>
      </c>
      <c r="S21" s="47"/>
    </row>
    <row r="22" spans="2:19" s="33" customFormat="1" ht="33" hidden="1" customHeight="1">
      <c r="B22" s="47" t="s">
        <v>78</v>
      </c>
      <c r="C22" s="48" t="s">
        <v>988</v>
      </c>
      <c r="D22" s="49" t="s">
        <v>5512</v>
      </c>
      <c r="E22" s="50">
        <v>43566</v>
      </c>
      <c r="F22" s="49" t="s">
        <v>79</v>
      </c>
      <c r="G22" s="51">
        <v>20000</v>
      </c>
      <c r="H22" s="52">
        <f t="shared" si="0"/>
        <v>80</v>
      </c>
      <c r="I22" s="52">
        <f t="shared" si="1"/>
        <v>20</v>
      </c>
      <c r="J22" s="49"/>
      <c r="K22" s="53">
        <v>43632</v>
      </c>
      <c r="L22" s="54" t="s">
        <v>1081</v>
      </c>
      <c r="M22" s="55">
        <v>43626</v>
      </c>
      <c r="N22" s="56" t="s">
        <v>1082</v>
      </c>
      <c r="O22" s="55">
        <v>43632</v>
      </c>
      <c r="P22" s="54"/>
      <c r="Q22" s="49" t="s">
        <v>82</v>
      </c>
      <c r="R22" s="57" t="s">
        <v>5513</v>
      </c>
      <c r="S22" s="47"/>
    </row>
    <row r="23" spans="2:19" s="33" customFormat="1" ht="33" hidden="1" customHeight="1">
      <c r="B23" s="47" t="s">
        <v>78</v>
      </c>
      <c r="C23" s="48" t="s">
        <v>1160</v>
      </c>
      <c r="D23" s="49" t="s">
        <v>1161</v>
      </c>
      <c r="E23" s="50">
        <v>43567</v>
      </c>
      <c r="F23" s="49" t="s">
        <v>5514</v>
      </c>
      <c r="G23" s="51">
        <v>40000</v>
      </c>
      <c r="H23" s="52">
        <f t="shared" si="0"/>
        <v>160</v>
      </c>
      <c r="I23" s="52">
        <f t="shared" si="1"/>
        <v>40</v>
      </c>
      <c r="J23" s="49"/>
      <c r="K23" s="53">
        <v>43646</v>
      </c>
      <c r="L23" s="54" t="s">
        <v>5515</v>
      </c>
      <c r="M23" s="55">
        <v>43640</v>
      </c>
      <c r="N23" s="56" t="s">
        <v>5516</v>
      </c>
      <c r="O23" s="55">
        <v>43646</v>
      </c>
      <c r="P23" s="54"/>
      <c r="Q23" s="49" t="s">
        <v>82</v>
      </c>
      <c r="R23" s="57" t="s">
        <v>5517</v>
      </c>
      <c r="S23" s="47" t="s">
        <v>2140</v>
      </c>
    </row>
    <row r="24" spans="2:19" s="33" customFormat="1" ht="33" hidden="1" customHeight="1">
      <c r="B24" s="47" t="s">
        <v>220</v>
      </c>
      <c r="C24" s="48" t="s">
        <v>1163</v>
      </c>
      <c r="D24" s="49" t="s">
        <v>1164</v>
      </c>
      <c r="E24" s="50">
        <v>43567</v>
      </c>
      <c r="F24" s="49" t="s">
        <v>79</v>
      </c>
      <c r="G24" s="51">
        <v>20000</v>
      </c>
      <c r="H24" s="52">
        <f t="shared" si="0"/>
        <v>80</v>
      </c>
      <c r="I24" s="52">
        <f t="shared" si="1"/>
        <v>20</v>
      </c>
      <c r="J24" s="49"/>
      <c r="K24" s="53">
        <v>43646</v>
      </c>
      <c r="L24" s="54" t="s">
        <v>5515</v>
      </c>
      <c r="M24" s="55">
        <v>43640</v>
      </c>
      <c r="N24" s="56" t="s">
        <v>5516</v>
      </c>
      <c r="O24" s="55">
        <v>43646</v>
      </c>
      <c r="P24" s="54"/>
      <c r="Q24" s="49"/>
      <c r="R24" s="57" t="s">
        <v>5518</v>
      </c>
      <c r="S24" s="47" t="s">
        <v>2140</v>
      </c>
    </row>
    <row r="25" spans="2:19" s="33" customFormat="1" ht="33" hidden="1" customHeight="1">
      <c r="B25" s="47" t="s">
        <v>78</v>
      </c>
      <c r="C25" s="48" t="s">
        <v>1166</v>
      </c>
      <c r="D25" s="49" t="s">
        <v>1167</v>
      </c>
      <c r="E25" s="50">
        <v>43567</v>
      </c>
      <c r="F25" s="49" t="s">
        <v>79</v>
      </c>
      <c r="G25" s="51">
        <v>20000</v>
      </c>
      <c r="H25" s="52">
        <f t="shared" si="0"/>
        <v>80</v>
      </c>
      <c r="I25" s="52">
        <f t="shared" si="1"/>
        <v>20</v>
      </c>
      <c r="J25" s="49"/>
      <c r="K25" s="53">
        <v>43653</v>
      </c>
      <c r="L25" s="54" t="s">
        <v>5519</v>
      </c>
      <c r="M25" s="55">
        <v>43647</v>
      </c>
      <c r="N25" s="56" t="s">
        <v>5520</v>
      </c>
      <c r="O25" s="55">
        <v>43653</v>
      </c>
      <c r="P25" s="54"/>
      <c r="Q25" s="49" t="s">
        <v>82</v>
      </c>
      <c r="R25" s="57" t="s">
        <v>5521</v>
      </c>
      <c r="S25" s="47" t="s">
        <v>2140</v>
      </c>
    </row>
    <row r="26" spans="2:19" s="33" customFormat="1" ht="33" hidden="1" customHeight="1">
      <c r="B26" s="47" t="s">
        <v>78</v>
      </c>
      <c r="C26" s="48" t="s">
        <v>1169</v>
      </c>
      <c r="D26" s="49" t="s">
        <v>1170</v>
      </c>
      <c r="E26" s="50">
        <v>43567</v>
      </c>
      <c r="F26" s="49" t="s">
        <v>79</v>
      </c>
      <c r="G26" s="51">
        <v>20000</v>
      </c>
      <c r="H26" s="52">
        <f t="shared" si="0"/>
        <v>80</v>
      </c>
      <c r="I26" s="52">
        <f t="shared" si="1"/>
        <v>20</v>
      </c>
      <c r="J26" s="49"/>
      <c r="K26" s="53">
        <v>43660</v>
      </c>
      <c r="L26" s="54" t="s">
        <v>5522</v>
      </c>
      <c r="M26" s="55">
        <v>43654</v>
      </c>
      <c r="N26" s="56" t="s">
        <v>5523</v>
      </c>
      <c r="O26" s="55">
        <v>43660</v>
      </c>
      <c r="P26" s="54"/>
      <c r="Q26" s="49" t="s">
        <v>82</v>
      </c>
      <c r="R26" s="57" t="s">
        <v>5524</v>
      </c>
      <c r="S26" s="47" t="s">
        <v>2140</v>
      </c>
    </row>
    <row r="27" spans="2:19" s="33" customFormat="1" ht="33" hidden="1" customHeight="1">
      <c r="B27" s="47" t="s">
        <v>78</v>
      </c>
      <c r="C27" s="48" t="s">
        <v>1172</v>
      </c>
      <c r="D27" s="49" t="s">
        <v>1173</v>
      </c>
      <c r="E27" s="50">
        <v>43567</v>
      </c>
      <c r="F27" s="49" t="s">
        <v>79</v>
      </c>
      <c r="G27" s="51">
        <v>20000</v>
      </c>
      <c r="H27" s="52">
        <f t="shared" si="0"/>
        <v>80</v>
      </c>
      <c r="I27" s="52">
        <f t="shared" si="1"/>
        <v>20</v>
      </c>
      <c r="J27" s="49"/>
      <c r="K27" s="53">
        <v>43667</v>
      </c>
      <c r="L27" s="54" t="s">
        <v>5525</v>
      </c>
      <c r="M27" s="55">
        <v>43658</v>
      </c>
      <c r="N27" s="56" t="s">
        <v>5526</v>
      </c>
      <c r="O27" s="55">
        <v>43667</v>
      </c>
      <c r="P27" s="54"/>
      <c r="Q27" s="49" t="s">
        <v>82</v>
      </c>
      <c r="R27" s="57" t="s">
        <v>5527</v>
      </c>
      <c r="S27" s="47" t="s">
        <v>2140</v>
      </c>
    </row>
    <row r="28" spans="2:19" s="33" customFormat="1" ht="33" hidden="1" customHeight="1">
      <c r="B28" s="47" t="s">
        <v>220</v>
      </c>
      <c r="C28" s="48" t="s">
        <v>1175</v>
      </c>
      <c r="D28" s="49" t="s">
        <v>1176</v>
      </c>
      <c r="E28" s="50">
        <v>43567</v>
      </c>
      <c r="F28" s="49" t="s">
        <v>79</v>
      </c>
      <c r="G28" s="51">
        <v>20000</v>
      </c>
      <c r="H28" s="52">
        <f t="shared" si="0"/>
        <v>80</v>
      </c>
      <c r="I28" s="52">
        <f t="shared" si="1"/>
        <v>20</v>
      </c>
      <c r="J28" s="49"/>
      <c r="K28" s="53">
        <v>43667</v>
      </c>
      <c r="L28" s="54" t="s">
        <v>5528</v>
      </c>
      <c r="M28" s="55">
        <v>43675</v>
      </c>
      <c r="N28" s="56" t="s">
        <v>5529</v>
      </c>
      <c r="O28" s="55">
        <v>43681</v>
      </c>
      <c r="P28" s="54"/>
      <c r="Q28" s="49"/>
      <c r="R28" s="57" t="s">
        <v>5530</v>
      </c>
      <c r="S28" s="47" t="s">
        <v>2539</v>
      </c>
    </row>
    <row r="29" spans="2:19" s="33" customFormat="1" ht="33" hidden="1" customHeight="1">
      <c r="B29" s="47" t="s">
        <v>78</v>
      </c>
      <c r="C29" s="48" t="s">
        <v>1178</v>
      </c>
      <c r="D29" s="49" t="s">
        <v>1179</v>
      </c>
      <c r="E29" s="50">
        <v>43567</v>
      </c>
      <c r="F29" s="49" t="s">
        <v>5486</v>
      </c>
      <c r="G29" s="51">
        <v>10000</v>
      </c>
      <c r="H29" s="52">
        <f t="shared" si="0"/>
        <v>40</v>
      </c>
      <c r="I29" s="52">
        <f t="shared" si="1"/>
        <v>10</v>
      </c>
      <c r="J29" s="49"/>
      <c r="K29" s="53">
        <v>43674</v>
      </c>
      <c r="L29" s="54" t="s">
        <v>5531</v>
      </c>
      <c r="M29" s="55">
        <v>43682</v>
      </c>
      <c r="N29" s="56" t="s">
        <v>5532</v>
      </c>
      <c r="O29" s="55">
        <v>43688</v>
      </c>
      <c r="P29" s="54"/>
      <c r="Q29" s="49" t="s">
        <v>82</v>
      </c>
      <c r="R29" s="57" t="s">
        <v>5533</v>
      </c>
      <c r="S29" s="47" t="s">
        <v>2539</v>
      </c>
    </row>
    <row r="30" spans="2:19" s="33" customFormat="1" ht="33" hidden="1" customHeight="1">
      <c r="B30" s="47" t="s">
        <v>220</v>
      </c>
      <c r="C30" s="48" t="s">
        <v>1181</v>
      </c>
      <c r="D30" s="49" t="s">
        <v>1182</v>
      </c>
      <c r="E30" s="50">
        <v>43567</v>
      </c>
      <c r="F30" s="49" t="s">
        <v>5486</v>
      </c>
      <c r="G30" s="51">
        <v>10000</v>
      </c>
      <c r="H30" s="52">
        <f t="shared" si="0"/>
        <v>40</v>
      </c>
      <c r="I30" s="52">
        <f t="shared" si="1"/>
        <v>10</v>
      </c>
      <c r="J30" s="49"/>
      <c r="K30" s="53">
        <v>43674</v>
      </c>
      <c r="L30" s="54" t="s">
        <v>5531</v>
      </c>
      <c r="M30" s="55">
        <v>43682</v>
      </c>
      <c r="N30" s="56" t="s">
        <v>5532</v>
      </c>
      <c r="O30" s="55">
        <v>43688</v>
      </c>
      <c r="P30" s="54"/>
      <c r="Q30" s="49"/>
      <c r="R30" s="57" t="s">
        <v>5534</v>
      </c>
      <c r="S30" s="47" t="s">
        <v>2539</v>
      </c>
    </row>
    <row r="31" spans="2:19" s="33" customFormat="1" ht="33" hidden="1" customHeight="1">
      <c r="B31" s="47" t="s">
        <v>78</v>
      </c>
      <c r="C31" s="48" t="s">
        <v>2273</v>
      </c>
      <c r="D31" s="49" t="s">
        <v>2274</v>
      </c>
      <c r="E31" s="50">
        <v>43602</v>
      </c>
      <c r="F31" s="49" t="s">
        <v>79</v>
      </c>
      <c r="G31" s="51">
        <v>20000</v>
      </c>
      <c r="H31" s="52">
        <f t="shared" si="0"/>
        <v>80</v>
      </c>
      <c r="I31" s="52">
        <f t="shared" si="1"/>
        <v>20</v>
      </c>
      <c r="J31" s="49"/>
      <c r="K31" s="53">
        <v>43688</v>
      </c>
      <c r="L31" s="54" t="s">
        <v>5531</v>
      </c>
      <c r="M31" s="55">
        <v>43682</v>
      </c>
      <c r="N31" s="56" t="s">
        <v>5532</v>
      </c>
      <c r="O31" s="55">
        <v>43688</v>
      </c>
      <c r="P31" s="54"/>
      <c r="Q31" s="49" t="s">
        <v>82</v>
      </c>
      <c r="R31" s="57" t="s">
        <v>5535</v>
      </c>
      <c r="S31" s="47"/>
    </row>
    <row r="32" spans="2:19" s="33" customFormat="1" ht="33" hidden="1" customHeight="1">
      <c r="B32" s="47" t="s">
        <v>78</v>
      </c>
      <c r="C32" s="48" t="s">
        <v>2276</v>
      </c>
      <c r="D32" s="49" t="s">
        <v>2277</v>
      </c>
      <c r="E32" s="50">
        <v>43602</v>
      </c>
      <c r="F32" s="49" t="s">
        <v>79</v>
      </c>
      <c r="G32" s="51">
        <v>20000</v>
      </c>
      <c r="H32" s="52">
        <f t="shared" si="0"/>
        <v>80</v>
      </c>
      <c r="I32" s="52">
        <f t="shared" si="1"/>
        <v>20</v>
      </c>
      <c r="J32" s="49"/>
      <c r="K32" s="53">
        <v>43695</v>
      </c>
      <c r="L32" s="54" t="s">
        <v>5531</v>
      </c>
      <c r="M32" s="55">
        <v>43682</v>
      </c>
      <c r="N32" s="56" t="s">
        <v>5532</v>
      </c>
      <c r="O32" s="55">
        <v>43688</v>
      </c>
      <c r="P32" s="54"/>
      <c r="Q32" s="49" t="s">
        <v>82</v>
      </c>
      <c r="R32" s="57" t="s">
        <v>5536</v>
      </c>
      <c r="S32" s="47"/>
    </row>
    <row r="33" spans="2:19" s="33" customFormat="1" ht="33" hidden="1" customHeight="1">
      <c r="B33" s="47" t="s">
        <v>220</v>
      </c>
      <c r="C33" s="48" t="s">
        <v>2279</v>
      </c>
      <c r="D33" s="49" t="s">
        <v>2280</v>
      </c>
      <c r="E33" s="50">
        <v>43602</v>
      </c>
      <c r="F33" s="49" t="s">
        <v>79</v>
      </c>
      <c r="G33" s="51">
        <v>20000</v>
      </c>
      <c r="H33" s="52">
        <f t="shared" si="0"/>
        <v>80</v>
      </c>
      <c r="I33" s="52">
        <f t="shared" si="1"/>
        <v>20</v>
      </c>
      <c r="J33" s="49"/>
      <c r="K33" s="53">
        <v>43695</v>
      </c>
      <c r="L33" s="54" t="s">
        <v>5531</v>
      </c>
      <c r="M33" s="55">
        <v>43682</v>
      </c>
      <c r="N33" s="56" t="s">
        <v>5532</v>
      </c>
      <c r="O33" s="55">
        <v>43688</v>
      </c>
      <c r="P33" s="54"/>
      <c r="Q33" s="49"/>
      <c r="R33" s="57" t="s">
        <v>5537</v>
      </c>
      <c r="S33" s="47"/>
    </row>
    <row r="34" spans="2:19" s="33" customFormat="1" ht="33" hidden="1" customHeight="1">
      <c r="B34" s="47" t="s">
        <v>78</v>
      </c>
      <c r="C34" s="48" t="s">
        <v>2282</v>
      </c>
      <c r="D34" s="49" t="s">
        <v>2283</v>
      </c>
      <c r="E34" s="50">
        <v>43602</v>
      </c>
      <c r="F34" s="49" t="s">
        <v>79</v>
      </c>
      <c r="G34" s="51">
        <v>20000</v>
      </c>
      <c r="H34" s="52">
        <f t="shared" si="0"/>
        <v>80</v>
      </c>
      <c r="I34" s="52">
        <f t="shared" si="1"/>
        <v>20</v>
      </c>
      <c r="J34" s="49"/>
      <c r="K34" s="53">
        <v>43709</v>
      </c>
      <c r="L34" s="54" t="s">
        <v>5538</v>
      </c>
      <c r="M34" s="55">
        <v>43703</v>
      </c>
      <c r="N34" s="56" t="s">
        <v>5539</v>
      </c>
      <c r="O34" s="55">
        <v>43709</v>
      </c>
      <c r="P34" s="54"/>
      <c r="Q34" s="49" t="s">
        <v>82</v>
      </c>
      <c r="R34" s="57" t="s">
        <v>5540</v>
      </c>
      <c r="S34" s="47"/>
    </row>
    <row r="35" spans="2:19" s="33" customFormat="1" ht="33" hidden="1" customHeight="1">
      <c r="B35" s="47" t="s">
        <v>220</v>
      </c>
      <c r="C35" s="48" t="s">
        <v>5541</v>
      </c>
      <c r="D35" s="49" t="s">
        <v>3354</v>
      </c>
      <c r="E35" s="50">
        <v>43637</v>
      </c>
      <c r="F35" s="49" t="s">
        <v>79</v>
      </c>
      <c r="G35" s="51">
        <v>20000</v>
      </c>
      <c r="H35" s="52">
        <v>64</v>
      </c>
      <c r="I35" s="52">
        <v>16</v>
      </c>
      <c r="J35" s="49"/>
      <c r="K35" s="53">
        <v>43716</v>
      </c>
      <c r="L35" s="54" t="s">
        <v>5542</v>
      </c>
      <c r="M35" s="55">
        <v>43717</v>
      </c>
      <c r="N35" s="56" t="s">
        <v>5448</v>
      </c>
      <c r="O35" s="55">
        <v>43723</v>
      </c>
      <c r="P35" s="54"/>
      <c r="Q35" s="49"/>
      <c r="R35" s="57" t="s">
        <v>5543</v>
      </c>
      <c r="S35" s="47" t="s">
        <v>5465</v>
      </c>
    </row>
    <row r="36" spans="2:19" s="33" customFormat="1" ht="33" hidden="1" customHeight="1">
      <c r="B36" s="47" t="s">
        <v>78</v>
      </c>
      <c r="C36" s="48" t="s">
        <v>3356</v>
      </c>
      <c r="D36" s="49" t="s">
        <v>3357</v>
      </c>
      <c r="E36" s="50">
        <v>43637</v>
      </c>
      <c r="F36" s="49" t="s">
        <v>79</v>
      </c>
      <c r="G36" s="51">
        <v>20000</v>
      </c>
      <c r="H36" s="52">
        <f t="shared" si="0"/>
        <v>80</v>
      </c>
      <c r="I36" s="52">
        <f t="shared" si="1"/>
        <v>20</v>
      </c>
      <c r="J36" s="49"/>
      <c r="K36" s="53">
        <v>43723</v>
      </c>
      <c r="L36" s="54" t="s">
        <v>3555</v>
      </c>
      <c r="M36" s="55">
        <v>43717</v>
      </c>
      <c r="N36" s="56" t="s">
        <v>5544</v>
      </c>
      <c r="O36" s="55">
        <v>43723</v>
      </c>
      <c r="P36" s="54"/>
      <c r="Q36" s="49" t="s">
        <v>82</v>
      </c>
      <c r="R36" s="57" t="s">
        <v>5545</v>
      </c>
      <c r="S36" s="47"/>
    </row>
    <row r="37" spans="2:19" s="30" customFormat="1" ht="33" hidden="1" customHeight="1">
      <c r="B37" s="46" t="s">
        <v>78</v>
      </c>
      <c r="C37" s="35" t="s">
        <v>3359</v>
      </c>
      <c r="D37" s="36" t="s">
        <v>3360</v>
      </c>
      <c r="E37" s="37">
        <v>43637</v>
      </c>
      <c r="F37" s="36" t="s">
        <v>79</v>
      </c>
      <c r="G37" s="39">
        <v>20000</v>
      </c>
      <c r="H37" s="38">
        <f t="shared" si="0"/>
        <v>80</v>
      </c>
      <c r="I37" s="38">
        <f t="shared" si="1"/>
        <v>20</v>
      </c>
      <c r="J37" s="36"/>
      <c r="K37" s="40">
        <v>43737</v>
      </c>
      <c r="L37" s="41" t="s">
        <v>3556</v>
      </c>
      <c r="M37" s="42">
        <v>43728</v>
      </c>
      <c r="N37" s="43" t="s">
        <v>5546</v>
      </c>
      <c r="O37" s="42">
        <v>43737</v>
      </c>
      <c r="P37" s="41"/>
      <c r="Q37" s="36" t="s">
        <v>82</v>
      </c>
      <c r="R37" s="44" t="s">
        <v>5547</v>
      </c>
      <c r="S37" s="46"/>
    </row>
    <row r="38" spans="2:19" s="30" customFormat="1" ht="33" hidden="1" customHeight="1">
      <c r="B38" s="46" t="s">
        <v>220</v>
      </c>
      <c r="C38" s="35" t="s">
        <v>4252</v>
      </c>
      <c r="D38" s="36" t="s">
        <v>4253</v>
      </c>
      <c r="E38" s="37">
        <v>43665</v>
      </c>
      <c r="F38" s="36" t="s">
        <v>79</v>
      </c>
      <c r="G38" s="108">
        <v>24000</v>
      </c>
      <c r="H38" s="38">
        <v>96</v>
      </c>
      <c r="I38" s="38">
        <f t="shared" si="1"/>
        <v>24</v>
      </c>
      <c r="J38" s="36"/>
      <c r="K38" s="40">
        <v>43744</v>
      </c>
      <c r="L38" s="41" t="s">
        <v>3556</v>
      </c>
      <c r="M38" s="42">
        <v>43728</v>
      </c>
      <c r="N38" s="43" t="s">
        <v>5449</v>
      </c>
      <c r="O38" s="42">
        <v>43737</v>
      </c>
      <c r="P38" s="41"/>
      <c r="Q38" s="36"/>
      <c r="R38" s="44" t="s">
        <v>5548</v>
      </c>
      <c r="S38" s="46" t="s">
        <v>5464</v>
      </c>
    </row>
    <row r="39" spans="2:19" s="30" customFormat="1" ht="33" hidden="1" customHeight="1">
      <c r="B39" s="46" t="s">
        <v>78</v>
      </c>
      <c r="C39" s="35" t="s">
        <v>4255</v>
      </c>
      <c r="D39" s="36" t="s">
        <v>4256</v>
      </c>
      <c r="E39" s="37">
        <v>43665</v>
      </c>
      <c r="F39" s="36" t="s">
        <v>79</v>
      </c>
      <c r="G39" s="39">
        <v>20000</v>
      </c>
      <c r="H39" s="38">
        <f t="shared" si="0"/>
        <v>80</v>
      </c>
      <c r="I39" s="38">
        <f t="shared" si="1"/>
        <v>20</v>
      </c>
      <c r="J39" s="36"/>
      <c r="K39" s="40">
        <v>43744</v>
      </c>
      <c r="L39" s="41" t="s">
        <v>5549</v>
      </c>
      <c r="M39" s="42">
        <v>43738</v>
      </c>
      <c r="N39" s="43" t="s">
        <v>5550</v>
      </c>
      <c r="O39" s="42">
        <v>43744</v>
      </c>
      <c r="P39" s="41"/>
      <c r="Q39" s="36" t="s">
        <v>82</v>
      </c>
      <c r="R39" s="44" t="s">
        <v>5551</v>
      </c>
      <c r="S39" s="46"/>
    </row>
    <row r="40" spans="2:19" s="30" customFormat="1" ht="33" hidden="1" customHeight="1">
      <c r="B40" s="46" t="s">
        <v>78</v>
      </c>
      <c r="C40" s="35" t="s">
        <v>4258</v>
      </c>
      <c r="D40" s="36" t="s">
        <v>4259</v>
      </c>
      <c r="E40" s="37">
        <v>43665</v>
      </c>
      <c r="F40" s="36" t="s">
        <v>79</v>
      </c>
      <c r="G40" s="39">
        <v>20000</v>
      </c>
      <c r="H40" s="38">
        <f t="shared" si="0"/>
        <v>80</v>
      </c>
      <c r="I40" s="38">
        <f t="shared" si="1"/>
        <v>20</v>
      </c>
      <c r="J40" s="36"/>
      <c r="K40" s="40">
        <v>43758</v>
      </c>
      <c r="L40" s="41" t="s">
        <v>5552</v>
      </c>
      <c r="M40" s="42">
        <v>43749</v>
      </c>
      <c r="N40" s="43" t="s">
        <v>5553</v>
      </c>
      <c r="O40" s="42">
        <v>43758</v>
      </c>
      <c r="P40" s="41"/>
      <c r="Q40" s="36" t="s">
        <v>82</v>
      </c>
      <c r="R40" s="44" t="s">
        <v>5554</v>
      </c>
      <c r="S40" s="46"/>
    </row>
    <row r="41" spans="2:19" s="30" customFormat="1" ht="33" hidden="1" customHeight="1">
      <c r="B41" s="46" t="s">
        <v>78</v>
      </c>
      <c r="C41" s="35" t="s">
        <v>4261</v>
      </c>
      <c r="D41" s="36" t="s">
        <v>4262</v>
      </c>
      <c r="E41" s="37">
        <v>43665</v>
      </c>
      <c r="F41" s="36" t="s">
        <v>79</v>
      </c>
      <c r="G41" s="39">
        <v>20000</v>
      </c>
      <c r="H41" s="38">
        <f t="shared" si="0"/>
        <v>80</v>
      </c>
      <c r="I41" s="38">
        <f t="shared" si="1"/>
        <v>20</v>
      </c>
      <c r="J41" s="36"/>
      <c r="K41" s="40">
        <v>43765</v>
      </c>
      <c r="L41" s="41" t="s">
        <v>5555</v>
      </c>
      <c r="M41" s="42">
        <v>43756</v>
      </c>
      <c r="N41" s="43" t="s">
        <v>5556</v>
      </c>
      <c r="O41" s="42">
        <v>43765</v>
      </c>
      <c r="P41" s="41"/>
      <c r="Q41" s="36" t="s">
        <v>82</v>
      </c>
      <c r="R41" s="44" t="s">
        <v>5557</v>
      </c>
      <c r="S41" s="46"/>
    </row>
    <row r="42" spans="2:19" s="30" customFormat="1" ht="33" hidden="1" customHeight="1">
      <c r="B42" s="46" t="s">
        <v>220</v>
      </c>
      <c r="C42" s="35" t="s">
        <v>4264</v>
      </c>
      <c r="D42" s="36" t="s">
        <v>4265</v>
      </c>
      <c r="E42" s="37">
        <v>43665</v>
      </c>
      <c r="F42" s="36" t="s">
        <v>79</v>
      </c>
      <c r="G42" s="39">
        <v>20000</v>
      </c>
      <c r="H42" s="38">
        <f t="shared" si="0"/>
        <v>80</v>
      </c>
      <c r="I42" s="38">
        <f t="shared" si="1"/>
        <v>20</v>
      </c>
      <c r="J42" s="36"/>
      <c r="K42" s="40">
        <v>43758</v>
      </c>
      <c r="L42" s="41" t="s">
        <v>5552</v>
      </c>
      <c r="M42" s="42">
        <v>43749</v>
      </c>
      <c r="N42" s="43" t="s">
        <v>5553</v>
      </c>
      <c r="O42" s="42">
        <v>43758</v>
      </c>
      <c r="P42" s="41"/>
      <c r="Q42" s="36"/>
      <c r="R42" s="44" t="s">
        <v>5558</v>
      </c>
      <c r="S42" s="46"/>
    </row>
    <row r="43" spans="2:19" s="30" customFormat="1" ht="33" hidden="1" customHeight="1">
      <c r="B43" s="46" t="s">
        <v>78</v>
      </c>
      <c r="C43" s="35" t="s">
        <v>5057</v>
      </c>
      <c r="D43" s="36" t="s">
        <v>5559</v>
      </c>
      <c r="E43" s="37">
        <v>43689</v>
      </c>
      <c r="F43" s="36" t="s">
        <v>79</v>
      </c>
      <c r="G43" s="39">
        <v>20000</v>
      </c>
      <c r="H43" s="38">
        <f t="shared" si="0"/>
        <v>80</v>
      </c>
      <c r="I43" s="38">
        <f t="shared" si="1"/>
        <v>20</v>
      </c>
      <c r="J43" s="36"/>
      <c r="K43" s="40">
        <v>43772</v>
      </c>
      <c r="L43" s="41" t="s">
        <v>5560</v>
      </c>
      <c r="M43" s="42">
        <v>43766</v>
      </c>
      <c r="N43" s="43" t="s">
        <v>5561</v>
      </c>
      <c r="O43" s="42">
        <v>43772</v>
      </c>
      <c r="P43" s="41"/>
      <c r="Q43" s="36"/>
      <c r="R43" s="44" t="s">
        <v>5562</v>
      </c>
      <c r="S43" s="46"/>
    </row>
    <row r="44" spans="2:19" s="30" customFormat="1" ht="33" hidden="1" customHeight="1">
      <c r="B44" s="46" t="s">
        <v>220</v>
      </c>
      <c r="C44" s="35" t="s">
        <v>5055</v>
      </c>
      <c r="D44" s="36" t="s">
        <v>5563</v>
      </c>
      <c r="E44" s="37">
        <v>43689</v>
      </c>
      <c r="F44" s="36" t="s">
        <v>79</v>
      </c>
      <c r="G44" s="39">
        <v>20000</v>
      </c>
      <c r="H44" s="38">
        <f t="shared" si="0"/>
        <v>80</v>
      </c>
      <c r="I44" s="38">
        <f t="shared" si="1"/>
        <v>20</v>
      </c>
      <c r="J44" s="36"/>
      <c r="K44" s="40">
        <v>43779</v>
      </c>
      <c r="L44" s="41" t="s">
        <v>5564</v>
      </c>
      <c r="M44" s="42">
        <v>43770</v>
      </c>
      <c r="N44" s="43" t="s">
        <v>5565</v>
      </c>
      <c r="O44" s="42">
        <v>43779</v>
      </c>
      <c r="P44" s="41"/>
      <c r="Q44" s="36"/>
      <c r="R44" s="44" t="s">
        <v>5566</v>
      </c>
      <c r="S44" s="46"/>
    </row>
    <row r="45" spans="2:19" s="30" customFormat="1" ht="33" hidden="1" customHeight="1">
      <c r="B45" s="46" t="s">
        <v>78</v>
      </c>
      <c r="C45" s="35" t="s">
        <v>5053</v>
      </c>
      <c r="D45" s="36" t="s">
        <v>5567</v>
      </c>
      <c r="E45" s="37">
        <v>43689</v>
      </c>
      <c r="F45" s="36" t="s">
        <v>79</v>
      </c>
      <c r="G45" s="39">
        <v>20000</v>
      </c>
      <c r="H45" s="38">
        <f t="shared" si="0"/>
        <v>80</v>
      </c>
      <c r="I45" s="38">
        <f t="shared" si="1"/>
        <v>20</v>
      </c>
      <c r="J45" s="36"/>
      <c r="K45" s="40">
        <v>43786</v>
      </c>
      <c r="L45" s="41" t="s">
        <v>5568</v>
      </c>
      <c r="M45" s="42">
        <v>43780</v>
      </c>
      <c r="N45" s="43" t="s">
        <v>5569</v>
      </c>
      <c r="O45" s="42">
        <v>43786</v>
      </c>
      <c r="P45" s="41"/>
      <c r="Q45" s="36"/>
      <c r="R45" s="44" t="s">
        <v>5570</v>
      </c>
      <c r="S45" s="46"/>
    </row>
    <row r="46" spans="2:19" s="30" customFormat="1" ht="33" hidden="1" customHeight="1">
      <c r="B46" s="46" t="s">
        <v>78</v>
      </c>
      <c r="C46" s="35" t="s">
        <v>5051</v>
      </c>
      <c r="D46" s="36" t="s">
        <v>5571</v>
      </c>
      <c r="E46" s="37">
        <v>43689</v>
      </c>
      <c r="F46" s="36" t="s">
        <v>79</v>
      </c>
      <c r="G46" s="39">
        <v>20000</v>
      </c>
      <c r="H46" s="38">
        <f t="shared" si="0"/>
        <v>80</v>
      </c>
      <c r="I46" s="38">
        <f t="shared" si="1"/>
        <v>20</v>
      </c>
      <c r="J46" s="36"/>
      <c r="K46" s="40">
        <v>43793</v>
      </c>
      <c r="L46" s="41" t="s">
        <v>5572</v>
      </c>
      <c r="M46" s="42">
        <v>43787</v>
      </c>
      <c r="N46" s="43" t="s">
        <v>5573</v>
      </c>
      <c r="O46" s="42">
        <v>43793</v>
      </c>
      <c r="P46" s="41"/>
      <c r="Q46" s="36"/>
      <c r="R46" s="44" t="s">
        <v>5574</v>
      </c>
      <c r="S46" s="46"/>
    </row>
    <row r="47" spans="2:19" s="30" customFormat="1" ht="33" hidden="1" customHeight="1">
      <c r="B47" s="46" t="s">
        <v>5575</v>
      </c>
      <c r="C47" s="35" t="s">
        <v>5049</v>
      </c>
      <c r="D47" s="36" t="s">
        <v>5576</v>
      </c>
      <c r="E47" s="37">
        <v>43689</v>
      </c>
      <c r="F47" s="36" t="s">
        <v>79</v>
      </c>
      <c r="G47" s="39">
        <v>20000</v>
      </c>
      <c r="H47" s="38">
        <f t="shared" si="0"/>
        <v>80</v>
      </c>
      <c r="I47" s="38">
        <f t="shared" si="1"/>
        <v>20</v>
      </c>
      <c r="J47" s="36"/>
      <c r="K47" s="40">
        <v>43800</v>
      </c>
      <c r="L47" s="41" t="s">
        <v>5577</v>
      </c>
      <c r="M47" s="42">
        <v>43795</v>
      </c>
      <c r="N47" s="43" t="s">
        <v>5694</v>
      </c>
      <c r="O47" s="42">
        <v>43800</v>
      </c>
      <c r="P47" s="41"/>
      <c r="Q47" s="36"/>
      <c r="R47" s="44" t="s">
        <v>5578</v>
      </c>
      <c r="S47" s="46"/>
    </row>
    <row r="48" spans="2:19" s="30" customFormat="1" ht="33" hidden="1" customHeight="1">
      <c r="B48" s="46" t="s">
        <v>220</v>
      </c>
      <c r="C48" s="35" t="s">
        <v>5047</v>
      </c>
      <c r="D48" s="36" t="s">
        <v>5579</v>
      </c>
      <c r="E48" s="37">
        <v>43689</v>
      </c>
      <c r="F48" s="36" t="s">
        <v>79</v>
      </c>
      <c r="G48" s="39">
        <v>20000</v>
      </c>
      <c r="H48" s="38">
        <f t="shared" si="0"/>
        <v>80</v>
      </c>
      <c r="I48" s="38">
        <f t="shared" si="1"/>
        <v>20</v>
      </c>
      <c r="J48" s="36"/>
      <c r="K48" s="40">
        <v>43793</v>
      </c>
      <c r="L48" s="41" t="s">
        <v>5572</v>
      </c>
      <c r="M48" s="42">
        <v>43787</v>
      </c>
      <c r="N48" s="43" t="s">
        <v>5573</v>
      </c>
      <c r="O48" s="42">
        <v>43793</v>
      </c>
      <c r="P48" s="41"/>
      <c r="Q48" s="36"/>
      <c r="R48" s="44" t="s">
        <v>5580</v>
      </c>
      <c r="S48" s="46"/>
    </row>
    <row r="49" spans="2:19" s="96" customFormat="1" ht="33" hidden="1" customHeight="1">
      <c r="B49" s="47" t="s">
        <v>17</v>
      </c>
      <c r="C49" s="48" t="s">
        <v>427</v>
      </c>
      <c r="D49" s="49" t="s">
        <v>5581</v>
      </c>
      <c r="E49" s="50">
        <v>43483</v>
      </c>
      <c r="F49" s="52" t="s">
        <v>84</v>
      </c>
      <c r="G49" s="51">
        <v>9200</v>
      </c>
      <c r="H49" s="52">
        <f t="shared" ref="H49:H53" si="2">SUM(G49/230)</f>
        <v>40</v>
      </c>
      <c r="I49" s="52">
        <f t="shared" si="1"/>
        <v>10</v>
      </c>
      <c r="J49" s="49"/>
      <c r="K49" s="53">
        <v>43576</v>
      </c>
      <c r="L49" s="54" t="s">
        <v>5582</v>
      </c>
      <c r="M49" s="55">
        <v>43571</v>
      </c>
      <c r="N49" s="56" t="s">
        <v>5583</v>
      </c>
      <c r="O49" s="55">
        <v>43576</v>
      </c>
      <c r="P49" s="58"/>
      <c r="Q49" s="52" t="s">
        <v>82</v>
      </c>
      <c r="R49" s="57" t="s">
        <v>5584</v>
      </c>
      <c r="S49" s="47"/>
    </row>
    <row r="50" spans="2:19" s="96" customFormat="1" ht="33" hidden="1" customHeight="1">
      <c r="B50" s="47" t="s">
        <v>17</v>
      </c>
      <c r="C50" s="48" t="s">
        <v>581</v>
      </c>
      <c r="D50" s="49" t="s">
        <v>582</v>
      </c>
      <c r="E50" s="50">
        <v>43519</v>
      </c>
      <c r="F50" s="52" t="s">
        <v>84</v>
      </c>
      <c r="G50" s="51">
        <v>9200</v>
      </c>
      <c r="H50" s="52">
        <f t="shared" si="2"/>
        <v>40</v>
      </c>
      <c r="I50" s="52">
        <f t="shared" si="1"/>
        <v>10</v>
      </c>
      <c r="J50" s="49"/>
      <c r="K50" s="53">
        <v>43632</v>
      </c>
      <c r="L50" s="54" t="s">
        <v>5585</v>
      </c>
      <c r="M50" s="55">
        <v>43620</v>
      </c>
      <c r="N50" s="56" t="s">
        <v>5586</v>
      </c>
      <c r="O50" s="55">
        <v>43625</v>
      </c>
      <c r="P50" s="58"/>
      <c r="Q50" s="52" t="s">
        <v>82</v>
      </c>
      <c r="R50" s="57" t="s">
        <v>5587</v>
      </c>
      <c r="S50" s="47"/>
    </row>
    <row r="51" spans="2:19" s="96" customFormat="1" ht="33" hidden="1" customHeight="1">
      <c r="B51" s="47" t="s">
        <v>17</v>
      </c>
      <c r="C51" s="48" t="s">
        <v>694</v>
      </c>
      <c r="D51" s="49" t="s">
        <v>695</v>
      </c>
      <c r="E51" s="50">
        <v>43532</v>
      </c>
      <c r="F51" s="52" t="s">
        <v>5588</v>
      </c>
      <c r="G51" s="51">
        <v>9200</v>
      </c>
      <c r="H51" s="52">
        <f t="shared" si="2"/>
        <v>40</v>
      </c>
      <c r="I51" s="52">
        <f t="shared" si="1"/>
        <v>10</v>
      </c>
      <c r="J51" s="49"/>
      <c r="K51" s="53">
        <v>43653</v>
      </c>
      <c r="L51" s="54" t="s">
        <v>1326</v>
      </c>
      <c r="M51" s="55">
        <v>43648</v>
      </c>
      <c r="N51" s="56" t="s">
        <v>2540</v>
      </c>
      <c r="O51" s="55">
        <v>43653</v>
      </c>
      <c r="P51" s="58"/>
      <c r="Q51" s="52" t="s">
        <v>82</v>
      </c>
      <c r="R51" s="57" t="s">
        <v>5589</v>
      </c>
      <c r="S51" s="47"/>
    </row>
    <row r="52" spans="2:19" s="96" customFormat="1" ht="33" hidden="1" customHeight="1">
      <c r="B52" s="47" t="s">
        <v>17</v>
      </c>
      <c r="C52" s="48" t="s">
        <v>2299</v>
      </c>
      <c r="D52" s="49" t="s">
        <v>2641</v>
      </c>
      <c r="E52" s="50">
        <v>43609</v>
      </c>
      <c r="F52" s="52" t="s">
        <v>5588</v>
      </c>
      <c r="G52" s="51">
        <v>2760</v>
      </c>
      <c r="H52" s="52">
        <f t="shared" si="2"/>
        <v>12</v>
      </c>
      <c r="I52" s="52">
        <f t="shared" si="1"/>
        <v>3</v>
      </c>
      <c r="J52" s="49"/>
      <c r="K52" s="53">
        <v>43653</v>
      </c>
      <c r="L52" s="54" t="s">
        <v>1326</v>
      </c>
      <c r="M52" s="55">
        <v>43648</v>
      </c>
      <c r="N52" s="56" t="s">
        <v>2540</v>
      </c>
      <c r="O52" s="55">
        <v>43653</v>
      </c>
      <c r="P52" s="58"/>
      <c r="Q52" s="52" t="s">
        <v>82</v>
      </c>
      <c r="R52" s="57" t="s">
        <v>5589</v>
      </c>
      <c r="S52" s="47"/>
    </row>
    <row r="53" spans="2:19" s="96" customFormat="1" ht="33" hidden="1" customHeight="1">
      <c r="B53" s="47" t="s">
        <v>17</v>
      </c>
      <c r="C53" s="48" t="s">
        <v>5590</v>
      </c>
      <c r="D53" s="49" t="s">
        <v>2300</v>
      </c>
      <c r="E53" s="50">
        <v>43602</v>
      </c>
      <c r="F53" s="52" t="s">
        <v>5588</v>
      </c>
      <c r="G53" s="51">
        <v>9200</v>
      </c>
      <c r="H53" s="52">
        <f t="shared" si="2"/>
        <v>40</v>
      </c>
      <c r="I53" s="52">
        <f t="shared" si="1"/>
        <v>10</v>
      </c>
      <c r="J53" s="49"/>
      <c r="K53" s="53">
        <v>43695</v>
      </c>
      <c r="L53" s="54" t="s">
        <v>5591</v>
      </c>
      <c r="M53" s="55">
        <v>43683</v>
      </c>
      <c r="N53" s="56" t="s">
        <v>5592</v>
      </c>
      <c r="O53" s="55">
        <v>43688</v>
      </c>
      <c r="P53" s="58"/>
      <c r="Q53" s="52" t="s">
        <v>82</v>
      </c>
      <c r="R53" s="57" t="s">
        <v>5593</v>
      </c>
      <c r="S53" s="47" t="s">
        <v>2764</v>
      </c>
    </row>
    <row r="54" spans="2:19" s="96" customFormat="1" ht="33" hidden="1" customHeight="1">
      <c r="B54" s="47" t="s">
        <v>17</v>
      </c>
      <c r="C54" s="48" t="s">
        <v>3702</v>
      </c>
      <c r="D54" s="49" t="s">
        <v>3703</v>
      </c>
      <c r="E54" s="50">
        <v>43643</v>
      </c>
      <c r="F54" s="52" t="s">
        <v>5588</v>
      </c>
      <c r="G54" s="51">
        <v>4600</v>
      </c>
      <c r="H54" s="52">
        <f>SUM(G54/230)</f>
        <v>20</v>
      </c>
      <c r="I54" s="52">
        <f t="shared" si="1"/>
        <v>5</v>
      </c>
      <c r="J54" s="49"/>
      <c r="K54" s="53">
        <v>43688</v>
      </c>
      <c r="L54" s="54" t="s">
        <v>5591</v>
      </c>
      <c r="M54" s="55">
        <v>43683</v>
      </c>
      <c r="N54" s="56" t="s">
        <v>5592</v>
      </c>
      <c r="O54" s="55">
        <v>43688</v>
      </c>
      <c r="P54" s="58"/>
      <c r="Q54" s="52" t="s">
        <v>82</v>
      </c>
      <c r="R54" s="57"/>
      <c r="S54" s="47"/>
    </row>
    <row r="55" spans="2:19" s="96" customFormat="1" ht="33" hidden="1" customHeight="1">
      <c r="B55" s="47" t="s">
        <v>17</v>
      </c>
      <c r="C55" s="48" t="s">
        <v>5594</v>
      </c>
      <c r="D55" s="49" t="s">
        <v>3377</v>
      </c>
      <c r="E55" s="50">
        <v>43637</v>
      </c>
      <c r="F55" s="52" t="s">
        <v>5588</v>
      </c>
      <c r="G55" s="51">
        <v>9200</v>
      </c>
      <c r="H55" s="107">
        <v>36</v>
      </c>
      <c r="I55" s="107">
        <f t="shared" si="1"/>
        <v>9</v>
      </c>
      <c r="J55" s="49"/>
      <c r="K55" s="53">
        <v>43716</v>
      </c>
      <c r="L55" s="54" t="s">
        <v>5459</v>
      </c>
      <c r="M55" s="55">
        <v>43718</v>
      </c>
      <c r="N55" s="56" t="s">
        <v>5460</v>
      </c>
      <c r="O55" s="55">
        <v>43723</v>
      </c>
      <c r="P55" s="58"/>
      <c r="Q55" s="52"/>
      <c r="R55" s="57" t="s">
        <v>5595</v>
      </c>
      <c r="S55" s="47" t="s">
        <v>5457</v>
      </c>
    </row>
    <row r="56" spans="2:19" s="67" customFormat="1" ht="33" customHeight="1">
      <c r="B56" s="122" t="s">
        <v>17</v>
      </c>
      <c r="C56" s="126" t="s">
        <v>5596</v>
      </c>
      <c r="D56" s="127" t="s">
        <v>3380</v>
      </c>
      <c r="E56" s="128">
        <v>43637</v>
      </c>
      <c r="F56" s="124" t="s">
        <v>5588</v>
      </c>
      <c r="G56" s="129">
        <v>9200</v>
      </c>
      <c r="H56" s="124">
        <f t="shared" ref="H56" si="3">SUM(G56/230)</f>
        <v>40</v>
      </c>
      <c r="I56" s="124">
        <f t="shared" si="1"/>
        <v>10</v>
      </c>
      <c r="J56" s="127"/>
      <c r="K56" s="130">
        <v>43744</v>
      </c>
      <c r="L56" s="110" t="s">
        <v>5205</v>
      </c>
      <c r="M56" s="111">
        <v>43732</v>
      </c>
      <c r="N56" s="112" t="s">
        <v>5697</v>
      </c>
      <c r="O56" s="111">
        <v>43737</v>
      </c>
      <c r="P56" s="123"/>
      <c r="Q56" s="124"/>
      <c r="R56" s="125" t="s">
        <v>5597</v>
      </c>
      <c r="S56" s="103" t="s">
        <v>5696</v>
      </c>
    </row>
    <row r="57" spans="2:19" s="67" customFormat="1" ht="33" hidden="1" customHeight="1">
      <c r="B57" s="46" t="s">
        <v>17</v>
      </c>
      <c r="C57" s="35" t="s">
        <v>5033</v>
      </c>
      <c r="D57" s="36" t="s">
        <v>5598</v>
      </c>
      <c r="E57" s="37">
        <v>43689</v>
      </c>
      <c r="F57" s="38" t="s">
        <v>5588</v>
      </c>
      <c r="G57" s="39">
        <v>4600</v>
      </c>
      <c r="H57" s="38">
        <f>SUM(G57/230)</f>
        <v>20</v>
      </c>
      <c r="I57" s="38">
        <f t="shared" si="1"/>
        <v>5</v>
      </c>
      <c r="J57" s="36"/>
      <c r="K57" s="40">
        <v>43800</v>
      </c>
      <c r="L57" s="41" t="s">
        <v>5599</v>
      </c>
      <c r="M57" s="42">
        <v>43795</v>
      </c>
      <c r="N57" s="43" t="s">
        <v>5600</v>
      </c>
      <c r="O57" s="42">
        <v>43800</v>
      </c>
      <c r="P57" s="45"/>
      <c r="Q57" s="38" t="s">
        <v>82</v>
      </c>
      <c r="R57" s="44" t="s">
        <v>5601</v>
      </c>
      <c r="S57" s="46"/>
    </row>
    <row r="58" spans="2:19" s="67" customFormat="1" ht="33" customHeight="1">
      <c r="B58" s="122" t="s">
        <v>17</v>
      </c>
      <c r="C58" s="126" t="s">
        <v>5346</v>
      </c>
      <c r="D58" s="127" t="s">
        <v>5602</v>
      </c>
      <c r="E58" s="128">
        <v>43700</v>
      </c>
      <c r="F58" s="124" t="s">
        <v>5588</v>
      </c>
      <c r="G58" s="129">
        <v>7360</v>
      </c>
      <c r="H58" s="201">
        <v>32</v>
      </c>
      <c r="I58" s="201">
        <f t="shared" si="1"/>
        <v>8</v>
      </c>
      <c r="J58" s="127"/>
      <c r="K58" s="130">
        <v>43744</v>
      </c>
      <c r="L58" s="110" t="s">
        <v>5205</v>
      </c>
      <c r="M58" s="111">
        <v>43732</v>
      </c>
      <c r="N58" s="112" t="s">
        <v>5697</v>
      </c>
      <c r="O58" s="111">
        <v>43737</v>
      </c>
      <c r="P58" s="123"/>
      <c r="Q58" s="124" t="s">
        <v>82</v>
      </c>
      <c r="R58" s="125" t="s">
        <v>5347</v>
      </c>
      <c r="S58" s="103" t="s">
        <v>5695</v>
      </c>
    </row>
    <row r="59" spans="2:19" s="67" customFormat="1" ht="33" hidden="1" customHeight="1">
      <c r="B59" s="122" t="s">
        <v>17</v>
      </c>
      <c r="C59" s="126" t="s">
        <v>5348</v>
      </c>
      <c r="D59" s="127" t="s">
        <v>5691</v>
      </c>
      <c r="E59" s="128">
        <v>43700</v>
      </c>
      <c r="F59" s="124" t="s">
        <v>5588</v>
      </c>
      <c r="G59" s="129">
        <v>6440</v>
      </c>
      <c r="H59" s="124">
        <f>SUM(G59/230)</f>
        <v>28</v>
      </c>
      <c r="I59" s="124">
        <f t="shared" si="1"/>
        <v>7</v>
      </c>
      <c r="J59" s="127"/>
      <c r="K59" s="130">
        <v>43765</v>
      </c>
      <c r="L59" s="119" t="s">
        <v>4477</v>
      </c>
      <c r="M59" s="111">
        <v>43753</v>
      </c>
      <c r="N59" s="112" t="s">
        <v>5698</v>
      </c>
      <c r="O59" s="111">
        <v>43758</v>
      </c>
      <c r="P59" s="123"/>
      <c r="Q59" s="124" t="s">
        <v>82</v>
      </c>
      <c r="R59" s="125" t="s">
        <v>5603</v>
      </c>
      <c r="S59" s="122"/>
    </row>
    <row r="60" spans="2:19" s="96" customFormat="1" ht="33" hidden="1" customHeight="1">
      <c r="B60" s="47" t="s">
        <v>81</v>
      </c>
      <c r="C60" s="48" t="s">
        <v>279</v>
      </c>
      <c r="D60" s="49" t="s">
        <v>5604</v>
      </c>
      <c r="E60" s="50">
        <v>43392</v>
      </c>
      <c r="F60" s="52" t="s">
        <v>84</v>
      </c>
      <c r="G60" s="51">
        <v>11960</v>
      </c>
      <c r="H60" s="52">
        <f t="shared" ref="H60:H81" si="4">SUM(G60/230)</f>
        <v>52</v>
      </c>
      <c r="I60" s="52">
        <f t="shared" si="1"/>
        <v>13</v>
      </c>
      <c r="J60" s="52"/>
      <c r="K60" s="53">
        <v>43597</v>
      </c>
      <c r="L60" s="54" t="s">
        <v>5605</v>
      </c>
      <c r="M60" s="55">
        <v>43756</v>
      </c>
      <c r="N60" s="56" t="s">
        <v>5606</v>
      </c>
      <c r="O60" s="55">
        <v>43598</v>
      </c>
      <c r="P60" s="58" t="s">
        <v>5607</v>
      </c>
      <c r="Q60" s="47"/>
      <c r="R60" s="57" t="s">
        <v>5608</v>
      </c>
      <c r="S60" s="47"/>
    </row>
    <row r="61" spans="2:19" s="96" customFormat="1" ht="33" hidden="1" customHeight="1">
      <c r="B61" s="47" t="s">
        <v>81</v>
      </c>
      <c r="C61" s="48" t="s">
        <v>5609</v>
      </c>
      <c r="D61" s="49" t="s">
        <v>5604</v>
      </c>
      <c r="E61" s="50">
        <v>43392</v>
      </c>
      <c r="F61" s="52" t="s">
        <v>84</v>
      </c>
      <c r="G61" s="51">
        <v>1840</v>
      </c>
      <c r="H61" s="52">
        <f t="shared" si="4"/>
        <v>8</v>
      </c>
      <c r="I61" s="52">
        <f t="shared" si="1"/>
        <v>2</v>
      </c>
      <c r="J61" s="52"/>
      <c r="K61" s="53">
        <v>43597</v>
      </c>
      <c r="L61" s="54" t="s">
        <v>773</v>
      </c>
      <c r="M61" s="55">
        <v>43756</v>
      </c>
      <c r="N61" s="56" t="s">
        <v>5610</v>
      </c>
      <c r="O61" s="55">
        <v>43605</v>
      </c>
      <c r="P61" s="58" t="s">
        <v>5607</v>
      </c>
      <c r="Q61" s="47"/>
      <c r="R61" s="57" t="s">
        <v>5608</v>
      </c>
      <c r="S61" s="47" t="s">
        <v>1329</v>
      </c>
    </row>
    <row r="62" spans="2:19" s="96" customFormat="1" ht="33" hidden="1" customHeight="1">
      <c r="B62" s="47" t="s">
        <v>81</v>
      </c>
      <c r="C62" s="48" t="s">
        <v>318</v>
      </c>
      <c r="D62" s="49" t="s">
        <v>319</v>
      </c>
      <c r="E62" s="50">
        <v>43420</v>
      </c>
      <c r="F62" s="52" t="s">
        <v>5588</v>
      </c>
      <c r="G62" s="51">
        <v>17940</v>
      </c>
      <c r="H62" s="52">
        <f t="shared" si="4"/>
        <v>78</v>
      </c>
      <c r="I62" s="52">
        <f t="shared" si="1"/>
        <v>19.5</v>
      </c>
      <c r="J62" s="52"/>
      <c r="K62" s="53">
        <v>43576</v>
      </c>
      <c r="L62" s="54" t="s">
        <v>480</v>
      </c>
      <c r="M62" s="55">
        <v>43756</v>
      </c>
      <c r="N62" s="56" t="s">
        <v>5611</v>
      </c>
      <c r="O62" s="55">
        <v>43569</v>
      </c>
      <c r="P62" s="58"/>
      <c r="Q62" s="47"/>
      <c r="R62" s="57" t="s">
        <v>5612</v>
      </c>
      <c r="S62" s="47" t="s">
        <v>5613</v>
      </c>
    </row>
    <row r="63" spans="2:19" s="96" customFormat="1" ht="33" hidden="1" customHeight="1">
      <c r="B63" s="47" t="s">
        <v>81</v>
      </c>
      <c r="C63" s="48" t="s">
        <v>5614</v>
      </c>
      <c r="D63" s="49" t="s">
        <v>701</v>
      </c>
      <c r="E63" s="50">
        <v>43532</v>
      </c>
      <c r="F63" s="52" t="s">
        <v>5588</v>
      </c>
      <c r="G63" s="51">
        <v>13800</v>
      </c>
      <c r="H63" s="52">
        <f t="shared" si="4"/>
        <v>60</v>
      </c>
      <c r="I63" s="52">
        <f t="shared" si="1"/>
        <v>15</v>
      </c>
      <c r="J63" s="52"/>
      <c r="K63" s="53">
        <v>43615</v>
      </c>
      <c r="L63" s="54" t="s">
        <v>5615</v>
      </c>
      <c r="M63" s="55">
        <v>43756</v>
      </c>
      <c r="N63" s="56" t="s">
        <v>5616</v>
      </c>
      <c r="O63" s="55">
        <v>43618</v>
      </c>
      <c r="P63" s="58"/>
      <c r="Q63" s="47"/>
      <c r="R63" s="57" t="s">
        <v>5617</v>
      </c>
      <c r="S63" s="47"/>
    </row>
    <row r="64" spans="2:19" s="96" customFormat="1" ht="33" hidden="1" customHeight="1">
      <c r="B64" s="47" t="s">
        <v>81</v>
      </c>
      <c r="C64" s="48" t="s">
        <v>5618</v>
      </c>
      <c r="D64" s="49" t="s">
        <v>5619</v>
      </c>
      <c r="E64" s="50">
        <v>43532</v>
      </c>
      <c r="F64" s="52" t="s">
        <v>5588</v>
      </c>
      <c r="G64" s="51">
        <v>4600</v>
      </c>
      <c r="H64" s="52">
        <f t="shared" si="4"/>
        <v>20</v>
      </c>
      <c r="I64" s="52">
        <f t="shared" si="1"/>
        <v>5</v>
      </c>
      <c r="J64" s="52"/>
      <c r="K64" s="53">
        <v>43615</v>
      </c>
      <c r="L64" s="54" t="s">
        <v>5585</v>
      </c>
      <c r="M64" s="55">
        <v>43756</v>
      </c>
      <c r="N64" s="56" t="s">
        <v>5586</v>
      </c>
      <c r="O64" s="55">
        <v>43625</v>
      </c>
      <c r="P64" s="58"/>
      <c r="Q64" s="47"/>
      <c r="R64" s="57" t="s">
        <v>5617</v>
      </c>
      <c r="S64" s="47"/>
    </row>
    <row r="65" spans="2:19" s="96" customFormat="1" ht="33" hidden="1" customHeight="1">
      <c r="B65" s="47" t="s">
        <v>81</v>
      </c>
      <c r="C65" s="48" t="s">
        <v>702</v>
      </c>
      <c r="D65" s="49" t="s">
        <v>703</v>
      </c>
      <c r="E65" s="50">
        <v>43532</v>
      </c>
      <c r="F65" s="52" t="s">
        <v>5588</v>
      </c>
      <c r="G65" s="51">
        <v>9200</v>
      </c>
      <c r="H65" s="52">
        <f t="shared" si="4"/>
        <v>40</v>
      </c>
      <c r="I65" s="52">
        <f t="shared" si="1"/>
        <v>10</v>
      </c>
      <c r="J65" s="52"/>
      <c r="K65" s="53">
        <v>43632</v>
      </c>
      <c r="L65" s="54" t="s">
        <v>807</v>
      </c>
      <c r="M65" s="55">
        <v>43756</v>
      </c>
      <c r="N65" s="56" t="s">
        <v>808</v>
      </c>
      <c r="O65" s="55">
        <v>43632</v>
      </c>
      <c r="P65" s="58"/>
      <c r="Q65" s="47"/>
      <c r="R65" s="57" t="s">
        <v>5620</v>
      </c>
      <c r="S65" s="47"/>
    </row>
    <row r="66" spans="2:19" s="96" customFormat="1" ht="33" hidden="1" customHeight="1">
      <c r="B66" s="47" t="s">
        <v>81</v>
      </c>
      <c r="C66" s="48" t="s">
        <v>852</v>
      </c>
      <c r="D66" s="49" t="s">
        <v>1990</v>
      </c>
      <c r="E66" s="50">
        <v>43558</v>
      </c>
      <c r="F66" s="52" t="s">
        <v>5588</v>
      </c>
      <c r="G66" s="51">
        <v>9200</v>
      </c>
      <c r="H66" s="52">
        <f t="shared" si="4"/>
        <v>40</v>
      </c>
      <c r="I66" s="52">
        <f t="shared" si="1"/>
        <v>10</v>
      </c>
      <c r="J66" s="52"/>
      <c r="K66" s="53">
        <v>43639</v>
      </c>
      <c r="L66" s="54" t="s">
        <v>1083</v>
      </c>
      <c r="M66" s="55">
        <v>43756</v>
      </c>
      <c r="N66" s="56" t="s">
        <v>1084</v>
      </c>
      <c r="O66" s="55">
        <v>43639</v>
      </c>
      <c r="P66" s="58"/>
      <c r="Q66" s="47"/>
      <c r="R66" s="57" t="s">
        <v>5620</v>
      </c>
      <c r="S66" s="47"/>
    </row>
    <row r="67" spans="2:19" s="96" customFormat="1" ht="33" hidden="1" customHeight="1">
      <c r="B67" s="47" t="s">
        <v>81</v>
      </c>
      <c r="C67" s="48" t="s">
        <v>1435</v>
      </c>
      <c r="D67" s="49" t="s">
        <v>1436</v>
      </c>
      <c r="E67" s="50">
        <v>43574</v>
      </c>
      <c r="F67" s="52" t="s">
        <v>5588</v>
      </c>
      <c r="G67" s="51">
        <v>18400</v>
      </c>
      <c r="H67" s="52">
        <f t="shared" si="4"/>
        <v>80</v>
      </c>
      <c r="I67" s="52">
        <f t="shared" ref="I67:I70" si="5">SUM(H67/4)</f>
        <v>20</v>
      </c>
      <c r="J67" s="52"/>
      <c r="K67" s="53">
        <v>43646</v>
      </c>
      <c r="L67" s="54" t="s">
        <v>5621</v>
      </c>
      <c r="M67" s="55">
        <v>43756</v>
      </c>
      <c r="N67" s="56" t="s">
        <v>5622</v>
      </c>
      <c r="O67" s="55">
        <v>43646</v>
      </c>
      <c r="P67" s="58"/>
      <c r="Q67" s="47"/>
      <c r="R67" s="57" t="s">
        <v>5623</v>
      </c>
      <c r="S67" s="47" t="s">
        <v>3251</v>
      </c>
    </row>
    <row r="68" spans="2:19" s="96" customFormat="1" ht="33" hidden="1" customHeight="1">
      <c r="B68" s="47" t="s">
        <v>81</v>
      </c>
      <c r="C68" s="48" t="s">
        <v>2322</v>
      </c>
      <c r="D68" s="49" t="s">
        <v>2323</v>
      </c>
      <c r="E68" s="50">
        <v>43602</v>
      </c>
      <c r="F68" s="52" t="s">
        <v>5588</v>
      </c>
      <c r="G68" s="51">
        <v>18400</v>
      </c>
      <c r="H68" s="52">
        <f t="shared" si="4"/>
        <v>80</v>
      </c>
      <c r="I68" s="52">
        <f t="shared" si="5"/>
        <v>20</v>
      </c>
      <c r="J68" s="52"/>
      <c r="K68" s="53">
        <v>43674</v>
      </c>
      <c r="L68" s="54" t="s">
        <v>2146</v>
      </c>
      <c r="M68" s="55">
        <v>43756</v>
      </c>
      <c r="N68" s="56" t="s">
        <v>2551</v>
      </c>
      <c r="O68" s="55">
        <v>43674</v>
      </c>
      <c r="P68" s="58"/>
      <c r="Q68" s="47"/>
      <c r="R68" s="57" t="s">
        <v>5624</v>
      </c>
      <c r="S68" s="47"/>
    </row>
    <row r="69" spans="2:19" s="96" customFormat="1" ht="33" hidden="1" customHeight="1">
      <c r="B69" s="47" t="s">
        <v>81</v>
      </c>
      <c r="C69" s="48" t="s">
        <v>2325</v>
      </c>
      <c r="D69" s="49" t="s">
        <v>2326</v>
      </c>
      <c r="E69" s="50">
        <v>43602</v>
      </c>
      <c r="F69" s="52" t="s">
        <v>5588</v>
      </c>
      <c r="G69" s="51">
        <v>10580</v>
      </c>
      <c r="H69" s="52">
        <f t="shared" si="4"/>
        <v>46</v>
      </c>
      <c r="I69" s="52">
        <f t="shared" si="5"/>
        <v>11.5</v>
      </c>
      <c r="J69" s="52"/>
      <c r="K69" s="53">
        <v>43681</v>
      </c>
      <c r="L69" s="54" t="s">
        <v>5625</v>
      </c>
      <c r="M69" s="55">
        <v>43756</v>
      </c>
      <c r="N69" s="56" t="s">
        <v>5626</v>
      </c>
      <c r="O69" s="55">
        <v>43681</v>
      </c>
      <c r="P69" s="58"/>
      <c r="Q69" s="47"/>
      <c r="R69" s="57" t="s">
        <v>5627</v>
      </c>
      <c r="S69" s="47" t="s">
        <v>3549</v>
      </c>
    </row>
    <row r="70" spans="2:19" s="67" customFormat="1" ht="33" customHeight="1">
      <c r="B70" s="46" t="s">
        <v>81</v>
      </c>
      <c r="C70" s="35" t="s">
        <v>3406</v>
      </c>
      <c r="D70" s="36" t="s">
        <v>3407</v>
      </c>
      <c r="E70" s="37">
        <v>43637</v>
      </c>
      <c r="F70" s="38" t="s">
        <v>5588</v>
      </c>
      <c r="G70" s="39">
        <v>12880</v>
      </c>
      <c r="H70" s="38">
        <f t="shared" si="4"/>
        <v>56</v>
      </c>
      <c r="I70" s="38">
        <f t="shared" si="5"/>
        <v>14</v>
      </c>
      <c r="J70" s="38"/>
      <c r="K70" s="40">
        <v>43723</v>
      </c>
      <c r="L70" s="41" t="s">
        <v>5462</v>
      </c>
      <c r="M70" s="42">
        <v>43725</v>
      </c>
      <c r="N70" s="43" t="s">
        <v>5463</v>
      </c>
      <c r="O70" s="42">
        <v>43730</v>
      </c>
      <c r="P70" s="45"/>
      <c r="Q70" s="46"/>
      <c r="R70" s="44" t="s">
        <v>5628</v>
      </c>
      <c r="S70" s="46" t="s">
        <v>5629</v>
      </c>
    </row>
    <row r="71" spans="2:19" s="96" customFormat="1" ht="33" hidden="1" customHeight="1">
      <c r="B71" s="47" t="s">
        <v>81</v>
      </c>
      <c r="C71" s="48" t="s">
        <v>5630</v>
      </c>
      <c r="D71" s="49" t="s">
        <v>3407</v>
      </c>
      <c r="E71" s="50">
        <v>43637</v>
      </c>
      <c r="F71" s="52" t="s">
        <v>5588</v>
      </c>
      <c r="G71" s="51">
        <v>920</v>
      </c>
      <c r="H71" s="52">
        <f t="shared" si="4"/>
        <v>4</v>
      </c>
      <c r="I71" s="52">
        <v>1</v>
      </c>
      <c r="J71" s="52"/>
      <c r="K71" s="53">
        <v>43723</v>
      </c>
      <c r="L71" s="54" t="s">
        <v>5459</v>
      </c>
      <c r="M71" s="55">
        <v>43718</v>
      </c>
      <c r="N71" s="56" t="s">
        <v>5460</v>
      </c>
      <c r="O71" s="55">
        <v>43723</v>
      </c>
      <c r="P71" s="58"/>
      <c r="Q71" s="47"/>
      <c r="R71" s="57" t="s">
        <v>5628</v>
      </c>
      <c r="S71" s="47" t="s">
        <v>5629</v>
      </c>
    </row>
    <row r="72" spans="2:19" s="96" customFormat="1" ht="33" hidden="1" customHeight="1">
      <c r="B72" s="47" t="s">
        <v>81</v>
      </c>
      <c r="C72" s="48" t="s">
        <v>3409</v>
      </c>
      <c r="D72" s="49" t="s">
        <v>3743</v>
      </c>
      <c r="E72" s="50">
        <v>43665</v>
      </c>
      <c r="F72" s="52" t="s">
        <v>5588</v>
      </c>
      <c r="G72" s="51">
        <v>9200</v>
      </c>
      <c r="H72" s="52">
        <f t="shared" si="4"/>
        <v>40</v>
      </c>
      <c r="I72" s="52">
        <f t="shared" ref="I72:I81" si="6">SUM(H72/4)</f>
        <v>10</v>
      </c>
      <c r="J72" s="52"/>
      <c r="K72" s="53">
        <v>43667</v>
      </c>
      <c r="L72" s="54" t="s">
        <v>5631</v>
      </c>
      <c r="M72" s="55">
        <v>43718</v>
      </c>
      <c r="N72" s="56" t="s">
        <v>5632</v>
      </c>
      <c r="O72" s="55">
        <v>43667</v>
      </c>
      <c r="P72" s="58"/>
      <c r="Q72" s="47"/>
      <c r="R72" s="57"/>
      <c r="S72" s="47"/>
    </row>
    <row r="73" spans="2:19" s="67" customFormat="1" ht="33" customHeight="1">
      <c r="B73" s="46" t="s">
        <v>81</v>
      </c>
      <c r="C73" s="35" t="s">
        <v>4318</v>
      </c>
      <c r="D73" s="36" t="s">
        <v>4319</v>
      </c>
      <c r="E73" s="37">
        <v>43665</v>
      </c>
      <c r="F73" s="38" t="s">
        <v>5588</v>
      </c>
      <c r="G73" s="39">
        <v>9200</v>
      </c>
      <c r="H73" s="38">
        <f t="shared" si="4"/>
        <v>40</v>
      </c>
      <c r="I73" s="38">
        <f t="shared" si="6"/>
        <v>10</v>
      </c>
      <c r="J73" s="38"/>
      <c r="K73" s="40">
        <v>43751</v>
      </c>
      <c r="L73" s="41" t="s">
        <v>5633</v>
      </c>
      <c r="M73" s="42">
        <v>43746</v>
      </c>
      <c r="N73" s="43" t="s">
        <v>5634</v>
      </c>
      <c r="O73" s="42">
        <v>43751</v>
      </c>
      <c r="P73" s="45"/>
      <c r="Q73" s="46"/>
      <c r="R73" s="44" t="s">
        <v>5635</v>
      </c>
      <c r="S73" s="46"/>
    </row>
    <row r="74" spans="2:19" s="67" customFormat="1" ht="33" hidden="1" customHeight="1">
      <c r="B74" s="46" t="s">
        <v>81</v>
      </c>
      <c r="C74" s="35" t="s">
        <v>4321</v>
      </c>
      <c r="D74" s="36" t="s">
        <v>4322</v>
      </c>
      <c r="E74" s="37">
        <v>43665</v>
      </c>
      <c r="F74" s="38" t="s">
        <v>5588</v>
      </c>
      <c r="G74" s="39">
        <v>8740</v>
      </c>
      <c r="H74" s="38">
        <f t="shared" si="4"/>
        <v>38</v>
      </c>
      <c r="I74" s="38">
        <f t="shared" si="6"/>
        <v>9.5</v>
      </c>
      <c r="J74" s="38"/>
      <c r="K74" s="40">
        <v>43765</v>
      </c>
      <c r="L74" s="41" t="s">
        <v>5636</v>
      </c>
      <c r="M74" s="42">
        <v>43760</v>
      </c>
      <c r="N74" s="43" t="s">
        <v>5637</v>
      </c>
      <c r="O74" s="42">
        <v>43765</v>
      </c>
      <c r="P74" s="45"/>
      <c r="Q74" s="46"/>
      <c r="R74" s="44" t="s">
        <v>5638</v>
      </c>
      <c r="S74" s="46"/>
    </row>
    <row r="75" spans="2:19" s="67" customFormat="1" ht="33" hidden="1" customHeight="1">
      <c r="B75" s="46" t="s">
        <v>81</v>
      </c>
      <c r="C75" s="35" t="s">
        <v>5639</v>
      </c>
      <c r="D75" s="36"/>
      <c r="E75" s="37">
        <v>43714</v>
      </c>
      <c r="F75" s="38" t="s">
        <v>5588</v>
      </c>
      <c r="G75" s="39">
        <v>4600</v>
      </c>
      <c r="H75" s="38">
        <f t="shared" si="4"/>
        <v>20</v>
      </c>
      <c r="I75" s="38">
        <f t="shared" si="6"/>
        <v>5</v>
      </c>
      <c r="J75" s="38"/>
      <c r="K75" s="40">
        <v>43765</v>
      </c>
      <c r="L75" s="41" t="s">
        <v>4477</v>
      </c>
      <c r="M75" s="42">
        <v>43760</v>
      </c>
      <c r="N75" s="43" t="s">
        <v>4549</v>
      </c>
      <c r="O75" s="42">
        <v>43765</v>
      </c>
      <c r="P75" s="45"/>
      <c r="Q75" s="46"/>
      <c r="R75" s="44" t="s">
        <v>5638</v>
      </c>
      <c r="S75" s="46"/>
    </row>
    <row r="76" spans="2:19" s="67" customFormat="1" ht="33" hidden="1" customHeight="1">
      <c r="B76" s="46" t="s">
        <v>81</v>
      </c>
      <c r="C76" s="35" t="s">
        <v>5006</v>
      </c>
      <c r="D76" s="36" t="s">
        <v>5005</v>
      </c>
      <c r="E76" s="37">
        <v>43689</v>
      </c>
      <c r="F76" s="38" t="s">
        <v>5588</v>
      </c>
      <c r="G76" s="39">
        <v>9200</v>
      </c>
      <c r="H76" s="38">
        <f t="shared" si="4"/>
        <v>40</v>
      </c>
      <c r="I76" s="38">
        <f t="shared" si="6"/>
        <v>10</v>
      </c>
      <c r="J76" s="38"/>
      <c r="K76" s="40">
        <v>43786</v>
      </c>
      <c r="L76" s="41" t="s">
        <v>5640</v>
      </c>
      <c r="M76" s="42">
        <v>43781</v>
      </c>
      <c r="N76" s="43" t="s">
        <v>5641</v>
      </c>
      <c r="O76" s="42">
        <v>43786</v>
      </c>
      <c r="P76" s="45"/>
      <c r="Q76" s="46"/>
      <c r="R76" s="44" t="s">
        <v>5642</v>
      </c>
      <c r="S76" s="46"/>
    </row>
    <row r="77" spans="2:19" s="67" customFormat="1" ht="33" hidden="1" customHeight="1">
      <c r="B77" s="46" t="s">
        <v>81</v>
      </c>
      <c r="C77" s="35" t="s">
        <v>5003</v>
      </c>
      <c r="D77" s="36" t="s">
        <v>5002</v>
      </c>
      <c r="E77" s="37">
        <v>43689</v>
      </c>
      <c r="F77" s="38" t="s">
        <v>5588</v>
      </c>
      <c r="G77" s="39">
        <v>9200</v>
      </c>
      <c r="H77" s="38">
        <f t="shared" si="4"/>
        <v>40</v>
      </c>
      <c r="I77" s="38">
        <f t="shared" si="6"/>
        <v>10</v>
      </c>
      <c r="J77" s="38"/>
      <c r="K77" s="40">
        <v>43800</v>
      </c>
      <c r="L77" s="41" t="s">
        <v>5599</v>
      </c>
      <c r="M77" s="42">
        <v>43795</v>
      </c>
      <c r="N77" s="43" t="s">
        <v>5600</v>
      </c>
      <c r="O77" s="42">
        <v>43800</v>
      </c>
      <c r="P77" s="45"/>
      <c r="Q77" s="46"/>
      <c r="R77" s="44" t="s">
        <v>5643</v>
      </c>
      <c r="S77" s="46"/>
    </row>
    <row r="78" spans="2:19" s="96" customFormat="1" ht="33" hidden="1" customHeight="1">
      <c r="B78" s="47" t="s">
        <v>5644</v>
      </c>
      <c r="C78" s="48" t="s">
        <v>5645</v>
      </c>
      <c r="D78" s="49" t="s">
        <v>705</v>
      </c>
      <c r="E78" s="50">
        <v>43532</v>
      </c>
      <c r="F78" s="52" t="s">
        <v>5588</v>
      </c>
      <c r="G78" s="51">
        <v>920</v>
      </c>
      <c r="H78" s="52">
        <f t="shared" si="4"/>
        <v>4</v>
      </c>
      <c r="I78" s="52">
        <f t="shared" si="6"/>
        <v>1</v>
      </c>
      <c r="J78" s="52"/>
      <c r="K78" s="53">
        <v>43609</v>
      </c>
      <c r="L78" s="54" t="s">
        <v>773</v>
      </c>
      <c r="M78" s="55">
        <v>43601</v>
      </c>
      <c r="N78" s="56" t="s">
        <v>774</v>
      </c>
      <c r="O78" s="55">
        <v>43605</v>
      </c>
      <c r="P78" s="58"/>
      <c r="Q78" s="47"/>
      <c r="R78" s="57"/>
      <c r="S78" s="47" t="s">
        <v>5646</v>
      </c>
    </row>
    <row r="79" spans="2:19" s="96" customFormat="1" ht="33" hidden="1" customHeight="1">
      <c r="B79" s="47" t="s">
        <v>5647</v>
      </c>
      <c r="C79" s="48" t="s">
        <v>5645</v>
      </c>
      <c r="D79" s="49" t="s">
        <v>5648</v>
      </c>
      <c r="E79" s="50">
        <v>43511</v>
      </c>
      <c r="F79" s="52" t="s">
        <v>5588</v>
      </c>
      <c r="G79" s="51">
        <v>460</v>
      </c>
      <c r="H79" s="52">
        <f t="shared" si="4"/>
        <v>2</v>
      </c>
      <c r="I79" s="52">
        <f t="shared" si="6"/>
        <v>0.5</v>
      </c>
      <c r="J79" s="52"/>
      <c r="K79" s="53">
        <v>43576</v>
      </c>
      <c r="L79" s="54" t="s">
        <v>480</v>
      </c>
      <c r="M79" s="55">
        <v>43564</v>
      </c>
      <c r="N79" s="56" t="s">
        <v>646</v>
      </c>
      <c r="O79" s="55">
        <v>43569</v>
      </c>
      <c r="P79" s="58"/>
      <c r="Q79" s="47"/>
      <c r="R79" s="57" t="s">
        <v>5612</v>
      </c>
      <c r="S79" s="47"/>
    </row>
    <row r="80" spans="2:19" s="96" customFormat="1" ht="33" hidden="1" customHeight="1">
      <c r="B80" s="47" t="s">
        <v>5647</v>
      </c>
      <c r="C80" s="48" t="s">
        <v>2333</v>
      </c>
      <c r="D80" s="49" t="s">
        <v>2334</v>
      </c>
      <c r="E80" s="50">
        <v>43602</v>
      </c>
      <c r="F80" s="52" t="s">
        <v>5588</v>
      </c>
      <c r="G80" s="51">
        <v>460</v>
      </c>
      <c r="H80" s="52">
        <f t="shared" si="4"/>
        <v>2</v>
      </c>
      <c r="I80" s="52">
        <f t="shared" si="6"/>
        <v>0.5</v>
      </c>
      <c r="J80" s="52"/>
      <c r="K80" s="53">
        <v>43681</v>
      </c>
      <c r="L80" s="54" t="s">
        <v>5625</v>
      </c>
      <c r="M80" s="55">
        <v>43676</v>
      </c>
      <c r="N80" s="56" t="s">
        <v>5626</v>
      </c>
      <c r="O80" s="55">
        <v>43681</v>
      </c>
      <c r="P80" s="58"/>
      <c r="Q80" s="47"/>
      <c r="R80" s="57" t="s">
        <v>5627</v>
      </c>
      <c r="S80" s="47" t="s">
        <v>3549</v>
      </c>
    </row>
    <row r="81" spans="2:19" s="67" customFormat="1" ht="33" hidden="1" customHeight="1">
      <c r="B81" s="46" t="s">
        <v>5647</v>
      </c>
      <c r="C81" s="35" t="s">
        <v>4329</v>
      </c>
      <c r="D81" s="36" t="s">
        <v>4330</v>
      </c>
      <c r="E81" s="37">
        <v>43665</v>
      </c>
      <c r="F81" s="38" t="s">
        <v>5588</v>
      </c>
      <c r="G81" s="39">
        <v>460</v>
      </c>
      <c r="H81" s="38">
        <f t="shared" si="4"/>
        <v>2</v>
      </c>
      <c r="I81" s="38">
        <f t="shared" si="6"/>
        <v>0.5</v>
      </c>
      <c r="J81" s="38"/>
      <c r="K81" s="40">
        <v>43765</v>
      </c>
      <c r="L81" s="41" t="s">
        <v>4477</v>
      </c>
      <c r="M81" s="42">
        <v>43760</v>
      </c>
      <c r="N81" s="43" t="s">
        <v>5637</v>
      </c>
      <c r="O81" s="42">
        <v>43765</v>
      </c>
      <c r="P81" s="45"/>
      <c r="Q81" s="46"/>
      <c r="R81" s="44" t="s">
        <v>5638</v>
      </c>
      <c r="S81" s="46"/>
    </row>
    <row r="82" spans="2:19" s="33" customFormat="1" ht="33" hidden="1" customHeight="1">
      <c r="B82" s="47" t="s">
        <v>5649</v>
      </c>
      <c r="C82" s="48" t="s">
        <v>430</v>
      </c>
      <c r="D82" s="49" t="s">
        <v>470</v>
      </c>
      <c r="E82" s="50">
        <v>43473</v>
      </c>
      <c r="F82" s="52" t="s">
        <v>5588</v>
      </c>
      <c r="G82" s="51">
        <v>1920</v>
      </c>
      <c r="H82" s="52">
        <f t="shared" ref="H82:H93" si="7">SUM(G82/20)</f>
        <v>96</v>
      </c>
      <c r="I82" s="52">
        <f t="shared" ref="I82:I93" si="8">SUM(H82/32)</f>
        <v>3</v>
      </c>
      <c r="J82" s="59"/>
      <c r="K82" s="53">
        <v>43555</v>
      </c>
      <c r="L82" s="54" t="s">
        <v>480</v>
      </c>
      <c r="M82" s="55">
        <v>43564</v>
      </c>
      <c r="N82" s="56" t="s">
        <v>5611</v>
      </c>
      <c r="O82" s="55">
        <v>43569</v>
      </c>
      <c r="P82" s="58"/>
      <c r="Q82" s="60" t="s">
        <v>89</v>
      </c>
      <c r="R82" s="57" t="s">
        <v>5650</v>
      </c>
      <c r="S82" s="47"/>
    </row>
    <row r="83" spans="2:19" s="33" customFormat="1" ht="33" hidden="1" customHeight="1">
      <c r="B83" s="47" t="s">
        <v>5649</v>
      </c>
      <c r="C83" s="48" t="s">
        <v>519</v>
      </c>
      <c r="D83" s="49" t="s">
        <v>710</v>
      </c>
      <c r="E83" s="50">
        <v>43511</v>
      </c>
      <c r="F83" s="52" t="s">
        <v>5588</v>
      </c>
      <c r="G83" s="51">
        <v>640</v>
      </c>
      <c r="H83" s="52">
        <f t="shared" si="7"/>
        <v>32</v>
      </c>
      <c r="I83" s="52">
        <f t="shared" si="8"/>
        <v>1</v>
      </c>
      <c r="J83" s="59"/>
      <c r="K83" s="53">
        <v>43555</v>
      </c>
      <c r="L83" s="54" t="s">
        <v>608</v>
      </c>
      <c r="M83" s="55">
        <v>43557</v>
      </c>
      <c r="N83" s="56" t="s">
        <v>5651</v>
      </c>
      <c r="O83" s="55">
        <v>43562</v>
      </c>
      <c r="P83" s="58"/>
      <c r="Q83" s="60" t="s">
        <v>89</v>
      </c>
      <c r="R83" s="57" t="s">
        <v>5650</v>
      </c>
      <c r="S83" s="47"/>
    </row>
    <row r="84" spans="2:19" s="33" customFormat="1" ht="33" hidden="1" customHeight="1">
      <c r="B84" s="47" t="s">
        <v>5649</v>
      </c>
      <c r="C84" s="48" t="s">
        <v>520</v>
      </c>
      <c r="D84" s="49" t="s">
        <v>584</v>
      </c>
      <c r="E84" s="50">
        <v>43511</v>
      </c>
      <c r="F84" s="52" t="s">
        <v>5588</v>
      </c>
      <c r="G84" s="51">
        <v>1920</v>
      </c>
      <c r="H84" s="52">
        <f t="shared" si="7"/>
        <v>96</v>
      </c>
      <c r="I84" s="52">
        <f t="shared" si="8"/>
        <v>3</v>
      </c>
      <c r="J84" s="59"/>
      <c r="K84" s="53">
        <v>43576</v>
      </c>
      <c r="L84" s="54" t="s">
        <v>503</v>
      </c>
      <c r="M84" s="55">
        <v>43571</v>
      </c>
      <c r="N84" s="56" t="s">
        <v>5583</v>
      </c>
      <c r="O84" s="55">
        <v>43576</v>
      </c>
      <c r="P84" s="58"/>
      <c r="Q84" s="60" t="s">
        <v>89</v>
      </c>
      <c r="R84" s="57" t="s">
        <v>5652</v>
      </c>
      <c r="S84" s="47"/>
    </row>
    <row r="85" spans="2:19" s="33" customFormat="1" ht="33" hidden="1" customHeight="1">
      <c r="B85" s="47" t="s">
        <v>5649</v>
      </c>
      <c r="C85" s="48" t="s">
        <v>586</v>
      </c>
      <c r="D85" s="49" t="s">
        <v>640</v>
      </c>
      <c r="E85" s="50">
        <v>43519</v>
      </c>
      <c r="F85" s="52" t="s">
        <v>5588</v>
      </c>
      <c r="G85" s="51">
        <v>2560</v>
      </c>
      <c r="H85" s="52">
        <f t="shared" si="7"/>
        <v>128</v>
      </c>
      <c r="I85" s="52">
        <f t="shared" si="8"/>
        <v>4</v>
      </c>
      <c r="J85" s="59"/>
      <c r="K85" s="53">
        <v>43611</v>
      </c>
      <c r="L85" s="54" t="s">
        <v>773</v>
      </c>
      <c r="M85" s="55">
        <v>43601</v>
      </c>
      <c r="N85" s="56" t="s">
        <v>5610</v>
      </c>
      <c r="O85" s="55">
        <v>43605</v>
      </c>
      <c r="P85" s="58"/>
      <c r="Q85" s="60" t="s">
        <v>89</v>
      </c>
      <c r="R85" s="57" t="s">
        <v>5653</v>
      </c>
      <c r="S85" s="47" t="s">
        <v>980</v>
      </c>
    </row>
    <row r="86" spans="2:19" s="33" customFormat="1" ht="33" hidden="1" customHeight="1">
      <c r="B86" s="47" t="s">
        <v>5649</v>
      </c>
      <c r="C86" s="48" t="s">
        <v>713</v>
      </c>
      <c r="D86" s="49" t="s">
        <v>714</v>
      </c>
      <c r="E86" s="50">
        <v>43532</v>
      </c>
      <c r="F86" s="52" t="s">
        <v>5588</v>
      </c>
      <c r="G86" s="51">
        <v>1920</v>
      </c>
      <c r="H86" s="52">
        <f t="shared" si="7"/>
        <v>96</v>
      </c>
      <c r="I86" s="52">
        <f t="shared" si="8"/>
        <v>3</v>
      </c>
      <c r="J86" s="59"/>
      <c r="K86" s="53">
        <v>43639</v>
      </c>
      <c r="L86" s="54" t="s">
        <v>1083</v>
      </c>
      <c r="M86" s="55">
        <v>43634</v>
      </c>
      <c r="N86" s="56" t="s">
        <v>1084</v>
      </c>
      <c r="O86" s="55">
        <v>43639</v>
      </c>
      <c r="P86" s="58"/>
      <c r="Q86" s="60" t="s">
        <v>89</v>
      </c>
      <c r="R86" s="57" t="s">
        <v>5654</v>
      </c>
      <c r="S86" s="47"/>
    </row>
    <row r="87" spans="2:19" s="33" customFormat="1" ht="33" hidden="1" customHeight="1">
      <c r="B87" s="47" t="s">
        <v>5649</v>
      </c>
      <c r="C87" s="48" t="s">
        <v>1184</v>
      </c>
      <c r="D87" s="49" t="s">
        <v>1185</v>
      </c>
      <c r="E87" s="50">
        <v>43567</v>
      </c>
      <c r="F87" s="52" t="s">
        <v>5588</v>
      </c>
      <c r="G87" s="51">
        <v>2560</v>
      </c>
      <c r="H87" s="52">
        <f t="shared" si="7"/>
        <v>128</v>
      </c>
      <c r="I87" s="52">
        <f t="shared" si="8"/>
        <v>4</v>
      </c>
      <c r="J87" s="59"/>
      <c r="K87" s="53">
        <v>43653</v>
      </c>
      <c r="L87" s="54" t="s">
        <v>1326</v>
      </c>
      <c r="M87" s="55">
        <v>43648</v>
      </c>
      <c r="N87" s="56" t="s">
        <v>2540</v>
      </c>
      <c r="O87" s="55">
        <v>43653</v>
      </c>
      <c r="P87" s="58"/>
      <c r="Q87" s="60" t="s">
        <v>89</v>
      </c>
      <c r="R87" s="57" t="s">
        <v>5655</v>
      </c>
      <c r="S87" s="47"/>
    </row>
    <row r="88" spans="2:19" s="33" customFormat="1" ht="33" hidden="1" customHeight="1">
      <c r="B88" s="47" t="s">
        <v>5649</v>
      </c>
      <c r="C88" s="48" t="s">
        <v>5656</v>
      </c>
      <c r="D88" s="49" t="s">
        <v>2685</v>
      </c>
      <c r="E88" s="50">
        <v>43609</v>
      </c>
      <c r="F88" s="52" t="s">
        <v>5588</v>
      </c>
      <c r="G88" s="51">
        <v>1280</v>
      </c>
      <c r="H88" s="52">
        <f t="shared" si="7"/>
        <v>64</v>
      </c>
      <c r="I88" s="52">
        <f t="shared" si="8"/>
        <v>2</v>
      </c>
      <c r="J88" s="59"/>
      <c r="K88" s="53">
        <v>43653</v>
      </c>
      <c r="L88" s="54" t="s">
        <v>1326</v>
      </c>
      <c r="M88" s="55">
        <v>43648</v>
      </c>
      <c r="N88" s="56" t="s">
        <v>2540</v>
      </c>
      <c r="O88" s="55">
        <v>43653</v>
      </c>
      <c r="P88" s="58"/>
      <c r="Q88" s="60" t="s">
        <v>89</v>
      </c>
      <c r="R88" s="57" t="s">
        <v>5655</v>
      </c>
      <c r="S88" s="47"/>
    </row>
    <row r="89" spans="2:19" s="33" customFormat="1" ht="33" hidden="1" customHeight="1">
      <c r="B89" s="47" t="s">
        <v>5649</v>
      </c>
      <c r="C89" s="48" t="s">
        <v>2357</v>
      </c>
      <c r="D89" s="49" t="s">
        <v>2358</v>
      </c>
      <c r="E89" s="50">
        <v>43602</v>
      </c>
      <c r="F89" s="52" t="s">
        <v>5588</v>
      </c>
      <c r="G89" s="51">
        <v>2560</v>
      </c>
      <c r="H89" s="52">
        <f t="shared" si="7"/>
        <v>128</v>
      </c>
      <c r="I89" s="52">
        <f t="shared" si="8"/>
        <v>4</v>
      </c>
      <c r="J89" s="59"/>
      <c r="K89" s="53">
        <v>43674</v>
      </c>
      <c r="L89" s="54" t="s">
        <v>2146</v>
      </c>
      <c r="M89" s="55">
        <v>43669</v>
      </c>
      <c r="N89" s="56" t="s">
        <v>2551</v>
      </c>
      <c r="O89" s="55">
        <v>43674</v>
      </c>
      <c r="P89" s="58"/>
      <c r="Q89" s="60" t="s">
        <v>89</v>
      </c>
      <c r="R89" s="57" t="s">
        <v>5657</v>
      </c>
      <c r="S89" s="47"/>
    </row>
    <row r="90" spans="2:19" s="33" customFormat="1" ht="33" hidden="1" customHeight="1">
      <c r="B90" s="47" t="s">
        <v>5649</v>
      </c>
      <c r="C90" s="48" t="s">
        <v>2360</v>
      </c>
      <c r="D90" s="49" t="s">
        <v>5658</v>
      </c>
      <c r="E90" s="50">
        <v>43602</v>
      </c>
      <c r="F90" s="52" t="s">
        <v>5588</v>
      </c>
      <c r="G90" s="51">
        <v>2560</v>
      </c>
      <c r="H90" s="52">
        <f t="shared" si="7"/>
        <v>128</v>
      </c>
      <c r="I90" s="52">
        <f t="shared" si="8"/>
        <v>4</v>
      </c>
      <c r="J90" s="59"/>
      <c r="K90" s="53">
        <v>43695</v>
      </c>
      <c r="L90" s="54" t="s">
        <v>2505</v>
      </c>
      <c r="M90" s="55">
        <v>43683</v>
      </c>
      <c r="N90" s="56" t="s">
        <v>5592</v>
      </c>
      <c r="O90" s="55">
        <v>43688</v>
      </c>
      <c r="P90" s="58"/>
      <c r="Q90" s="60" t="s">
        <v>89</v>
      </c>
      <c r="R90" s="57" t="s">
        <v>5659</v>
      </c>
      <c r="S90" s="47"/>
    </row>
    <row r="91" spans="2:19" s="33" customFormat="1" ht="33" hidden="1" customHeight="1">
      <c r="B91" s="47" t="s">
        <v>5649</v>
      </c>
      <c r="C91" s="48" t="s">
        <v>3429</v>
      </c>
      <c r="D91" s="49" t="s">
        <v>3430</v>
      </c>
      <c r="E91" s="50">
        <v>43637</v>
      </c>
      <c r="F91" s="52" t="s">
        <v>5588</v>
      </c>
      <c r="G91" s="51">
        <v>3840</v>
      </c>
      <c r="H91" s="52">
        <f t="shared" si="7"/>
        <v>192</v>
      </c>
      <c r="I91" s="52">
        <f t="shared" si="8"/>
        <v>6</v>
      </c>
      <c r="J91" s="59"/>
      <c r="K91" s="53">
        <v>43723</v>
      </c>
      <c r="L91" s="54" t="s">
        <v>5660</v>
      </c>
      <c r="M91" s="55">
        <v>43718</v>
      </c>
      <c r="N91" s="56" t="s">
        <v>5661</v>
      </c>
      <c r="O91" s="55">
        <v>43723</v>
      </c>
      <c r="P91" s="58"/>
      <c r="Q91" s="60" t="s">
        <v>89</v>
      </c>
      <c r="R91" s="57" t="s">
        <v>5662</v>
      </c>
      <c r="S91" s="47"/>
    </row>
    <row r="92" spans="2:19" s="30" customFormat="1" ht="33" hidden="1" customHeight="1">
      <c r="B92" s="46" t="s">
        <v>5649</v>
      </c>
      <c r="C92" s="35" t="s">
        <v>4344</v>
      </c>
      <c r="D92" s="36" t="s">
        <v>4345</v>
      </c>
      <c r="E92" s="37">
        <v>43665</v>
      </c>
      <c r="F92" s="38" t="s">
        <v>5588</v>
      </c>
      <c r="G92" s="39">
        <v>3200</v>
      </c>
      <c r="H92" s="38">
        <f t="shared" si="7"/>
        <v>160</v>
      </c>
      <c r="I92" s="38">
        <f t="shared" si="8"/>
        <v>5</v>
      </c>
      <c r="J92" s="61"/>
      <c r="K92" s="40">
        <v>43758</v>
      </c>
      <c r="L92" s="41" t="s">
        <v>5663</v>
      </c>
      <c r="M92" s="42">
        <v>43753</v>
      </c>
      <c r="N92" s="43" t="s">
        <v>5664</v>
      </c>
      <c r="O92" s="42">
        <v>43758</v>
      </c>
      <c r="P92" s="45"/>
      <c r="Q92" s="62" t="s">
        <v>89</v>
      </c>
      <c r="R92" s="44" t="s">
        <v>5665</v>
      </c>
      <c r="S92" s="46"/>
    </row>
    <row r="93" spans="2:19" s="30" customFormat="1" ht="33" hidden="1" customHeight="1">
      <c r="B93" s="46" t="s">
        <v>5649</v>
      </c>
      <c r="C93" s="35" t="s">
        <v>4969</v>
      </c>
      <c r="D93" s="36" t="s">
        <v>4968</v>
      </c>
      <c r="E93" s="37">
        <v>43689</v>
      </c>
      <c r="F93" s="38" t="s">
        <v>5588</v>
      </c>
      <c r="G93" s="39">
        <v>3840</v>
      </c>
      <c r="H93" s="38">
        <f t="shared" si="7"/>
        <v>192</v>
      </c>
      <c r="I93" s="38">
        <f t="shared" si="8"/>
        <v>6</v>
      </c>
      <c r="J93" s="61"/>
      <c r="K93" s="40">
        <v>43786</v>
      </c>
      <c r="L93" s="41" t="s">
        <v>5640</v>
      </c>
      <c r="M93" s="42">
        <v>43781</v>
      </c>
      <c r="N93" s="43" t="s">
        <v>5641</v>
      </c>
      <c r="O93" s="42">
        <v>43786</v>
      </c>
      <c r="P93" s="45"/>
      <c r="Q93" s="62" t="s">
        <v>89</v>
      </c>
      <c r="R93" s="44" t="s">
        <v>5666</v>
      </c>
      <c r="S93" s="46"/>
    </row>
    <row r="94" spans="2:19" s="33" customFormat="1" ht="33" hidden="1" customHeight="1">
      <c r="B94" s="47" t="s">
        <v>38</v>
      </c>
      <c r="C94" s="48" t="s">
        <v>225</v>
      </c>
      <c r="D94" s="49" t="s">
        <v>587</v>
      </c>
      <c r="E94" s="50">
        <v>43519</v>
      </c>
      <c r="F94" s="52" t="s">
        <v>5667</v>
      </c>
      <c r="G94" s="64">
        <v>640</v>
      </c>
      <c r="H94" s="52">
        <f>SUBTOTAL(9,G94)/20</f>
        <v>0</v>
      </c>
      <c r="I94" s="52">
        <f>H94/32</f>
        <v>0</v>
      </c>
      <c r="J94" s="52"/>
      <c r="K94" s="53">
        <v>43583</v>
      </c>
      <c r="L94" s="54" t="s">
        <v>565</v>
      </c>
      <c r="M94" s="55">
        <v>43578</v>
      </c>
      <c r="N94" s="56" t="s">
        <v>5668</v>
      </c>
      <c r="O94" s="55">
        <v>43583</v>
      </c>
      <c r="P94" s="58"/>
      <c r="Q94" s="52"/>
      <c r="R94" s="63" t="s">
        <v>5608</v>
      </c>
      <c r="S94" s="47"/>
    </row>
    <row r="95" spans="2:19" s="30" customFormat="1" ht="33" hidden="1" customHeight="1">
      <c r="B95" s="46" t="s">
        <v>5669</v>
      </c>
      <c r="C95" s="35" t="s">
        <v>226</v>
      </c>
      <c r="D95" s="36" t="s">
        <v>1194</v>
      </c>
      <c r="E95" s="37">
        <v>43567</v>
      </c>
      <c r="F95" s="38" t="s">
        <v>5667</v>
      </c>
      <c r="G95" s="65">
        <v>640</v>
      </c>
      <c r="H95" s="38">
        <f>SUBTOTAL(9,G95)/20</f>
        <v>0</v>
      </c>
      <c r="I95" s="38">
        <f>H95/32</f>
        <v>0</v>
      </c>
      <c r="J95" s="38"/>
      <c r="K95" s="40">
        <v>43758</v>
      </c>
      <c r="L95" s="41" t="s">
        <v>4483</v>
      </c>
      <c r="M95" s="42">
        <v>43753</v>
      </c>
      <c r="N95" s="43" t="s">
        <v>4813</v>
      </c>
      <c r="O95" s="42">
        <v>43758</v>
      </c>
      <c r="P95" s="45"/>
      <c r="Q95" s="38"/>
      <c r="R95" s="66" t="s">
        <v>4607</v>
      </c>
      <c r="S95" s="46"/>
    </row>
    <row r="96" spans="2:19" s="33" customFormat="1" ht="33" hidden="1" customHeight="1">
      <c r="B96" s="47" t="s">
        <v>88</v>
      </c>
      <c r="C96" s="48" t="s">
        <v>431</v>
      </c>
      <c r="D96" s="49" t="s">
        <v>471</v>
      </c>
      <c r="E96" s="50">
        <v>43483</v>
      </c>
      <c r="F96" s="52" t="s">
        <v>214</v>
      </c>
      <c r="G96" s="64">
        <v>760</v>
      </c>
      <c r="H96" s="52">
        <f t="shared" ref="H96:H104" si="9">SUBTOTAL(9,G96)/190</f>
        <v>0</v>
      </c>
      <c r="I96" s="52">
        <f t="shared" ref="I96:I104" si="10">H96/4</f>
        <v>0</v>
      </c>
      <c r="J96" s="52"/>
      <c r="K96" s="53">
        <v>43569</v>
      </c>
      <c r="L96" s="54" t="s">
        <v>417</v>
      </c>
      <c r="M96" s="55">
        <v>43564</v>
      </c>
      <c r="N96" s="56" t="s">
        <v>405</v>
      </c>
      <c r="O96" s="55">
        <v>43569</v>
      </c>
      <c r="P96" s="58"/>
      <c r="Q96" s="52"/>
      <c r="R96" s="63" t="s">
        <v>493</v>
      </c>
      <c r="S96" s="47"/>
    </row>
    <row r="97" spans="2:19" s="33" customFormat="1" ht="33" hidden="1" customHeight="1">
      <c r="B97" s="47" t="s">
        <v>88</v>
      </c>
      <c r="C97" s="48" t="s">
        <v>523</v>
      </c>
      <c r="D97" s="49" t="s">
        <v>588</v>
      </c>
      <c r="E97" s="50">
        <v>43511</v>
      </c>
      <c r="F97" s="52" t="s">
        <v>214</v>
      </c>
      <c r="G97" s="64">
        <v>760</v>
      </c>
      <c r="H97" s="52">
        <f t="shared" si="9"/>
        <v>0</v>
      </c>
      <c r="I97" s="52">
        <f t="shared" si="10"/>
        <v>0</v>
      </c>
      <c r="J97" s="52"/>
      <c r="K97" s="53">
        <v>43583</v>
      </c>
      <c r="L97" s="54" t="s">
        <v>565</v>
      </c>
      <c r="M97" s="55">
        <v>43578</v>
      </c>
      <c r="N97" s="56" t="s">
        <v>447</v>
      </c>
      <c r="O97" s="55">
        <v>43583</v>
      </c>
      <c r="P97" s="58"/>
      <c r="Q97" s="52"/>
      <c r="R97" s="63" t="s">
        <v>320</v>
      </c>
      <c r="S97" s="47"/>
    </row>
    <row r="98" spans="2:19" s="33" customFormat="1" ht="33" hidden="1" customHeight="1">
      <c r="B98" s="47" t="s">
        <v>88</v>
      </c>
      <c r="C98" s="48" t="s">
        <v>589</v>
      </c>
      <c r="D98" s="49" t="s">
        <v>590</v>
      </c>
      <c r="E98" s="50">
        <v>43519</v>
      </c>
      <c r="F98" s="52" t="s">
        <v>214</v>
      </c>
      <c r="G98" s="64">
        <v>760</v>
      </c>
      <c r="H98" s="52">
        <f t="shared" si="9"/>
        <v>0</v>
      </c>
      <c r="I98" s="52">
        <f t="shared" si="10"/>
        <v>0</v>
      </c>
      <c r="J98" s="52"/>
      <c r="K98" s="53">
        <v>43597</v>
      </c>
      <c r="L98" s="54" t="s">
        <v>606</v>
      </c>
      <c r="M98" s="55">
        <v>43592</v>
      </c>
      <c r="N98" s="56" t="s">
        <v>858</v>
      </c>
      <c r="O98" s="55">
        <v>43597</v>
      </c>
      <c r="P98" s="58"/>
      <c r="Q98" s="52"/>
      <c r="R98" s="63" t="s">
        <v>469</v>
      </c>
      <c r="S98" s="47"/>
    </row>
    <row r="99" spans="2:19" s="33" customFormat="1" ht="33" hidden="1" customHeight="1">
      <c r="B99" s="47" t="s">
        <v>88</v>
      </c>
      <c r="C99" s="48" t="s">
        <v>1477</v>
      </c>
      <c r="D99" s="49" t="s">
        <v>1207</v>
      </c>
      <c r="E99" s="50">
        <v>43567</v>
      </c>
      <c r="F99" s="52" t="s">
        <v>214</v>
      </c>
      <c r="G99" s="64">
        <v>760</v>
      </c>
      <c r="H99" s="52">
        <f t="shared" si="9"/>
        <v>0</v>
      </c>
      <c r="I99" s="52">
        <f t="shared" si="10"/>
        <v>0</v>
      </c>
      <c r="J99" s="52"/>
      <c r="K99" s="53">
        <v>43667</v>
      </c>
      <c r="L99" s="54" t="s">
        <v>1561</v>
      </c>
      <c r="M99" s="55">
        <v>43655</v>
      </c>
      <c r="N99" s="56" t="s">
        <v>1806</v>
      </c>
      <c r="O99" s="55">
        <v>43660</v>
      </c>
      <c r="P99" s="58"/>
      <c r="Q99" s="52"/>
      <c r="R99" s="63" t="s">
        <v>1664</v>
      </c>
      <c r="S99" s="47" t="s">
        <v>980</v>
      </c>
    </row>
    <row r="100" spans="2:19" s="33" customFormat="1" ht="33" hidden="1" customHeight="1">
      <c r="B100" s="47" t="s">
        <v>5438</v>
      </c>
      <c r="C100" s="48" t="s">
        <v>2079</v>
      </c>
      <c r="D100" s="49" t="s">
        <v>2536</v>
      </c>
      <c r="E100" s="50">
        <v>43602</v>
      </c>
      <c r="F100" s="52" t="s">
        <v>214</v>
      </c>
      <c r="G100" s="64">
        <v>760</v>
      </c>
      <c r="H100" s="52">
        <f t="shared" si="9"/>
        <v>0</v>
      </c>
      <c r="I100" s="52">
        <f t="shared" si="10"/>
        <v>0</v>
      </c>
      <c r="J100" s="52"/>
      <c r="K100" s="53">
        <v>43667</v>
      </c>
      <c r="L100" s="54" t="s">
        <v>1561</v>
      </c>
      <c r="M100" s="55">
        <v>43655</v>
      </c>
      <c r="N100" s="56" t="s">
        <v>1806</v>
      </c>
      <c r="O100" s="55">
        <v>43660</v>
      </c>
      <c r="P100" s="58"/>
      <c r="Q100" s="52"/>
      <c r="R100" s="63" t="s">
        <v>1664</v>
      </c>
      <c r="S100" s="47" t="s">
        <v>980</v>
      </c>
    </row>
    <row r="101" spans="2:19" s="33" customFormat="1" ht="33" hidden="1" customHeight="1">
      <c r="B101" s="47" t="s">
        <v>5438</v>
      </c>
      <c r="C101" s="48" t="s">
        <v>2378</v>
      </c>
      <c r="D101" s="49" t="s">
        <v>2379</v>
      </c>
      <c r="E101" s="50">
        <v>43602</v>
      </c>
      <c r="F101" s="52" t="s">
        <v>214</v>
      </c>
      <c r="G101" s="64">
        <v>760</v>
      </c>
      <c r="H101" s="52">
        <f t="shared" si="9"/>
        <v>0</v>
      </c>
      <c r="I101" s="52">
        <f t="shared" si="10"/>
        <v>0</v>
      </c>
      <c r="J101" s="52"/>
      <c r="K101" s="53">
        <v>43702</v>
      </c>
      <c r="L101" s="54" t="s">
        <v>2512</v>
      </c>
      <c r="M101" s="55">
        <v>43718</v>
      </c>
      <c r="N101" s="56" t="s">
        <v>2499</v>
      </c>
      <c r="O101" s="55">
        <v>43702</v>
      </c>
      <c r="P101" s="58"/>
      <c r="Q101" s="52"/>
      <c r="R101" s="63" t="s">
        <v>2380</v>
      </c>
      <c r="S101" s="47"/>
    </row>
    <row r="102" spans="2:19" s="30" customFormat="1" ht="33" hidden="1" customHeight="1">
      <c r="B102" s="46" t="s">
        <v>5438</v>
      </c>
      <c r="C102" s="35" t="s">
        <v>2430</v>
      </c>
      <c r="D102" s="36" t="s">
        <v>3457</v>
      </c>
      <c r="E102" s="37">
        <v>43637</v>
      </c>
      <c r="F102" s="38" t="s">
        <v>214</v>
      </c>
      <c r="G102" s="65">
        <v>760</v>
      </c>
      <c r="H102" s="38">
        <f t="shared" si="9"/>
        <v>0</v>
      </c>
      <c r="I102" s="38">
        <f t="shared" si="10"/>
        <v>0</v>
      </c>
      <c r="J102" s="38"/>
      <c r="K102" s="40">
        <v>43731</v>
      </c>
      <c r="L102" s="41" t="s">
        <v>3571</v>
      </c>
      <c r="M102" s="42">
        <v>43725</v>
      </c>
      <c r="N102" s="43" t="s">
        <v>2546</v>
      </c>
      <c r="O102" s="42">
        <v>43730</v>
      </c>
      <c r="P102" s="45"/>
      <c r="Q102" s="38"/>
      <c r="R102" s="66" t="s">
        <v>2335</v>
      </c>
      <c r="S102" s="46"/>
    </row>
    <row r="103" spans="2:19" s="30" customFormat="1" ht="33" hidden="1" customHeight="1">
      <c r="B103" s="46" t="s">
        <v>5438</v>
      </c>
      <c r="C103" s="35" t="s">
        <v>2527</v>
      </c>
      <c r="D103" s="36" t="s">
        <v>4369</v>
      </c>
      <c r="E103" s="37">
        <v>43657</v>
      </c>
      <c r="F103" s="38" t="s">
        <v>214</v>
      </c>
      <c r="G103" s="65">
        <v>760</v>
      </c>
      <c r="H103" s="38">
        <f t="shared" si="9"/>
        <v>0</v>
      </c>
      <c r="I103" s="38">
        <f t="shared" si="10"/>
        <v>0</v>
      </c>
      <c r="J103" s="38"/>
      <c r="K103" s="40">
        <v>43758</v>
      </c>
      <c r="L103" s="41" t="s">
        <v>4483</v>
      </c>
      <c r="M103" s="42">
        <v>43753</v>
      </c>
      <c r="N103" s="43" t="s">
        <v>4813</v>
      </c>
      <c r="O103" s="42">
        <v>43758</v>
      </c>
      <c r="P103" s="45"/>
      <c r="Q103" s="38"/>
      <c r="R103" s="66" t="s">
        <v>4370</v>
      </c>
      <c r="S103" s="46"/>
    </row>
    <row r="104" spans="2:19" s="30" customFormat="1" ht="33" hidden="1" customHeight="1">
      <c r="B104" s="46" t="s">
        <v>5438</v>
      </c>
      <c r="C104" s="35" t="s">
        <v>2528</v>
      </c>
      <c r="D104" s="36" t="s">
        <v>5456</v>
      </c>
      <c r="E104" s="37">
        <v>43700</v>
      </c>
      <c r="F104" s="38" t="s">
        <v>214</v>
      </c>
      <c r="G104" s="65">
        <v>760</v>
      </c>
      <c r="H104" s="38">
        <f t="shared" si="9"/>
        <v>0</v>
      </c>
      <c r="I104" s="38">
        <f t="shared" si="10"/>
        <v>0</v>
      </c>
      <c r="J104" s="38"/>
      <c r="K104" s="40">
        <v>43802</v>
      </c>
      <c r="L104" s="41" t="s">
        <v>5437</v>
      </c>
      <c r="M104" s="42">
        <v>43795</v>
      </c>
      <c r="N104" s="43" t="s">
        <v>5429</v>
      </c>
      <c r="O104" s="42">
        <v>43800</v>
      </c>
      <c r="P104" s="45"/>
      <c r="Q104" s="38"/>
      <c r="R104" s="66" t="s">
        <v>5414</v>
      </c>
      <c r="S104" s="46"/>
    </row>
    <row r="105" spans="2:19" s="33" customFormat="1" ht="33" hidden="1" customHeight="1">
      <c r="B105" s="47" t="s">
        <v>3803</v>
      </c>
      <c r="C105" s="48" t="s">
        <v>244</v>
      </c>
      <c r="D105" s="49" t="s">
        <v>722</v>
      </c>
      <c r="E105" s="50">
        <v>43483</v>
      </c>
      <c r="F105" s="52" t="s">
        <v>77</v>
      </c>
      <c r="G105" s="51">
        <v>6720</v>
      </c>
      <c r="H105" s="52">
        <f t="shared" ref="H105:H114" si="11">SUM(G105/240)</f>
        <v>28</v>
      </c>
      <c r="I105" s="52">
        <f t="shared" ref="I105:I114" si="12">SUM(H105/4)</f>
        <v>7</v>
      </c>
      <c r="J105" s="52"/>
      <c r="K105" s="53">
        <v>43569</v>
      </c>
      <c r="L105" s="54" t="s">
        <v>480</v>
      </c>
      <c r="M105" s="55">
        <v>43718</v>
      </c>
      <c r="N105" s="56" t="s">
        <v>646</v>
      </c>
      <c r="O105" s="55">
        <v>43569</v>
      </c>
      <c r="P105" s="58" t="s">
        <v>877</v>
      </c>
      <c r="Q105" s="52"/>
      <c r="R105" s="118" t="s">
        <v>432</v>
      </c>
      <c r="S105" s="47"/>
    </row>
    <row r="106" spans="2:19" s="33" customFormat="1" ht="33" hidden="1" customHeight="1">
      <c r="B106" s="47" t="s">
        <v>3803</v>
      </c>
      <c r="C106" s="48" t="s">
        <v>660</v>
      </c>
      <c r="D106" s="49" t="s">
        <v>472</v>
      </c>
      <c r="E106" s="50">
        <v>43483</v>
      </c>
      <c r="F106" s="52" t="s">
        <v>77</v>
      </c>
      <c r="G106" s="51">
        <v>5760</v>
      </c>
      <c r="H106" s="52">
        <f t="shared" si="11"/>
        <v>24</v>
      </c>
      <c r="I106" s="52">
        <f t="shared" si="12"/>
        <v>6</v>
      </c>
      <c r="J106" s="52"/>
      <c r="K106" s="53">
        <v>43583</v>
      </c>
      <c r="L106" s="54" t="s">
        <v>448</v>
      </c>
      <c r="M106" s="55">
        <v>43718</v>
      </c>
      <c r="N106" s="56" t="s">
        <v>447</v>
      </c>
      <c r="O106" s="55">
        <v>43583</v>
      </c>
      <c r="P106" s="58" t="s">
        <v>795</v>
      </c>
      <c r="Q106" s="52"/>
      <c r="R106" s="118" t="s">
        <v>432</v>
      </c>
      <c r="S106" s="47"/>
    </row>
    <row r="107" spans="2:19" s="33" customFormat="1" ht="33" hidden="1" customHeight="1">
      <c r="B107" s="47" t="s">
        <v>3803</v>
      </c>
      <c r="C107" s="48" t="s">
        <v>258</v>
      </c>
      <c r="D107" s="49" t="s">
        <v>591</v>
      </c>
      <c r="E107" s="50">
        <v>43519</v>
      </c>
      <c r="F107" s="52" t="s">
        <v>77</v>
      </c>
      <c r="G107" s="51">
        <v>5760</v>
      </c>
      <c r="H107" s="52">
        <f t="shared" si="11"/>
        <v>24</v>
      </c>
      <c r="I107" s="52">
        <f t="shared" si="12"/>
        <v>6</v>
      </c>
      <c r="J107" s="52"/>
      <c r="K107" s="53">
        <v>43605</v>
      </c>
      <c r="L107" s="54" t="s">
        <v>607</v>
      </c>
      <c r="M107" s="55">
        <v>43718</v>
      </c>
      <c r="N107" s="56" t="s">
        <v>725</v>
      </c>
      <c r="O107" s="55">
        <v>43605</v>
      </c>
      <c r="P107" s="58" t="s">
        <v>884</v>
      </c>
      <c r="Q107" s="52"/>
      <c r="R107" s="118" t="s">
        <v>885</v>
      </c>
      <c r="S107" s="47"/>
    </row>
    <row r="108" spans="2:19" s="33" customFormat="1" ht="33" hidden="1" customHeight="1">
      <c r="B108" s="47" t="s">
        <v>3803</v>
      </c>
      <c r="C108" s="48" t="s">
        <v>321</v>
      </c>
      <c r="D108" s="49" t="s">
        <v>727</v>
      </c>
      <c r="E108" s="50">
        <v>43532</v>
      </c>
      <c r="F108" s="52" t="s">
        <v>77</v>
      </c>
      <c r="G108" s="51">
        <v>6720</v>
      </c>
      <c r="H108" s="52">
        <f t="shared" si="11"/>
        <v>28</v>
      </c>
      <c r="I108" s="52">
        <f t="shared" si="12"/>
        <v>7</v>
      </c>
      <c r="J108" s="52"/>
      <c r="K108" s="53">
        <v>43633</v>
      </c>
      <c r="L108" s="54" t="s">
        <v>807</v>
      </c>
      <c r="M108" s="55">
        <v>43718</v>
      </c>
      <c r="N108" s="56" t="s">
        <v>808</v>
      </c>
      <c r="O108" s="55">
        <v>43632</v>
      </c>
      <c r="P108" s="58"/>
      <c r="Q108" s="52"/>
      <c r="R108" s="118" t="s">
        <v>888</v>
      </c>
      <c r="S108" s="47"/>
    </row>
    <row r="109" spans="2:19" s="33" customFormat="1" ht="33" hidden="1" customHeight="1">
      <c r="B109" s="47" t="s">
        <v>3803</v>
      </c>
      <c r="C109" s="48" t="s">
        <v>324</v>
      </c>
      <c r="D109" s="49" t="s">
        <v>1234</v>
      </c>
      <c r="E109" s="50">
        <v>43567</v>
      </c>
      <c r="F109" s="52" t="s">
        <v>77</v>
      </c>
      <c r="G109" s="51">
        <v>5760</v>
      </c>
      <c r="H109" s="52">
        <f t="shared" si="11"/>
        <v>24</v>
      </c>
      <c r="I109" s="52">
        <f t="shared" si="12"/>
        <v>6</v>
      </c>
      <c r="J109" s="52"/>
      <c r="K109" s="53">
        <v>43674</v>
      </c>
      <c r="L109" s="54" t="s">
        <v>2147</v>
      </c>
      <c r="M109" s="55">
        <v>43718</v>
      </c>
      <c r="N109" s="56" t="s">
        <v>1688</v>
      </c>
      <c r="O109" s="55">
        <v>43674</v>
      </c>
      <c r="P109" s="58"/>
      <c r="Q109" s="52"/>
      <c r="R109" s="118" t="s">
        <v>2055</v>
      </c>
      <c r="S109" s="47"/>
    </row>
    <row r="110" spans="2:19" s="33" customFormat="1" ht="33" hidden="1" customHeight="1">
      <c r="B110" s="47" t="s">
        <v>3803</v>
      </c>
      <c r="C110" s="48" t="s">
        <v>430</v>
      </c>
      <c r="D110" s="49" t="s">
        <v>2696</v>
      </c>
      <c r="E110" s="50">
        <v>43609</v>
      </c>
      <c r="F110" s="52" t="s">
        <v>77</v>
      </c>
      <c r="G110" s="51">
        <v>7680</v>
      </c>
      <c r="H110" s="52">
        <f t="shared" si="11"/>
        <v>32</v>
      </c>
      <c r="I110" s="52">
        <f t="shared" si="12"/>
        <v>8</v>
      </c>
      <c r="J110" s="52"/>
      <c r="K110" s="53">
        <v>43702</v>
      </c>
      <c r="L110" s="54" t="s">
        <v>2509</v>
      </c>
      <c r="M110" s="55">
        <v>43718</v>
      </c>
      <c r="N110" s="56" t="s">
        <v>2498</v>
      </c>
      <c r="O110" s="55">
        <v>43702</v>
      </c>
      <c r="P110" s="58"/>
      <c r="Q110" s="52"/>
      <c r="R110" s="118" t="s">
        <v>2525</v>
      </c>
      <c r="S110" s="47"/>
    </row>
    <row r="111" spans="2:19" s="33" customFormat="1" ht="33" hidden="1" customHeight="1">
      <c r="B111" s="47" t="s">
        <v>3803</v>
      </c>
      <c r="C111" s="48" t="s">
        <v>519</v>
      </c>
      <c r="D111" s="49" t="s">
        <v>3473</v>
      </c>
      <c r="E111" s="50">
        <v>43637</v>
      </c>
      <c r="F111" s="52" t="s">
        <v>77</v>
      </c>
      <c r="G111" s="51">
        <v>9600</v>
      </c>
      <c r="H111" s="52">
        <f t="shared" si="11"/>
        <v>40</v>
      </c>
      <c r="I111" s="52">
        <f t="shared" si="12"/>
        <v>10</v>
      </c>
      <c r="J111" s="52"/>
      <c r="K111" s="53">
        <v>43716</v>
      </c>
      <c r="L111" s="54" t="s">
        <v>3565</v>
      </c>
      <c r="M111" s="55">
        <v>43718</v>
      </c>
      <c r="N111" s="56" t="s">
        <v>3557</v>
      </c>
      <c r="O111" s="55">
        <v>43716</v>
      </c>
      <c r="P111" s="58"/>
      <c r="Q111" s="52"/>
      <c r="R111" s="118" t="s">
        <v>3474</v>
      </c>
      <c r="S111" s="47"/>
    </row>
    <row r="112" spans="2:19" s="30" customFormat="1" ht="33" hidden="1" customHeight="1">
      <c r="B112" s="46" t="s">
        <v>3803</v>
      </c>
      <c r="C112" s="35" t="s">
        <v>520</v>
      </c>
      <c r="D112" s="36" t="s">
        <v>4386</v>
      </c>
      <c r="E112" s="37">
        <v>43665</v>
      </c>
      <c r="F112" s="38" t="s">
        <v>77</v>
      </c>
      <c r="G112" s="39">
        <v>5760</v>
      </c>
      <c r="H112" s="38">
        <f t="shared" si="11"/>
        <v>24</v>
      </c>
      <c r="I112" s="38">
        <f t="shared" si="12"/>
        <v>6</v>
      </c>
      <c r="J112" s="38"/>
      <c r="K112" s="40">
        <v>43765</v>
      </c>
      <c r="L112" s="41" t="s">
        <v>4477</v>
      </c>
      <c r="M112" s="42">
        <v>43718</v>
      </c>
      <c r="N112" s="43" t="s">
        <v>3878</v>
      </c>
      <c r="O112" s="42">
        <v>43765</v>
      </c>
      <c r="P112" s="45"/>
      <c r="Q112" s="38"/>
      <c r="R112" s="115" t="s">
        <v>4580</v>
      </c>
      <c r="S112" s="46"/>
    </row>
    <row r="113" spans="2:19" s="30" customFormat="1" ht="33" hidden="1" customHeight="1">
      <c r="B113" s="46" t="s">
        <v>3803</v>
      </c>
      <c r="C113" s="35" t="s">
        <v>586</v>
      </c>
      <c r="D113" s="36" t="s">
        <v>4932</v>
      </c>
      <c r="E113" s="37">
        <v>43689</v>
      </c>
      <c r="F113" s="38" t="s">
        <v>77</v>
      </c>
      <c r="G113" s="39">
        <v>5760</v>
      </c>
      <c r="H113" s="38">
        <f t="shared" si="11"/>
        <v>24</v>
      </c>
      <c r="I113" s="38">
        <f t="shared" si="12"/>
        <v>6</v>
      </c>
      <c r="J113" s="38"/>
      <c r="K113" s="40">
        <v>43793</v>
      </c>
      <c r="L113" s="41" t="s">
        <v>5188</v>
      </c>
      <c r="M113" s="42">
        <v>43788</v>
      </c>
      <c r="N113" s="43" t="s">
        <v>5322</v>
      </c>
      <c r="O113" s="42">
        <v>43793</v>
      </c>
      <c r="P113" s="45"/>
      <c r="Q113" s="38"/>
      <c r="R113" s="115" t="s">
        <v>4931</v>
      </c>
      <c r="S113" s="46"/>
    </row>
    <row r="114" spans="2:19" s="30" customFormat="1" ht="33" hidden="1" customHeight="1">
      <c r="B114" s="122" t="s">
        <v>3803</v>
      </c>
      <c r="C114" s="126" t="s">
        <v>5670</v>
      </c>
      <c r="D114" s="127"/>
      <c r="E114" s="128">
        <v>43714</v>
      </c>
      <c r="F114" s="124" t="s">
        <v>77</v>
      </c>
      <c r="G114" s="129">
        <v>1920</v>
      </c>
      <c r="H114" s="124">
        <f t="shared" si="11"/>
        <v>8</v>
      </c>
      <c r="I114" s="124">
        <f t="shared" si="12"/>
        <v>2</v>
      </c>
      <c r="J114" s="124"/>
      <c r="K114" s="130">
        <v>43793</v>
      </c>
      <c r="L114" s="119" t="s">
        <v>5682</v>
      </c>
      <c r="M114" s="120">
        <v>43788</v>
      </c>
      <c r="N114" s="121" t="s">
        <v>5440</v>
      </c>
      <c r="O114" s="120">
        <v>43793</v>
      </c>
      <c r="P114" s="123"/>
      <c r="Q114" s="124"/>
      <c r="R114" s="133" t="s">
        <v>4931</v>
      </c>
      <c r="S114" s="122"/>
    </row>
    <row r="115" spans="2:19" s="34" customFormat="1" ht="33" hidden="1" customHeight="1">
      <c r="B115" s="47" t="s">
        <v>3823</v>
      </c>
      <c r="C115" s="48" t="s">
        <v>226</v>
      </c>
      <c r="D115" s="49" t="s">
        <v>593</v>
      </c>
      <c r="E115" s="50">
        <v>43483</v>
      </c>
      <c r="F115" s="52" t="s">
        <v>218</v>
      </c>
      <c r="G115" s="51">
        <v>640</v>
      </c>
      <c r="H115" s="52">
        <f t="shared" ref="H115:H151" si="13">SUM(G115/20)</f>
        <v>32</v>
      </c>
      <c r="I115" s="52">
        <f t="shared" ref="I115:I151" si="14">SUM(H115/32)</f>
        <v>1</v>
      </c>
      <c r="J115" s="52"/>
      <c r="K115" s="53">
        <v>43534</v>
      </c>
      <c r="L115" s="54" t="s">
        <v>891</v>
      </c>
      <c r="M115" s="55">
        <v>43718</v>
      </c>
      <c r="N115" s="56"/>
      <c r="O115" s="55">
        <v>43520</v>
      </c>
      <c r="P115" s="58" t="s">
        <v>651</v>
      </c>
      <c r="Q115" s="52"/>
      <c r="R115" s="63" t="s">
        <v>211</v>
      </c>
      <c r="S115" s="52"/>
    </row>
    <row r="116" spans="2:19" s="34" customFormat="1" ht="33" hidden="1" customHeight="1">
      <c r="B116" s="47" t="s">
        <v>3823</v>
      </c>
      <c r="C116" s="48" t="s">
        <v>285</v>
      </c>
      <c r="D116" s="49" t="s">
        <v>526</v>
      </c>
      <c r="E116" s="50">
        <v>43507</v>
      </c>
      <c r="F116" s="52" t="s">
        <v>218</v>
      </c>
      <c r="G116" s="51">
        <v>3200</v>
      </c>
      <c r="H116" s="52">
        <f t="shared" si="13"/>
        <v>160</v>
      </c>
      <c r="I116" s="52">
        <f t="shared" si="14"/>
        <v>5</v>
      </c>
      <c r="J116" s="52"/>
      <c r="K116" s="53">
        <v>43576</v>
      </c>
      <c r="L116" s="54" t="s">
        <v>503</v>
      </c>
      <c r="M116" s="55">
        <v>43718</v>
      </c>
      <c r="N116" s="56" t="s">
        <v>445</v>
      </c>
      <c r="O116" s="55">
        <v>43576</v>
      </c>
      <c r="P116" s="58"/>
      <c r="Q116" s="52" t="s">
        <v>643</v>
      </c>
      <c r="R116" s="63" t="s">
        <v>211</v>
      </c>
      <c r="S116" s="52"/>
    </row>
    <row r="117" spans="2:19" s="34" customFormat="1" ht="33" hidden="1" customHeight="1">
      <c r="B117" s="47" t="s">
        <v>3823</v>
      </c>
      <c r="C117" s="48" t="s">
        <v>904</v>
      </c>
      <c r="D117" s="49" t="s">
        <v>526</v>
      </c>
      <c r="E117" s="50">
        <v>43507</v>
      </c>
      <c r="F117" s="52" t="s">
        <v>218</v>
      </c>
      <c r="G117" s="51">
        <v>640</v>
      </c>
      <c r="H117" s="52">
        <f t="shared" si="13"/>
        <v>32</v>
      </c>
      <c r="I117" s="52">
        <f t="shared" si="14"/>
        <v>1</v>
      </c>
      <c r="J117" s="52"/>
      <c r="K117" s="53">
        <v>43576</v>
      </c>
      <c r="L117" s="54" t="s">
        <v>448</v>
      </c>
      <c r="M117" s="55">
        <v>43718</v>
      </c>
      <c r="N117" s="56" t="s">
        <v>447</v>
      </c>
      <c r="O117" s="55">
        <v>43583</v>
      </c>
      <c r="P117" s="58"/>
      <c r="Q117" s="52" t="s">
        <v>643</v>
      </c>
      <c r="R117" s="63" t="s">
        <v>211</v>
      </c>
      <c r="S117" s="52"/>
    </row>
    <row r="118" spans="2:19" s="34" customFormat="1" ht="33" hidden="1" customHeight="1">
      <c r="B118" s="47" t="s">
        <v>3823</v>
      </c>
      <c r="C118" s="48" t="s">
        <v>331</v>
      </c>
      <c r="D118" s="49" t="s">
        <v>632</v>
      </c>
      <c r="E118" s="50">
        <v>43519</v>
      </c>
      <c r="F118" s="52" t="s">
        <v>218</v>
      </c>
      <c r="G118" s="51">
        <v>3200</v>
      </c>
      <c r="H118" s="52">
        <f t="shared" si="13"/>
        <v>160</v>
      </c>
      <c r="I118" s="52">
        <f t="shared" si="14"/>
        <v>5</v>
      </c>
      <c r="J118" s="52"/>
      <c r="K118" s="53">
        <v>43562</v>
      </c>
      <c r="L118" s="54" t="s">
        <v>608</v>
      </c>
      <c r="M118" s="55">
        <v>43718</v>
      </c>
      <c r="N118" s="56" t="s">
        <v>403</v>
      </c>
      <c r="O118" s="55">
        <v>43562</v>
      </c>
      <c r="P118" s="58"/>
      <c r="Q118" s="52" t="s">
        <v>642</v>
      </c>
      <c r="R118" s="63" t="s">
        <v>211</v>
      </c>
      <c r="S118" s="52"/>
    </row>
    <row r="119" spans="2:19" s="34" customFormat="1" ht="33" hidden="1" customHeight="1">
      <c r="B119" s="47" t="s">
        <v>3823</v>
      </c>
      <c r="C119" s="48" t="s">
        <v>907</v>
      </c>
      <c r="D119" s="49" t="s">
        <v>632</v>
      </c>
      <c r="E119" s="50">
        <v>43519</v>
      </c>
      <c r="F119" s="52" t="s">
        <v>218</v>
      </c>
      <c r="G119" s="51">
        <v>640</v>
      </c>
      <c r="H119" s="52">
        <f t="shared" si="13"/>
        <v>32</v>
      </c>
      <c r="I119" s="52">
        <f t="shared" si="14"/>
        <v>1</v>
      </c>
      <c r="J119" s="52"/>
      <c r="K119" s="53">
        <v>43562</v>
      </c>
      <c r="L119" s="54" t="s">
        <v>480</v>
      </c>
      <c r="M119" s="55">
        <v>43718</v>
      </c>
      <c r="N119" s="56" t="s">
        <v>646</v>
      </c>
      <c r="O119" s="55">
        <v>43569</v>
      </c>
      <c r="P119" s="58"/>
      <c r="Q119" s="52" t="s">
        <v>642</v>
      </c>
      <c r="R119" s="63" t="s">
        <v>211</v>
      </c>
      <c r="S119" s="52"/>
    </row>
    <row r="120" spans="2:19" s="34" customFormat="1" ht="33" hidden="1" customHeight="1">
      <c r="B120" s="47" t="s">
        <v>3823</v>
      </c>
      <c r="C120" s="48" t="s">
        <v>2527</v>
      </c>
      <c r="D120" s="199" t="s">
        <v>2532</v>
      </c>
      <c r="E120" s="50">
        <v>43609</v>
      </c>
      <c r="F120" s="52" t="s">
        <v>218</v>
      </c>
      <c r="G120" s="51">
        <v>120</v>
      </c>
      <c r="H120" s="52">
        <f t="shared" si="13"/>
        <v>6</v>
      </c>
      <c r="I120" s="52">
        <f t="shared" si="14"/>
        <v>0.1875</v>
      </c>
      <c r="J120" s="52"/>
      <c r="K120" s="53">
        <v>43646</v>
      </c>
      <c r="L120" s="54" t="s">
        <v>1083</v>
      </c>
      <c r="M120" s="55">
        <v>43718</v>
      </c>
      <c r="N120" s="56" t="s">
        <v>1084</v>
      </c>
      <c r="O120" s="55">
        <v>43639</v>
      </c>
      <c r="P120" s="58"/>
      <c r="Q120" s="63" t="s">
        <v>2543</v>
      </c>
      <c r="R120" s="63" t="s">
        <v>2542</v>
      </c>
      <c r="S120" s="52"/>
    </row>
    <row r="121" spans="2:19" s="34" customFormat="1" ht="33" hidden="1" customHeight="1">
      <c r="B121" s="47" t="s">
        <v>3580</v>
      </c>
      <c r="C121" s="48" t="s">
        <v>2531</v>
      </c>
      <c r="D121" s="199" t="s">
        <v>2532</v>
      </c>
      <c r="E121" s="50">
        <v>43609</v>
      </c>
      <c r="F121" s="52" t="s">
        <v>228</v>
      </c>
      <c r="G121" s="51">
        <v>120</v>
      </c>
      <c r="H121" s="52">
        <f t="shared" si="13"/>
        <v>6</v>
      </c>
      <c r="I121" s="52">
        <f t="shared" si="14"/>
        <v>0.1875</v>
      </c>
      <c r="J121" s="52"/>
      <c r="K121" s="53">
        <v>43646</v>
      </c>
      <c r="L121" s="54" t="s">
        <v>1083</v>
      </c>
      <c r="M121" s="55">
        <v>43718</v>
      </c>
      <c r="N121" s="56" t="s">
        <v>1084</v>
      </c>
      <c r="O121" s="55">
        <v>43639</v>
      </c>
      <c r="P121" s="58"/>
      <c r="Q121" s="63" t="s">
        <v>2544</v>
      </c>
      <c r="R121" s="63" t="s">
        <v>2542</v>
      </c>
      <c r="S121" s="52"/>
    </row>
    <row r="122" spans="2:19" s="34" customFormat="1" ht="33" hidden="1" customHeight="1">
      <c r="B122" s="47" t="s">
        <v>3823</v>
      </c>
      <c r="C122" s="48" t="s">
        <v>431</v>
      </c>
      <c r="D122" s="49" t="s">
        <v>736</v>
      </c>
      <c r="E122" s="50">
        <v>43523</v>
      </c>
      <c r="F122" s="52" t="s">
        <v>218</v>
      </c>
      <c r="G122" s="51">
        <v>3200</v>
      </c>
      <c r="H122" s="52">
        <f t="shared" si="13"/>
        <v>160</v>
      </c>
      <c r="I122" s="52">
        <f t="shared" si="14"/>
        <v>5</v>
      </c>
      <c r="J122" s="52"/>
      <c r="K122" s="53">
        <v>43597</v>
      </c>
      <c r="L122" s="54" t="s">
        <v>605</v>
      </c>
      <c r="M122" s="55">
        <v>43718</v>
      </c>
      <c r="N122" s="56" t="s">
        <v>624</v>
      </c>
      <c r="O122" s="55">
        <v>43598</v>
      </c>
      <c r="P122" s="58"/>
      <c r="Q122" s="52" t="s">
        <v>641</v>
      </c>
      <c r="R122" s="63" t="s">
        <v>211</v>
      </c>
      <c r="S122" s="52"/>
    </row>
    <row r="123" spans="2:19" s="34" customFormat="1" ht="33" hidden="1" customHeight="1">
      <c r="B123" s="47" t="s">
        <v>3823</v>
      </c>
      <c r="C123" s="48" t="s">
        <v>648</v>
      </c>
      <c r="D123" s="49" t="s">
        <v>736</v>
      </c>
      <c r="E123" s="50">
        <v>43523</v>
      </c>
      <c r="F123" s="52" t="s">
        <v>218</v>
      </c>
      <c r="G123" s="51">
        <v>640</v>
      </c>
      <c r="H123" s="52">
        <f t="shared" si="13"/>
        <v>32</v>
      </c>
      <c r="I123" s="52">
        <f t="shared" si="14"/>
        <v>1</v>
      </c>
      <c r="J123" s="52"/>
      <c r="K123" s="53">
        <v>43618</v>
      </c>
      <c r="L123" s="54" t="s">
        <v>977</v>
      </c>
      <c r="M123" s="55">
        <v>43718</v>
      </c>
      <c r="N123" s="56" t="s">
        <v>827</v>
      </c>
      <c r="O123" s="55">
        <v>43618</v>
      </c>
      <c r="P123" s="58"/>
      <c r="Q123" s="52" t="s">
        <v>641</v>
      </c>
      <c r="R123" s="63" t="s">
        <v>211</v>
      </c>
      <c r="S123" s="52"/>
    </row>
    <row r="124" spans="2:19" s="34" customFormat="1" ht="33" hidden="1" customHeight="1">
      <c r="B124" s="47" t="s">
        <v>3823</v>
      </c>
      <c r="C124" s="48" t="s">
        <v>911</v>
      </c>
      <c r="D124" s="49" t="s">
        <v>739</v>
      </c>
      <c r="E124" s="50">
        <v>43532</v>
      </c>
      <c r="F124" s="52" t="s">
        <v>218</v>
      </c>
      <c r="G124" s="51">
        <v>2560</v>
      </c>
      <c r="H124" s="52">
        <f t="shared" si="13"/>
        <v>128</v>
      </c>
      <c r="I124" s="52">
        <f t="shared" si="14"/>
        <v>4</v>
      </c>
      <c r="J124" s="52"/>
      <c r="K124" s="53">
        <v>43618</v>
      </c>
      <c r="L124" s="54" t="s">
        <v>977</v>
      </c>
      <c r="M124" s="55">
        <v>43718</v>
      </c>
      <c r="N124" s="56" t="s">
        <v>827</v>
      </c>
      <c r="O124" s="55">
        <v>43618</v>
      </c>
      <c r="P124" s="58"/>
      <c r="Q124" s="52" t="s">
        <v>970</v>
      </c>
      <c r="R124" s="63" t="s">
        <v>211</v>
      </c>
      <c r="S124" s="52"/>
    </row>
    <row r="125" spans="2:19" s="34" customFormat="1" ht="33" hidden="1" customHeight="1">
      <c r="B125" s="47" t="s">
        <v>3823</v>
      </c>
      <c r="C125" s="48" t="s">
        <v>589</v>
      </c>
      <c r="D125" s="49" t="s">
        <v>1260</v>
      </c>
      <c r="E125" s="50">
        <v>43558</v>
      </c>
      <c r="F125" s="52" t="s">
        <v>218</v>
      </c>
      <c r="G125" s="51">
        <v>3200</v>
      </c>
      <c r="H125" s="52">
        <f t="shared" si="13"/>
        <v>160</v>
      </c>
      <c r="I125" s="52">
        <f t="shared" si="14"/>
        <v>5</v>
      </c>
      <c r="J125" s="52"/>
      <c r="K125" s="53">
        <v>43639</v>
      </c>
      <c r="L125" s="54" t="s">
        <v>978</v>
      </c>
      <c r="M125" s="55">
        <v>43718</v>
      </c>
      <c r="N125" s="56" t="s">
        <v>972</v>
      </c>
      <c r="O125" s="55">
        <v>43639</v>
      </c>
      <c r="P125" s="58"/>
      <c r="Q125" s="52" t="s">
        <v>973</v>
      </c>
      <c r="R125" s="63" t="s">
        <v>211</v>
      </c>
      <c r="S125" s="52"/>
    </row>
    <row r="126" spans="2:19" s="34" customFormat="1" ht="33" hidden="1" customHeight="1">
      <c r="B126" s="47" t="s">
        <v>3823</v>
      </c>
      <c r="C126" s="48" t="s">
        <v>2078</v>
      </c>
      <c r="D126" s="49" t="s">
        <v>2426</v>
      </c>
      <c r="E126" s="50">
        <v>43602</v>
      </c>
      <c r="F126" s="52" t="s">
        <v>218</v>
      </c>
      <c r="G126" s="51">
        <v>3200</v>
      </c>
      <c r="H126" s="52">
        <f t="shared" si="13"/>
        <v>160</v>
      </c>
      <c r="I126" s="52">
        <f t="shared" si="14"/>
        <v>5</v>
      </c>
      <c r="J126" s="52"/>
      <c r="K126" s="53">
        <v>43653</v>
      </c>
      <c r="L126" s="54" t="s">
        <v>1326</v>
      </c>
      <c r="M126" s="55">
        <v>43718</v>
      </c>
      <c r="N126" s="56" t="s">
        <v>2143</v>
      </c>
      <c r="O126" s="55">
        <v>43653</v>
      </c>
      <c r="P126" s="58"/>
      <c r="Q126" s="52" t="s">
        <v>2148</v>
      </c>
      <c r="R126" s="63" t="s">
        <v>211</v>
      </c>
      <c r="S126" s="52"/>
    </row>
    <row r="127" spans="2:19" s="34" customFormat="1" ht="33" hidden="1" customHeight="1">
      <c r="B127" s="47" t="s">
        <v>3823</v>
      </c>
      <c r="C127" s="48" t="s">
        <v>2079</v>
      </c>
      <c r="D127" s="49" t="s">
        <v>2428</v>
      </c>
      <c r="E127" s="50">
        <v>43602</v>
      </c>
      <c r="F127" s="52" t="s">
        <v>218</v>
      </c>
      <c r="G127" s="51">
        <v>3200</v>
      </c>
      <c r="H127" s="52">
        <f t="shared" si="13"/>
        <v>160</v>
      </c>
      <c r="I127" s="52">
        <f t="shared" si="14"/>
        <v>5</v>
      </c>
      <c r="J127" s="52"/>
      <c r="K127" s="53">
        <v>43667</v>
      </c>
      <c r="L127" s="54" t="s">
        <v>2146</v>
      </c>
      <c r="M127" s="55">
        <v>43718</v>
      </c>
      <c r="N127" s="56" t="s">
        <v>2551</v>
      </c>
      <c r="O127" s="55">
        <v>43674</v>
      </c>
      <c r="P127" s="58"/>
      <c r="Q127" s="52" t="s">
        <v>2150</v>
      </c>
      <c r="R127" s="63" t="s">
        <v>211</v>
      </c>
      <c r="S127" s="52"/>
    </row>
    <row r="128" spans="2:19" s="34" customFormat="1" ht="33" hidden="1" customHeight="1">
      <c r="B128" s="47" t="s">
        <v>3823</v>
      </c>
      <c r="C128" s="48" t="s">
        <v>2378</v>
      </c>
      <c r="D128" s="49" t="s">
        <v>2518</v>
      </c>
      <c r="E128" s="50">
        <v>43602</v>
      </c>
      <c r="F128" s="52" t="s">
        <v>218</v>
      </c>
      <c r="G128" s="51">
        <v>3200</v>
      </c>
      <c r="H128" s="52">
        <f t="shared" si="13"/>
        <v>160</v>
      </c>
      <c r="I128" s="52">
        <f t="shared" si="14"/>
        <v>5</v>
      </c>
      <c r="J128" s="52"/>
      <c r="K128" s="53">
        <v>43688</v>
      </c>
      <c r="L128" s="54" t="s">
        <v>2505</v>
      </c>
      <c r="M128" s="55">
        <v>43718</v>
      </c>
      <c r="N128" s="56" t="s">
        <v>2763</v>
      </c>
      <c r="O128" s="55">
        <v>43688</v>
      </c>
      <c r="P128" s="58"/>
      <c r="Q128" s="52" t="s">
        <v>2762</v>
      </c>
      <c r="R128" s="63" t="s">
        <v>211</v>
      </c>
      <c r="S128" s="47" t="s">
        <v>2764</v>
      </c>
    </row>
    <row r="129" spans="2:19" s="34" customFormat="1" ht="33" hidden="1" customHeight="1">
      <c r="B129" s="47" t="s">
        <v>3823</v>
      </c>
      <c r="C129" s="48" t="s">
        <v>2430</v>
      </c>
      <c r="D129" s="199" t="s">
        <v>2520</v>
      </c>
      <c r="E129" s="50">
        <v>43602</v>
      </c>
      <c r="F129" s="52" t="s">
        <v>218</v>
      </c>
      <c r="G129" s="51">
        <v>3200</v>
      </c>
      <c r="H129" s="52">
        <f t="shared" si="13"/>
        <v>160</v>
      </c>
      <c r="I129" s="52">
        <f t="shared" si="14"/>
        <v>5</v>
      </c>
      <c r="J129" s="52"/>
      <c r="K129" s="53">
        <v>43702</v>
      </c>
      <c r="L129" s="54" t="s">
        <v>2509</v>
      </c>
      <c r="M129" s="55">
        <v>43718</v>
      </c>
      <c r="N129" s="56" t="s">
        <v>2499</v>
      </c>
      <c r="O129" s="55">
        <v>43702</v>
      </c>
      <c r="P129" s="58"/>
      <c r="Q129" s="52" t="s">
        <v>2517</v>
      </c>
      <c r="R129" s="63" t="s">
        <v>211</v>
      </c>
      <c r="S129" s="52"/>
    </row>
    <row r="130" spans="2:19" s="34" customFormat="1" ht="33" hidden="1" customHeight="1">
      <c r="B130" s="47" t="s">
        <v>3823</v>
      </c>
      <c r="C130" s="48" t="s">
        <v>2528</v>
      </c>
      <c r="D130" s="199" t="s">
        <v>2704</v>
      </c>
      <c r="E130" s="50">
        <v>43609</v>
      </c>
      <c r="F130" s="52" t="s">
        <v>218</v>
      </c>
      <c r="G130" s="51">
        <v>3200</v>
      </c>
      <c r="H130" s="52">
        <f t="shared" si="13"/>
        <v>160</v>
      </c>
      <c r="I130" s="52">
        <f t="shared" si="14"/>
        <v>5</v>
      </c>
      <c r="J130" s="52"/>
      <c r="K130" s="53">
        <v>43660</v>
      </c>
      <c r="L130" s="54" t="s">
        <v>1326</v>
      </c>
      <c r="M130" s="55">
        <v>43718</v>
      </c>
      <c r="N130" s="56" t="s">
        <v>2540</v>
      </c>
      <c r="O130" s="55">
        <v>43653</v>
      </c>
      <c r="P130" s="58"/>
      <c r="Q130" s="52" t="s">
        <v>2148</v>
      </c>
      <c r="R130" s="63" t="s">
        <v>211</v>
      </c>
      <c r="S130" s="52"/>
    </row>
    <row r="131" spans="2:19" s="34" customFormat="1" ht="33" hidden="1" customHeight="1">
      <c r="B131" s="47" t="s">
        <v>3823</v>
      </c>
      <c r="C131" s="48" t="s">
        <v>2529</v>
      </c>
      <c r="D131" s="199" t="s">
        <v>2705</v>
      </c>
      <c r="E131" s="50">
        <v>43609</v>
      </c>
      <c r="F131" s="52" t="s">
        <v>218</v>
      </c>
      <c r="G131" s="51">
        <v>3200</v>
      </c>
      <c r="H131" s="52">
        <f t="shared" si="13"/>
        <v>160</v>
      </c>
      <c r="I131" s="52">
        <f t="shared" si="14"/>
        <v>5</v>
      </c>
      <c r="J131" s="52"/>
      <c r="K131" s="53">
        <v>43675</v>
      </c>
      <c r="L131" s="54" t="s">
        <v>2146</v>
      </c>
      <c r="M131" s="55">
        <v>43718</v>
      </c>
      <c r="N131" s="56" t="s">
        <v>2551</v>
      </c>
      <c r="O131" s="55">
        <v>43674</v>
      </c>
      <c r="P131" s="58"/>
      <c r="Q131" s="52" t="s">
        <v>2150</v>
      </c>
      <c r="R131" s="63" t="s">
        <v>211</v>
      </c>
      <c r="S131" s="52"/>
    </row>
    <row r="132" spans="2:19" s="34" customFormat="1" ht="33" hidden="1" customHeight="1">
      <c r="B132" s="47" t="s">
        <v>3823</v>
      </c>
      <c r="C132" s="48" t="s">
        <v>3497</v>
      </c>
      <c r="D132" s="199" t="s">
        <v>3498</v>
      </c>
      <c r="E132" s="50">
        <v>43637</v>
      </c>
      <c r="F132" s="52" t="s">
        <v>218</v>
      </c>
      <c r="G132" s="51">
        <v>3200</v>
      </c>
      <c r="H132" s="52">
        <f t="shared" si="13"/>
        <v>160</v>
      </c>
      <c r="I132" s="52">
        <f t="shared" si="14"/>
        <v>5</v>
      </c>
      <c r="J132" s="52"/>
      <c r="K132" s="53">
        <v>43716</v>
      </c>
      <c r="L132" s="54" t="s">
        <v>3565</v>
      </c>
      <c r="M132" s="55">
        <v>43718</v>
      </c>
      <c r="N132" s="56" t="s">
        <v>3557</v>
      </c>
      <c r="O132" s="55">
        <v>43716</v>
      </c>
      <c r="P132" s="58"/>
      <c r="Q132" s="52" t="s">
        <v>4911</v>
      </c>
      <c r="R132" s="63" t="s">
        <v>211</v>
      </c>
      <c r="S132" s="52"/>
    </row>
    <row r="133" spans="2:19" s="32" customFormat="1" ht="33" customHeight="1">
      <c r="B133" s="46" t="s">
        <v>3823</v>
      </c>
      <c r="C133" s="35" t="s">
        <v>3499</v>
      </c>
      <c r="D133" s="190" t="s">
        <v>3500</v>
      </c>
      <c r="E133" s="37">
        <v>43637</v>
      </c>
      <c r="F133" s="38" t="s">
        <v>218</v>
      </c>
      <c r="G133" s="39">
        <v>3200</v>
      </c>
      <c r="H133" s="38">
        <f t="shared" si="13"/>
        <v>160</v>
      </c>
      <c r="I133" s="38">
        <f t="shared" si="14"/>
        <v>5</v>
      </c>
      <c r="J133" s="38"/>
      <c r="K133" s="40">
        <v>43730</v>
      </c>
      <c r="L133" s="41" t="s">
        <v>2553</v>
      </c>
      <c r="M133" s="42">
        <v>43725</v>
      </c>
      <c r="N133" s="43" t="s">
        <v>2546</v>
      </c>
      <c r="O133" s="42">
        <v>43730</v>
      </c>
      <c r="P133" s="45"/>
      <c r="Q133" s="38" t="s">
        <v>5671</v>
      </c>
      <c r="R133" s="66" t="s">
        <v>211</v>
      </c>
      <c r="S133" s="38"/>
    </row>
    <row r="134" spans="2:19" s="32" customFormat="1" ht="33" customHeight="1">
      <c r="B134" s="46" t="s">
        <v>3823</v>
      </c>
      <c r="C134" s="35" t="s">
        <v>3501</v>
      </c>
      <c r="D134" s="190" t="s">
        <v>3502</v>
      </c>
      <c r="E134" s="37">
        <v>43637</v>
      </c>
      <c r="F134" s="38" t="s">
        <v>218</v>
      </c>
      <c r="G134" s="39">
        <v>3200</v>
      </c>
      <c r="H134" s="38">
        <f t="shared" si="13"/>
        <v>160</v>
      </c>
      <c r="I134" s="38">
        <f t="shared" si="14"/>
        <v>5</v>
      </c>
      <c r="J134" s="38"/>
      <c r="K134" s="40">
        <v>43737</v>
      </c>
      <c r="L134" s="41" t="s">
        <v>3825</v>
      </c>
      <c r="M134" s="42">
        <v>43732</v>
      </c>
      <c r="N134" s="43" t="s">
        <v>3562</v>
      </c>
      <c r="O134" s="42">
        <v>43737</v>
      </c>
      <c r="P134" s="45"/>
      <c r="Q134" s="38" t="s">
        <v>5427</v>
      </c>
      <c r="R134" s="66" t="s">
        <v>211</v>
      </c>
      <c r="S134" s="38"/>
    </row>
    <row r="135" spans="2:19" s="34" customFormat="1" ht="33" hidden="1" customHeight="1">
      <c r="B135" s="47" t="s">
        <v>3823</v>
      </c>
      <c r="C135" s="48" t="s">
        <v>4103</v>
      </c>
      <c r="D135" s="199" t="s">
        <v>4408</v>
      </c>
      <c r="E135" s="50">
        <v>43657</v>
      </c>
      <c r="F135" s="52" t="s">
        <v>218</v>
      </c>
      <c r="G135" s="51">
        <v>3200</v>
      </c>
      <c r="H135" s="52">
        <f t="shared" si="13"/>
        <v>160</v>
      </c>
      <c r="I135" s="52">
        <f t="shared" si="14"/>
        <v>5</v>
      </c>
      <c r="J135" s="52"/>
      <c r="K135" s="53">
        <v>43723</v>
      </c>
      <c r="L135" s="54" t="s">
        <v>3567</v>
      </c>
      <c r="M135" s="55">
        <v>43718</v>
      </c>
      <c r="N135" s="56" t="s">
        <v>3559</v>
      </c>
      <c r="O135" s="55">
        <v>43723</v>
      </c>
      <c r="P135" s="58"/>
      <c r="Q135" s="52" t="s">
        <v>4167</v>
      </c>
      <c r="R135" s="63" t="s">
        <v>211</v>
      </c>
      <c r="S135" s="52"/>
    </row>
    <row r="136" spans="2:19" s="32" customFormat="1" ht="33" customHeight="1">
      <c r="B136" s="46" t="s">
        <v>3823</v>
      </c>
      <c r="C136" s="35" t="s">
        <v>4410</v>
      </c>
      <c r="D136" s="190" t="s">
        <v>4411</v>
      </c>
      <c r="E136" s="37">
        <v>43665</v>
      </c>
      <c r="F136" s="38" t="s">
        <v>218</v>
      </c>
      <c r="G136" s="39">
        <v>3200</v>
      </c>
      <c r="H136" s="38">
        <f t="shared" si="13"/>
        <v>160</v>
      </c>
      <c r="I136" s="38">
        <f t="shared" si="14"/>
        <v>5</v>
      </c>
      <c r="J136" s="38"/>
      <c r="K136" s="40">
        <v>43751</v>
      </c>
      <c r="L136" s="41" t="s">
        <v>4475</v>
      </c>
      <c r="M136" s="42">
        <v>43756</v>
      </c>
      <c r="N136" s="43" t="s">
        <v>4469</v>
      </c>
      <c r="O136" s="42">
        <v>43751</v>
      </c>
      <c r="P136" s="45"/>
      <c r="Q136" s="66" t="s">
        <v>5445</v>
      </c>
      <c r="R136" s="66" t="s">
        <v>2542</v>
      </c>
      <c r="S136" s="38"/>
    </row>
    <row r="137" spans="2:19" s="32" customFormat="1" ht="33" hidden="1" customHeight="1">
      <c r="B137" s="46" t="s">
        <v>3823</v>
      </c>
      <c r="C137" s="35" t="s">
        <v>4412</v>
      </c>
      <c r="D137" s="190" t="s">
        <v>4413</v>
      </c>
      <c r="E137" s="37">
        <v>43665</v>
      </c>
      <c r="F137" s="38" t="s">
        <v>218</v>
      </c>
      <c r="G137" s="39">
        <v>3200</v>
      </c>
      <c r="H137" s="38">
        <f t="shared" si="13"/>
        <v>160</v>
      </c>
      <c r="I137" s="38">
        <f t="shared" si="14"/>
        <v>5</v>
      </c>
      <c r="J137" s="38"/>
      <c r="K137" s="40">
        <v>43758</v>
      </c>
      <c r="L137" s="41" t="s">
        <v>4479</v>
      </c>
      <c r="M137" s="42">
        <v>43756</v>
      </c>
      <c r="N137" s="43" t="s">
        <v>4471</v>
      </c>
      <c r="O137" s="42">
        <v>43758</v>
      </c>
      <c r="P137" s="45"/>
      <c r="Q137" s="66" t="s">
        <v>4818</v>
      </c>
      <c r="R137" s="66" t="s">
        <v>2542</v>
      </c>
      <c r="S137" s="38"/>
    </row>
    <row r="138" spans="2:19" s="32" customFormat="1" ht="33" hidden="1" customHeight="1">
      <c r="B138" s="46" t="s">
        <v>3823</v>
      </c>
      <c r="C138" s="35" t="s">
        <v>4414</v>
      </c>
      <c r="D138" s="190" t="s">
        <v>4415</v>
      </c>
      <c r="E138" s="37">
        <v>43665</v>
      </c>
      <c r="F138" s="38" t="s">
        <v>218</v>
      </c>
      <c r="G138" s="39">
        <v>3200</v>
      </c>
      <c r="H138" s="38">
        <f t="shared" si="13"/>
        <v>160</v>
      </c>
      <c r="I138" s="38">
        <f t="shared" si="14"/>
        <v>5</v>
      </c>
      <c r="J138" s="38"/>
      <c r="K138" s="40">
        <v>43765</v>
      </c>
      <c r="L138" s="41" t="s">
        <v>4477</v>
      </c>
      <c r="M138" s="42">
        <v>43756</v>
      </c>
      <c r="N138" s="43" t="s">
        <v>3878</v>
      </c>
      <c r="O138" s="42">
        <v>43765</v>
      </c>
      <c r="P138" s="45"/>
      <c r="Q138" s="66" t="s">
        <v>4817</v>
      </c>
      <c r="R138" s="66" t="s">
        <v>2542</v>
      </c>
      <c r="S138" s="38"/>
    </row>
    <row r="139" spans="2:19" s="32" customFormat="1" ht="33" hidden="1" customHeight="1">
      <c r="B139" s="46" t="s">
        <v>3823</v>
      </c>
      <c r="C139" s="35" t="s">
        <v>4550</v>
      </c>
      <c r="D139" s="190" t="s">
        <v>5433</v>
      </c>
      <c r="E139" s="37">
        <v>43679</v>
      </c>
      <c r="F139" s="38" t="s">
        <v>218</v>
      </c>
      <c r="G139" s="39">
        <v>3200</v>
      </c>
      <c r="H139" s="38">
        <f t="shared" si="13"/>
        <v>160</v>
      </c>
      <c r="I139" s="38">
        <f t="shared" si="14"/>
        <v>5</v>
      </c>
      <c r="J139" s="38"/>
      <c r="K139" s="40">
        <v>43765</v>
      </c>
      <c r="L139" s="41" t="s">
        <v>4477</v>
      </c>
      <c r="M139" s="42">
        <v>43756</v>
      </c>
      <c r="N139" s="43" t="s">
        <v>4549</v>
      </c>
      <c r="O139" s="42">
        <v>43765</v>
      </c>
      <c r="P139" s="45"/>
      <c r="Q139" s="66" t="s">
        <v>4817</v>
      </c>
      <c r="R139" s="66" t="s">
        <v>2542</v>
      </c>
      <c r="S139" s="38"/>
    </row>
    <row r="140" spans="2:19" s="32" customFormat="1" ht="33" hidden="1" customHeight="1">
      <c r="B140" s="46" t="s">
        <v>3823</v>
      </c>
      <c r="C140" s="35" t="s">
        <v>4899</v>
      </c>
      <c r="D140" s="190" t="s">
        <v>5692</v>
      </c>
      <c r="E140" s="37">
        <v>43689</v>
      </c>
      <c r="F140" s="38" t="s">
        <v>218</v>
      </c>
      <c r="G140" s="39">
        <v>3200</v>
      </c>
      <c r="H140" s="38">
        <f t="shared" si="13"/>
        <v>160</v>
      </c>
      <c r="I140" s="38">
        <f t="shared" si="14"/>
        <v>5</v>
      </c>
      <c r="J140" s="38"/>
      <c r="K140" s="40">
        <v>43779</v>
      </c>
      <c r="L140" s="41" t="s">
        <v>4816</v>
      </c>
      <c r="M140" s="42">
        <v>43756</v>
      </c>
      <c r="N140" s="43" t="s">
        <v>4815</v>
      </c>
      <c r="O140" s="42">
        <v>43779</v>
      </c>
      <c r="P140" s="45"/>
      <c r="Q140" s="66" t="s">
        <v>5672</v>
      </c>
      <c r="R140" s="66" t="s">
        <v>211</v>
      </c>
      <c r="S140" s="38"/>
    </row>
    <row r="141" spans="2:19" s="32" customFormat="1" ht="33" hidden="1" customHeight="1">
      <c r="B141" s="46" t="s">
        <v>3823</v>
      </c>
      <c r="C141" s="35" t="s">
        <v>4897</v>
      </c>
      <c r="D141" s="190" t="s">
        <v>5693</v>
      </c>
      <c r="E141" s="37">
        <v>43689</v>
      </c>
      <c r="F141" s="38" t="s">
        <v>218</v>
      </c>
      <c r="G141" s="39">
        <v>3200</v>
      </c>
      <c r="H141" s="38">
        <f t="shared" si="13"/>
        <v>160</v>
      </c>
      <c r="I141" s="38">
        <f t="shared" si="14"/>
        <v>5</v>
      </c>
      <c r="J141" s="38"/>
      <c r="K141" s="40">
        <v>43793</v>
      </c>
      <c r="L141" s="41" t="s">
        <v>5188</v>
      </c>
      <c r="M141" s="42">
        <v>43788</v>
      </c>
      <c r="N141" s="43" t="s">
        <v>5322</v>
      </c>
      <c r="O141" s="42">
        <v>43793</v>
      </c>
      <c r="P141" s="45"/>
      <c r="Q141" s="66" t="s">
        <v>5442</v>
      </c>
      <c r="R141" s="66" t="s">
        <v>211</v>
      </c>
      <c r="S141" s="38"/>
    </row>
    <row r="142" spans="2:19" s="34" customFormat="1" ht="33" hidden="1" customHeight="1">
      <c r="B142" s="47" t="s">
        <v>5451</v>
      </c>
      <c r="C142" s="48" t="s">
        <v>235</v>
      </c>
      <c r="D142" s="49" t="s">
        <v>744</v>
      </c>
      <c r="E142" s="50">
        <v>43532</v>
      </c>
      <c r="F142" s="52" t="s">
        <v>228</v>
      </c>
      <c r="G142" s="51">
        <v>1280</v>
      </c>
      <c r="H142" s="52">
        <f t="shared" si="13"/>
        <v>64</v>
      </c>
      <c r="I142" s="52">
        <f t="shared" si="14"/>
        <v>2</v>
      </c>
      <c r="J142" s="52"/>
      <c r="K142" s="53">
        <v>43597</v>
      </c>
      <c r="L142" s="54" t="s">
        <v>605</v>
      </c>
      <c r="M142" s="55">
        <v>43756</v>
      </c>
      <c r="N142" s="56" t="s">
        <v>772</v>
      </c>
      <c r="O142" s="55">
        <v>43598</v>
      </c>
      <c r="P142" s="58"/>
      <c r="Q142" s="52" t="s">
        <v>641</v>
      </c>
      <c r="R142" s="63" t="s">
        <v>211</v>
      </c>
      <c r="S142" s="52"/>
    </row>
    <row r="143" spans="2:19" s="34" customFormat="1" ht="33" hidden="1" customHeight="1">
      <c r="B143" s="47" t="s">
        <v>5451</v>
      </c>
      <c r="C143" s="48" t="s">
        <v>1569</v>
      </c>
      <c r="D143" s="49" t="s">
        <v>2085</v>
      </c>
      <c r="E143" s="50">
        <v>43581</v>
      </c>
      <c r="F143" s="52" t="s">
        <v>228</v>
      </c>
      <c r="G143" s="51">
        <v>1280</v>
      </c>
      <c r="H143" s="52">
        <f t="shared" si="13"/>
        <v>64</v>
      </c>
      <c r="I143" s="52">
        <f t="shared" si="14"/>
        <v>2</v>
      </c>
      <c r="J143" s="52"/>
      <c r="K143" s="53">
        <v>43632</v>
      </c>
      <c r="L143" s="54" t="s">
        <v>807</v>
      </c>
      <c r="M143" s="55">
        <v>43756</v>
      </c>
      <c r="N143" s="56" t="s">
        <v>769</v>
      </c>
      <c r="O143" s="55">
        <v>43632</v>
      </c>
      <c r="P143" s="58"/>
      <c r="Q143" s="52" t="s">
        <v>1810</v>
      </c>
      <c r="R143" s="63" t="s">
        <v>211</v>
      </c>
      <c r="S143" s="52"/>
    </row>
    <row r="144" spans="2:19" s="34" customFormat="1" ht="33" hidden="1" customHeight="1">
      <c r="B144" s="47" t="s">
        <v>5451</v>
      </c>
      <c r="C144" s="48" t="s">
        <v>90</v>
      </c>
      <c r="D144" s="49" t="s">
        <v>2087</v>
      </c>
      <c r="E144" s="50">
        <v>43595</v>
      </c>
      <c r="F144" s="52" t="s">
        <v>228</v>
      </c>
      <c r="G144" s="51">
        <v>1280</v>
      </c>
      <c r="H144" s="52">
        <f t="shared" si="13"/>
        <v>64</v>
      </c>
      <c r="I144" s="52">
        <f t="shared" si="14"/>
        <v>2</v>
      </c>
      <c r="J144" s="52"/>
      <c r="K144" s="53">
        <v>43646</v>
      </c>
      <c r="L144" s="54" t="s">
        <v>1326</v>
      </c>
      <c r="M144" s="55">
        <v>43756</v>
      </c>
      <c r="N144" s="56" t="s">
        <v>2143</v>
      </c>
      <c r="O144" s="55">
        <v>43653</v>
      </c>
      <c r="P144" s="58"/>
      <c r="Q144" s="52" t="s">
        <v>2148</v>
      </c>
      <c r="R144" s="63" t="s">
        <v>211</v>
      </c>
      <c r="S144" s="52"/>
    </row>
    <row r="145" spans="1:19" s="34" customFormat="1" ht="33" hidden="1" customHeight="1">
      <c r="B145" s="47" t="s">
        <v>5451</v>
      </c>
      <c r="C145" s="48" t="s">
        <v>2088</v>
      </c>
      <c r="D145" s="49" t="s">
        <v>2089</v>
      </c>
      <c r="E145" s="50">
        <v>43595</v>
      </c>
      <c r="F145" s="52" t="s">
        <v>228</v>
      </c>
      <c r="G145" s="51">
        <v>640</v>
      </c>
      <c r="H145" s="52">
        <f t="shared" si="13"/>
        <v>32</v>
      </c>
      <c r="I145" s="52">
        <f t="shared" si="14"/>
        <v>1</v>
      </c>
      <c r="J145" s="52"/>
      <c r="K145" s="53">
        <v>43709</v>
      </c>
      <c r="L145" s="54" t="s">
        <v>3565</v>
      </c>
      <c r="M145" s="55">
        <v>43756</v>
      </c>
      <c r="N145" s="56" t="s">
        <v>3557</v>
      </c>
      <c r="O145" s="55">
        <v>43716</v>
      </c>
      <c r="P145" s="58"/>
      <c r="Q145" s="63" t="s">
        <v>2548</v>
      </c>
      <c r="R145" s="63" t="s">
        <v>211</v>
      </c>
      <c r="S145" s="47" t="s">
        <v>4889</v>
      </c>
    </row>
    <row r="146" spans="1:19" s="32" customFormat="1" ht="33" customHeight="1">
      <c r="B146" s="46" t="s">
        <v>3580</v>
      </c>
      <c r="C146" s="35" t="s">
        <v>208</v>
      </c>
      <c r="D146" s="190" t="s">
        <v>2443</v>
      </c>
      <c r="E146" s="37">
        <v>43602</v>
      </c>
      <c r="F146" s="38" t="s">
        <v>228</v>
      </c>
      <c r="G146" s="39">
        <v>640</v>
      </c>
      <c r="H146" s="38">
        <f t="shared" si="13"/>
        <v>32</v>
      </c>
      <c r="I146" s="38">
        <f t="shared" si="14"/>
        <v>1</v>
      </c>
      <c r="J146" s="38"/>
      <c r="K146" s="196">
        <v>43737</v>
      </c>
      <c r="L146" s="41" t="s">
        <v>5462</v>
      </c>
      <c r="M146" s="42">
        <v>43725</v>
      </c>
      <c r="N146" s="43" t="s">
        <v>5463</v>
      </c>
      <c r="O146" s="42">
        <v>43730</v>
      </c>
      <c r="P146" s="45"/>
      <c r="Q146" s="66" t="s">
        <v>5466</v>
      </c>
      <c r="R146" s="66" t="s">
        <v>211</v>
      </c>
      <c r="S146" s="38" t="s">
        <v>5467</v>
      </c>
    </row>
    <row r="147" spans="1:19" s="32" customFormat="1" ht="33" customHeight="1">
      <c r="B147" s="46" t="s">
        <v>5451</v>
      </c>
      <c r="C147" s="35" t="s">
        <v>942</v>
      </c>
      <c r="D147" s="190" t="s">
        <v>5673</v>
      </c>
      <c r="E147" s="37">
        <v>43693</v>
      </c>
      <c r="F147" s="38" t="s">
        <v>228</v>
      </c>
      <c r="G147" s="39">
        <v>640</v>
      </c>
      <c r="H147" s="38">
        <f t="shared" si="13"/>
        <v>32</v>
      </c>
      <c r="I147" s="38">
        <f t="shared" si="14"/>
        <v>1</v>
      </c>
      <c r="J147" s="38"/>
      <c r="K147" s="196">
        <v>43737</v>
      </c>
      <c r="L147" s="41" t="s">
        <v>5462</v>
      </c>
      <c r="M147" s="42">
        <v>43725</v>
      </c>
      <c r="N147" s="43" t="s">
        <v>5463</v>
      </c>
      <c r="O147" s="42">
        <v>43730</v>
      </c>
      <c r="P147" s="45"/>
      <c r="Q147" s="66" t="s">
        <v>5466</v>
      </c>
      <c r="R147" s="66" t="s">
        <v>211</v>
      </c>
      <c r="S147" s="38" t="s">
        <v>5674</v>
      </c>
    </row>
    <row r="148" spans="1:19" s="32" customFormat="1" ht="33" hidden="1" customHeight="1">
      <c r="B148" s="46" t="s">
        <v>5451</v>
      </c>
      <c r="C148" s="35" t="s">
        <v>212</v>
      </c>
      <c r="D148" s="190" t="s">
        <v>2444</v>
      </c>
      <c r="E148" s="37">
        <v>43602</v>
      </c>
      <c r="F148" s="38" t="s">
        <v>228</v>
      </c>
      <c r="G148" s="39">
        <v>640</v>
      </c>
      <c r="H148" s="38">
        <f t="shared" si="13"/>
        <v>32</v>
      </c>
      <c r="I148" s="38">
        <f t="shared" si="14"/>
        <v>1</v>
      </c>
      <c r="J148" s="38"/>
      <c r="K148" s="40">
        <v>43779</v>
      </c>
      <c r="L148" s="41" t="s">
        <v>4816</v>
      </c>
      <c r="M148" s="42">
        <v>43756</v>
      </c>
      <c r="N148" s="43" t="s">
        <v>4815</v>
      </c>
      <c r="O148" s="42">
        <v>43779</v>
      </c>
      <c r="P148" s="45"/>
      <c r="Q148" s="38" t="s">
        <v>4823</v>
      </c>
      <c r="R148" s="66" t="s">
        <v>211</v>
      </c>
      <c r="S148" s="38"/>
    </row>
    <row r="149" spans="1:19" s="32" customFormat="1" ht="33" customHeight="1">
      <c r="B149" s="46" t="s">
        <v>5451</v>
      </c>
      <c r="C149" s="35" t="s">
        <v>2531</v>
      </c>
      <c r="D149" s="190" t="s">
        <v>4426</v>
      </c>
      <c r="E149" s="37">
        <v>43665</v>
      </c>
      <c r="F149" s="38" t="s">
        <v>228</v>
      </c>
      <c r="G149" s="39">
        <v>1920</v>
      </c>
      <c r="H149" s="38">
        <f t="shared" si="13"/>
        <v>96</v>
      </c>
      <c r="I149" s="38">
        <f t="shared" si="14"/>
        <v>3</v>
      </c>
      <c r="J149" s="38"/>
      <c r="K149" s="40">
        <v>43751</v>
      </c>
      <c r="L149" s="41" t="s">
        <v>4475</v>
      </c>
      <c r="M149" s="42">
        <v>43746</v>
      </c>
      <c r="N149" s="43" t="s">
        <v>4469</v>
      </c>
      <c r="O149" s="42">
        <v>43751</v>
      </c>
      <c r="P149" s="45"/>
      <c r="Q149" s="66" t="s">
        <v>5445</v>
      </c>
      <c r="R149" s="66" t="s">
        <v>211</v>
      </c>
      <c r="S149" s="38"/>
    </row>
    <row r="150" spans="1:19" s="32" customFormat="1" ht="33" hidden="1" customHeight="1">
      <c r="B150" s="46" t="s">
        <v>5451</v>
      </c>
      <c r="C150" s="35" t="s">
        <v>5417</v>
      </c>
      <c r="D150" s="190" t="s">
        <v>5690</v>
      </c>
      <c r="E150" s="37">
        <v>43700</v>
      </c>
      <c r="F150" s="38" t="s">
        <v>228</v>
      </c>
      <c r="G150" s="39">
        <v>640</v>
      </c>
      <c r="H150" s="38">
        <f t="shared" si="13"/>
        <v>32</v>
      </c>
      <c r="I150" s="38">
        <f t="shared" si="14"/>
        <v>1</v>
      </c>
      <c r="J150" s="38"/>
      <c r="K150" s="40">
        <v>43765</v>
      </c>
      <c r="L150" s="41" t="s">
        <v>4477</v>
      </c>
      <c r="M150" s="42">
        <v>43756</v>
      </c>
      <c r="N150" s="43" t="s">
        <v>4549</v>
      </c>
      <c r="O150" s="42">
        <v>43765</v>
      </c>
      <c r="P150" s="45"/>
      <c r="Q150" s="38" t="s">
        <v>5441</v>
      </c>
      <c r="R150" s="66" t="s">
        <v>211</v>
      </c>
      <c r="S150" s="38"/>
    </row>
    <row r="151" spans="1:19" s="32" customFormat="1" ht="33" hidden="1" customHeight="1">
      <c r="B151" s="122" t="s">
        <v>3580</v>
      </c>
      <c r="C151" s="126" t="s">
        <v>5418</v>
      </c>
      <c r="D151" s="187" t="s">
        <v>5688</v>
      </c>
      <c r="E151" s="128">
        <v>43700</v>
      </c>
      <c r="F151" s="124" t="s">
        <v>228</v>
      </c>
      <c r="G151" s="129">
        <v>1280</v>
      </c>
      <c r="H151" s="124">
        <f t="shared" si="13"/>
        <v>64</v>
      </c>
      <c r="I151" s="124">
        <f t="shared" si="14"/>
        <v>2</v>
      </c>
      <c r="J151" s="124"/>
      <c r="K151" s="130">
        <v>43807</v>
      </c>
      <c r="L151" s="119" t="s">
        <v>5684</v>
      </c>
      <c r="M151" s="120">
        <v>43802</v>
      </c>
      <c r="N151" s="121" t="s">
        <v>5683</v>
      </c>
      <c r="O151" s="120">
        <v>43807</v>
      </c>
      <c r="P151" s="123"/>
      <c r="Q151" s="124" t="s">
        <v>5685</v>
      </c>
      <c r="R151" s="134" t="s">
        <v>211</v>
      </c>
      <c r="S151" s="124"/>
    </row>
    <row r="152" spans="1:19" s="33" customFormat="1" ht="33" hidden="1" customHeight="1">
      <c r="A152" s="33" t="s">
        <v>2530</v>
      </c>
      <c r="B152" s="47" t="s">
        <v>86</v>
      </c>
      <c r="C152" s="48" t="s">
        <v>225</v>
      </c>
      <c r="D152" s="49" t="s">
        <v>487</v>
      </c>
      <c r="E152" s="50">
        <v>43490</v>
      </c>
      <c r="F152" s="52" t="s">
        <v>87</v>
      </c>
      <c r="G152" s="51">
        <v>1520</v>
      </c>
      <c r="H152" s="52">
        <f>SUM(G152/190)</f>
        <v>8</v>
      </c>
      <c r="I152" s="52">
        <f>SUM(H152/4)</f>
        <v>2</v>
      </c>
      <c r="J152" s="52"/>
      <c r="K152" s="53">
        <v>43569</v>
      </c>
      <c r="L152" s="54" t="s">
        <v>417</v>
      </c>
      <c r="M152" s="55">
        <v>43564</v>
      </c>
      <c r="N152" s="56" t="s">
        <v>405</v>
      </c>
      <c r="O152" s="55">
        <v>43569</v>
      </c>
      <c r="P152" s="58"/>
      <c r="Q152" s="52"/>
      <c r="R152" s="63" t="s">
        <v>495</v>
      </c>
      <c r="S152" s="47"/>
    </row>
    <row r="153" spans="1:19" s="33" customFormat="1" ht="33" hidden="1" customHeight="1">
      <c r="B153" s="47" t="s">
        <v>86</v>
      </c>
      <c r="C153" s="48" t="s">
        <v>226</v>
      </c>
      <c r="D153" s="49" t="s">
        <v>833</v>
      </c>
      <c r="E153" s="50">
        <v>43546</v>
      </c>
      <c r="F153" s="52" t="s">
        <v>87</v>
      </c>
      <c r="G153" s="51">
        <v>1520</v>
      </c>
      <c r="H153" s="52">
        <f>SUM(G153/190)</f>
        <v>8</v>
      </c>
      <c r="I153" s="52">
        <f>SUM(H153/4)</f>
        <v>2</v>
      </c>
      <c r="J153" s="52"/>
      <c r="K153" s="53">
        <v>43632</v>
      </c>
      <c r="L153" s="54" t="s">
        <v>838</v>
      </c>
      <c r="M153" s="55">
        <v>43627</v>
      </c>
      <c r="N153" s="56" t="s">
        <v>769</v>
      </c>
      <c r="O153" s="55">
        <v>43632</v>
      </c>
      <c r="P153" s="58"/>
      <c r="Q153" s="52"/>
      <c r="R153" s="63" t="s">
        <v>928</v>
      </c>
      <c r="S153" s="47"/>
    </row>
    <row r="154" spans="1:19" s="33" customFormat="1" ht="33" hidden="1" customHeight="1">
      <c r="B154" s="47" t="s">
        <v>2514</v>
      </c>
      <c r="C154" s="48" t="s">
        <v>2515</v>
      </c>
      <c r="D154" s="49" t="s">
        <v>2480</v>
      </c>
      <c r="E154" s="50">
        <v>43602</v>
      </c>
      <c r="F154" s="52" t="s">
        <v>2516</v>
      </c>
      <c r="G154" s="51">
        <v>1520</v>
      </c>
      <c r="H154" s="52">
        <v>8</v>
      </c>
      <c r="I154" s="52">
        <v>2</v>
      </c>
      <c r="J154" s="52"/>
      <c r="K154" s="53">
        <v>43702</v>
      </c>
      <c r="L154" s="54" t="s">
        <v>2512</v>
      </c>
      <c r="M154" s="55">
        <v>43697</v>
      </c>
      <c r="N154" s="56" t="s">
        <v>2499</v>
      </c>
      <c r="O154" s="55">
        <v>43702</v>
      </c>
      <c r="P154" s="58"/>
      <c r="Q154" s="52"/>
      <c r="R154" s="63" t="s">
        <v>4525</v>
      </c>
      <c r="S154" s="47"/>
    </row>
    <row r="155" spans="1:19" s="30" customFormat="1" ht="33" hidden="1" customHeight="1">
      <c r="B155" s="46" t="s">
        <v>2514</v>
      </c>
      <c r="C155" s="35" t="s">
        <v>285</v>
      </c>
      <c r="D155" s="36" t="s">
        <v>4436</v>
      </c>
      <c r="E155" s="37">
        <v>43665</v>
      </c>
      <c r="F155" s="38" t="s">
        <v>2516</v>
      </c>
      <c r="G155" s="39">
        <v>1520</v>
      </c>
      <c r="H155" s="38">
        <v>8</v>
      </c>
      <c r="I155" s="38">
        <v>2</v>
      </c>
      <c r="J155" s="38"/>
      <c r="K155" s="40">
        <v>43758</v>
      </c>
      <c r="L155" s="41" t="s">
        <v>4483</v>
      </c>
      <c r="M155" s="42">
        <v>43753</v>
      </c>
      <c r="N155" s="43" t="s">
        <v>4471</v>
      </c>
      <c r="O155" s="42">
        <v>43758</v>
      </c>
      <c r="P155" s="45"/>
      <c r="Q155" s="38"/>
      <c r="R155" s="66" t="s">
        <v>4437</v>
      </c>
      <c r="S155" s="46"/>
    </row>
    <row r="156" spans="1:19" s="30" customFormat="1" ht="33" hidden="1" customHeight="1">
      <c r="B156" s="46" t="s">
        <v>2514</v>
      </c>
      <c r="C156" s="35" t="s">
        <v>331</v>
      </c>
      <c r="D156" s="36" t="s">
        <v>4864</v>
      </c>
      <c r="E156" s="37">
        <v>43689</v>
      </c>
      <c r="F156" s="38" t="s">
        <v>2516</v>
      </c>
      <c r="G156" s="39">
        <v>1520</v>
      </c>
      <c r="H156" s="38">
        <v>8</v>
      </c>
      <c r="I156" s="38">
        <v>2</v>
      </c>
      <c r="J156" s="38"/>
      <c r="K156" s="40">
        <v>43802</v>
      </c>
      <c r="L156" s="41" t="s">
        <v>5191</v>
      </c>
      <c r="M156" s="42">
        <v>43795</v>
      </c>
      <c r="N156" s="43" t="s">
        <v>5319</v>
      </c>
      <c r="O156" s="42">
        <v>43800</v>
      </c>
      <c r="P156" s="45"/>
      <c r="Q156" s="38"/>
      <c r="R156" s="66" t="s">
        <v>5675</v>
      </c>
      <c r="S156" s="46"/>
    </row>
    <row r="157" spans="1:19" s="33" customFormat="1" ht="33" hidden="1" customHeight="1">
      <c r="B157" s="47" t="s">
        <v>238</v>
      </c>
      <c r="C157" s="48" t="s">
        <v>274</v>
      </c>
      <c r="D157" s="49" t="s">
        <v>474</v>
      </c>
      <c r="E157" s="50"/>
      <c r="F157" s="52" t="s">
        <v>236</v>
      </c>
      <c r="G157" s="51">
        <v>3200</v>
      </c>
      <c r="H157" s="52">
        <f t="shared" ref="H157:H168" si="15">SUM(G157/200)</f>
        <v>16</v>
      </c>
      <c r="I157" s="52">
        <f t="shared" ref="I157:I168" si="16">SUM(H157/4)</f>
        <v>4</v>
      </c>
      <c r="J157" s="52"/>
      <c r="K157" s="53">
        <v>43562</v>
      </c>
      <c r="L157" s="54" t="s">
        <v>406</v>
      </c>
      <c r="M157" s="55">
        <v>43557</v>
      </c>
      <c r="N157" s="56" t="s">
        <v>403</v>
      </c>
      <c r="O157" s="55">
        <v>43562</v>
      </c>
      <c r="P157" s="58"/>
      <c r="Q157" s="52"/>
      <c r="R157" s="63"/>
      <c r="S157" s="47"/>
    </row>
    <row r="158" spans="1:19" s="33" customFormat="1" ht="33" hidden="1" customHeight="1">
      <c r="B158" s="47" t="s">
        <v>238</v>
      </c>
      <c r="C158" s="48" t="s">
        <v>404</v>
      </c>
      <c r="D158" s="49" t="s">
        <v>475</v>
      </c>
      <c r="E158" s="50"/>
      <c r="F158" s="52" t="s">
        <v>236</v>
      </c>
      <c r="G158" s="51">
        <v>1600</v>
      </c>
      <c r="H158" s="52">
        <f t="shared" si="15"/>
        <v>8</v>
      </c>
      <c r="I158" s="52">
        <f t="shared" si="16"/>
        <v>2</v>
      </c>
      <c r="J158" s="52"/>
      <c r="K158" s="53">
        <v>43562</v>
      </c>
      <c r="L158" s="54" t="s">
        <v>407</v>
      </c>
      <c r="M158" s="55">
        <v>43564</v>
      </c>
      <c r="N158" s="56" t="s">
        <v>405</v>
      </c>
      <c r="O158" s="55">
        <v>43569</v>
      </c>
      <c r="P158" s="58"/>
      <c r="Q158" s="52"/>
      <c r="R158" s="63"/>
      <c r="S158" s="47"/>
    </row>
    <row r="159" spans="1:19" s="33" customFormat="1" ht="33" hidden="1" customHeight="1">
      <c r="B159" s="47" t="s">
        <v>238</v>
      </c>
      <c r="C159" s="48" t="s">
        <v>490</v>
      </c>
      <c r="D159" s="49" t="s">
        <v>488</v>
      </c>
      <c r="E159" s="50">
        <v>43495</v>
      </c>
      <c r="F159" s="52" t="s">
        <v>236</v>
      </c>
      <c r="G159" s="51">
        <v>1600</v>
      </c>
      <c r="H159" s="52">
        <f t="shared" si="15"/>
        <v>8</v>
      </c>
      <c r="I159" s="52">
        <f t="shared" si="16"/>
        <v>2</v>
      </c>
      <c r="J159" s="52"/>
      <c r="K159" s="53">
        <v>43583</v>
      </c>
      <c r="L159" s="54" t="s">
        <v>481</v>
      </c>
      <c r="M159" s="55">
        <v>43578</v>
      </c>
      <c r="N159" s="56" t="s">
        <v>447</v>
      </c>
      <c r="O159" s="55">
        <v>43583</v>
      </c>
      <c r="P159" s="58"/>
      <c r="Q159" s="52"/>
      <c r="R159" s="63"/>
      <c r="S159" s="47"/>
    </row>
    <row r="160" spans="1:19" s="33" customFormat="1" ht="33" hidden="1" customHeight="1">
      <c r="B160" s="47" t="s">
        <v>238</v>
      </c>
      <c r="C160" s="48" t="s">
        <v>959</v>
      </c>
      <c r="D160" s="49" t="s">
        <v>598</v>
      </c>
      <c r="E160" s="50">
        <v>43519</v>
      </c>
      <c r="F160" s="52" t="s">
        <v>236</v>
      </c>
      <c r="G160" s="51">
        <v>1600</v>
      </c>
      <c r="H160" s="52">
        <f t="shared" si="15"/>
        <v>8</v>
      </c>
      <c r="I160" s="52">
        <f t="shared" si="16"/>
        <v>2</v>
      </c>
      <c r="J160" s="52"/>
      <c r="K160" s="53">
        <v>43597</v>
      </c>
      <c r="L160" s="54" t="s">
        <v>606</v>
      </c>
      <c r="M160" s="55">
        <v>43592</v>
      </c>
      <c r="N160" s="56" t="s">
        <v>858</v>
      </c>
      <c r="O160" s="55">
        <v>43597</v>
      </c>
      <c r="P160" s="58"/>
      <c r="Q160" s="52"/>
      <c r="R160" s="63"/>
      <c r="S160" s="47"/>
    </row>
    <row r="161" spans="2:19" s="33" customFormat="1" ht="33" hidden="1" customHeight="1">
      <c r="B161" s="47" t="s">
        <v>238</v>
      </c>
      <c r="C161" s="48" t="s">
        <v>1085</v>
      </c>
      <c r="D161" s="49" t="s">
        <v>598</v>
      </c>
      <c r="E161" s="50">
        <v>43519</v>
      </c>
      <c r="F161" s="52" t="s">
        <v>236</v>
      </c>
      <c r="G161" s="51">
        <v>1600</v>
      </c>
      <c r="H161" s="52">
        <f t="shared" si="15"/>
        <v>8</v>
      </c>
      <c r="I161" s="52">
        <f t="shared" si="16"/>
        <v>2</v>
      </c>
      <c r="J161" s="52"/>
      <c r="K161" s="53">
        <v>43597</v>
      </c>
      <c r="L161" s="54" t="s">
        <v>1086</v>
      </c>
      <c r="M161" s="55">
        <v>43606</v>
      </c>
      <c r="N161" s="56" t="s">
        <v>788</v>
      </c>
      <c r="O161" s="55">
        <v>43613</v>
      </c>
      <c r="P161" s="58"/>
      <c r="Q161" s="52"/>
      <c r="R161" s="63"/>
      <c r="S161" s="47"/>
    </row>
    <row r="162" spans="2:19" s="33" customFormat="1" ht="33" hidden="1" customHeight="1">
      <c r="B162" s="47" t="s">
        <v>238</v>
      </c>
      <c r="C162" s="48" t="s">
        <v>226</v>
      </c>
      <c r="D162" s="49" t="s">
        <v>749</v>
      </c>
      <c r="E162" s="50">
        <v>43532</v>
      </c>
      <c r="F162" s="52" t="s">
        <v>236</v>
      </c>
      <c r="G162" s="51">
        <v>3200</v>
      </c>
      <c r="H162" s="52">
        <f t="shared" si="15"/>
        <v>16</v>
      </c>
      <c r="I162" s="52">
        <f t="shared" si="16"/>
        <v>4</v>
      </c>
      <c r="J162" s="52"/>
      <c r="K162" s="53">
        <v>43625</v>
      </c>
      <c r="L162" s="54" t="s">
        <v>2538</v>
      </c>
      <c r="M162" s="55">
        <v>43627</v>
      </c>
      <c r="N162" s="56" t="s">
        <v>808</v>
      </c>
      <c r="O162" s="55">
        <v>43632</v>
      </c>
      <c r="P162" s="58"/>
      <c r="Q162" s="52"/>
      <c r="R162" s="63"/>
      <c r="S162" s="47" t="s">
        <v>2539</v>
      </c>
    </row>
    <row r="163" spans="2:19" s="33" customFormat="1" ht="33" hidden="1" customHeight="1">
      <c r="B163" s="47" t="s">
        <v>238</v>
      </c>
      <c r="C163" s="48" t="s">
        <v>233</v>
      </c>
      <c r="D163" s="49" t="s">
        <v>750</v>
      </c>
      <c r="E163" s="50">
        <v>43532</v>
      </c>
      <c r="F163" s="52" t="s">
        <v>236</v>
      </c>
      <c r="G163" s="51">
        <v>3200</v>
      </c>
      <c r="H163" s="52">
        <f t="shared" si="15"/>
        <v>16</v>
      </c>
      <c r="I163" s="52">
        <f t="shared" si="16"/>
        <v>4</v>
      </c>
      <c r="J163" s="52"/>
      <c r="K163" s="53">
        <v>43646</v>
      </c>
      <c r="L163" s="54" t="s">
        <v>965</v>
      </c>
      <c r="M163" s="55">
        <v>43641</v>
      </c>
      <c r="N163" s="56" t="s">
        <v>776</v>
      </c>
      <c r="O163" s="55">
        <v>43646</v>
      </c>
      <c r="P163" s="58"/>
      <c r="Q163" s="52"/>
      <c r="R163" s="63"/>
      <c r="S163" s="47"/>
    </row>
    <row r="164" spans="2:19" s="33" customFormat="1" ht="33" hidden="1" customHeight="1">
      <c r="B164" s="47" t="s">
        <v>238</v>
      </c>
      <c r="C164" s="48" t="s">
        <v>285</v>
      </c>
      <c r="D164" s="49" t="s">
        <v>1305</v>
      </c>
      <c r="E164" s="50">
        <v>43567</v>
      </c>
      <c r="F164" s="52" t="s">
        <v>236</v>
      </c>
      <c r="G164" s="51">
        <v>3200</v>
      </c>
      <c r="H164" s="52">
        <f t="shared" si="15"/>
        <v>16</v>
      </c>
      <c r="I164" s="52">
        <f t="shared" si="16"/>
        <v>4</v>
      </c>
      <c r="J164" s="52"/>
      <c r="K164" s="53">
        <v>43660</v>
      </c>
      <c r="L164" s="54" t="s">
        <v>1561</v>
      </c>
      <c r="M164" s="55">
        <v>43655</v>
      </c>
      <c r="N164" s="56" t="s">
        <v>1806</v>
      </c>
      <c r="O164" s="55">
        <v>43660</v>
      </c>
      <c r="P164" s="58"/>
      <c r="Q164" s="52"/>
      <c r="R164" s="63"/>
      <c r="S164" s="47"/>
    </row>
    <row r="165" spans="2:19" s="33" customFormat="1" ht="33" hidden="1" customHeight="1">
      <c r="B165" s="47" t="s">
        <v>238</v>
      </c>
      <c r="C165" s="48" t="s">
        <v>331</v>
      </c>
      <c r="D165" s="49" t="s">
        <v>1306</v>
      </c>
      <c r="E165" s="50">
        <v>43567</v>
      </c>
      <c r="F165" s="52" t="s">
        <v>236</v>
      </c>
      <c r="G165" s="51">
        <v>3200</v>
      </c>
      <c r="H165" s="52">
        <f t="shared" si="15"/>
        <v>16</v>
      </c>
      <c r="I165" s="52">
        <f t="shared" si="16"/>
        <v>4</v>
      </c>
      <c r="J165" s="52"/>
      <c r="K165" s="53">
        <v>43674</v>
      </c>
      <c r="L165" s="54" t="s">
        <v>1807</v>
      </c>
      <c r="M165" s="55">
        <v>43669</v>
      </c>
      <c r="N165" s="56" t="s">
        <v>1688</v>
      </c>
      <c r="O165" s="55">
        <v>43674</v>
      </c>
      <c r="P165" s="58"/>
      <c r="Q165" s="52"/>
      <c r="R165" s="63"/>
      <c r="S165" s="47"/>
    </row>
    <row r="166" spans="2:19" s="30" customFormat="1" ht="33" hidden="1" customHeight="1">
      <c r="B166" s="46" t="s">
        <v>3578</v>
      </c>
      <c r="C166" s="35" t="s">
        <v>431</v>
      </c>
      <c r="D166" s="36" t="s">
        <v>3862</v>
      </c>
      <c r="E166" s="37">
        <v>43637</v>
      </c>
      <c r="F166" s="38" t="s">
        <v>236</v>
      </c>
      <c r="G166" s="39">
        <v>3200</v>
      </c>
      <c r="H166" s="38">
        <f t="shared" si="15"/>
        <v>16</v>
      </c>
      <c r="I166" s="38">
        <f t="shared" si="16"/>
        <v>4</v>
      </c>
      <c r="J166" s="38"/>
      <c r="K166" s="40">
        <v>43730</v>
      </c>
      <c r="L166" s="41" t="s">
        <v>3571</v>
      </c>
      <c r="M166" s="42">
        <v>43725</v>
      </c>
      <c r="N166" s="43" t="s">
        <v>2546</v>
      </c>
      <c r="O166" s="42">
        <v>43730</v>
      </c>
      <c r="P166" s="45"/>
      <c r="Q166" s="38"/>
      <c r="R166" s="66"/>
      <c r="S166" s="46"/>
    </row>
    <row r="167" spans="2:19" s="30" customFormat="1" ht="33" hidden="1" customHeight="1">
      <c r="B167" s="122" t="s">
        <v>3578</v>
      </c>
      <c r="C167" s="126" t="s">
        <v>523</v>
      </c>
      <c r="D167" s="127" t="s">
        <v>4452</v>
      </c>
      <c r="E167" s="128">
        <v>43665</v>
      </c>
      <c r="F167" s="124" t="s">
        <v>236</v>
      </c>
      <c r="G167" s="129">
        <v>3200</v>
      </c>
      <c r="H167" s="124">
        <f t="shared" si="15"/>
        <v>16</v>
      </c>
      <c r="I167" s="124">
        <f t="shared" si="16"/>
        <v>4</v>
      </c>
      <c r="J167" s="124"/>
      <c r="K167" s="130">
        <v>43751</v>
      </c>
      <c r="L167" s="119" t="s">
        <v>4482</v>
      </c>
      <c r="M167" s="111">
        <v>43760</v>
      </c>
      <c r="N167" s="112" t="s">
        <v>5689</v>
      </c>
      <c r="O167" s="111">
        <v>43765</v>
      </c>
      <c r="P167" s="123"/>
      <c r="Q167" s="124" t="s">
        <v>5687</v>
      </c>
      <c r="R167" s="134"/>
      <c r="S167" s="122" t="s">
        <v>5686</v>
      </c>
    </row>
    <row r="168" spans="2:19" s="30" customFormat="1" ht="33" hidden="1" customHeight="1">
      <c r="B168" s="122" t="s">
        <v>3578</v>
      </c>
      <c r="C168" s="126" t="s">
        <v>589</v>
      </c>
      <c r="D168" s="127" t="s">
        <v>4835</v>
      </c>
      <c r="E168" s="128">
        <v>43689</v>
      </c>
      <c r="F168" s="124" t="s">
        <v>236</v>
      </c>
      <c r="G168" s="129">
        <v>2400</v>
      </c>
      <c r="H168" s="124">
        <f t="shared" si="15"/>
        <v>12</v>
      </c>
      <c r="I168" s="124">
        <f t="shared" si="16"/>
        <v>3</v>
      </c>
      <c r="J168" s="124"/>
      <c r="K168" s="130">
        <v>43793</v>
      </c>
      <c r="L168" s="119" t="s">
        <v>5190</v>
      </c>
      <c r="M168" s="120">
        <v>43788</v>
      </c>
      <c r="N168" s="121" t="s">
        <v>5322</v>
      </c>
      <c r="O168" s="120">
        <v>43793</v>
      </c>
      <c r="P168" s="123"/>
      <c r="Q168" s="124"/>
      <c r="R168" s="134" t="s">
        <v>5676</v>
      </c>
      <c r="S168" s="122" t="s">
        <v>5428</v>
      </c>
    </row>
    <row r="169" spans="2:19" ht="22.2" hidden="1">
      <c r="F169" s="177"/>
      <c r="L169" s="176"/>
      <c r="M169" s="177"/>
      <c r="N169" s="177"/>
      <c r="O169"/>
      <c r="P169" s="13"/>
      <c r="R169" s="19"/>
      <c r="S169" s="28"/>
    </row>
    <row r="170" spans="2:19" ht="22.2" hidden="1">
      <c r="F170" s="177"/>
      <c r="L170" s="176"/>
      <c r="M170" s="177"/>
      <c r="N170" s="177"/>
      <c r="O170"/>
      <c r="P170" s="13"/>
      <c r="R170" s="19"/>
      <c r="S170" s="28"/>
    </row>
    <row r="171" spans="2:19" hidden="1">
      <c r="E171" s="175"/>
      <c r="L171" s="11"/>
      <c r="M171"/>
      <c r="N171"/>
      <c r="O171"/>
      <c r="P171" s="13"/>
      <c r="R171" s="19"/>
      <c r="S171" s="28"/>
    </row>
    <row r="172" spans="2:19" s="19" customFormat="1" hidden="1">
      <c r="B172"/>
      <c r="C172" s="15"/>
      <c r="D172" s="1"/>
      <c r="L172" s="178" t="s">
        <v>1825</v>
      </c>
      <c r="M172" s="178" t="s">
        <v>1826</v>
      </c>
      <c r="N172" s="178" t="s">
        <v>1827</v>
      </c>
      <c r="O172" s="178" t="s">
        <v>1828</v>
      </c>
      <c r="P172" s="179" t="s">
        <v>1829</v>
      </c>
      <c r="Q172" s="179" t="s">
        <v>1830</v>
      </c>
      <c r="R172" s="179" t="s">
        <v>1831</v>
      </c>
      <c r="S172" s="179"/>
    </row>
    <row r="173" spans="2:19" s="19" customFormat="1" hidden="1">
      <c r="B173"/>
      <c r="C173" s="15"/>
      <c r="D173" s="1"/>
      <c r="L173" s="180" t="s">
        <v>1832</v>
      </c>
      <c r="M173" s="181" t="s">
        <v>1833</v>
      </c>
      <c r="N173" s="181" t="s">
        <v>1834</v>
      </c>
      <c r="O173" s="182" t="s">
        <v>1835</v>
      </c>
      <c r="P173" s="183">
        <v>1000</v>
      </c>
      <c r="Q173" s="183">
        <v>4</v>
      </c>
      <c r="R173" s="184">
        <v>43598</v>
      </c>
      <c r="S173" s="181" t="s">
        <v>99</v>
      </c>
    </row>
    <row r="174" spans="2:19" s="19" customFormat="1" hidden="1">
      <c r="B174"/>
      <c r="C174" s="15"/>
      <c r="D174" s="1"/>
      <c r="L174" s="180" t="s">
        <v>1832</v>
      </c>
      <c r="M174" s="181" t="s">
        <v>1836</v>
      </c>
      <c r="N174" s="181" t="s">
        <v>1834</v>
      </c>
      <c r="O174" s="182" t="s">
        <v>1835</v>
      </c>
      <c r="P174" s="183">
        <v>6000</v>
      </c>
      <c r="Q174" s="183">
        <v>24</v>
      </c>
      <c r="R174" s="184">
        <v>43598</v>
      </c>
      <c r="S174" s="181" t="s">
        <v>99</v>
      </c>
    </row>
    <row r="175" spans="2:19" s="19" customFormat="1" hidden="1">
      <c r="B175"/>
      <c r="C175" s="15"/>
      <c r="D175" s="1"/>
      <c r="L175" s="180" t="s">
        <v>1832</v>
      </c>
      <c r="M175" s="181" t="s">
        <v>1837</v>
      </c>
      <c r="N175" s="181" t="s">
        <v>1834</v>
      </c>
      <c r="O175" s="182" t="s">
        <v>1835</v>
      </c>
      <c r="P175" s="183">
        <v>5000</v>
      </c>
      <c r="Q175" s="183">
        <v>20</v>
      </c>
      <c r="R175" s="185" t="s">
        <v>1838</v>
      </c>
      <c r="S175" s="180" t="s">
        <v>1839</v>
      </c>
    </row>
    <row r="176" spans="2:19" s="19" customFormat="1" hidden="1">
      <c r="B176"/>
      <c r="C176" s="15"/>
      <c r="D176" s="1"/>
      <c r="L176" s="180" t="s">
        <v>1832</v>
      </c>
      <c r="M176" s="181" t="s">
        <v>1840</v>
      </c>
      <c r="N176" s="181" t="s">
        <v>1834</v>
      </c>
      <c r="O176" s="182" t="s">
        <v>1835</v>
      </c>
      <c r="P176" s="183">
        <v>5000</v>
      </c>
      <c r="Q176" s="183">
        <v>20</v>
      </c>
      <c r="R176" s="184">
        <v>43605</v>
      </c>
      <c r="S176" s="181" t="s">
        <v>99</v>
      </c>
    </row>
    <row r="177" spans="2:19" s="19" customFormat="1" hidden="1">
      <c r="B177"/>
      <c r="C177" s="15"/>
      <c r="D177" s="1"/>
      <c r="L177" s="180" t="s">
        <v>1832</v>
      </c>
      <c r="M177" s="181" t="s">
        <v>1841</v>
      </c>
      <c r="N177" s="181" t="s">
        <v>1834</v>
      </c>
      <c r="O177" s="182" t="s">
        <v>1835</v>
      </c>
      <c r="P177" s="183">
        <v>7000</v>
      </c>
      <c r="Q177" s="183">
        <v>28</v>
      </c>
      <c r="R177" s="184">
        <v>43605</v>
      </c>
      <c r="S177" s="181" t="s">
        <v>99</v>
      </c>
    </row>
    <row r="178" spans="2:19" hidden="1">
      <c r="L178" s="180" t="s">
        <v>1842</v>
      </c>
      <c r="M178" s="181" t="s">
        <v>1843</v>
      </c>
      <c r="N178" s="181" t="s">
        <v>1844</v>
      </c>
      <c r="O178" s="182" t="s">
        <v>1835</v>
      </c>
      <c r="P178" s="183">
        <v>2000</v>
      </c>
      <c r="Q178" s="183">
        <v>8</v>
      </c>
      <c r="R178" s="184">
        <v>43598</v>
      </c>
      <c r="S178" s="181" t="s">
        <v>99</v>
      </c>
    </row>
    <row r="179" spans="2:19" hidden="1">
      <c r="L179" s="180" t="s">
        <v>1842</v>
      </c>
      <c r="M179" s="181" t="s">
        <v>1845</v>
      </c>
      <c r="N179" s="181" t="s">
        <v>1844</v>
      </c>
      <c r="O179" s="182" t="s">
        <v>1835</v>
      </c>
      <c r="P179" s="183">
        <v>2000</v>
      </c>
      <c r="Q179" s="183">
        <v>8</v>
      </c>
      <c r="R179" s="184">
        <v>43598</v>
      </c>
      <c r="S179" s="181" t="s">
        <v>99</v>
      </c>
    </row>
    <row r="180" spans="2:19" hidden="1">
      <c r="L180" s="180" t="s">
        <v>1842</v>
      </c>
      <c r="M180" s="181" t="s">
        <v>1846</v>
      </c>
      <c r="N180" s="181" t="s">
        <v>1844</v>
      </c>
      <c r="O180" s="182" t="s">
        <v>1835</v>
      </c>
      <c r="P180" s="183">
        <v>10000</v>
      </c>
      <c r="Q180" s="183">
        <v>40</v>
      </c>
      <c r="R180" s="184">
        <v>43598</v>
      </c>
      <c r="S180" s="181" t="s">
        <v>99</v>
      </c>
    </row>
    <row r="181" spans="2:19" hidden="1">
      <c r="L181" s="180" t="s">
        <v>1842</v>
      </c>
      <c r="M181" s="181" t="s">
        <v>1847</v>
      </c>
      <c r="N181" s="181" t="s">
        <v>1844</v>
      </c>
      <c r="O181" s="182" t="s">
        <v>1835</v>
      </c>
      <c r="P181" s="183">
        <v>8000</v>
      </c>
      <c r="Q181" s="183">
        <v>32</v>
      </c>
      <c r="R181" s="184">
        <v>43598</v>
      </c>
      <c r="S181" s="180"/>
    </row>
    <row r="182" spans="2:19" hidden="1">
      <c r="L182" s="180" t="s">
        <v>1842</v>
      </c>
      <c r="M182" s="181" t="s">
        <v>1848</v>
      </c>
      <c r="N182" s="181" t="s">
        <v>1844</v>
      </c>
      <c r="O182" s="182" t="s">
        <v>1835</v>
      </c>
      <c r="P182" s="183">
        <v>10000</v>
      </c>
      <c r="Q182" s="183">
        <v>40</v>
      </c>
      <c r="R182" s="185" t="s">
        <v>1849</v>
      </c>
      <c r="S182" s="180" t="s">
        <v>1839</v>
      </c>
    </row>
    <row r="183" spans="2:19" hidden="1">
      <c r="L183" s="182" t="s">
        <v>1850</v>
      </c>
      <c r="M183" s="181" t="s">
        <v>1851</v>
      </c>
      <c r="N183" s="181" t="s">
        <v>1834</v>
      </c>
      <c r="O183" s="182" t="s">
        <v>1852</v>
      </c>
      <c r="P183" s="183">
        <v>5000</v>
      </c>
      <c r="Q183" s="183">
        <v>20</v>
      </c>
      <c r="R183" s="184">
        <v>43605</v>
      </c>
      <c r="S183" s="181" t="s">
        <v>99</v>
      </c>
    </row>
    <row r="184" spans="2:19" hidden="1">
      <c r="L184" s="180" t="s">
        <v>5677</v>
      </c>
      <c r="M184" s="181" t="s">
        <v>1851</v>
      </c>
      <c r="N184" s="181" t="s">
        <v>1844</v>
      </c>
      <c r="O184" s="182" t="s">
        <v>1835</v>
      </c>
      <c r="P184" s="183">
        <v>2000</v>
      </c>
      <c r="Q184" s="183">
        <v>8</v>
      </c>
      <c r="R184" s="184">
        <v>43605</v>
      </c>
      <c r="S184" s="181" t="s">
        <v>99</v>
      </c>
    </row>
    <row r="185" spans="2:19" hidden="1">
      <c r="L185" s="182" t="s">
        <v>5678</v>
      </c>
      <c r="M185" s="181" t="s">
        <v>1855</v>
      </c>
      <c r="N185" s="181" t="s">
        <v>1834</v>
      </c>
      <c r="O185" s="182" t="s">
        <v>1852</v>
      </c>
      <c r="P185" s="183">
        <v>6000</v>
      </c>
      <c r="Q185" s="183">
        <v>24</v>
      </c>
      <c r="R185" s="184">
        <v>43605</v>
      </c>
      <c r="S185" s="181" t="s">
        <v>99</v>
      </c>
    </row>
    <row r="186" spans="2:19" hidden="1">
      <c r="L186" s="182" t="s">
        <v>5678</v>
      </c>
      <c r="M186" s="181" t="s">
        <v>1856</v>
      </c>
      <c r="N186" s="181" t="s">
        <v>1834</v>
      </c>
      <c r="O186" s="182" t="s">
        <v>1852</v>
      </c>
      <c r="P186" s="183">
        <v>6000</v>
      </c>
      <c r="Q186" s="183">
        <v>24</v>
      </c>
      <c r="R186" s="185">
        <v>43605</v>
      </c>
      <c r="S186" s="180"/>
    </row>
    <row r="187" spans="2:19" hidden="1">
      <c r="L187" s="182" t="s">
        <v>5678</v>
      </c>
      <c r="M187" s="181" t="s">
        <v>1857</v>
      </c>
      <c r="N187" s="181" t="s">
        <v>1834</v>
      </c>
      <c r="O187" s="182" t="s">
        <v>1852</v>
      </c>
      <c r="P187" s="183">
        <v>6000</v>
      </c>
      <c r="Q187" s="183">
        <v>24</v>
      </c>
      <c r="R187" s="184" t="s">
        <v>5679</v>
      </c>
      <c r="S187" s="181" t="s">
        <v>5680</v>
      </c>
    </row>
    <row r="189" spans="2:19">
      <c r="M189" s="202">
        <v>43739</v>
      </c>
      <c r="N189" s="203">
        <v>40212</v>
      </c>
      <c r="O189" s="202">
        <v>43744</v>
      </c>
    </row>
    <row r="190" spans="2:19" ht="16.2">
      <c r="L190" s="186"/>
    </row>
    <row r="191" spans="2:19" ht="16.2">
      <c r="L191" s="186"/>
    </row>
    <row r="192" spans="2:19" ht="16.2">
      <c r="L192" s="186"/>
    </row>
    <row r="193" spans="17:17">
      <c r="Q193" t="s">
        <v>5681</v>
      </c>
    </row>
  </sheetData>
  <autoFilter ref="B2:R170" xr:uid="{00000000-0009-0000-0000-000008000000}">
    <filterColumn colId="10">
      <filters>
        <filter val="414-UM1802"/>
        <filter val="414-UM1803"/>
        <filter val="414-UM1804"/>
        <filter val="414-UM1809"/>
        <filter val="414-UM1810"/>
        <filter val="414-UM1813"/>
        <filter val="414-UM1818"/>
        <filter val="414-UM1819"/>
        <filter val="414-UM1820"/>
        <filter val="414-UM1822"/>
        <filter val="414-UM1823"/>
        <filter val="414-UM1826"/>
        <filter val="414-UM1827"/>
        <filter val="414-UM1829"/>
        <filter val="414-UM1832"/>
        <filter val="414-UM1833"/>
        <filter val="414-UM1834"/>
        <filter val="414-UM1835"/>
        <filter val="414-UM1836"/>
        <filter val="414-UM1837"/>
        <filter val="414-UM1839"/>
        <filter val="414-UM1841"/>
        <filter val="414-UM1842"/>
        <filter val="414-UM1843"/>
        <filter val="414-UM1844"/>
        <filter val="414-UM1846"/>
        <filter val="414-UM1847"/>
        <filter val="414-UM1848"/>
        <filter val="414-UM1849"/>
      </filters>
    </filterColumn>
    <filterColumn colId="13">
      <filters>
        <dateGroupItem year="2019" month="9" day="22" dateTimeGrouping="day"/>
        <dateGroupItem year="2019" month="9" day="29" dateTimeGrouping="day"/>
        <dateGroupItem year="2019" month="10" day="13" dateTimeGrouping="day"/>
      </filters>
    </filterColumn>
    <sortState ref="B89:R144">
      <sortCondition descending="1" ref="L2:L148"/>
    </sortState>
  </autoFilter>
  <phoneticPr fontId="1"/>
  <pageMargins left="0.23622047244094491" right="0.23622047244094491" top="0.35433070866141736" bottom="0.35433070866141736" header="0.31496062992125984" footer="0.31496062992125984"/>
  <pageSetup paperSize="9" scale="44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75">
    <pageSetUpPr fitToPage="1"/>
  </sheetPr>
  <dimension ref="A1:S191"/>
  <sheetViews>
    <sheetView zoomScale="77" zoomScaleNormal="77" workbookViewId="0">
      <pane xSplit="1" ySplit="2" topLeftCell="B105" activePane="bottomRight" state="frozen"/>
      <selection pane="topRight" activeCell="B1" sqref="B1"/>
      <selection pane="bottomLeft" activeCell="A3" sqref="A3"/>
      <selection pane="bottomRight" activeCell="L112" sqref="L112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7.12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B2" s="194"/>
      <c r="C2" s="14" t="s">
        <v>9</v>
      </c>
      <c r="D2" s="5" t="s">
        <v>0</v>
      </c>
      <c r="E2" s="6" t="s">
        <v>93</v>
      </c>
      <c r="F2" s="6" t="s">
        <v>11</v>
      </c>
      <c r="G2" s="10" t="s">
        <v>1</v>
      </c>
      <c r="H2" s="6" t="s">
        <v>15</v>
      </c>
      <c r="I2" s="6" t="s">
        <v>16</v>
      </c>
      <c r="J2" s="6" t="s">
        <v>95</v>
      </c>
      <c r="K2" s="12" t="s">
        <v>7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85</v>
      </c>
      <c r="Q2" s="6" t="s">
        <v>8</v>
      </c>
      <c r="R2" s="16" t="s">
        <v>6</v>
      </c>
      <c r="S2" s="16" t="s">
        <v>80</v>
      </c>
    </row>
    <row r="3" spans="2:19" s="33" customFormat="1" ht="33" customHeight="1">
      <c r="B3" s="47" t="s">
        <v>220</v>
      </c>
      <c r="C3" s="48" t="s">
        <v>377</v>
      </c>
      <c r="D3" s="49" t="s">
        <v>378</v>
      </c>
      <c r="E3" s="50">
        <v>43455</v>
      </c>
      <c r="F3" s="49" t="s">
        <v>91</v>
      </c>
      <c r="G3" s="51">
        <v>14000</v>
      </c>
      <c r="H3" s="52">
        <f t="shared" ref="H3:H48" si="0">SUM(G3/250)</f>
        <v>56</v>
      </c>
      <c r="I3" s="52">
        <f t="shared" ref="I3:I66" si="1">SUM(H3/4)</f>
        <v>14</v>
      </c>
      <c r="J3" s="49"/>
      <c r="K3" s="53">
        <v>43548</v>
      </c>
      <c r="L3" s="54" t="s">
        <v>802</v>
      </c>
      <c r="M3" s="55">
        <v>43563</v>
      </c>
      <c r="N3" s="56" t="s">
        <v>438</v>
      </c>
      <c r="O3" s="55">
        <v>43569</v>
      </c>
      <c r="P3" s="54" t="s">
        <v>839</v>
      </c>
      <c r="Q3" s="49"/>
      <c r="R3" s="57" t="s">
        <v>379</v>
      </c>
      <c r="S3" s="47"/>
    </row>
    <row r="4" spans="2:19" s="33" customFormat="1" ht="33" customHeight="1">
      <c r="B4" s="47" t="s">
        <v>220</v>
      </c>
      <c r="C4" s="48" t="s">
        <v>421</v>
      </c>
      <c r="D4" s="49" t="s">
        <v>453</v>
      </c>
      <c r="E4" s="50">
        <v>43483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43576</v>
      </c>
      <c r="L4" s="54" t="s">
        <v>443</v>
      </c>
      <c r="M4" s="55">
        <v>43570</v>
      </c>
      <c r="N4" s="56" t="s">
        <v>440</v>
      </c>
      <c r="O4" s="55">
        <v>43576</v>
      </c>
      <c r="P4" s="54" t="s">
        <v>981</v>
      </c>
      <c r="Q4" s="49"/>
      <c r="R4" s="57" t="s">
        <v>454</v>
      </c>
      <c r="S4" s="47"/>
    </row>
    <row r="5" spans="2:19" s="33" customFormat="1" ht="33" customHeight="1">
      <c r="B5" s="47" t="s">
        <v>78</v>
      </c>
      <c r="C5" s="48" t="s">
        <v>422</v>
      </c>
      <c r="D5" s="49" t="s">
        <v>455</v>
      </c>
      <c r="E5" s="50">
        <v>43483</v>
      </c>
      <c r="F5" s="49" t="s">
        <v>91</v>
      </c>
      <c r="G5" s="51">
        <v>10000</v>
      </c>
      <c r="H5" s="52">
        <f t="shared" si="0"/>
        <v>40</v>
      </c>
      <c r="I5" s="52">
        <f t="shared" si="1"/>
        <v>10</v>
      </c>
      <c r="J5" s="49"/>
      <c r="K5" s="53">
        <v>43618</v>
      </c>
      <c r="L5" s="54" t="s">
        <v>442</v>
      </c>
      <c r="M5" s="55">
        <v>43612</v>
      </c>
      <c r="N5" s="56" t="s">
        <v>637</v>
      </c>
      <c r="O5" s="55">
        <v>43618</v>
      </c>
      <c r="P5" s="54" t="s">
        <v>2155</v>
      </c>
      <c r="Q5" s="49" t="s">
        <v>82</v>
      </c>
      <c r="R5" s="57" t="s">
        <v>616</v>
      </c>
      <c r="S5" s="47"/>
    </row>
    <row r="6" spans="2:19" s="33" customFormat="1" ht="33" customHeight="1">
      <c r="B6" s="47" t="s">
        <v>78</v>
      </c>
      <c r="C6" s="48" t="s">
        <v>617</v>
      </c>
      <c r="D6" s="49" t="s">
        <v>455</v>
      </c>
      <c r="E6" s="50">
        <v>43523</v>
      </c>
      <c r="F6" s="49" t="s">
        <v>91</v>
      </c>
      <c r="G6" s="51">
        <v>10000</v>
      </c>
      <c r="H6" s="52">
        <f t="shared" si="0"/>
        <v>40</v>
      </c>
      <c r="I6" s="52">
        <f t="shared" si="1"/>
        <v>10</v>
      </c>
      <c r="J6" s="49"/>
      <c r="K6" s="53">
        <v>43618</v>
      </c>
      <c r="L6" s="54" t="s">
        <v>638</v>
      </c>
      <c r="M6" s="55">
        <v>43612</v>
      </c>
      <c r="N6" s="56" t="s">
        <v>636</v>
      </c>
      <c r="O6" s="55">
        <v>43618</v>
      </c>
      <c r="P6" s="54" t="s">
        <v>2156</v>
      </c>
      <c r="Q6" s="49" t="s">
        <v>82</v>
      </c>
      <c r="R6" s="57" t="s">
        <v>618</v>
      </c>
      <c r="S6" s="47"/>
    </row>
    <row r="7" spans="2:19" s="33" customFormat="1" ht="33" customHeight="1">
      <c r="B7" s="47" t="s">
        <v>78</v>
      </c>
      <c r="C7" s="48" t="s">
        <v>1330</v>
      </c>
      <c r="D7" s="49" t="s">
        <v>1337</v>
      </c>
      <c r="E7" s="50">
        <v>43483</v>
      </c>
      <c r="F7" s="49" t="s">
        <v>91</v>
      </c>
      <c r="G7" s="51">
        <v>20000</v>
      </c>
      <c r="H7" s="52">
        <f t="shared" si="0"/>
        <v>80</v>
      </c>
      <c r="I7" s="52">
        <f t="shared" si="1"/>
        <v>20</v>
      </c>
      <c r="J7" s="49"/>
      <c r="K7" s="53">
        <v>43618</v>
      </c>
      <c r="L7" s="54" t="s">
        <v>442</v>
      </c>
      <c r="M7" s="55">
        <v>43612</v>
      </c>
      <c r="N7" s="56" t="s">
        <v>637</v>
      </c>
      <c r="O7" s="55">
        <v>43618</v>
      </c>
      <c r="P7" s="54" t="s">
        <v>2157</v>
      </c>
      <c r="Q7" s="49" t="s">
        <v>82</v>
      </c>
      <c r="R7" s="57" t="s">
        <v>616</v>
      </c>
      <c r="S7" s="47" t="s">
        <v>479</v>
      </c>
    </row>
    <row r="8" spans="2:19" s="33" customFormat="1" ht="33" customHeight="1">
      <c r="B8" s="47" t="s">
        <v>78</v>
      </c>
      <c r="C8" s="48" t="s">
        <v>423</v>
      </c>
      <c r="D8" s="49" t="s">
        <v>457</v>
      </c>
      <c r="E8" s="50">
        <v>43483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43576</v>
      </c>
      <c r="L8" s="54" t="s">
        <v>782</v>
      </c>
      <c r="M8" s="55">
        <v>43570</v>
      </c>
      <c r="N8" s="56" t="s">
        <v>5212</v>
      </c>
      <c r="O8" s="55">
        <v>43576</v>
      </c>
      <c r="P8" s="54" t="s">
        <v>1343</v>
      </c>
      <c r="Q8" s="49" t="s">
        <v>82</v>
      </c>
      <c r="R8" s="57" t="s">
        <v>5214</v>
      </c>
      <c r="S8" s="47"/>
    </row>
    <row r="9" spans="2:19" s="33" customFormat="1" ht="33" customHeight="1">
      <c r="B9" s="47" t="s">
        <v>220</v>
      </c>
      <c r="C9" s="48" t="s">
        <v>425</v>
      </c>
      <c r="D9" s="49" t="s">
        <v>459</v>
      </c>
      <c r="E9" s="50">
        <v>43483</v>
      </c>
      <c r="F9" s="49" t="s">
        <v>79</v>
      </c>
      <c r="G9" s="51">
        <v>20000</v>
      </c>
      <c r="H9" s="52">
        <f t="shared" si="0"/>
        <v>80</v>
      </c>
      <c r="I9" s="52">
        <f t="shared" si="1"/>
        <v>20</v>
      </c>
      <c r="J9" s="49"/>
      <c r="K9" s="53">
        <v>43583</v>
      </c>
      <c r="L9" s="54" t="s">
        <v>5215</v>
      </c>
      <c r="M9" s="55">
        <v>43577</v>
      </c>
      <c r="N9" s="56" t="s">
        <v>461</v>
      </c>
      <c r="O9" s="55">
        <v>43583</v>
      </c>
      <c r="P9" s="54" t="s">
        <v>5217</v>
      </c>
      <c r="Q9" s="49"/>
      <c r="R9" s="57" t="s">
        <v>5218</v>
      </c>
      <c r="S9" s="47"/>
    </row>
    <row r="10" spans="2:19" s="33" customFormat="1" ht="33" customHeight="1">
      <c r="B10" s="47" t="s">
        <v>78</v>
      </c>
      <c r="C10" s="48" t="s">
        <v>462</v>
      </c>
      <c r="D10" s="49" t="s">
        <v>483</v>
      </c>
      <c r="E10" s="50">
        <v>43490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43583</v>
      </c>
      <c r="L10" s="54" t="s">
        <v>5215</v>
      </c>
      <c r="M10" s="55">
        <v>43577</v>
      </c>
      <c r="N10" s="56" t="s">
        <v>461</v>
      </c>
      <c r="O10" s="55">
        <v>43583</v>
      </c>
      <c r="P10" s="54" t="s">
        <v>5219</v>
      </c>
      <c r="Q10" s="49" t="s">
        <v>82</v>
      </c>
      <c r="R10" s="57" t="s">
        <v>5220</v>
      </c>
      <c r="S10" s="47"/>
    </row>
    <row r="11" spans="2:19" s="33" customFormat="1" ht="33" customHeight="1">
      <c r="B11" s="47" t="s">
        <v>78</v>
      </c>
      <c r="C11" s="48" t="s">
        <v>570</v>
      </c>
      <c r="D11" s="49" t="s">
        <v>571</v>
      </c>
      <c r="E11" s="50">
        <v>43519</v>
      </c>
      <c r="F11" s="49" t="s">
        <v>79</v>
      </c>
      <c r="G11" s="51">
        <v>20000</v>
      </c>
      <c r="H11" s="52">
        <f t="shared" si="0"/>
        <v>80</v>
      </c>
      <c r="I11" s="52">
        <f t="shared" si="1"/>
        <v>20</v>
      </c>
      <c r="J11" s="49"/>
      <c r="K11" s="53">
        <v>43590</v>
      </c>
      <c r="L11" s="54" t="s">
        <v>602</v>
      </c>
      <c r="M11" s="55">
        <v>43577</v>
      </c>
      <c r="N11" s="56" t="s">
        <v>461</v>
      </c>
      <c r="O11" s="55">
        <v>43583</v>
      </c>
      <c r="P11" s="54" t="s">
        <v>5221</v>
      </c>
      <c r="Q11" s="49" t="s">
        <v>82</v>
      </c>
      <c r="R11" s="57" t="s">
        <v>5222</v>
      </c>
      <c r="S11" s="47"/>
    </row>
    <row r="12" spans="2:19" s="33" customFormat="1" ht="33" customHeight="1">
      <c r="B12" s="47" t="s">
        <v>78</v>
      </c>
      <c r="C12" s="48" t="s">
        <v>573</v>
      </c>
      <c r="D12" s="49" t="s">
        <v>574</v>
      </c>
      <c r="E12" s="50">
        <v>43519</v>
      </c>
      <c r="F12" s="49" t="s">
        <v>79</v>
      </c>
      <c r="G12" s="51">
        <v>20000</v>
      </c>
      <c r="H12" s="52">
        <f t="shared" si="0"/>
        <v>80</v>
      </c>
      <c r="I12" s="52">
        <f t="shared" si="1"/>
        <v>20</v>
      </c>
      <c r="J12" s="49"/>
      <c r="K12" s="53">
        <v>43604</v>
      </c>
      <c r="L12" s="54" t="s">
        <v>1138</v>
      </c>
      <c r="M12" s="55">
        <v>43598</v>
      </c>
      <c r="N12" s="56" t="s">
        <v>5224</v>
      </c>
      <c r="O12" s="55">
        <v>43604</v>
      </c>
      <c r="P12" s="54" t="s">
        <v>5225</v>
      </c>
      <c r="Q12" s="49" t="s">
        <v>82</v>
      </c>
      <c r="R12" s="57" t="s">
        <v>5226</v>
      </c>
      <c r="S12" s="47"/>
    </row>
    <row r="13" spans="2:19" s="33" customFormat="1" ht="33" customHeight="1">
      <c r="B13" s="47" t="s">
        <v>78</v>
      </c>
      <c r="C13" s="48" t="s">
        <v>5227</v>
      </c>
      <c r="D13" s="49" t="s">
        <v>577</v>
      </c>
      <c r="E13" s="50">
        <v>43519</v>
      </c>
      <c r="F13" s="49" t="s">
        <v>508</v>
      </c>
      <c r="G13" s="51">
        <v>10000</v>
      </c>
      <c r="H13" s="52">
        <f t="shared" si="0"/>
        <v>40</v>
      </c>
      <c r="I13" s="52">
        <f t="shared" si="1"/>
        <v>10</v>
      </c>
      <c r="J13" s="49"/>
      <c r="K13" s="53">
        <v>43598</v>
      </c>
      <c r="L13" s="54" t="s">
        <v>803</v>
      </c>
      <c r="M13" s="55">
        <v>43598</v>
      </c>
      <c r="N13" s="56" t="s">
        <v>804</v>
      </c>
      <c r="O13" s="55">
        <v>43604</v>
      </c>
      <c r="P13" s="54" t="s">
        <v>5229</v>
      </c>
      <c r="Q13" s="49" t="s">
        <v>82</v>
      </c>
      <c r="R13" s="57" t="s">
        <v>5230</v>
      </c>
      <c r="S13" s="47"/>
    </row>
    <row r="14" spans="2:19" s="33" customFormat="1" ht="33" customHeight="1">
      <c r="B14" s="47" t="s">
        <v>220</v>
      </c>
      <c r="C14" s="48" t="s">
        <v>579</v>
      </c>
      <c r="D14" s="49" t="s">
        <v>580</v>
      </c>
      <c r="E14" s="50">
        <v>43519</v>
      </c>
      <c r="F14" s="49" t="s">
        <v>79</v>
      </c>
      <c r="G14" s="51">
        <v>10000</v>
      </c>
      <c r="H14" s="52">
        <f t="shared" si="0"/>
        <v>40</v>
      </c>
      <c r="I14" s="52">
        <f t="shared" si="1"/>
        <v>10</v>
      </c>
      <c r="J14" s="49"/>
      <c r="K14" s="53">
        <v>43598</v>
      </c>
      <c r="L14" s="54" t="s">
        <v>803</v>
      </c>
      <c r="M14" s="55">
        <v>43598</v>
      </c>
      <c r="N14" s="56" t="s">
        <v>804</v>
      </c>
      <c r="O14" s="55">
        <v>43604</v>
      </c>
      <c r="P14" s="54" t="s">
        <v>5231</v>
      </c>
      <c r="Q14" s="49"/>
      <c r="R14" s="57" t="s">
        <v>2224</v>
      </c>
      <c r="S14" s="47"/>
    </row>
    <row r="15" spans="2:19" s="33" customFormat="1" ht="33" customHeight="1">
      <c r="B15" s="47" t="s">
        <v>78</v>
      </c>
      <c r="C15" s="48" t="s">
        <v>576</v>
      </c>
      <c r="D15" s="49" t="s">
        <v>577</v>
      </c>
      <c r="E15" s="50">
        <v>43519</v>
      </c>
      <c r="F15" s="49" t="s">
        <v>79</v>
      </c>
      <c r="G15" s="51">
        <v>20000</v>
      </c>
      <c r="H15" s="52">
        <f t="shared" si="0"/>
        <v>80</v>
      </c>
      <c r="I15" s="52">
        <f t="shared" si="1"/>
        <v>20</v>
      </c>
      <c r="J15" s="49"/>
      <c r="K15" s="53">
        <v>43611</v>
      </c>
      <c r="L15" s="54" t="s">
        <v>5233</v>
      </c>
      <c r="M15" s="55">
        <v>43605</v>
      </c>
      <c r="N15" s="56" t="s">
        <v>5234</v>
      </c>
      <c r="O15" s="55">
        <v>43611</v>
      </c>
      <c r="P15" s="54" t="s">
        <v>5235</v>
      </c>
      <c r="Q15" s="49" t="s">
        <v>82</v>
      </c>
      <c r="R15" s="57" t="s">
        <v>5236</v>
      </c>
      <c r="S15" s="47"/>
    </row>
    <row r="16" spans="2:19" s="33" customFormat="1" ht="33" customHeight="1">
      <c r="B16" s="47" t="s">
        <v>78</v>
      </c>
      <c r="C16" s="48" t="s">
        <v>685</v>
      </c>
      <c r="D16" s="49" t="s">
        <v>686</v>
      </c>
      <c r="E16" s="50">
        <v>43532</v>
      </c>
      <c r="F16" s="49" t="s">
        <v>79</v>
      </c>
      <c r="G16" s="51">
        <v>20000</v>
      </c>
      <c r="H16" s="52">
        <f t="shared" si="0"/>
        <v>80</v>
      </c>
      <c r="I16" s="52">
        <f t="shared" si="1"/>
        <v>20</v>
      </c>
      <c r="J16" s="49"/>
      <c r="K16" s="53">
        <v>43625</v>
      </c>
      <c r="L16" s="54" t="s">
        <v>1927</v>
      </c>
      <c r="M16" s="55">
        <v>43619</v>
      </c>
      <c r="N16" s="56" t="s">
        <v>5238</v>
      </c>
      <c r="O16" s="55">
        <v>43625</v>
      </c>
      <c r="P16" s="54"/>
      <c r="Q16" s="49" t="s">
        <v>82</v>
      </c>
      <c r="R16" s="57" t="s">
        <v>687</v>
      </c>
      <c r="S16" s="47"/>
    </row>
    <row r="17" spans="2:19" s="33" customFormat="1" ht="33" customHeight="1">
      <c r="B17" s="47" t="s">
        <v>78</v>
      </c>
      <c r="C17" s="48" t="s">
        <v>1332</v>
      </c>
      <c r="D17" s="49" t="s">
        <v>1366</v>
      </c>
      <c r="E17" s="50">
        <v>43532</v>
      </c>
      <c r="F17" s="49" t="s">
        <v>79</v>
      </c>
      <c r="G17" s="51">
        <v>20000</v>
      </c>
      <c r="H17" s="52">
        <f t="shared" si="0"/>
        <v>80</v>
      </c>
      <c r="I17" s="52">
        <f t="shared" si="1"/>
        <v>20</v>
      </c>
      <c r="J17" s="49"/>
      <c r="K17" s="53">
        <v>43625</v>
      </c>
      <c r="L17" s="54" t="s">
        <v>1927</v>
      </c>
      <c r="M17" s="55">
        <v>43619</v>
      </c>
      <c r="N17" s="56" t="s">
        <v>5238</v>
      </c>
      <c r="O17" s="55">
        <v>43625</v>
      </c>
      <c r="P17" s="54"/>
      <c r="Q17" s="49" t="s">
        <v>82</v>
      </c>
      <c r="R17" s="57" t="s">
        <v>687</v>
      </c>
      <c r="S17" s="47" t="s">
        <v>479</v>
      </c>
    </row>
    <row r="18" spans="2:19" s="33" customFormat="1" ht="33" customHeight="1">
      <c r="B18" s="47" t="s">
        <v>220</v>
      </c>
      <c r="C18" s="48" t="s">
        <v>688</v>
      </c>
      <c r="D18" s="49" t="s">
        <v>689</v>
      </c>
      <c r="E18" s="50">
        <v>43532</v>
      </c>
      <c r="F18" s="49" t="s">
        <v>79</v>
      </c>
      <c r="G18" s="51">
        <v>20000</v>
      </c>
      <c r="H18" s="52">
        <f t="shared" si="0"/>
        <v>80</v>
      </c>
      <c r="I18" s="52">
        <f t="shared" si="1"/>
        <v>20</v>
      </c>
      <c r="J18" s="49"/>
      <c r="K18" s="53">
        <v>43632</v>
      </c>
      <c r="L18" s="54" t="s">
        <v>5241</v>
      </c>
      <c r="M18" s="55">
        <v>43626</v>
      </c>
      <c r="N18" s="56" t="s">
        <v>5242</v>
      </c>
      <c r="O18" s="55">
        <v>43632</v>
      </c>
      <c r="P18" s="54" t="s">
        <v>5243</v>
      </c>
      <c r="Q18" s="49"/>
      <c r="R18" s="57" t="s">
        <v>845</v>
      </c>
      <c r="S18" s="47"/>
    </row>
    <row r="19" spans="2:19" s="33" customFormat="1" ht="33" customHeight="1">
      <c r="B19" s="47" t="s">
        <v>78</v>
      </c>
      <c r="C19" s="48" t="s">
        <v>691</v>
      </c>
      <c r="D19" s="49" t="s">
        <v>692</v>
      </c>
      <c r="E19" s="50">
        <v>43532</v>
      </c>
      <c r="F19" s="49" t="s">
        <v>79</v>
      </c>
      <c r="G19" s="51">
        <v>20000</v>
      </c>
      <c r="H19" s="52">
        <f t="shared" si="0"/>
        <v>80</v>
      </c>
      <c r="I19" s="52">
        <f t="shared" si="1"/>
        <v>20</v>
      </c>
      <c r="J19" s="49"/>
      <c r="K19" s="53">
        <v>43639</v>
      </c>
      <c r="L19" s="54" t="s">
        <v>763</v>
      </c>
      <c r="M19" s="55">
        <v>43633</v>
      </c>
      <c r="N19" s="56" t="s">
        <v>5246</v>
      </c>
      <c r="O19" s="55">
        <v>43639</v>
      </c>
      <c r="P19" s="54"/>
      <c r="Q19" s="49" t="s">
        <v>82</v>
      </c>
      <c r="R19" s="57" t="s">
        <v>693</v>
      </c>
      <c r="S19" s="47"/>
    </row>
    <row r="20" spans="2:19" s="33" customFormat="1" ht="33" customHeight="1">
      <c r="B20" s="47" t="s">
        <v>78</v>
      </c>
      <c r="C20" s="48" t="s">
        <v>5248</v>
      </c>
      <c r="D20" s="49" t="s">
        <v>1156</v>
      </c>
      <c r="E20" s="50">
        <v>43566</v>
      </c>
      <c r="F20" s="49" t="s">
        <v>79</v>
      </c>
      <c r="G20" s="51">
        <v>6000</v>
      </c>
      <c r="H20" s="52">
        <f t="shared" si="0"/>
        <v>24</v>
      </c>
      <c r="I20" s="52">
        <f t="shared" si="1"/>
        <v>6</v>
      </c>
      <c r="J20" s="49"/>
      <c r="K20" s="53">
        <v>43611</v>
      </c>
      <c r="L20" s="54" t="s">
        <v>603</v>
      </c>
      <c r="M20" s="55">
        <v>43605</v>
      </c>
      <c r="N20" s="56" t="s">
        <v>1080</v>
      </c>
      <c r="O20" s="55">
        <v>43611</v>
      </c>
      <c r="P20" s="54" t="s">
        <v>2601</v>
      </c>
      <c r="Q20" s="49" t="s">
        <v>82</v>
      </c>
      <c r="R20" s="57" t="s">
        <v>1605</v>
      </c>
      <c r="S20" s="47"/>
    </row>
    <row r="21" spans="2:19" s="33" customFormat="1" ht="33" customHeight="1">
      <c r="B21" s="47" t="s">
        <v>1817</v>
      </c>
      <c r="C21" s="48" t="s">
        <v>986</v>
      </c>
      <c r="D21" s="49" t="s">
        <v>1156</v>
      </c>
      <c r="E21" s="50">
        <v>43566</v>
      </c>
      <c r="F21" s="49" t="s">
        <v>79</v>
      </c>
      <c r="G21" s="51">
        <v>14000</v>
      </c>
      <c r="H21" s="52">
        <f t="shared" si="0"/>
        <v>56</v>
      </c>
      <c r="I21" s="52">
        <f t="shared" si="1"/>
        <v>14</v>
      </c>
      <c r="J21" s="49"/>
      <c r="K21" s="53">
        <v>43611</v>
      </c>
      <c r="L21" s="54" t="s">
        <v>603</v>
      </c>
      <c r="M21" s="55">
        <v>43605</v>
      </c>
      <c r="N21" s="56" t="s">
        <v>1080</v>
      </c>
      <c r="O21" s="55">
        <v>43611</v>
      </c>
      <c r="P21" s="54" t="s">
        <v>5253</v>
      </c>
      <c r="Q21" s="49"/>
      <c r="R21" s="57" t="s">
        <v>1605</v>
      </c>
      <c r="S21" s="47"/>
    </row>
    <row r="22" spans="2:19" s="33" customFormat="1" ht="33" customHeight="1">
      <c r="B22" s="47" t="s">
        <v>78</v>
      </c>
      <c r="C22" s="48" t="s">
        <v>988</v>
      </c>
      <c r="D22" s="49" t="s">
        <v>5254</v>
      </c>
      <c r="E22" s="50">
        <v>43566</v>
      </c>
      <c r="F22" s="49" t="s">
        <v>79</v>
      </c>
      <c r="G22" s="51">
        <v>20000</v>
      </c>
      <c r="H22" s="52">
        <f t="shared" si="0"/>
        <v>80</v>
      </c>
      <c r="I22" s="52">
        <f t="shared" si="1"/>
        <v>20</v>
      </c>
      <c r="J22" s="49"/>
      <c r="K22" s="53">
        <v>43632</v>
      </c>
      <c r="L22" s="54" t="s">
        <v>1081</v>
      </c>
      <c r="M22" s="55">
        <v>43626</v>
      </c>
      <c r="N22" s="56" t="s">
        <v>1082</v>
      </c>
      <c r="O22" s="55">
        <v>43632</v>
      </c>
      <c r="P22" s="54"/>
      <c r="Q22" s="49" t="s">
        <v>82</v>
      </c>
      <c r="R22" s="57" t="s">
        <v>5255</v>
      </c>
      <c r="S22" s="47"/>
    </row>
    <row r="23" spans="2:19" s="33" customFormat="1" ht="33" customHeight="1">
      <c r="B23" s="47" t="s">
        <v>78</v>
      </c>
      <c r="C23" s="48" t="s">
        <v>1160</v>
      </c>
      <c r="D23" s="49" t="s">
        <v>1161</v>
      </c>
      <c r="E23" s="50">
        <v>43567</v>
      </c>
      <c r="F23" s="49" t="s">
        <v>5256</v>
      </c>
      <c r="G23" s="51">
        <v>40000</v>
      </c>
      <c r="H23" s="52">
        <f t="shared" si="0"/>
        <v>160</v>
      </c>
      <c r="I23" s="52">
        <f t="shared" si="1"/>
        <v>40</v>
      </c>
      <c r="J23" s="49"/>
      <c r="K23" s="53">
        <v>43646</v>
      </c>
      <c r="L23" s="54" t="s">
        <v>5257</v>
      </c>
      <c r="M23" s="55">
        <v>43640</v>
      </c>
      <c r="N23" s="56" t="s">
        <v>5258</v>
      </c>
      <c r="O23" s="55">
        <v>43646</v>
      </c>
      <c r="P23" s="54"/>
      <c r="Q23" s="49" t="s">
        <v>82</v>
      </c>
      <c r="R23" s="57" t="s">
        <v>5259</v>
      </c>
      <c r="S23" s="47" t="s">
        <v>2140</v>
      </c>
    </row>
    <row r="24" spans="2:19" s="33" customFormat="1" ht="33" customHeight="1">
      <c r="B24" s="47" t="s">
        <v>220</v>
      </c>
      <c r="C24" s="48" t="s">
        <v>1163</v>
      </c>
      <c r="D24" s="49" t="s">
        <v>1164</v>
      </c>
      <c r="E24" s="50">
        <v>43567</v>
      </c>
      <c r="F24" s="49" t="s">
        <v>79</v>
      </c>
      <c r="G24" s="51">
        <v>20000</v>
      </c>
      <c r="H24" s="52">
        <f t="shared" si="0"/>
        <v>80</v>
      </c>
      <c r="I24" s="52">
        <f t="shared" si="1"/>
        <v>20</v>
      </c>
      <c r="J24" s="49"/>
      <c r="K24" s="53">
        <v>43646</v>
      </c>
      <c r="L24" s="54" t="s">
        <v>5257</v>
      </c>
      <c r="M24" s="55">
        <v>43640</v>
      </c>
      <c r="N24" s="56" t="s">
        <v>5258</v>
      </c>
      <c r="O24" s="55">
        <v>43646</v>
      </c>
      <c r="P24" s="54"/>
      <c r="Q24" s="49"/>
      <c r="R24" s="57" t="s">
        <v>5260</v>
      </c>
      <c r="S24" s="47" t="s">
        <v>2140</v>
      </c>
    </row>
    <row r="25" spans="2:19" s="33" customFormat="1" ht="33" customHeight="1">
      <c r="B25" s="47" t="s">
        <v>78</v>
      </c>
      <c r="C25" s="48" t="s">
        <v>1166</v>
      </c>
      <c r="D25" s="49" t="s">
        <v>1167</v>
      </c>
      <c r="E25" s="50">
        <v>43567</v>
      </c>
      <c r="F25" s="49" t="s">
        <v>79</v>
      </c>
      <c r="G25" s="51">
        <v>20000</v>
      </c>
      <c r="H25" s="52">
        <f t="shared" si="0"/>
        <v>80</v>
      </c>
      <c r="I25" s="52">
        <f t="shared" si="1"/>
        <v>20</v>
      </c>
      <c r="J25" s="49"/>
      <c r="K25" s="53">
        <v>43653</v>
      </c>
      <c r="L25" s="54" t="s">
        <v>5261</v>
      </c>
      <c r="M25" s="55">
        <v>43647</v>
      </c>
      <c r="N25" s="56" t="s">
        <v>5262</v>
      </c>
      <c r="O25" s="55">
        <v>43653</v>
      </c>
      <c r="P25" s="54"/>
      <c r="Q25" s="49" t="s">
        <v>82</v>
      </c>
      <c r="R25" s="57" t="s">
        <v>5263</v>
      </c>
      <c r="S25" s="47" t="s">
        <v>2140</v>
      </c>
    </row>
    <row r="26" spans="2:19" s="33" customFormat="1" ht="33" customHeight="1">
      <c r="B26" s="47" t="s">
        <v>78</v>
      </c>
      <c r="C26" s="48" t="s">
        <v>1169</v>
      </c>
      <c r="D26" s="49" t="s">
        <v>1170</v>
      </c>
      <c r="E26" s="50">
        <v>43567</v>
      </c>
      <c r="F26" s="49" t="s">
        <v>79</v>
      </c>
      <c r="G26" s="51">
        <v>20000</v>
      </c>
      <c r="H26" s="52">
        <f t="shared" si="0"/>
        <v>80</v>
      </c>
      <c r="I26" s="52">
        <f t="shared" si="1"/>
        <v>20</v>
      </c>
      <c r="J26" s="49"/>
      <c r="K26" s="53">
        <v>43660</v>
      </c>
      <c r="L26" s="54" t="s">
        <v>5264</v>
      </c>
      <c r="M26" s="55">
        <v>43654</v>
      </c>
      <c r="N26" s="56" t="s">
        <v>5265</v>
      </c>
      <c r="O26" s="55">
        <v>43660</v>
      </c>
      <c r="P26" s="54"/>
      <c r="Q26" s="49" t="s">
        <v>82</v>
      </c>
      <c r="R26" s="57" t="s">
        <v>5266</v>
      </c>
      <c r="S26" s="47" t="s">
        <v>2140</v>
      </c>
    </row>
    <row r="27" spans="2:19" s="33" customFormat="1" ht="33" customHeight="1">
      <c r="B27" s="47" t="s">
        <v>78</v>
      </c>
      <c r="C27" s="48" t="s">
        <v>1172</v>
      </c>
      <c r="D27" s="49" t="s">
        <v>1173</v>
      </c>
      <c r="E27" s="50">
        <v>43567</v>
      </c>
      <c r="F27" s="49" t="s">
        <v>79</v>
      </c>
      <c r="G27" s="51">
        <v>20000</v>
      </c>
      <c r="H27" s="52">
        <f t="shared" si="0"/>
        <v>80</v>
      </c>
      <c r="I27" s="52">
        <f t="shared" si="1"/>
        <v>20</v>
      </c>
      <c r="J27" s="49"/>
      <c r="K27" s="53">
        <v>43667</v>
      </c>
      <c r="L27" s="54" t="s">
        <v>5267</v>
      </c>
      <c r="M27" s="55">
        <v>43658</v>
      </c>
      <c r="N27" s="56" t="s">
        <v>5268</v>
      </c>
      <c r="O27" s="55">
        <v>43667</v>
      </c>
      <c r="P27" s="54"/>
      <c r="Q27" s="49" t="s">
        <v>82</v>
      </c>
      <c r="R27" s="57" t="s">
        <v>5269</v>
      </c>
      <c r="S27" s="47" t="s">
        <v>2140</v>
      </c>
    </row>
    <row r="28" spans="2:19" s="33" customFormat="1" ht="33" customHeight="1">
      <c r="B28" s="47" t="s">
        <v>220</v>
      </c>
      <c r="C28" s="48" t="s">
        <v>1175</v>
      </c>
      <c r="D28" s="49" t="s">
        <v>1176</v>
      </c>
      <c r="E28" s="50">
        <v>43567</v>
      </c>
      <c r="F28" s="49" t="s">
        <v>79</v>
      </c>
      <c r="G28" s="51">
        <v>20000</v>
      </c>
      <c r="H28" s="52">
        <f t="shared" si="0"/>
        <v>80</v>
      </c>
      <c r="I28" s="52">
        <f t="shared" si="1"/>
        <v>20</v>
      </c>
      <c r="J28" s="49"/>
      <c r="K28" s="53">
        <v>43667</v>
      </c>
      <c r="L28" s="54" t="s">
        <v>5270</v>
      </c>
      <c r="M28" s="55">
        <v>43675</v>
      </c>
      <c r="N28" s="56" t="s">
        <v>5271</v>
      </c>
      <c r="O28" s="55">
        <v>43681</v>
      </c>
      <c r="P28" s="54"/>
      <c r="Q28" s="49"/>
      <c r="R28" s="57" t="s">
        <v>5272</v>
      </c>
      <c r="S28" s="47" t="s">
        <v>2539</v>
      </c>
    </row>
    <row r="29" spans="2:19" s="33" customFormat="1" ht="33" customHeight="1">
      <c r="B29" s="47" t="s">
        <v>78</v>
      </c>
      <c r="C29" s="48" t="s">
        <v>1178</v>
      </c>
      <c r="D29" s="49" t="s">
        <v>1179</v>
      </c>
      <c r="E29" s="50">
        <v>43567</v>
      </c>
      <c r="F29" s="49" t="s">
        <v>508</v>
      </c>
      <c r="G29" s="51">
        <v>10000</v>
      </c>
      <c r="H29" s="52">
        <f t="shared" si="0"/>
        <v>40</v>
      </c>
      <c r="I29" s="52">
        <f t="shared" si="1"/>
        <v>10</v>
      </c>
      <c r="J29" s="49"/>
      <c r="K29" s="53">
        <v>43674</v>
      </c>
      <c r="L29" s="54" t="s">
        <v>5273</v>
      </c>
      <c r="M29" s="55">
        <v>43682</v>
      </c>
      <c r="N29" s="56" t="s">
        <v>5274</v>
      </c>
      <c r="O29" s="55">
        <v>43688</v>
      </c>
      <c r="P29" s="54"/>
      <c r="Q29" s="49" t="s">
        <v>82</v>
      </c>
      <c r="R29" s="57" t="s">
        <v>5275</v>
      </c>
      <c r="S29" s="47" t="s">
        <v>2539</v>
      </c>
    </row>
    <row r="30" spans="2:19" s="33" customFormat="1" ht="33" customHeight="1">
      <c r="B30" s="47" t="s">
        <v>220</v>
      </c>
      <c r="C30" s="48" t="s">
        <v>1181</v>
      </c>
      <c r="D30" s="49" t="s">
        <v>1182</v>
      </c>
      <c r="E30" s="50">
        <v>43567</v>
      </c>
      <c r="F30" s="49" t="s">
        <v>508</v>
      </c>
      <c r="G30" s="51">
        <v>10000</v>
      </c>
      <c r="H30" s="52">
        <f t="shared" si="0"/>
        <v>40</v>
      </c>
      <c r="I30" s="52">
        <f t="shared" si="1"/>
        <v>10</v>
      </c>
      <c r="J30" s="49"/>
      <c r="K30" s="53">
        <v>43674</v>
      </c>
      <c r="L30" s="54" t="s">
        <v>5273</v>
      </c>
      <c r="M30" s="55">
        <v>43682</v>
      </c>
      <c r="N30" s="56" t="s">
        <v>5274</v>
      </c>
      <c r="O30" s="55">
        <v>43688</v>
      </c>
      <c r="P30" s="54"/>
      <c r="Q30" s="49"/>
      <c r="R30" s="57" t="s">
        <v>5276</v>
      </c>
      <c r="S30" s="47" t="s">
        <v>2539</v>
      </c>
    </row>
    <row r="31" spans="2:19" s="33" customFormat="1" ht="33" customHeight="1">
      <c r="B31" s="47" t="s">
        <v>78</v>
      </c>
      <c r="C31" s="48" t="s">
        <v>2273</v>
      </c>
      <c r="D31" s="49" t="s">
        <v>2274</v>
      </c>
      <c r="E31" s="50">
        <v>43602</v>
      </c>
      <c r="F31" s="49" t="s">
        <v>79</v>
      </c>
      <c r="G31" s="51">
        <v>20000</v>
      </c>
      <c r="H31" s="52">
        <f t="shared" si="0"/>
        <v>80</v>
      </c>
      <c r="I31" s="52">
        <f t="shared" si="1"/>
        <v>20</v>
      </c>
      <c r="J31" s="49"/>
      <c r="K31" s="53">
        <v>43688</v>
      </c>
      <c r="L31" s="54" t="s">
        <v>5273</v>
      </c>
      <c r="M31" s="55">
        <v>43682</v>
      </c>
      <c r="N31" s="56" t="s">
        <v>5274</v>
      </c>
      <c r="O31" s="55">
        <v>43688</v>
      </c>
      <c r="P31" s="54"/>
      <c r="Q31" s="49" t="s">
        <v>82</v>
      </c>
      <c r="R31" s="57" t="s">
        <v>5277</v>
      </c>
      <c r="S31" s="47"/>
    </row>
    <row r="32" spans="2:19" s="33" customFormat="1" ht="33" customHeight="1">
      <c r="B32" s="47" t="s">
        <v>78</v>
      </c>
      <c r="C32" s="48" t="s">
        <v>2276</v>
      </c>
      <c r="D32" s="49" t="s">
        <v>2277</v>
      </c>
      <c r="E32" s="50">
        <v>43602</v>
      </c>
      <c r="F32" s="49" t="s">
        <v>79</v>
      </c>
      <c r="G32" s="51">
        <v>20000</v>
      </c>
      <c r="H32" s="52">
        <f t="shared" si="0"/>
        <v>80</v>
      </c>
      <c r="I32" s="52">
        <f t="shared" si="1"/>
        <v>20</v>
      </c>
      <c r="J32" s="49"/>
      <c r="K32" s="53">
        <v>43695</v>
      </c>
      <c r="L32" s="54" t="s">
        <v>5273</v>
      </c>
      <c r="M32" s="55">
        <v>43682</v>
      </c>
      <c r="N32" s="56" t="s">
        <v>5274</v>
      </c>
      <c r="O32" s="55">
        <v>43688</v>
      </c>
      <c r="P32" s="54"/>
      <c r="Q32" s="49" t="s">
        <v>82</v>
      </c>
      <c r="R32" s="57" t="s">
        <v>5278</v>
      </c>
      <c r="S32" s="47"/>
    </row>
    <row r="33" spans="2:19" s="33" customFormat="1" ht="33" customHeight="1">
      <c r="B33" s="47" t="s">
        <v>220</v>
      </c>
      <c r="C33" s="48" t="s">
        <v>2279</v>
      </c>
      <c r="D33" s="49" t="s">
        <v>2280</v>
      </c>
      <c r="E33" s="50">
        <v>43602</v>
      </c>
      <c r="F33" s="49" t="s">
        <v>79</v>
      </c>
      <c r="G33" s="51">
        <v>20000</v>
      </c>
      <c r="H33" s="52">
        <f t="shared" si="0"/>
        <v>80</v>
      </c>
      <c r="I33" s="52">
        <f t="shared" si="1"/>
        <v>20</v>
      </c>
      <c r="J33" s="49"/>
      <c r="K33" s="53">
        <v>43695</v>
      </c>
      <c r="L33" s="54" t="s">
        <v>5273</v>
      </c>
      <c r="M33" s="55">
        <v>43682</v>
      </c>
      <c r="N33" s="56" t="s">
        <v>5274</v>
      </c>
      <c r="O33" s="55">
        <v>43688</v>
      </c>
      <c r="P33" s="54"/>
      <c r="Q33" s="49"/>
      <c r="R33" s="57" t="s">
        <v>5279</v>
      </c>
      <c r="S33" s="47"/>
    </row>
    <row r="34" spans="2:19" s="30" customFormat="1" ht="33" customHeight="1">
      <c r="B34" s="46" t="s">
        <v>78</v>
      </c>
      <c r="C34" s="35" t="s">
        <v>2282</v>
      </c>
      <c r="D34" s="36" t="s">
        <v>2283</v>
      </c>
      <c r="E34" s="37">
        <v>43602</v>
      </c>
      <c r="F34" s="36" t="s">
        <v>79</v>
      </c>
      <c r="G34" s="39">
        <v>20000</v>
      </c>
      <c r="H34" s="38">
        <f t="shared" si="0"/>
        <v>80</v>
      </c>
      <c r="I34" s="38">
        <f t="shared" si="1"/>
        <v>20</v>
      </c>
      <c r="J34" s="36"/>
      <c r="K34" s="40">
        <v>43709</v>
      </c>
      <c r="L34" s="41" t="s">
        <v>5280</v>
      </c>
      <c r="M34" s="42">
        <v>43703</v>
      </c>
      <c r="N34" s="43" t="s">
        <v>5281</v>
      </c>
      <c r="O34" s="42">
        <v>43709</v>
      </c>
      <c r="P34" s="41"/>
      <c r="Q34" s="36" t="s">
        <v>82</v>
      </c>
      <c r="R34" s="44" t="s">
        <v>5282</v>
      </c>
      <c r="S34" s="46"/>
    </row>
    <row r="35" spans="2:19" s="30" customFormat="1" ht="33" customHeight="1">
      <c r="B35" s="122" t="s">
        <v>220</v>
      </c>
      <c r="C35" s="126" t="s">
        <v>5283</v>
      </c>
      <c r="D35" s="127" t="s">
        <v>3354</v>
      </c>
      <c r="E35" s="128">
        <v>43637</v>
      </c>
      <c r="F35" s="127" t="s">
        <v>79</v>
      </c>
      <c r="G35" s="129">
        <v>20000</v>
      </c>
      <c r="H35" s="107">
        <v>64</v>
      </c>
      <c r="I35" s="107">
        <v>16</v>
      </c>
      <c r="J35" s="127"/>
      <c r="K35" s="130">
        <v>43716</v>
      </c>
      <c r="L35" s="119" t="s">
        <v>5447</v>
      </c>
      <c r="M35" s="120">
        <v>43717</v>
      </c>
      <c r="N35" s="121" t="s">
        <v>5448</v>
      </c>
      <c r="O35" s="120">
        <v>43723</v>
      </c>
      <c r="P35" s="119"/>
      <c r="Q35" s="127"/>
      <c r="R35" s="125" t="s">
        <v>5284</v>
      </c>
      <c r="S35" s="122" t="s">
        <v>5465</v>
      </c>
    </row>
    <row r="36" spans="2:19" s="30" customFormat="1" ht="33" customHeight="1">
      <c r="B36" s="46" t="s">
        <v>78</v>
      </c>
      <c r="C36" s="35" t="s">
        <v>3356</v>
      </c>
      <c r="D36" s="36" t="s">
        <v>3357</v>
      </c>
      <c r="E36" s="37">
        <v>43637</v>
      </c>
      <c r="F36" s="36" t="s">
        <v>79</v>
      </c>
      <c r="G36" s="39">
        <v>20000</v>
      </c>
      <c r="H36" s="38">
        <f t="shared" si="0"/>
        <v>80</v>
      </c>
      <c r="I36" s="38">
        <f t="shared" si="1"/>
        <v>20</v>
      </c>
      <c r="J36" s="36"/>
      <c r="K36" s="40">
        <v>43723</v>
      </c>
      <c r="L36" s="41" t="s">
        <v>3555</v>
      </c>
      <c r="M36" s="42">
        <v>43717</v>
      </c>
      <c r="N36" s="43" t="s">
        <v>5285</v>
      </c>
      <c r="O36" s="42">
        <v>43723</v>
      </c>
      <c r="P36" s="41"/>
      <c r="Q36" s="36" t="s">
        <v>82</v>
      </c>
      <c r="R36" s="44" t="s">
        <v>5286</v>
      </c>
      <c r="S36" s="46"/>
    </row>
    <row r="37" spans="2:19" s="30" customFormat="1" ht="33" customHeight="1">
      <c r="B37" s="46" t="s">
        <v>78</v>
      </c>
      <c r="C37" s="35" t="s">
        <v>3359</v>
      </c>
      <c r="D37" s="36" t="s">
        <v>3360</v>
      </c>
      <c r="E37" s="37">
        <v>43637</v>
      </c>
      <c r="F37" s="36" t="s">
        <v>79</v>
      </c>
      <c r="G37" s="39">
        <v>20000</v>
      </c>
      <c r="H37" s="38">
        <f t="shared" si="0"/>
        <v>80</v>
      </c>
      <c r="I37" s="38">
        <f t="shared" si="1"/>
        <v>20</v>
      </c>
      <c r="J37" s="36"/>
      <c r="K37" s="40">
        <v>43737</v>
      </c>
      <c r="L37" s="41" t="s">
        <v>3556</v>
      </c>
      <c r="M37" s="42">
        <v>43728</v>
      </c>
      <c r="N37" s="43" t="s">
        <v>5287</v>
      </c>
      <c r="O37" s="42">
        <v>43737</v>
      </c>
      <c r="P37" s="41"/>
      <c r="Q37" s="36" t="s">
        <v>82</v>
      </c>
      <c r="R37" s="44" t="s">
        <v>5288</v>
      </c>
      <c r="S37" s="46"/>
    </row>
    <row r="38" spans="2:19" s="30" customFormat="1" ht="33" customHeight="1">
      <c r="B38" s="122" t="s">
        <v>220</v>
      </c>
      <c r="C38" s="126" t="s">
        <v>4252</v>
      </c>
      <c r="D38" s="127" t="s">
        <v>4253</v>
      </c>
      <c r="E38" s="128">
        <v>43665</v>
      </c>
      <c r="F38" s="127" t="s">
        <v>79</v>
      </c>
      <c r="G38" s="129">
        <v>20000</v>
      </c>
      <c r="H38" s="107">
        <v>96</v>
      </c>
      <c r="I38" s="107">
        <f t="shared" si="1"/>
        <v>24</v>
      </c>
      <c r="J38" s="127"/>
      <c r="K38" s="130">
        <v>43744</v>
      </c>
      <c r="L38" s="119" t="s">
        <v>3556</v>
      </c>
      <c r="M38" s="120">
        <v>43728</v>
      </c>
      <c r="N38" s="121" t="s">
        <v>5449</v>
      </c>
      <c r="O38" s="120">
        <v>43737</v>
      </c>
      <c r="P38" s="119"/>
      <c r="Q38" s="127"/>
      <c r="R38" s="125" t="s">
        <v>5291</v>
      </c>
      <c r="S38" s="122" t="s">
        <v>5464</v>
      </c>
    </row>
    <row r="39" spans="2:19" s="30" customFormat="1" ht="33" customHeight="1">
      <c r="B39" s="46" t="s">
        <v>78</v>
      </c>
      <c r="C39" s="35" t="s">
        <v>4255</v>
      </c>
      <c r="D39" s="36" t="s">
        <v>4256</v>
      </c>
      <c r="E39" s="37">
        <v>43665</v>
      </c>
      <c r="F39" s="36" t="s">
        <v>79</v>
      </c>
      <c r="G39" s="39">
        <v>20000</v>
      </c>
      <c r="H39" s="38">
        <f t="shared" si="0"/>
        <v>80</v>
      </c>
      <c r="I39" s="38">
        <f t="shared" si="1"/>
        <v>20</v>
      </c>
      <c r="J39" s="36"/>
      <c r="K39" s="40">
        <v>43744</v>
      </c>
      <c r="L39" s="41" t="s">
        <v>5289</v>
      </c>
      <c r="M39" s="42">
        <v>43738</v>
      </c>
      <c r="N39" s="43" t="s">
        <v>5290</v>
      </c>
      <c r="O39" s="42">
        <v>43744</v>
      </c>
      <c r="P39" s="41"/>
      <c r="Q39" s="36" t="s">
        <v>82</v>
      </c>
      <c r="R39" s="44" t="s">
        <v>5292</v>
      </c>
      <c r="S39" s="46"/>
    </row>
    <row r="40" spans="2:19" s="30" customFormat="1" ht="33" customHeight="1">
      <c r="B40" s="46" t="s">
        <v>78</v>
      </c>
      <c r="C40" s="35" t="s">
        <v>4258</v>
      </c>
      <c r="D40" s="36" t="s">
        <v>4259</v>
      </c>
      <c r="E40" s="37">
        <v>43665</v>
      </c>
      <c r="F40" s="36" t="s">
        <v>79</v>
      </c>
      <c r="G40" s="39">
        <v>20000</v>
      </c>
      <c r="H40" s="38">
        <f t="shared" si="0"/>
        <v>80</v>
      </c>
      <c r="I40" s="38">
        <f t="shared" si="1"/>
        <v>20</v>
      </c>
      <c r="J40" s="36"/>
      <c r="K40" s="40">
        <v>43758</v>
      </c>
      <c r="L40" s="41" t="s">
        <v>5293</v>
      </c>
      <c r="M40" s="42">
        <v>43749</v>
      </c>
      <c r="N40" s="43" t="s">
        <v>5294</v>
      </c>
      <c r="O40" s="42">
        <v>43758</v>
      </c>
      <c r="P40" s="41"/>
      <c r="Q40" s="36" t="s">
        <v>82</v>
      </c>
      <c r="R40" s="44" t="s">
        <v>5295</v>
      </c>
      <c r="S40" s="46"/>
    </row>
    <row r="41" spans="2:19" s="30" customFormat="1" ht="33" customHeight="1">
      <c r="B41" s="46" t="s">
        <v>78</v>
      </c>
      <c r="C41" s="35" t="s">
        <v>4261</v>
      </c>
      <c r="D41" s="36" t="s">
        <v>4262</v>
      </c>
      <c r="E41" s="37">
        <v>43665</v>
      </c>
      <c r="F41" s="36" t="s">
        <v>79</v>
      </c>
      <c r="G41" s="39">
        <v>20000</v>
      </c>
      <c r="H41" s="38">
        <f t="shared" si="0"/>
        <v>80</v>
      </c>
      <c r="I41" s="38">
        <f t="shared" si="1"/>
        <v>20</v>
      </c>
      <c r="J41" s="36"/>
      <c r="K41" s="40">
        <v>43765</v>
      </c>
      <c r="L41" s="41" t="s">
        <v>5296</v>
      </c>
      <c r="M41" s="42">
        <v>43759</v>
      </c>
      <c r="N41" s="43" t="s">
        <v>5297</v>
      </c>
      <c r="O41" s="42">
        <v>43765</v>
      </c>
      <c r="P41" s="41"/>
      <c r="Q41" s="36" t="s">
        <v>82</v>
      </c>
      <c r="R41" s="44" t="s">
        <v>5298</v>
      </c>
      <c r="S41" s="46"/>
    </row>
    <row r="42" spans="2:19" s="30" customFormat="1" ht="33" customHeight="1">
      <c r="B42" s="46" t="s">
        <v>220</v>
      </c>
      <c r="C42" s="35" t="s">
        <v>4264</v>
      </c>
      <c r="D42" s="36" t="s">
        <v>4265</v>
      </c>
      <c r="E42" s="37">
        <v>43665</v>
      </c>
      <c r="F42" s="36" t="s">
        <v>79</v>
      </c>
      <c r="G42" s="39">
        <v>20000</v>
      </c>
      <c r="H42" s="38">
        <f t="shared" si="0"/>
        <v>80</v>
      </c>
      <c r="I42" s="38">
        <f t="shared" si="1"/>
        <v>20</v>
      </c>
      <c r="J42" s="36"/>
      <c r="K42" s="40">
        <v>43758</v>
      </c>
      <c r="L42" s="41" t="s">
        <v>5293</v>
      </c>
      <c r="M42" s="42">
        <v>43749</v>
      </c>
      <c r="N42" s="43" t="s">
        <v>5294</v>
      </c>
      <c r="O42" s="42">
        <v>43758</v>
      </c>
      <c r="P42" s="41"/>
      <c r="Q42" s="36"/>
      <c r="R42" s="44" t="s">
        <v>5299</v>
      </c>
      <c r="S42" s="46"/>
    </row>
    <row r="43" spans="2:19" s="30" customFormat="1" ht="33" customHeight="1">
      <c r="B43" s="46" t="s">
        <v>78</v>
      </c>
      <c r="C43" s="35" t="s">
        <v>5057</v>
      </c>
      <c r="D43" s="36" t="s">
        <v>5300</v>
      </c>
      <c r="E43" s="37">
        <v>43689</v>
      </c>
      <c r="F43" s="36" t="s">
        <v>79</v>
      </c>
      <c r="G43" s="39">
        <v>20000</v>
      </c>
      <c r="H43" s="38">
        <f t="shared" si="0"/>
        <v>80</v>
      </c>
      <c r="I43" s="38">
        <f t="shared" si="1"/>
        <v>20</v>
      </c>
      <c r="J43" s="36"/>
      <c r="K43" s="40">
        <v>43772</v>
      </c>
      <c r="L43" s="41" t="s">
        <v>5301</v>
      </c>
      <c r="M43" s="42">
        <v>43766</v>
      </c>
      <c r="N43" s="43" t="s">
        <v>5302</v>
      </c>
      <c r="O43" s="42">
        <v>43772</v>
      </c>
      <c r="P43" s="41"/>
      <c r="Q43" s="36"/>
      <c r="R43" s="44" t="s">
        <v>5303</v>
      </c>
      <c r="S43" s="46"/>
    </row>
    <row r="44" spans="2:19" s="30" customFormat="1" ht="33" customHeight="1">
      <c r="B44" s="46" t="s">
        <v>220</v>
      </c>
      <c r="C44" s="35" t="s">
        <v>5055</v>
      </c>
      <c r="D44" s="36" t="s">
        <v>5304</v>
      </c>
      <c r="E44" s="37">
        <v>43689</v>
      </c>
      <c r="F44" s="36" t="s">
        <v>79</v>
      </c>
      <c r="G44" s="39">
        <v>20000</v>
      </c>
      <c r="H44" s="38">
        <f t="shared" si="0"/>
        <v>80</v>
      </c>
      <c r="I44" s="38">
        <f t="shared" si="1"/>
        <v>20</v>
      </c>
      <c r="J44" s="36"/>
      <c r="K44" s="40">
        <v>43779</v>
      </c>
      <c r="L44" s="41" t="s">
        <v>5305</v>
      </c>
      <c r="M44" s="42">
        <v>43770</v>
      </c>
      <c r="N44" s="43" t="s">
        <v>5306</v>
      </c>
      <c r="O44" s="42">
        <v>43779</v>
      </c>
      <c r="P44" s="41"/>
      <c r="Q44" s="36"/>
      <c r="R44" s="44" t="s">
        <v>5307</v>
      </c>
      <c r="S44" s="46"/>
    </row>
    <row r="45" spans="2:19" s="30" customFormat="1" ht="33" customHeight="1">
      <c r="B45" s="46" t="s">
        <v>78</v>
      </c>
      <c r="C45" s="35" t="s">
        <v>5053</v>
      </c>
      <c r="D45" s="36" t="s">
        <v>5308</v>
      </c>
      <c r="E45" s="37">
        <v>43689</v>
      </c>
      <c r="F45" s="36" t="s">
        <v>79</v>
      </c>
      <c r="G45" s="39">
        <v>20000</v>
      </c>
      <c r="H45" s="38">
        <f t="shared" si="0"/>
        <v>80</v>
      </c>
      <c r="I45" s="38">
        <f t="shared" si="1"/>
        <v>20</v>
      </c>
      <c r="J45" s="36"/>
      <c r="K45" s="40">
        <v>43786</v>
      </c>
      <c r="L45" s="41" t="s">
        <v>5309</v>
      </c>
      <c r="M45" s="42">
        <v>43780</v>
      </c>
      <c r="N45" s="43" t="s">
        <v>5310</v>
      </c>
      <c r="O45" s="42">
        <v>43786</v>
      </c>
      <c r="P45" s="41"/>
      <c r="Q45" s="36"/>
      <c r="R45" s="44" t="s">
        <v>5311</v>
      </c>
      <c r="S45" s="46"/>
    </row>
    <row r="46" spans="2:19" s="30" customFormat="1" ht="33" customHeight="1">
      <c r="B46" s="46" t="s">
        <v>78</v>
      </c>
      <c r="C46" s="35" t="s">
        <v>5051</v>
      </c>
      <c r="D46" s="36" t="s">
        <v>5312</v>
      </c>
      <c r="E46" s="37">
        <v>43689</v>
      </c>
      <c r="F46" s="36" t="s">
        <v>79</v>
      </c>
      <c r="G46" s="39">
        <v>20000</v>
      </c>
      <c r="H46" s="38">
        <f t="shared" si="0"/>
        <v>80</v>
      </c>
      <c r="I46" s="38">
        <f t="shared" si="1"/>
        <v>20</v>
      </c>
      <c r="J46" s="36"/>
      <c r="K46" s="40">
        <v>43793</v>
      </c>
      <c r="L46" s="41" t="s">
        <v>5313</v>
      </c>
      <c r="M46" s="42">
        <v>43787</v>
      </c>
      <c r="N46" s="43" t="s">
        <v>5314</v>
      </c>
      <c r="O46" s="42">
        <v>43793</v>
      </c>
      <c r="P46" s="41"/>
      <c r="Q46" s="36"/>
      <c r="R46" s="44" t="s">
        <v>5315</v>
      </c>
      <c r="S46" s="46"/>
    </row>
    <row r="47" spans="2:19" s="30" customFormat="1" ht="33" customHeight="1">
      <c r="B47" s="46" t="s">
        <v>5316</v>
      </c>
      <c r="C47" s="35" t="s">
        <v>5049</v>
      </c>
      <c r="D47" s="36" t="s">
        <v>5317</v>
      </c>
      <c r="E47" s="37">
        <v>43689</v>
      </c>
      <c r="F47" s="36" t="s">
        <v>79</v>
      </c>
      <c r="G47" s="39">
        <v>20000</v>
      </c>
      <c r="H47" s="38">
        <f t="shared" si="0"/>
        <v>80</v>
      </c>
      <c r="I47" s="38">
        <f t="shared" si="1"/>
        <v>20</v>
      </c>
      <c r="J47" s="36"/>
      <c r="K47" s="40">
        <v>43800</v>
      </c>
      <c r="L47" s="41" t="s">
        <v>5318</v>
      </c>
      <c r="M47" s="42">
        <v>43794</v>
      </c>
      <c r="N47" s="43" t="s">
        <v>5431</v>
      </c>
      <c r="O47" s="42">
        <v>43800</v>
      </c>
      <c r="P47" s="41"/>
      <c r="Q47" s="36"/>
      <c r="R47" s="44" t="s">
        <v>5320</v>
      </c>
      <c r="S47" s="46"/>
    </row>
    <row r="48" spans="2:19" s="30" customFormat="1" ht="33" customHeight="1">
      <c r="B48" s="46" t="s">
        <v>220</v>
      </c>
      <c r="C48" s="35" t="s">
        <v>5047</v>
      </c>
      <c r="D48" s="36" t="s">
        <v>5321</v>
      </c>
      <c r="E48" s="37">
        <v>43689</v>
      </c>
      <c r="F48" s="36" t="s">
        <v>79</v>
      </c>
      <c r="G48" s="39">
        <v>20000</v>
      </c>
      <c r="H48" s="38">
        <f t="shared" si="0"/>
        <v>80</v>
      </c>
      <c r="I48" s="38">
        <f t="shared" si="1"/>
        <v>20</v>
      </c>
      <c r="J48" s="36"/>
      <c r="K48" s="40">
        <v>43793</v>
      </c>
      <c r="L48" s="41" t="s">
        <v>5313</v>
      </c>
      <c r="M48" s="42">
        <v>43787</v>
      </c>
      <c r="N48" s="43" t="s">
        <v>5178</v>
      </c>
      <c r="O48" s="42">
        <v>43793</v>
      </c>
      <c r="P48" s="41"/>
      <c r="Q48" s="36"/>
      <c r="R48" s="44" t="s">
        <v>5323</v>
      </c>
      <c r="S48" s="46"/>
    </row>
    <row r="49" spans="2:19" s="96" customFormat="1" ht="33" customHeight="1">
      <c r="B49" s="47" t="s">
        <v>17</v>
      </c>
      <c r="C49" s="48" t="s">
        <v>427</v>
      </c>
      <c r="D49" s="49" t="s">
        <v>5324</v>
      </c>
      <c r="E49" s="50">
        <v>43483</v>
      </c>
      <c r="F49" s="52" t="s">
        <v>84</v>
      </c>
      <c r="G49" s="51">
        <v>9200</v>
      </c>
      <c r="H49" s="52">
        <f t="shared" ref="H49:H53" si="2">SUM(G49/230)</f>
        <v>40</v>
      </c>
      <c r="I49" s="52">
        <f t="shared" si="1"/>
        <v>10</v>
      </c>
      <c r="J49" s="49"/>
      <c r="K49" s="53">
        <v>43576</v>
      </c>
      <c r="L49" s="54" t="s">
        <v>5325</v>
      </c>
      <c r="M49" s="55">
        <v>43571</v>
      </c>
      <c r="N49" s="56" t="s">
        <v>5326</v>
      </c>
      <c r="O49" s="55">
        <v>43576</v>
      </c>
      <c r="P49" s="58"/>
      <c r="Q49" s="52" t="s">
        <v>82</v>
      </c>
      <c r="R49" s="57" t="s">
        <v>5327</v>
      </c>
      <c r="S49" s="47"/>
    </row>
    <row r="50" spans="2:19" s="96" customFormat="1" ht="33" customHeight="1">
      <c r="B50" s="47" t="s">
        <v>17</v>
      </c>
      <c r="C50" s="48" t="s">
        <v>581</v>
      </c>
      <c r="D50" s="49" t="s">
        <v>582</v>
      </c>
      <c r="E50" s="50">
        <v>43519</v>
      </c>
      <c r="F50" s="52" t="s">
        <v>84</v>
      </c>
      <c r="G50" s="51">
        <v>9200</v>
      </c>
      <c r="H50" s="52">
        <f t="shared" si="2"/>
        <v>40</v>
      </c>
      <c r="I50" s="52">
        <f t="shared" si="1"/>
        <v>10</v>
      </c>
      <c r="J50" s="49"/>
      <c r="K50" s="53">
        <v>43632</v>
      </c>
      <c r="L50" s="54" t="s">
        <v>5328</v>
      </c>
      <c r="M50" s="55">
        <v>43620</v>
      </c>
      <c r="N50" s="56" t="s">
        <v>5329</v>
      </c>
      <c r="O50" s="55">
        <v>43625</v>
      </c>
      <c r="P50" s="58"/>
      <c r="Q50" s="52" t="s">
        <v>82</v>
      </c>
      <c r="R50" s="57" t="s">
        <v>5330</v>
      </c>
      <c r="S50" s="47"/>
    </row>
    <row r="51" spans="2:19" s="96" customFormat="1" ht="33" customHeight="1">
      <c r="B51" s="47" t="s">
        <v>17</v>
      </c>
      <c r="C51" s="48" t="s">
        <v>694</v>
      </c>
      <c r="D51" s="49" t="s">
        <v>695</v>
      </c>
      <c r="E51" s="50">
        <v>43532</v>
      </c>
      <c r="F51" s="52" t="s">
        <v>5331</v>
      </c>
      <c r="G51" s="51">
        <v>9200</v>
      </c>
      <c r="H51" s="52">
        <f t="shared" si="2"/>
        <v>40</v>
      </c>
      <c r="I51" s="52">
        <f t="shared" si="1"/>
        <v>10</v>
      </c>
      <c r="J51" s="49"/>
      <c r="K51" s="53">
        <v>43653</v>
      </c>
      <c r="L51" s="54" t="s">
        <v>1326</v>
      </c>
      <c r="M51" s="55">
        <v>43648</v>
      </c>
      <c r="N51" s="56" t="s">
        <v>2540</v>
      </c>
      <c r="O51" s="55">
        <v>43653</v>
      </c>
      <c r="P51" s="58"/>
      <c r="Q51" s="52" t="s">
        <v>82</v>
      </c>
      <c r="R51" s="57" t="s">
        <v>5332</v>
      </c>
      <c r="S51" s="47"/>
    </row>
    <row r="52" spans="2:19" s="96" customFormat="1" ht="33" customHeight="1">
      <c r="B52" s="47" t="s">
        <v>17</v>
      </c>
      <c r="C52" s="48" t="s">
        <v>2299</v>
      </c>
      <c r="D52" s="49" t="s">
        <v>2641</v>
      </c>
      <c r="E52" s="50">
        <v>43609</v>
      </c>
      <c r="F52" s="52" t="s">
        <v>5331</v>
      </c>
      <c r="G52" s="51">
        <v>2760</v>
      </c>
      <c r="H52" s="52">
        <f t="shared" si="2"/>
        <v>12</v>
      </c>
      <c r="I52" s="52">
        <f t="shared" si="1"/>
        <v>3</v>
      </c>
      <c r="J52" s="49"/>
      <c r="K52" s="53">
        <v>43653</v>
      </c>
      <c r="L52" s="54" t="s">
        <v>1326</v>
      </c>
      <c r="M52" s="55">
        <v>43648</v>
      </c>
      <c r="N52" s="56" t="s">
        <v>2540</v>
      </c>
      <c r="O52" s="55">
        <v>43653</v>
      </c>
      <c r="P52" s="58"/>
      <c r="Q52" s="52" t="s">
        <v>82</v>
      </c>
      <c r="R52" s="57" t="s">
        <v>5332</v>
      </c>
      <c r="S52" s="47"/>
    </row>
    <row r="53" spans="2:19" s="96" customFormat="1" ht="33" customHeight="1">
      <c r="B53" s="47" t="s">
        <v>17</v>
      </c>
      <c r="C53" s="48" t="s">
        <v>5333</v>
      </c>
      <c r="D53" s="49" t="s">
        <v>2300</v>
      </c>
      <c r="E53" s="50">
        <v>43602</v>
      </c>
      <c r="F53" s="52" t="s">
        <v>5331</v>
      </c>
      <c r="G53" s="51">
        <v>9200</v>
      </c>
      <c r="H53" s="52">
        <f t="shared" si="2"/>
        <v>40</v>
      </c>
      <c r="I53" s="52">
        <f t="shared" si="1"/>
        <v>10</v>
      </c>
      <c r="J53" s="49"/>
      <c r="K53" s="53">
        <v>43695</v>
      </c>
      <c r="L53" s="54" t="s">
        <v>5334</v>
      </c>
      <c r="M53" s="55">
        <v>43683</v>
      </c>
      <c r="N53" s="56" t="s">
        <v>5335</v>
      </c>
      <c r="O53" s="55">
        <v>43688</v>
      </c>
      <c r="P53" s="58"/>
      <c r="Q53" s="52" t="s">
        <v>82</v>
      </c>
      <c r="R53" s="57" t="s">
        <v>5336</v>
      </c>
      <c r="S53" s="47" t="s">
        <v>2764</v>
      </c>
    </row>
    <row r="54" spans="2:19" s="96" customFormat="1" ht="33" customHeight="1">
      <c r="B54" s="47" t="s">
        <v>17</v>
      </c>
      <c r="C54" s="48" t="s">
        <v>3702</v>
      </c>
      <c r="D54" s="49" t="s">
        <v>3703</v>
      </c>
      <c r="E54" s="50">
        <v>43643</v>
      </c>
      <c r="F54" s="52" t="s">
        <v>5331</v>
      </c>
      <c r="G54" s="51">
        <v>4600</v>
      </c>
      <c r="H54" s="52">
        <f>SUM(G54/230)</f>
        <v>20</v>
      </c>
      <c r="I54" s="52">
        <f t="shared" si="1"/>
        <v>5</v>
      </c>
      <c r="J54" s="49"/>
      <c r="K54" s="53">
        <v>43688</v>
      </c>
      <c r="L54" s="54" t="s">
        <v>5334</v>
      </c>
      <c r="M54" s="55">
        <v>43683</v>
      </c>
      <c r="N54" s="56" t="s">
        <v>5335</v>
      </c>
      <c r="O54" s="55">
        <v>43688</v>
      </c>
      <c r="P54" s="58"/>
      <c r="Q54" s="52" t="s">
        <v>82</v>
      </c>
      <c r="R54" s="57"/>
      <c r="S54" s="47"/>
    </row>
    <row r="55" spans="2:19" s="67" customFormat="1" ht="33" customHeight="1">
      <c r="B55" s="46" t="s">
        <v>17</v>
      </c>
      <c r="C55" s="35" t="s">
        <v>5337</v>
      </c>
      <c r="D55" s="36" t="s">
        <v>3377</v>
      </c>
      <c r="E55" s="37">
        <v>43637</v>
      </c>
      <c r="F55" s="38" t="s">
        <v>5331</v>
      </c>
      <c r="G55" s="39">
        <v>9200</v>
      </c>
      <c r="H55" s="38">
        <f t="shared" ref="H55:H56" si="3">SUM(G55/230)</f>
        <v>40</v>
      </c>
      <c r="I55" s="38">
        <f t="shared" si="1"/>
        <v>10</v>
      </c>
      <c r="J55" s="36"/>
      <c r="K55" s="40">
        <v>43716</v>
      </c>
      <c r="L55" s="41" t="s">
        <v>5459</v>
      </c>
      <c r="M55" s="42">
        <v>43718</v>
      </c>
      <c r="N55" s="43" t="s">
        <v>5460</v>
      </c>
      <c r="O55" s="42">
        <v>43723</v>
      </c>
      <c r="P55" s="45"/>
      <c r="Q55" s="38"/>
      <c r="R55" s="44" t="s">
        <v>5338</v>
      </c>
      <c r="S55" s="46" t="s">
        <v>5457</v>
      </c>
    </row>
    <row r="56" spans="2:19" s="67" customFormat="1" ht="33" customHeight="1">
      <c r="B56" s="46" t="s">
        <v>17</v>
      </c>
      <c r="C56" s="35" t="s">
        <v>5339</v>
      </c>
      <c r="D56" s="36" t="s">
        <v>3380</v>
      </c>
      <c r="E56" s="37">
        <v>43637</v>
      </c>
      <c r="F56" s="38" t="s">
        <v>5331</v>
      </c>
      <c r="G56" s="39">
        <v>9200</v>
      </c>
      <c r="H56" s="200">
        <f t="shared" si="3"/>
        <v>40</v>
      </c>
      <c r="I56" s="200">
        <f t="shared" si="1"/>
        <v>10</v>
      </c>
      <c r="J56" s="36"/>
      <c r="K56" s="40">
        <v>43744</v>
      </c>
      <c r="L56" s="41" t="s">
        <v>5340</v>
      </c>
      <c r="M56" s="42">
        <v>43739</v>
      </c>
      <c r="N56" s="43" t="s">
        <v>5341</v>
      </c>
      <c r="O56" s="42">
        <v>43744</v>
      </c>
      <c r="P56" s="45"/>
      <c r="Q56" s="38"/>
      <c r="R56" s="44" t="s">
        <v>5342</v>
      </c>
      <c r="S56" s="46"/>
    </row>
    <row r="57" spans="2:19" s="67" customFormat="1" ht="33" customHeight="1">
      <c r="B57" s="46" t="s">
        <v>17</v>
      </c>
      <c r="C57" s="35" t="s">
        <v>5033</v>
      </c>
      <c r="D57" s="36" t="s">
        <v>5343</v>
      </c>
      <c r="E57" s="37">
        <v>43689</v>
      </c>
      <c r="F57" s="38" t="s">
        <v>5331</v>
      </c>
      <c r="G57" s="39">
        <v>4600</v>
      </c>
      <c r="H57" s="38">
        <f>SUM(G57/230)</f>
        <v>20</v>
      </c>
      <c r="I57" s="38">
        <f t="shared" si="1"/>
        <v>5</v>
      </c>
      <c r="J57" s="36"/>
      <c r="K57" s="40">
        <v>43800</v>
      </c>
      <c r="L57" s="41" t="s">
        <v>5189</v>
      </c>
      <c r="M57" s="42">
        <v>43795</v>
      </c>
      <c r="N57" s="43" t="s">
        <v>5430</v>
      </c>
      <c r="O57" s="42">
        <v>43800</v>
      </c>
      <c r="P57" s="45"/>
      <c r="Q57" s="38" t="s">
        <v>82</v>
      </c>
      <c r="R57" s="44" t="s">
        <v>5345</v>
      </c>
      <c r="S57" s="46"/>
    </row>
    <row r="58" spans="2:19" s="67" customFormat="1" ht="33" customHeight="1">
      <c r="B58" s="46" t="s">
        <v>17</v>
      </c>
      <c r="C58" s="35" t="s">
        <v>5346</v>
      </c>
      <c r="D58" s="36" t="s">
        <v>5454</v>
      </c>
      <c r="E58" s="37">
        <v>43700</v>
      </c>
      <c r="F58" s="38" t="s">
        <v>5331</v>
      </c>
      <c r="G58" s="39">
        <v>6440</v>
      </c>
      <c r="H58" s="107">
        <v>32</v>
      </c>
      <c r="I58" s="107">
        <f t="shared" si="1"/>
        <v>8</v>
      </c>
      <c r="J58" s="36"/>
      <c r="K58" s="40">
        <v>43744</v>
      </c>
      <c r="L58" s="41" t="s">
        <v>4481</v>
      </c>
      <c r="M58" s="42">
        <v>43739</v>
      </c>
      <c r="N58" s="43" t="s">
        <v>5436</v>
      </c>
      <c r="O58" s="42">
        <v>43744</v>
      </c>
      <c r="P58" s="45"/>
      <c r="Q58" s="38" t="s">
        <v>82</v>
      </c>
      <c r="R58" s="44" t="s">
        <v>5347</v>
      </c>
      <c r="S58" s="46"/>
    </row>
    <row r="59" spans="2:19" s="67" customFormat="1" ht="33" customHeight="1">
      <c r="B59" s="46" t="s">
        <v>17</v>
      </c>
      <c r="C59" s="35" t="s">
        <v>5348</v>
      </c>
      <c r="D59" s="36" t="s">
        <v>5455</v>
      </c>
      <c r="E59" s="37">
        <v>43700</v>
      </c>
      <c r="F59" s="38" t="s">
        <v>5331</v>
      </c>
      <c r="G59" s="39">
        <v>6440</v>
      </c>
      <c r="H59" s="38">
        <f>SUM(G59/230)</f>
        <v>28</v>
      </c>
      <c r="I59" s="38">
        <f t="shared" si="1"/>
        <v>7</v>
      </c>
      <c r="J59" s="36"/>
      <c r="K59" s="40">
        <v>43765</v>
      </c>
      <c r="L59" s="41" t="s">
        <v>4477</v>
      </c>
      <c r="M59" s="42">
        <v>43760</v>
      </c>
      <c r="N59" s="43" t="s">
        <v>4549</v>
      </c>
      <c r="O59" s="42">
        <v>43765</v>
      </c>
      <c r="P59" s="45"/>
      <c r="Q59" s="38" t="s">
        <v>82</v>
      </c>
      <c r="R59" s="44" t="s">
        <v>5349</v>
      </c>
      <c r="S59" s="46"/>
    </row>
    <row r="60" spans="2:19" s="96" customFormat="1" ht="33" customHeight="1">
      <c r="B60" s="47" t="s">
        <v>81</v>
      </c>
      <c r="C60" s="48" t="s">
        <v>279</v>
      </c>
      <c r="D60" s="49" t="s">
        <v>5350</v>
      </c>
      <c r="E60" s="50">
        <v>43392</v>
      </c>
      <c r="F60" s="52" t="s">
        <v>84</v>
      </c>
      <c r="G60" s="51">
        <v>11960</v>
      </c>
      <c r="H60" s="52">
        <f t="shared" ref="H60:H80" si="4">SUM(G60/230)</f>
        <v>52</v>
      </c>
      <c r="I60" s="52">
        <f t="shared" si="1"/>
        <v>13</v>
      </c>
      <c r="J60" s="52"/>
      <c r="K60" s="53">
        <v>43597</v>
      </c>
      <c r="L60" s="54" t="s">
        <v>5351</v>
      </c>
      <c r="M60" s="55">
        <v>43594</v>
      </c>
      <c r="N60" s="56" t="s">
        <v>5352</v>
      </c>
      <c r="O60" s="55">
        <v>43598</v>
      </c>
      <c r="P60" s="58" t="s">
        <v>5353</v>
      </c>
      <c r="Q60" s="47"/>
      <c r="R60" s="57" t="s">
        <v>5354</v>
      </c>
      <c r="S60" s="47"/>
    </row>
    <row r="61" spans="2:19" s="96" customFormat="1" ht="33" customHeight="1">
      <c r="B61" s="47" t="s">
        <v>81</v>
      </c>
      <c r="C61" s="48" t="s">
        <v>5355</v>
      </c>
      <c r="D61" s="49" t="s">
        <v>5350</v>
      </c>
      <c r="E61" s="50">
        <v>43392</v>
      </c>
      <c r="F61" s="52" t="s">
        <v>84</v>
      </c>
      <c r="G61" s="51">
        <v>1840</v>
      </c>
      <c r="H61" s="52">
        <f t="shared" si="4"/>
        <v>8</v>
      </c>
      <c r="I61" s="52">
        <f t="shared" si="1"/>
        <v>2</v>
      </c>
      <c r="J61" s="52"/>
      <c r="K61" s="53">
        <v>43597</v>
      </c>
      <c r="L61" s="54" t="s">
        <v>773</v>
      </c>
      <c r="M61" s="55">
        <v>43601</v>
      </c>
      <c r="N61" s="56" t="s">
        <v>5356</v>
      </c>
      <c r="O61" s="55">
        <v>43605</v>
      </c>
      <c r="P61" s="58" t="s">
        <v>5353</v>
      </c>
      <c r="Q61" s="47"/>
      <c r="R61" s="57" t="s">
        <v>5354</v>
      </c>
      <c r="S61" s="47" t="s">
        <v>1329</v>
      </c>
    </row>
    <row r="62" spans="2:19" s="96" customFormat="1" ht="33" customHeight="1">
      <c r="B62" s="47" t="s">
        <v>81</v>
      </c>
      <c r="C62" s="48" t="s">
        <v>318</v>
      </c>
      <c r="D62" s="49" t="s">
        <v>319</v>
      </c>
      <c r="E62" s="50">
        <v>43420</v>
      </c>
      <c r="F62" s="52" t="s">
        <v>5331</v>
      </c>
      <c r="G62" s="51">
        <v>17940</v>
      </c>
      <c r="H62" s="52">
        <f t="shared" si="4"/>
        <v>78</v>
      </c>
      <c r="I62" s="52">
        <f t="shared" si="1"/>
        <v>19.5</v>
      </c>
      <c r="J62" s="52"/>
      <c r="K62" s="53">
        <v>43576</v>
      </c>
      <c r="L62" s="54" t="s">
        <v>480</v>
      </c>
      <c r="M62" s="55">
        <v>43564</v>
      </c>
      <c r="N62" s="56" t="s">
        <v>5357</v>
      </c>
      <c r="O62" s="55">
        <v>43569</v>
      </c>
      <c r="P62" s="58"/>
      <c r="Q62" s="47"/>
      <c r="R62" s="57" t="s">
        <v>5358</v>
      </c>
      <c r="S62" s="47" t="s">
        <v>5359</v>
      </c>
    </row>
    <row r="63" spans="2:19" s="96" customFormat="1" ht="33" customHeight="1">
      <c r="B63" s="47" t="s">
        <v>81</v>
      </c>
      <c r="C63" s="48" t="s">
        <v>5360</v>
      </c>
      <c r="D63" s="49" t="s">
        <v>701</v>
      </c>
      <c r="E63" s="50">
        <v>43532</v>
      </c>
      <c r="F63" s="52" t="s">
        <v>5331</v>
      </c>
      <c r="G63" s="51">
        <v>13800</v>
      </c>
      <c r="H63" s="52">
        <f t="shared" si="4"/>
        <v>60</v>
      </c>
      <c r="I63" s="52">
        <f t="shared" si="1"/>
        <v>15</v>
      </c>
      <c r="J63" s="52"/>
      <c r="K63" s="53">
        <v>43615</v>
      </c>
      <c r="L63" s="54" t="s">
        <v>5361</v>
      </c>
      <c r="M63" s="55">
        <v>43613</v>
      </c>
      <c r="N63" s="56" t="s">
        <v>5362</v>
      </c>
      <c r="O63" s="55">
        <v>43618</v>
      </c>
      <c r="P63" s="58"/>
      <c r="Q63" s="47"/>
      <c r="R63" s="57" t="s">
        <v>5363</v>
      </c>
      <c r="S63" s="47"/>
    </row>
    <row r="64" spans="2:19" s="96" customFormat="1" ht="33" customHeight="1">
      <c r="B64" s="47" t="s">
        <v>81</v>
      </c>
      <c r="C64" s="48" t="s">
        <v>5364</v>
      </c>
      <c r="D64" s="49" t="s">
        <v>5365</v>
      </c>
      <c r="E64" s="50">
        <v>43532</v>
      </c>
      <c r="F64" s="52" t="s">
        <v>5331</v>
      </c>
      <c r="G64" s="51">
        <v>4600</v>
      </c>
      <c r="H64" s="52">
        <f t="shared" si="4"/>
        <v>20</v>
      </c>
      <c r="I64" s="52">
        <f t="shared" si="1"/>
        <v>5</v>
      </c>
      <c r="J64" s="52"/>
      <c r="K64" s="53">
        <v>43615</v>
      </c>
      <c r="L64" s="54" t="s">
        <v>5328</v>
      </c>
      <c r="M64" s="55">
        <v>43620</v>
      </c>
      <c r="N64" s="56" t="s">
        <v>5329</v>
      </c>
      <c r="O64" s="55">
        <v>43625</v>
      </c>
      <c r="P64" s="58"/>
      <c r="Q64" s="47"/>
      <c r="R64" s="57" t="s">
        <v>5363</v>
      </c>
      <c r="S64" s="47"/>
    </row>
    <row r="65" spans="2:19" s="96" customFormat="1" ht="33" customHeight="1">
      <c r="B65" s="47" t="s">
        <v>81</v>
      </c>
      <c r="C65" s="48" t="s">
        <v>702</v>
      </c>
      <c r="D65" s="49" t="s">
        <v>703</v>
      </c>
      <c r="E65" s="50">
        <v>43532</v>
      </c>
      <c r="F65" s="52" t="s">
        <v>5331</v>
      </c>
      <c r="G65" s="51">
        <v>9200</v>
      </c>
      <c r="H65" s="52">
        <f t="shared" si="4"/>
        <v>40</v>
      </c>
      <c r="I65" s="52">
        <f t="shared" si="1"/>
        <v>10</v>
      </c>
      <c r="J65" s="52"/>
      <c r="K65" s="53">
        <v>43632</v>
      </c>
      <c r="L65" s="54" t="s">
        <v>807</v>
      </c>
      <c r="M65" s="55">
        <v>43627</v>
      </c>
      <c r="N65" s="56" t="s">
        <v>808</v>
      </c>
      <c r="O65" s="55">
        <v>43632</v>
      </c>
      <c r="P65" s="58"/>
      <c r="Q65" s="47"/>
      <c r="R65" s="57" t="s">
        <v>5366</v>
      </c>
      <c r="S65" s="47"/>
    </row>
    <row r="66" spans="2:19" s="96" customFormat="1" ht="33" customHeight="1">
      <c r="B66" s="47" t="s">
        <v>81</v>
      </c>
      <c r="C66" s="48" t="s">
        <v>852</v>
      </c>
      <c r="D66" s="49" t="s">
        <v>1990</v>
      </c>
      <c r="E66" s="50">
        <v>43558</v>
      </c>
      <c r="F66" s="52" t="s">
        <v>5331</v>
      </c>
      <c r="G66" s="51">
        <v>9200</v>
      </c>
      <c r="H66" s="52">
        <f t="shared" si="4"/>
        <v>40</v>
      </c>
      <c r="I66" s="52">
        <f t="shared" si="1"/>
        <v>10</v>
      </c>
      <c r="J66" s="52"/>
      <c r="K66" s="53">
        <v>43639</v>
      </c>
      <c r="L66" s="54" t="s">
        <v>1083</v>
      </c>
      <c r="M66" s="55">
        <v>43634</v>
      </c>
      <c r="N66" s="56" t="s">
        <v>1084</v>
      </c>
      <c r="O66" s="55">
        <v>43639</v>
      </c>
      <c r="P66" s="58"/>
      <c r="Q66" s="47"/>
      <c r="R66" s="57" t="s">
        <v>5366</v>
      </c>
      <c r="S66" s="47"/>
    </row>
    <row r="67" spans="2:19" s="96" customFormat="1" ht="33" customHeight="1">
      <c r="B67" s="47" t="s">
        <v>81</v>
      </c>
      <c r="C67" s="48" t="s">
        <v>1435</v>
      </c>
      <c r="D67" s="49" t="s">
        <v>1436</v>
      </c>
      <c r="E67" s="50">
        <v>43574</v>
      </c>
      <c r="F67" s="52" t="s">
        <v>5331</v>
      </c>
      <c r="G67" s="51">
        <v>18400</v>
      </c>
      <c r="H67" s="52">
        <f t="shared" si="4"/>
        <v>80</v>
      </c>
      <c r="I67" s="52">
        <f t="shared" ref="I67:I70" si="5">SUM(H67/4)</f>
        <v>20</v>
      </c>
      <c r="J67" s="52"/>
      <c r="K67" s="53">
        <v>43646</v>
      </c>
      <c r="L67" s="54" t="s">
        <v>5367</v>
      </c>
      <c r="M67" s="55">
        <v>43641</v>
      </c>
      <c r="N67" s="56" t="s">
        <v>5368</v>
      </c>
      <c r="O67" s="55">
        <v>43646</v>
      </c>
      <c r="P67" s="58"/>
      <c r="Q67" s="47"/>
      <c r="R67" s="57" t="s">
        <v>5369</v>
      </c>
      <c r="S67" s="47" t="s">
        <v>3251</v>
      </c>
    </row>
    <row r="68" spans="2:19" s="96" customFormat="1" ht="33" customHeight="1">
      <c r="B68" s="47" t="s">
        <v>81</v>
      </c>
      <c r="C68" s="48" t="s">
        <v>2322</v>
      </c>
      <c r="D68" s="49" t="s">
        <v>2323</v>
      </c>
      <c r="E68" s="50">
        <v>43602</v>
      </c>
      <c r="F68" s="52" t="s">
        <v>5331</v>
      </c>
      <c r="G68" s="51">
        <v>18400</v>
      </c>
      <c r="H68" s="52">
        <f t="shared" si="4"/>
        <v>80</v>
      </c>
      <c r="I68" s="52">
        <f t="shared" si="5"/>
        <v>20</v>
      </c>
      <c r="J68" s="52"/>
      <c r="K68" s="53">
        <v>43674</v>
      </c>
      <c r="L68" s="54" t="s">
        <v>2146</v>
      </c>
      <c r="M68" s="55">
        <v>43669</v>
      </c>
      <c r="N68" s="56" t="s">
        <v>2551</v>
      </c>
      <c r="O68" s="55">
        <v>43674</v>
      </c>
      <c r="P68" s="58"/>
      <c r="Q68" s="47"/>
      <c r="R68" s="57" t="s">
        <v>5370</v>
      </c>
      <c r="S68" s="47"/>
    </row>
    <row r="69" spans="2:19" s="96" customFormat="1" ht="33" customHeight="1">
      <c r="B69" s="47" t="s">
        <v>81</v>
      </c>
      <c r="C69" s="48" t="s">
        <v>2325</v>
      </c>
      <c r="D69" s="49" t="s">
        <v>2326</v>
      </c>
      <c r="E69" s="50">
        <v>43602</v>
      </c>
      <c r="F69" s="52" t="s">
        <v>5331</v>
      </c>
      <c r="G69" s="51">
        <v>10580</v>
      </c>
      <c r="H69" s="52">
        <f t="shared" si="4"/>
        <v>46</v>
      </c>
      <c r="I69" s="52">
        <f t="shared" si="5"/>
        <v>11.5</v>
      </c>
      <c r="J69" s="52"/>
      <c r="K69" s="53">
        <v>43681</v>
      </c>
      <c r="L69" s="54" t="s">
        <v>5371</v>
      </c>
      <c r="M69" s="55">
        <v>43676</v>
      </c>
      <c r="N69" s="56" t="s">
        <v>5372</v>
      </c>
      <c r="O69" s="55">
        <v>43681</v>
      </c>
      <c r="P69" s="58"/>
      <c r="Q69" s="47"/>
      <c r="R69" s="57" t="s">
        <v>5373</v>
      </c>
      <c r="S69" s="47" t="s">
        <v>3549</v>
      </c>
    </row>
    <row r="70" spans="2:19" s="67" customFormat="1" ht="33" customHeight="1">
      <c r="B70" s="46" t="s">
        <v>81</v>
      </c>
      <c r="C70" s="35" t="s">
        <v>3406</v>
      </c>
      <c r="D70" s="36" t="s">
        <v>3407</v>
      </c>
      <c r="E70" s="37">
        <v>43637</v>
      </c>
      <c r="F70" s="38" t="s">
        <v>5331</v>
      </c>
      <c r="G70" s="39">
        <v>12880</v>
      </c>
      <c r="H70" s="38">
        <f t="shared" si="4"/>
        <v>56</v>
      </c>
      <c r="I70" s="38">
        <f t="shared" si="5"/>
        <v>14</v>
      </c>
      <c r="J70" s="38"/>
      <c r="K70" s="40">
        <v>43723</v>
      </c>
      <c r="L70" s="41" t="s">
        <v>5462</v>
      </c>
      <c r="M70" s="42">
        <v>43725</v>
      </c>
      <c r="N70" s="43" t="s">
        <v>5463</v>
      </c>
      <c r="O70" s="42">
        <v>43730</v>
      </c>
      <c r="P70" s="45"/>
      <c r="Q70" s="46"/>
      <c r="R70" s="44" t="s">
        <v>5376</v>
      </c>
      <c r="S70" s="46" t="s">
        <v>5461</v>
      </c>
    </row>
    <row r="71" spans="2:19" s="67" customFormat="1" ht="33" customHeight="1">
      <c r="B71" s="46" t="s">
        <v>81</v>
      </c>
      <c r="C71" s="35" t="s">
        <v>5377</v>
      </c>
      <c r="D71" s="36" t="s">
        <v>3407</v>
      </c>
      <c r="E71" s="37">
        <v>43637</v>
      </c>
      <c r="F71" s="38" t="s">
        <v>5331</v>
      </c>
      <c r="G71" s="39">
        <v>920</v>
      </c>
      <c r="H71" s="38">
        <f t="shared" si="4"/>
        <v>4</v>
      </c>
      <c r="I71" s="38">
        <v>1</v>
      </c>
      <c r="J71" s="38"/>
      <c r="K71" s="40">
        <v>43723</v>
      </c>
      <c r="L71" s="41" t="s">
        <v>5459</v>
      </c>
      <c r="M71" s="42">
        <v>43718</v>
      </c>
      <c r="N71" s="43" t="s">
        <v>5460</v>
      </c>
      <c r="O71" s="42">
        <v>43723</v>
      </c>
      <c r="P71" s="45"/>
      <c r="Q71" s="46"/>
      <c r="R71" s="44" t="s">
        <v>5376</v>
      </c>
      <c r="S71" s="46" t="s">
        <v>5458</v>
      </c>
    </row>
    <row r="72" spans="2:19" s="96" customFormat="1" ht="33" customHeight="1">
      <c r="B72" s="47" t="s">
        <v>81</v>
      </c>
      <c r="C72" s="48" t="s">
        <v>3409</v>
      </c>
      <c r="D72" s="49" t="s">
        <v>3743</v>
      </c>
      <c r="E72" s="50">
        <v>43665</v>
      </c>
      <c r="F72" s="52" t="s">
        <v>5331</v>
      </c>
      <c r="G72" s="51">
        <v>9200</v>
      </c>
      <c r="H72" s="52">
        <f t="shared" si="4"/>
        <v>40</v>
      </c>
      <c r="I72" s="52">
        <f t="shared" ref="I72:I80" si="6">SUM(H72/4)</f>
        <v>10</v>
      </c>
      <c r="J72" s="52"/>
      <c r="K72" s="53">
        <v>43667</v>
      </c>
      <c r="L72" s="54" t="s">
        <v>5378</v>
      </c>
      <c r="M72" s="55">
        <v>43662</v>
      </c>
      <c r="N72" s="56" t="s">
        <v>5379</v>
      </c>
      <c r="O72" s="55">
        <v>43667</v>
      </c>
      <c r="P72" s="58"/>
      <c r="Q72" s="47"/>
      <c r="R72" s="57"/>
      <c r="S72" s="47"/>
    </row>
    <row r="73" spans="2:19" s="67" customFormat="1" ht="33" customHeight="1">
      <c r="B73" s="46" t="s">
        <v>81</v>
      </c>
      <c r="C73" s="35" t="s">
        <v>4318</v>
      </c>
      <c r="D73" s="36" t="s">
        <v>4319</v>
      </c>
      <c r="E73" s="37">
        <v>43665</v>
      </c>
      <c r="F73" s="38" t="s">
        <v>5331</v>
      </c>
      <c r="G73" s="39">
        <v>9200</v>
      </c>
      <c r="H73" s="38">
        <f t="shared" si="4"/>
        <v>40</v>
      </c>
      <c r="I73" s="38">
        <f t="shared" si="6"/>
        <v>10</v>
      </c>
      <c r="J73" s="38"/>
      <c r="K73" s="40">
        <v>43751</v>
      </c>
      <c r="L73" s="41" t="s">
        <v>5380</v>
      </c>
      <c r="M73" s="42">
        <v>43746</v>
      </c>
      <c r="N73" s="43" t="s">
        <v>5381</v>
      </c>
      <c r="O73" s="42">
        <v>43751</v>
      </c>
      <c r="P73" s="45"/>
      <c r="Q73" s="46"/>
      <c r="R73" s="44" t="s">
        <v>5382</v>
      </c>
      <c r="S73" s="46"/>
    </row>
    <row r="74" spans="2:19" s="67" customFormat="1" ht="33" customHeight="1">
      <c r="B74" s="46" t="s">
        <v>81</v>
      </c>
      <c r="C74" s="35" t="s">
        <v>4321</v>
      </c>
      <c r="D74" s="36" t="s">
        <v>4322</v>
      </c>
      <c r="E74" s="37">
        <v>43665</v>
      </c>
      <c r="F74" s="38" t="s">
        <v>5331</v>
      </c>
      <c r="G74" s="39">
        <v>8740</v>
      </c>
      <c r="H74" s="38">
        <f t="shared" si="4"/>
        <v>38</v>
      </c>
      <c r="I74" s="38">
        <f t="shared" si="6"/>
        <v>9.5</v>
      </c>
      <c r="J74" s="38"/>
      <c r="K74" s="40">
        <v>43765</v>
      </c>
      <c r="L74" s="41" t="s">
        <v>5383</v>
      </c>
      <c r="M74" s="42">
        <v>43760</v>
      </c>
      <c r="N74" s="43" t="s">
        <v>5384</v>
      </c>
      <c r="O74" s="42">
        <v>43765</v>
      </c>
      <c r="P74" s="45"/>
      <c r="Q74" s="46"/>
      <c r="R74" s="44" t="s">
        <v>5385</v>
      </c>
      <c r="S74" s="46"/>
    </row>
    <row r="75" spans="2:19" s="67" customFormat="1" ht="33" customHeight="1">
      <c r="B75" s="46" t="s">
        <v>81</v>
      </c>
      <c r="C75" s="35" t="s">
        <v>5006</v>
      </c>
      <c r="D75" s="36" t="s">
        <v>5005</v>
      </c>
      <c r="E75" s="37">
        <v>43689</v>
      </c>
      <c r="F75" s="38" t="s">
        <v>5331</v>
      </c>
      <c r="G75" s="39">
        <v>9200</v>
      </c>
      <c r="H75" s="38">
        <f t="shared" si="4"/>
        <v>40</v>
      </c>
      <c r="I75" s="38">
        <f t="shared" si="6"/>
        <v>10</v>
      </c>
      <c r="J75" s="38"/>
      <c r="K75" s="40">
        <v>43786</v>
      </c>
      <c r="L75" s="41" t="s">
        <v>5386</v>
      </c>
      <c r="M75" s="42">
        <v>43781</v>
      </c>
      <c r="N75" s="43" t="s">
        <v>5344</v>
      </c>
      <c r="O75" s="42">
        <v>43786</v>
      </c>
      <c r="P75" s="45"/>
      <c r="Q75" s="46"/>
      <c r="R75" s="44" t="s">
        <v>5387</v>
      </c>
      <c r="S75" s="46"/>
    </row>
    <row r="76" spans="2:19" s="67" customFormat="1" ht="33" customHeight="1">
      <c r="B76" s="46" t="s">
        <v>81</v>
      </c>
      <c r="C76" s="35" t="s">
        <v>5003</v>
      </c>
      <c r="D76" s="36" t="s">
        <v>5002</v>
      </c>
      <c r="E76" s="37">
        <v>43689</v>
      </c>
      <c r="F76" s="38" t="s">
        <v>5331</v>
      </c>
      <c r="G76" s="39">
        <v>9200</v>
      </c>
      <c r="H76" s="38">
        <f t="shared" si="4"/>
        <v>40</v>
      </c>
      <c r="I76" s="38">
        <f t="shared" si="6"/>
        <v>10</v>
      </c>
      <c r="J76" s="38"/>
      <c r="K76" s="40">
        <v>43800</v>
      </c>
      <c r="L76" s="41" t="s">
        <v>5388</v>
      </c>
      <c r="M76" s="42">
        <v>43795</v>
      </c>
      <c r="N76" s="43" t="s">
        <v>5319</v>
      </c>
      <c r="O76" s="42">
        <v>43800</v>
      </c>
      <c r="P76" s="45"/>
      <c r="Q76" s="46"/>
      <c r="R76" s="44" t="s">
        <v>5389</v>
      </c>
      <c r="S76" s="46"/>
    </row>
    <row r="77" spans="2:19" s="96" customFormat="1" ht="33" customHeight="1">
      <c r="B77" s="47" t="s">
        <v>5390</v>
      </c>
      <c r="C77" s="48" t="s">
        <v>5391</v>
      </c>
      <c r="D77" s="49" t="s">
        <v>705</v>
      </c>
      <c r="E77" s="50">
        <v>43532</v>
      </c>
      <c r="F77" s="52" t="s">
        <v>5331</v>
      </c>
      <c r="G77" s="51">
        <v>920</v>
      </c>
      <c r="H77" s="52">
        <f t="shared" si="4"/>
        <v>4</v>
      </c>
      <c r="I77" s="52">
        <f t="shared" si="6"/>
        <v>1</v>
      </c>
      <c r="J77" s="52"/>
      <c r="K77" s="53">
        <v>43609</v>
      </c>
      <c r="L77" s="54" t="s">
        <v>773</v>
      </c>
      <c r="M77" s="55">
        <v>43601</v>
      </c>
      <c r="N77" s="56" t="s">
        <v>774</v>
      </c>
      <c r="O77" s="55">
        <v>43605</v>
      </c>
      <c r="P77" s="58"/>
      <c r="Q77" s="47"/>
      <c r="R77" s="57"/>
      <c r="S77" s="47" t="s">
        <v>5392</v>
      </c>
    </row>
    <row r="78" spans="2:19" s="96" customFormat="1" ht="33" customHeight="1">
      <c r="B78" s="47" t="s">
        <v>5393</v>
      </c>
      <c r="C78" s="48" t="s">
        <v>5391</v>
      </c>
      <c r="D78" s="49" t="s">
        <v>5394</v>
      </c>
      <c r="E78" s="50">
        <v>43511</v>
      </c>
      <c r="F78" s="52" t="s">
        <v>5331</v>
      </c>
      <c r="G78" s="51">
        <v>460</v>
      </c>
      <c r="H78" s="52">
        <f t="shared" si="4"/>
        <v>2</v>
      </c>
      <c r="I78" s="52">
        <f t="shared" si="6"/>
        <v>0.5</v>
      </c>
      <c r="J78" s="52"/>
      <c r="K78" s="53">
        <v>43576</v>
      </c>
      <c r="L78" s="54" t="s">
        <v>480</v>
      </c>
      <c r="M78" s="55">
        <v>43564</v>
      </c>
      <c r="N78" s="56" t="s">
        <v>646</v>
      </c>
      <c r="O78" s="55">
        <v>43569</v>
      </c>
      <c r="P78" s="58"/>
      <c r="Q78" s="47"/>
      <c r="R78" s="57" t="s">
        <v>5358</v>
      </c>
      <c r="S78" s="47"/>
    </row>
    <row r="79" spans="2:19" s="96" customFormat="1" ht="33" customHeight="1">
      <c r="B79" s="47" t="s">
        <v>5393</v>
      </c>
      <c r="C79" s="48" t="s">
        <v>2333</v>
      </c>
      <c r="D79" s="49" t="s">
        <v>2334</v>
      </c>
      <c r="E79" s="50">
        <v>43602</v>
      </c>
      <c r="F79" s="52" t="s">
        <v>5331</v>
      </c>
      <c r="G79" s="51">
        <v>460</v>
      </c>
      <c r="H79" s="52">
        <f t="shared" si="4"/>
        <v>2</v>
      </c>
      <c r="I79" s="52">
        <f t="shared" si="6"/>
        <v>0.5</v>
      </c>
      <c r="J79" s="52"/>
      <c r="K79" s="53">
        <v>43681</v>
      </c>
      <c r="L79" s="54" t="s">
        <v>5371</v>
      </c>
      <c r="M79" s="55">
        <v>43676</v>
      </c>
      <c r="N79" s="56" t="s">
        <v>5372</v>
      </c>
      <c r="O79" s="55">
        <v>43681</v>
      </c>
      <c r="P79" s="58"/>
      <c r="Q79" s="47"/>
      <c r="R79" s="57" t="s">
        <v>5373</v>
      </c>
      <c r="S79" s="47" t="s">
        <v>3549</v>
      </c>
    </row>
    <row r="80" spans="2:19" s="67" customFormat="1" ht="33" customHeight="1">
      <c r="B80" s="46" t="s">
        <v>5393</v>
      </c>
      <c r="C80" s="35" t="s">
        <v>4329</v>
      </c>
      <c r="D80" s="36" t="s">
        <v>4330</v>
      </c>
      <c r="E80" s="37">
        <v>43665</v>
      </c>
      <c r="F80" s="38" t="s">
        <v>5331</v>
      </c>
      <c r="G80" s="39">
        <v>460</v>
      </c>
      <c r="H80" s="38">
        <f t="shared" si="4"/>
        <v>2</v>
      </c>
      <c r="I80" s="38">
        <f t="shared" si="6"/>
        <v>0.5</v>
      </c>
      <c r="J80" s="38"/>
      <c r="K80" s="40">
        <v>43765</v>
      </c>
      <c r="L80" s="41" t="s">
        <v>4477</v>
      </c>
      <c r="M80" s="42">
        <v>43760</v>
      </c>
      <c r="N80" s="43" t="s">
        <v>5384</v>
      </c>
      <c r="O80" s="42">
        <v>43765</v>
      </c>
      <c r="P80" s="45"/>
      <c r="Q80" s="46"/>
      <c r="R80" s="44" t="s">
        <v>5385</v>
      </c>
      <c r="S80" s="46"/>
    </row>
    <row r="81" spans="2:19" s="33" customFormat="1" ht="33" customHeight="1">
      <c r="B81" s="47" t="s">
        <v>5395</v>
      </c>
      <c r="C81" s="48" t="s">
        <v>430</v>
      </c>
      <c r="D81" s="49" t="s">
        <v>470</v>
      </c>
      <c r="E81" s="50">
        <v>43473</v>
      </c>
      <c r="F81" s="52" t="s">
        <v>5331</v>
      </c>
      <c r="G81" s="51">
        <v>1920</v>
      </c>
      <c r="H81" s="52">
        <f t="shared" ref="H81:H92" si="7">SUM(G81/20)</f>
        <v>96</v>
      </c>
      <c r="I81" s="52">
        <f t="shared" ref="I81:I92" si="8">SUM(H81/32)</f>
        <v>3</v>
      </c>
      <c r="J81" s="59"/>
      <c r="K81" s="53">
        <v>43555</v>
      </c>
      <c r="L81" s="54" t="s">
        <v>480</v>
      </c>
      <c r="M81" s="55">
        <v>43564</v>
      </c>
      <c r="N81" s="56" t="s">
        <v>5357</v>
      </c>
      <c r="O81" s="55">
        <v>43569</v>
      </c>
      <c r="P81" s="58"/>
      <c r="Q81" s="60" t="s">
        <v>89</v>
      </c>
      <c r="R81" s="57" t="s">
        <v>5396</v>
      </c>
      <c r="S81" s="47"/>
    </row>
    <row r="82" spans="2:19" s="33" customFormat="1" ht="33" customHeight="1">
      <c r="B82" s="47" t="s">
        <v>5395</v>
      </c>
      <c r="C82" s="48" t="s">
        <v>519</v>
      </c>
      <c r="D82" s="49" t="s">
        <v>710</v>
      </c>
      <c r="E82" s="50">
        <v>43511</v>
      </c>
      <c r="F82" s="52" t="s">
        <v>5331</v>
      </c>
      <c r="G82" s="51">
        <v>640</v>
      </c>
      <c r="H82" s="52">
        <f t="shared" si="7"/>
        <v>32</v>
      </c>
      <c r="I82" s="52">
        <f t="shared" si="8"/>
        <v>1</v>
      </c>
      <c r="J82" s="59"/>
      <c r="K82" s="53">
        <v>43555</v>
      </c>
      <c r="L82" s="54" t="s">
        <v>608</v>
      </c>
      <c r="M82" s="55">
        <v>43557</v>
      </c>
      <c r="N82" s="56" t="s">
        <v>5397</v>
      </c>
      <c r="O82" s="55">
        <v>43562</v>
      </c>
      <c r="P82" s="58"/>
      <c r="Q82" s="60" t="s">
        <v>89</v>
      </c>
      <c r="R82" s="57" t="s">
        <v>5396</v>
      </c>
      <c r="S82" s="47"/>
    </row>
    <row r="83" spans="2:19" s="33" customFormat="1" ht="33" customHeight="1">
      <c r="B83" s="47" t="s">
        <v>5395</v>
      </c>
      <c r="C83" s="48" t="s">
        <v>520</v>
      </c>
      <c r="D83" s="49" t="s">
        <v>584</v>
      </c>
      <c r="E83" s="50">
        <v>43511</v>
      </c>
      <c r="F83" s="52" t="s">
        <v>5331</v>
      </c>
      <c r="G83" s="51">
        <v>1920</v>
      </c>
      <c r="H83" s="52">
        <f t="shared" si="7"/>
        <v>96</v>
      </c>
      <c r="I83" s="52">
        <f t="shared" si="8"/>
        <v>3</v>
      </c>
      <c r="J83" s="59"/>
      <c r="K83" s="53">
        <v>43576</v>
      </c>
      <c r="L83" s="54" t="s">
        <v>503</v>
      </c>
      <c r="M83" s="55">
        <v>43571</v>
      </c>
      <c r="N83" s="56" t="s">
        <v>5326</v>
      </c>
      <c r="O83" s="55">
        <v>43576</v>
      </c>
      <c r="P83" s="58"/>
      <c r="Q83" s="60" t="s">
        <v>89</v>
      </c>
      <c r="R83" s="57" t="s">
        <v>5398</v>
      </c>
      <c r="S83" s="47"/>
    </row>
    <row r="84" spans="2:19" s="33" customFormat="1" ht="33" customHeight="1">
      <c r="B84" s="47" t="s">
        <v>5395</v>
      </c>
      <c r="C84" s="48" t="s">
        <v>586</v>
      </c>
      <c r="D84" s="49" t="s">
        <v>640</v>
      </c>
      <c r="E84" s="50">
        <v>43519</v>
      </c>
      <c r="F84" s="52" t="s">
        <v>5331</v>
      </c>
      <c r="G84" s="51">
        <v>2560</v>
      </c>
      <c r="H84" s="52">
        <f t="shared" si="7"/>
        <v>128</v>
      </c>
      <c r="I84" s="52">
        <f t="shared" si="8"/>
        <v>4</v>
      </c>
      <c r="J84" s="59"/>
      <c r="K84" s="53">
        <v>43611</v>
      </c>
      <c r="L84" s="54" t="s">
        <v>773</v>
      </c>
      <c r="M84" s="55">
        <v>43601</v>
      </c>
      <c r="N84" s="56" t="s">
        <v>5356</v>
      </c>
      <c r="O84" s="55">
        <v>43605</v>
      </c>
      <c r="P84" s="58"/>
      <c r="Q84" s="60" t="s">
        <v>89</v>
      </c>
      <c r="R84" s="57" t="s">
        <v>5399</v>
      </c>
      <c r="S84" s="47" t="s">
        <v>980</v>
      </c>
    </row>
    <row r="85" spans="2:19" s="33" customFormat="1" ht="33" customHeight="1">
      <c r="B85" s="47" t="s">
        <v>5395</v>
      </c>
      <c r="C85" s="48" t="s">
        <v>713</v>
      </c>
      <c r="D85" s="49" t="s">
        <v>714</v>
      </c>
      <c r="E85" s="50">
        <v>43532</v>
      </c>
      <c r="F85" s="52" t="s">
        <v>5331</v>
      </c>
      <c r="G85" s="51">
        <v>1920</v>
      </c>
      <c r="H85" s="52">
        <f t="shared" si="7"/>
        <v>96</v>
      </c>
      <c r="I85" s="52">
        <f t="shared" si="8"/>
        <v>3</v>
      </c>
      <c r="J85" s="59"/>
      <c r="K85" s="53">
        <v>43639</v>
      </c>
      <c r="L85" s="54" t="s">
        <v>1083</v>
      </c>
      <c r="M85" s="55">
        <v>43634</v>
      </c>
      <c r="N85" s="56" t="s">
        <v>1084</v>
      </c>
      <c r="O85" s="55">
        <v>43639</v>
      </c>
      <c r="P85" s="58"/>
      <c r="Q85" s="60" t="s">
        <v>89</v>
      </c>
      <c r="R85" s="57" t="s">
        <v>5400</v>
      </c>
      <c r="S85" s="47"/>
    </row>
    <row r="86" spans="2:19" s="33" customFormat="1" ht="33" customHeight="1">
      <c r="B86" s="47" t="s">
        <v>5395</v>
      </c>
      <c r="C86" s="48" t="s">
        <v>1184</v>
      </c>
      <c r="D86" s="49" t="s">
        <v>1185</v>
      </c>
      <c r="E86" s="50">
        <v>43567</v>
      </c>
      <c r="F86" s="52" t="s">
        <v>5331</v>
      </c>
      <c r="G86" s="51">
        <v>2560</v>
      </c>
      <c r="H86" s="52">
        <f t="shared" si="7"/>
        <v>128</v>
      </c>
      <c r="I86" s="52">
        <f t="shared" si="8"/>
        <v>4</v>
      </c>
      <c r="J86" s="59"/>
      <c r="K86" s="53">
        <v>43653</v>
      </c>
      <c r="L86" s="54" t="s">
        <v>1326</v>
      </c>
      <c r="M86" s="55">
        <v>43648</v>
      </c>
      <c r="N86" s="56" t="s">
        <v>2540</v>
      </c>
      <c r="O86" s="55">
        <v>43653</v>
      </c>
      <c r="P86" s="58"/>
      <c r="Q86" s="60" t="s">
        <v>89</v>
      </c>
      <c r="R86" s="57" t="s">
        <v>5401</v>
      </c>
      <c r="S86" s="47"/>
    </row>
    <row r="87" spans="2:19" s="33" customFormat="1" ht="33" customHeight="1">
      <c r="B87" s="47" t="s">
        <v>5395</v>
      </c>
      <c r="C87" s="48" t="s">
        <v>5402</v>
      </c>
      <c r="D87" s="49" t="s">
        <v>2685</v>
      </c>
      <c r="E87" s="50">
        <v>43609</v>
      </c>
      <c r="F87" s="52" t="s">
        <v>5331</v>
      </c>
      <c r="G87" s="51">
        <v>1280</v>
      </c>
      <c r="H87" s="52">
        <f t="shared" si="7"/>
        <v>64</v>
      </c>
      <c r="I87" s="52">
        <f t="shared" si="8"/>
        <v>2</v>
      </c>
      <c r="J87" s="59"/>
      <c r="K87" s="53">
        <v>43653</v>
      </c>
      <c r="L87" s="54" t="s">
        <v>1326</v>
      </c>
      <c r="M87" s="55">
        <v>43648</v>
      </c>
      <c r="N87" s="56" t="s">
        <v>2540</v>
      </c>
      <c r="O87" s="55">
        <v>43653</v>
      </c>
      <c r="P87" s="58"/>
      <c r="Q87" s="60" t="s">
        <v>89</v>
      </c>
      <c r="R87" s="57" t="s">
        <v>5401</v>
      </c>
      <c r="S87" s="47"/>
    </row>
    <row r="88" spans="2:19" s="33" customFormat="1" ht="33" customHeight="1">
      <c r="B88" s="47" t="s">
        <v>5395</v>
      </c>
      <c r="C88" s="48" t="s">
        <v>2357</v>
      </c>
      <c r="D88" s="49" t="s">
        <v>2358</v>
      </c>
      <c r="E88" s="50">
        <v>43602</v>
      </c>
      <c r="F88" s="52" t="s">
        <v>5331</v>
      </c>
      <c r="G88" s="51">
        <v>2560</v>
      </c>
      <c r="H88" s="52">
        <f t="shared" si="7"/>
        <v>128</v>
      </c>
      <c r="I88" s="52">
        <f t="shared" si="8"/>
        <v>4</v>
      </c>
      <c r="J88" s="59"/>
      <c r="K88" s="53">
        <v>43674</v>
      </c>
      <c r="L88" s="54" t="s">
        <v>2146</v>
      </c>
      <c r="M88" s="55">
        <v>43669</v>
      </c>
      <c r="N88" s="56" t="s">
        <v>2551</v>
      </c>
      <c r="O88" s="55">
        <v>43674</v>
      </c>
      <c r="P88" s="58"/>
      <c r="Q88" s="60" t="s">
        <v>89</v>
      </c>
      <c r="R88" s="57" t="s">
        <v>5403</v>
      </c>
      <c r="S88" s="47"/>
    </row>
    <row r="89" spans="2:19" s="33" customFormat="1" ht="33" customHeight="1">
      <c r="B89" s="47" t="s">
        <v>5395</v>
      </c>
      <c r="C89" s="48" t="s">
        <v>2360</v>
      </c>
      <c r="D89" s="49" t="s">
        <v>5404</v>
      </c>
      <c r="E89" s="50">
        <v>43602</v>
      </c>
      <c r="F89" s="52" t="s">
        <v>5331</v>
      </c>
      <c r="G89" s="51">
        <v>2560</v>
      </c>
      <c r="H89" s="52">
        <f t="shared" si="7"/>
        <v>128</v>
      </c>
      <c r="I89" s="52">
        <f t="shared" si="8"/>
        <v>4</v>
      </c>
      <c r="J89" s="59"/>
      <c r="K89" s="53">
        <v>43695</v>
      </c>
      <c r="L89" s="54" t="s">
        <v>2505</v>
      </c>
      <c r="M89" s="55">
        <v>43683</v>
      </c>
      <c r="N89" s="56" t="s">
        <v>5335</v>
      </c>
      <c r="O89" s="55">
        <v>43688</v>
      </c>
      <c r="P89" s="58"/>
      <c r="Q89" s="60" t="s">
        <v>89</v>
      </c>
      <c r="R89" s="57" t="s">
        <v>2925</v>
      </c>
      <c r="S89" s="47"/>
    </row>
    <row r="90" spans="2:19" s="30" customFormat="1" ht="33" customHeight="1">
      <c r="B90" s="46" t="s">
        <v>5395</v>
      </c>
      <c r="C90" s="35" t="s">
        <v>3429</v>
      </c>
      <c r="D90" s="36" t="s">
        <v>3430</v>
      </c>
      <c r="E90" s="37">
        <v>43637</v>
      </c>
      <c r="F90" s="38" t="s">
        <v>5331</v>
      </c>
      <c r="G90" s="39">
        <v>3840</v>
      </c>
      <c r="H90" s="38">
        <f t="shared" si="7"/>
        <v>192</v>
      </c>
      <c r="I90" s="38">
        <f t="shared" si="8"/>
        <v>6</v>
      </c>
      <c r="J90" s="61"/>
      <c r="K90" s="40">
        <v>43723</v>
      </c>
      <c r="L90" s="41" t="s">
        <v>5374</v>
      </c>
      <c r="M90" s="42">
        <v>43718</v>
      </c>
      <c r="N90" s="43" t="s">
        <v>5375</v>
      </c>
      <c r="O90" s="42">
        <v>43723</v>
      </c>
      <c r="P90" s="45"/>
      <c r="Q90" s="62" t="s">
        <v>89</v>
      </c>
      <c r="R90" s="44" t="s">
        <v>3431</v>
      </c>
      <c r="S90" s="46"/>
    </row>
    <row r="91" spans="2:19" s="30" customFormat="1" ht="33" customHeight="1">
      <c r="B91" s="46" t="s">
        <v>5395</v>
      </c>
      <c r="C91" s="35" t="s">
        <v>4344</v>
      </c>
      <c r="D91" s="36" t="s">
        <v>4345</v>
      </c>
      <c r="E91" s="37">
        <v>43665</v>
      </c>
      <c r="F91" s="38" t="s">
        <v>5331</v>
      </c>
      <c r="G91" s="39">
        <v>3200</v>
      </c>
      <c r="H91" s="38">
        <f t="shared" si="7"/>
        <v>160</v>
      </c>
      <c r="I91" s="38">
        <f t="shared" si="8"/>
        <v>5</v>
      </c>
      <c r="J91" s="61"/>
      <c r="K91" s="40">
        <v>43758</v>
      </c>
      <c r="L91" s="41" t="s">
        <v>4480</v>
      </c>
      <c r="M91" s="42">
        <v>43753</v>
      </c>
      <c r="N91" s="43" t="s">
        <v>5408</v>
      </c>
      <c r="O91" s="42">
        <v>43758</v>
      </c>
      <c r="P91" s="45"/>
      <c r="Q91" s="62" t="s">
        <v>89</v>
      </c>
      <c r="R91" s="44" t="s">
        <v>5409</v>
      </c>
      <c r="S91" s="46"/>
    </row>
    <row r="92" spans="2:19" s="30" customFormat="1" ht="33" customHeight="1">
      <c r="B92" s="46" t="s">
        <v>5395</v>
      </c>
      <c r="C92" s="35" t="s">
        <v>4969</v>
      </c>
      <c r="D92" s="36" t="s">
        <v>4968</v>
      </c>
      <c r="E92" s="37">
        <v>43689</v>
      </c>
      <c r="F92" s="38" t="s">
        <v>5331</v>
      </c>
      <c r="G92" s="39">
        <v>3840</v>
      </c>
      <c r="H92" s="38">
        <f t="shared" si="7"/>
        <v>192</v>
      </c>
      <c r="I92" s="38">
        <f t="shared" si="8"/>
        <v>6</v>
      </c>
      <c r="J92" s="61"/>
      <c r="K92" s="40">
        <v>43786</v>
      </c>
      <c r="L92" s="41" t="s">
        <v>5386</v>
      </c>
      <c r="M92" s="42">
        <v>43781</v>
      </c>
      <c r="N92" s="43" t="s">
        <v>5344</v>
      </c>
      <c r="O92" s="42">
        <v>43786</v>
      </c>
      <c r="P92" s="45"/>
      <c r="Q92" s="62" t="s">
        <v>89</v>
      </c>
      <c r="R92" s="44" t="s">
        <v>5410</v>
      </c>
      <c r="S92" s="46"/>
    </row>
    <row r="93" spans="2:19" s="33" customFormat="1" ht="33" customHeight="1">
      <c r="B93" s="47" t="s">
        <v>38</v>
      </c>
      <c r="C93" s="48" t="s">
        <v>225</v>
      </c>
      <c r="D93" s="49" t="s">
        <v>587</v>
      </c>
      <c r="E93" s="50">
        <v>43519</v>
      </c>
      <c r="F93" s="52" t="s">
        <v>5411</v>
      </c>
      <c r="G93" s="64">
        <v>640</v>
      </c>
      <c r="H93" s="52">
        <f>SUBTOTAL(9,G93)/20</f>
        <v>32</v>
      </c>
      <c r="I93" s="52">
        <f>H93/32</f>
        <v>1</v>
      </c>
      <c r="J93" s="52"/>
      <c r="K93" s="53">
        <v>43583</v>
      </c>
      <c r="L93" s="54" t="s">
        <v>565</v>
      </c>
      <c r="M93" s="55">
        <v>43578</v>
      </c>
      <c r="N93" s="56" t="s">
        <v>2690</v>
      </c>
      <c r="O93" s="55">
        <v>43583</v>
      </c>
      <c r="P93" s="58"/>
      <c r="Q93" s="52"/>
      <c r="R93" s="63" t="s">
        <v>5354</v>
      </c>
      <c r="S93" s="47"/>
    </row>
    <row r="94" spans="2:19" s="30" customFormat="1" ht="33" customHeight="1">
      <c r="B94" s="46" t="s">
        <v>5413</v>
      </c>
      <c r="C94" s="35" t="s">
        <v>226</v>
      </c>
      <c r="D94" s="36" t="s">
        <v>1194</v>
      </c>
      <c r="E94" s="37">
        <v>43567</v>
      </c>
      <c r="F94" s="38" t="s">
        <v>5411</v>
      </c>
      <c r="G94" s="65">
        <v>640</v>
      </c>
      <c r="H94" s="38">
        <f>SUBTOTAL(9,G94)/20</f>
        <v>32</v>
      </c>
      <c r="I94" s="38">
        <f>H94/32</f>
        <v>1</v>
      </c>
      <c r="J94" s="38"/>
      <c r="K94" s="40">
        <v>43758</v>
      </c>
      <c r="L94" s="41" t="s">
        <v>4483</v>
      </c>
      <c r="M94" s="42">
        <v>43753</v>
      </c>
      <c r="N94" s="43" t="s">
        <v>4813</v>
      </c>
      <c r="O94" s="42">
        <v>43758</v>
      </c>
      <c r="P94" s="45"/>
      <c r="Q94" s="38"/>
      <c r="R94" s="66" t="s">
        <v>4607</v>
      </c>
      <c r="S94" s="46"/>
    </row>
    <row r="95" spans="2:19" s="33" customFormat="1" ht="33" customHeight="1">
      <c r="B95" s="47" t="s">
        <v>88</v>
      </c>
      <c r="C95" s="48" t="s">
        <v>431</v>
      </c>
      <c r="D95" s="49" t="s">
        <v>471</v>
      </c>
      <c r="E95" s="50">
        <v>43483</v>
      </c>
      <c r="F95" s="52" t="s">
        <v>214</v>
      </c>
      <c r="G95" s="64">
        <v>760</v>
      </c>
      <c r="H95" s="52">
        <f t="shared" ref="H95:H103" si="9">SUBTOTAL(9,G95)/190</f>
        <v>4</v>
      </c>
      <c r="I95" s="52">
        <f t="shared" ref="I95:I103" si="10">H95/4</f>
        <v>1</v>
      </c>
      <c r="J95" s="52"/>
      <c r="K95" s="53">
        <v>43569</v>
      </c>
      <c r="L95" s="54" t="s">
        <v>417</v>
      </c>
      <c r="M95" s="55">
        <v>43564</v>
      </c>
      <c r="N95" s="56" t="s">
        <v>405</v>
      </c>
      <c r="O95" s="55">
        <v>43569</v>
      </c>
      <c r="P95" s="58"/>
      <c r="Q95" s="52"/>
      <c r="R95" s="63" t="s">
        <v>493</v>
      </c>
      <c r="S95" s="47"/>
    </row>
    <row r="96" spans="2:19" s="33" customFormat="1" ht="33" customHeight="1">
      <c r="B96" s="47" t="s">
        <v>88</v>
      </c>
      <c r="C96" s="48" t="s">
        <v>523</v>
      </c>
      <c r="D96" s="49" t="s">
        <v>588</v>
      </c>
      <c r="E96" s="50">
        <v>43511</v>
      </c>
      <c r="F96" s="52" t="s">
        <v>214</v>
      </c>
      <c r="G96" s="64">
        <v>760</v>
      </c>
      <c r="H96" s="52">
        <f t="shared" si="9"/>
        <v>4</v>
      </c>
      <c r="I96" s="52">
        <f t="shared" si="10"/>
        <v>1</v>
      </c>
      <c r="J96" s="52"/>
      <c r="K96" s="53">
        <v>43583</v>
      </c>
      <c r="L96" s="54" t="s">
        <v>565</v>
      </c>
      <c r="M96" s="55">
        <v>43578</v>
      </c>
      <c r="N96" s="56" t="s">
        <v>447</v>
      </c>
      <c r="O96" s="55">
        <v>43583</v>
      </c>
      <c r="P96" s="58"/>
      <c r="Q96" s="52"/>
      <c r="R96" s="63" t="s">
        <v>320</v>
      </c>
      <c r="S96" s="47"/>
    </row>
    <row r="97" spans="2:19" s="33" customFormat="1" ht="33" customHeight="1">
      <c r="B97" s="47" t="s">
        <v>88</v>
      </c>
      <c r="C97" s="48" t="s">
        <v>589</v>
      </c>
      <c r="D97" s="49" t="s">
        <v>590</v>
      </c>
      <c r="E97" s="50">
        <v>43519</v>
      </c>
      <c r="F97" s="52" t="s">
        <v>214</v>
      </c>
      <c r="G97" s="64">
        <v>760</v>
      </c>
      <c r="H97" s="52">
        <f t="shared" si="9"/>
        <v>4</v>
      </c>
      <c r="I97" s="52">
        <f t="shared" si="10"/>
        <v>1</v>
      </c>
      <c r="J97" s="52"/>
      <c r="K97" s="53">
        <v>43597</v>
      </c>
      <c r="L97" s="54" t="s">
        <v>606</v>
      </c>
      <c r="M97" s="55">
        <v>43592</v>
      </c>
      <c r="N97" s="56" t="s">
        <v>600</v>
      </c>
      <c r="O97" s="55">
        <v>43597</v>
      </c>
      <c r="P97" s="58"/>
      <c r="Q97" s="52"/>
      <c r="R97" s="63" t="s">
        <v>469</v>
      </c>
      <c r="S97" s="47"/>
    </row>
    <row r="98" spans="2:19" s="33" customFormat="1" ht="33" customHeight="1">
      <c r="B98" s="47" t="s">
        <v>88</v>
      </c>
      <c r="C98" s="48" t="s">
        <v>1333</v>
      </c>
      <c r="D98" s="49" t="s">
        <v>1207</v>
      </c>
      <c r="E98" s="50">
        <v>43567</v>
      </c>
      <c r="F98" s="52" t="s">
        <v>214</v>
      </c>
      <c r="G98" s="64">
        <v>760</v>
      </c>
      <c r="H98" s="52">
        <f t="shared" si="9"/>
        <v>4</v>
      </c>
      <c r="I98" s="52">
        <f t="shared" si="10"/>
        <v>1</v>
      </c>
      <c r="J98" s="52"/>
      <c r="K98" s="53">
        <v>43667</v>
      </c>
      <c r="L98" s="54" t="s">
        <v>1327</v>
      </c>
      <c r="M98" s="55">
        <v>43655</v>
      </c>
      <c r="N98" s="56" t="s">
        <v>1315</v>
      </c>
      <c r="O98" s="55">
        <v>43660</v>
      </c>
      <c r="P98" s="58"/>
      <c r="Q98" s="52"/>
      <c r="R98" s="63" t="s">
        <v>1208</v>
      </c>
      <c r="S98" s="47" t="s">
        <v>980</v>
      </c>
    </row>
    <row r="99" spans="2:19" s="33" customFormat="1" ht="33" customHeight="1">
      <c r="B99" s="47" t="s">
        <v>5438</v>
      </c>
      <c r="C99" s="48" t="s">
        <v>2079</v>
      </c>
      <c r="D99" s="49" t="s">
        <v>2536</v>
      </c>
      <c r="E99" s="50">
        <v>43602</v>
      </c>
      <c r="F99" s="52" t="s">
        <v>214</v>
      </c>
      <c r="G99" s="64">
        <v>760</v>
      </c>
      <c r="H99" s="52">
        <f t="shared" si="9"/>
        <v>4</v>
      </c>
      <c r="I99" s="52">
        <f t="shared" si="10"/>
        <v>1</v>
      </c>
      <c r="J99" s="52"/>
      <c r="K99" s="53">
        <v>43667</v>
      </c>
      <c r="L99" s="54" t="s">
        <v>1327</v>
      </c>
      <c r="M99" s="55">
        <v>43655</v>
      </c>
      <c r="N99" s="56" t="s">
        <v>1315</v>
      </c>
      <c r="O99" s="55">
        <v>43660</v>
      </c>
      <c r="P99" s="58"/>
      <c r="Q99" s="52"/>
      <c r="R99" s="63" t="s">
        <v>1208</v>
      </c>
      <c r="S99" s="47" t="s">
        <v>980</v>
      </c>
    </row>
    <row r="100" spans="2:19" s="30" customFormat="1" ht="33" customHeight="1">
      <c r="B100" s="46" t="s">
        <v>5438</v>
      </c>
      <c r="C100" s="35" t="s">
        <v>2378</v>
      </c>
      <c r="D100" s="36" t="s">
        <v>2379</v>
      </c>
      <c r="E100" s="37">
        <v>43602</v>
      </c>
      <c r="F100" s="38" t="s">
        <v>214</v>
      </c>
      <c r="G100" s="65">
        <v>760</v>
      </c>
      <c r="H100" s="38">
        <f t="shared" si="9"/>
        <v>4</v>
      </c>
      <c r="I100" s="38">
        <f t="shared" si="10"/>
        <v>1</v>
      </c>
      <c r="J100" s="38"/>
      <c r="K100" s="40">
        <v>43702</v>
      </c>
      <c r="L100" s="41" t="s">
        <v>2512</v>
      </c>
      <c r="M100" s="42">
        <v>43697</v>
      </c>
      <c r="N100" s="43" t="s">
        <v>2499</v>
      </c>
      <c r="O100" s="42">
        <v>43702</v>
      </c>
      <c r="P100" s="45"/>
      <c r="Q100" s="38"/>
      <c r="R100" s="66" t="s">
        <v>2380</v>
      </c>
      <c r="S100" s="46"/>
    </row>
    <row r="101" spans="2:19" s="30" customFormat="1" ht="33" customHeight="1">
      <c r="B101" s="46" t="s">
        <v>5438</v>
      </c>
      <c r="C101" s="35" t="s">
        <v>2430</v>
      </c>
      <c r="D101" s="36" t="s">
        <v>3457</v>
      </c>
      <c r="E101" s="37">
        <v>43637</v>
      </c>
      <c r="F101" s="38" t="s">
        <v>214</v>
      </c>
      <c r="G101" s="65">
        <v>760</v>
      </c>
      <c r="H101" s="38">
        <f t="shared" si="9"/>
        <v>4</v>
      </c>
      <c r="I101" s="38">
        <f t="shared" si="10"/>
        <v>1</v>
      </c>
      <c r="J101" s="38"/>
      <c r="K101" s="40">
        <v>43731</v>
      </c>
      <c r="L101" s="41" t="s">
        <v>3571</v>
      </c>
      <c r="M101" s="42">
        <v>43725</v>
      </c>
      <c r="N101" s="43" t="s">
        <v>2546</v>
      </c>
      <c r="O101" s="42">
        <v>43730</v>
      </c>
      <c r="P101" s="45"/>
      <c r="Q101" s="38"/>
      <c r="R101" s="66" t="s">
        <v>2335</v>
      </c>
      <c r="S101" s="46"/>
    </row>
    <row r="102" spans="2:19" s="30" customFormat="1" ht="33" customHeight="1">
      <c r="B102" s="46" t="s">
        <v>5438</v>
      </c>
      <c r="C102" s="35" t="s">
        <v>2527</v>
      </c>
      <c r="D102" s="36" t="s">
        <v>4369</v>
      </c>
      <c r="E102" s="37">
        <v>43657</v>
      </c>
      <c r="F102" s="38" t="s">
        <v>214</v>
      </c>
      <c r="G102" s="65">
        <v>760</v>
      </c>
      <c r="H102" s="38">
        <f t="shared" si="9"/>
        <v>4</v>
      </c>
      <c r="I102" s="38">
        <f t="shared" si="10"/>
        <v>1</v>
      </c>
      <c r="J102" s="38"/>
      <c r="K102" s="40">
        <v>43758</v>
      </c>
      <c r="L102" s="41" t="s">
        <v>4483</v>
      </c>
      <c r="M102" s="42">
        <v>43753</v>
      </c>
      <c r="N102" s="43" t="s">
        <v>4813</v>
      </c>
      <c r="O102" s="42">
        <v>43758</v>
      </c>
      <c r="P102" s="45"/>
      <c r="Q102" s="38"/>
      <c r="R102" s="66" t="s">
        <v>4066</v>
      </c>
      <c r="S102" s="46"/>
    </row>
    <row r="103" spans="2:19" s="30" customFormat="1" ht="33" customHeight="1">
      <c r="B103" s="122" t="s">
        <v>5438</v>
      </c>
      <c r="C103" s="126" t="s">
        <v>2528</v>
      </c>
      <c r="D103" s="127" t="s">
        <v>5456</v>
      </c>
      <c r="E103" s="37">
        <v>43700</v>
      </c>
      <c r="F103" s="38" t="s">
        <v>214</v>
      </c>
      <c r="G103" s="65">
        <v>760</v>
      </c>
      <c r="H103" s="38">
        <f t="shared" si="9"/>
        <v>4</v>
      </c>
      <c r="I103" s="38">
        <f t="shared" si="10"/>
        <v>1</v>
      </c>
      <c r="J103" s="38"/>
      <c r="K103" s="40">
        <v>43802</v>
      </c>
      <c r="L103" s="41" t="s">
        <v>5437</v>
      </c>
      <c r="M103" s="42">
        <v>43795</v>
      </c>
      <c r="N103" s="43" t="s">
        <v>5429</v>
      </c>
      <c r="O103" s="42">
        <v>43800</v>
      </c>
      <c r="P103" s="45"/>
      <c r="Q103" s="38"/>
      <c r="R103" s="66" t="s">
        <v>5414</v>
      </c>
      <c r="S103" s="46"/>
    </row>
    <row r="104" spans="2:19" s="33" customFormat="1" ht="33" customHeight="1">
      <c r="B104" s="47" t="s">
        <v>3576</v>
      </c>
      <c r="C104" s="48" t="s">
        <v>244</v>
      </c>
      <c r="D104" s="49" t="s">
        <v>722</v>
      </c>
      <c r="E104" s="50">
        <v>43483</v>
      </c>
      <c r="F104" s="52" t="s">
        <v>77</v>
      </c>
      <c r="G104" s="51">
        <v>6720</v>
      </c>
      <c r="H104" s="52">
        <f t="shared" ref="H104:H112" si="11">SUM(G104/240)</f>
        <v>28</v>
      </c>
      <c r="I104" s="52">
        <f t="shared" ref="I104:I112" si="12">SUM(H104/4)</f>
        <v>7</v>
      </c>
      <c r="J104" s="52"/>
      <c r="K104" s="53">
        <v>43569</v>
      </c>
      <c r="L104" s="54" t="s">
        <v>480</v>
      </c>
      <c r="M104" s="55">
        <v>43564</v>
      </c>
      <c r="N104" s="56" t="s">
        <v>646</v>
      </c>
      <c r="O104" s="55">
        <v>43569</v>
      </c>
      <c r="P104" s="58" t="s">
        <v>659</v>
      </c>
      <c r="Q104" s="52"/>
      <c r="R104" s="118" t="s">
        <v>432</v>
      </c>
      <c r="S104" s="47"/>
    </row>
    <row r="105" spans="2:19" s="33" customFormat="1" ht="33" customHeight="1">
      <c r="B105" s="47" t="s">
        <v>3576</v>
      </c>
      <c r="C105" s="48" t="s">
        <v>660</v>
      </c>
      <c r="D105" s="49" t="s">
        <v>472</v>
      </c>
      <c r="E105" s="50">
        <v>43483</v>
      </c>
      <c r="F105" s="52" t="s">
        <v>77</v>
      </c>
      <c r="G105" s="51">
        <v>5760</v>
      </c>
      <c r="H105" s="52">
        <f t="shared" si="11"/>
        <v>24</v>
      </c>
      <c r="I105" s="52">
        <f t="shared" si="12"/>
        <v>6</v>
      </c>
      <c r="J105" s="52"/>
      <c r="K105" s="53">
        <v>43583</v>
      </c>
      <c r="L105" s="54" t="s">
        <v>448</v>
      </c>
      <c r="M105" s="55">
        <v>43578</v>
      </c>
      <c r="N105" s="56" t="s">
        <v>447</v>
      </c>
      <c r="O105" s="55">
        <v>43583</v>
      </c>
      <c r="P105" s="58" t="s">
        <v>662</v>
      </c>
      <c r="Q105" s="52"/>
      <c r="R105" s="118" t="s">
        <v>432</v>
      </c>
      <c r="S105" s="47"/>
    </row>
    <row r="106" spans="2:19" s="33" customFormat="1" ht="33" customHeight="1">
      <c r="B106" s="47" t="s">
        <v>3576</v>
      </c>
      <c r="C106" s="48" t="s">
        <v>258</v>
      </c>
      <c r="D106" s="49" t="s">
        <v>591</v>
      </c>
      <c r="E106" s="50">
        <v>43519</v>
      </c>
      <c r="F106" s="52" t="s">
        <v>77</v>
      </c>
      <c r="G106" s="51">
        <v>5760</v>
      </c>
      <c r="H106" s="52">
        <f t="shared" si="11"/>
        <v>24</v>
      </c>
      <c r="I106" s="52">
        <f t="shared" si="12"/>
        <v>6</v>
      </c>
      <c r="J106" s="52"/>
      <c r="K106" s="53">
        <v>43605</v>
      </c>
      <c r="L106" s="54" t="s">
        <v>607</v>
      </c>
      <c r="M106" s="55">
        <v>43601</v>
      </c>
      <c r="N106" s="56" t="s">
        <v>601</v>
      </c>
      <c r="O106" s="55">
        <v>43605</v>
      </c>
      <c r="P106" s="58" t="s">
        <v>663</v>
      </c>
      <c r="Q106" s="52"/>
      <c r="R106" s="118" t="s">
        <v>592</v>
      </c>
      <c r="S106" s="47"/>
    </row>
    <row r="107" spans="2:19" s="33" customFormat="1" ht="33" customHeight="1">
      <c r="B107" s="47" t="s">
        <v>3576</v>
      </c>
      <c r="C107" s="48" t="s">
        <v>321</v>
      </c>
      <c r="D107" s="49" t="s">
        <v>727</v>
      </c>
      <c r="E107" s="50">
        <v>43532</v>
      </c>
      <c r="F107" s="52" t="s">
        <v>77</v>
      </c>
      <c r="G107" s="51">
        <v>6720</v>
      </c>
      <c r="H107" s="52">
        <f t="shared" si="11"/>
        <v>28</v>
      </c>
      <c r="I107" s="52">
        <f t="shared" si="12"/>
        <v>7</v>
      </c>
      <c r="J107" s="52"/>
      <c r="K107" s="53">
        <v>43633</v>
      </c>
      <c r="L107" s="54" t="s">
        <v>807</v>
      </c>
      <c r="M107" s="55">
        <v>43627</v>
      </c>
      <c r="N107" s="56" t="s">
        <v>808</v>
      </c>
      <c r="O107" s="55">
        <v>43632</v>
      </c>
      <c r="P107" s="58"/>
      <c r="Q107" s="52"/>
      <c r="R107" s="118" t="s">
        <v>728</v>
      </c>
      <c r="S107" s="47"/>
    </row>
    <row r="108" spans="2:19" s="33" customFormat="1" ht="33" customHeight="1">
      <c r="B108" s="47" t="s">
        <v>3576</v>
      </c>
      <c r="C108" s="48" t="s">
        <v>324</v>
      </c>
      <c r="D108" s="49" t="s">
        <v>1234</v>
      </c>
      <c r="E108" s="50">
        <v>43567</v>
      </c>
      <c r="F108" s="52" t="s">
        <v>77</v>
      </c>
      <c r="G108" s="51">
        <v>5760</v>
      </c>
      <c r="H108" s="52">
        <f t="shared" si="11"/>
        <v>24</v>
      </c>
      <c r="I108" s="52">
        <f t="shared" si="12"/>
        <v>6</v>
      </c>
      <c r="J108" s="52"/>
      <c r="K108" s="53">
        <v>43674</v>
      </c>
      <c r="L108" s="54" t="s">
        <v>2147</v>
      </c>
      <c r="M108" s="55">
        <v>43669</v>
      </c>
      <c r="N108" s="56" t="s">
        <v>1313</v>
      </c>
      <c r="O108" s="55">
        <v>43674</v>
      </c>
      <c r="P108" s="58"/>
      <c r="Q108" s="52"/>
      <c r="R108" s="118" t="s">
        <v>2055</v>
      </c>
      <c r="S108" s="47"/>
    </row>
    <row r="109" spans="2:19" s="30" customFormat="1" ht="33" customHeight="1">
      <c r="B109" s="46" t="s">
        <v>3576</v>
      </c>
      <c r="C109" s="35" t="s">
        <v>430</v>
      </c>
      <c r="D109" s="36" t="s">
        <v>2696</v>
      </c>
      <c r="E109" s="37">
        <v>43609</v>
      </c>
      <c r="F109" s="38" t="s">
        <v>77</v>
      </c>
      <c r="G109" s="39">
        <v>7680</v>
      </c>
      <c r="H109" s="38">
        <f t="shared" si="11"/>
        <v>32</v>
      </c>
      <c r="I109" s="38">
        <f t="shared" si="12"/>
        <v>8</v>
      </c>
      <c r="J109" s="38"/>
      <c r="K109" s="40">
        <v>43702</v>
      </c>
      <c r="L109" s="41" t="s">
        <v>2509</v>
      </c>
      <c r="M109" s="42">
        <v>43697</v>
      </c>
      <c r="N109" s="43" t="s">
        <v>2498</v>
      </c>
      <c r="O109" s="42">
        <v>43702</v>
      </c>
      <c r="P109" s="45"/>
      <c r="Q109" s="38"/>
      <c r="R109" s="115" t="s">
        <v>2525</v>
      </c>
      <c r="S109" s="46"/>
    </row>
    <row r="110" spans="2:19" s="30" customFormat="1" ht="33" customHeight="1">
      <c r="B110" s="46" t="s">
        <v>3576</v>
      </c>
      <c r="C110" s="35" t="s">
        <v>519</v>
      </c>
      <c r="D110" s="36" t="s">
        <v>3473</v>
      </c>
      <c r="E110" s="37">
        <v>43637</v>
      </c>
      <c r="F110" s="38" t="s">
        <v>77</v>
      </c>
      <c r="G110" s="39">
        <v>9600</v>
      </c>
      <c r="H110" s="38">
        <f t="shared" si="11"/>
        <v>40</v>
      </c>
      <c r="I110" s="38">
        <f t="shared" si="12"/>
        <v>10</v>
      </c>
      <c r="J110" s="38"/>
      <c r="K110" s="40">
        <v>43716</v>
      </c>
      <c r="L110" s="41" t="s">
        <v>3565</v>
      </c>
      <c r="M110" s="42">
        <v>43711</v>
      </c>
      <c r="N110" s="43" t="s">
        <v>3557</v>
      </c>
      <c r="O110" s="42">
        <v>43716</v>
      </c>
      <c r="P110" s="45"/>
      <c r="Q110" s="38"/>
      <c r="R110" s="115" t="s">
        <v>3474</v>
      </c>
      <c r="S110" s="46"/>
    </row>
    <row r="111" spans="2:19" s="30" customFormat="1" ht="33" customHeight="1">
      <c r="B111" s="46" t="s">
        <v>3576</v>
      </c>
      <c r="C111" s="35" t="s">
        <v>520</v>
      </c>
      <c r="D111" s="36" t="s">
        <v>4386</v>
      </c>
      <c r="E111" s="37">
        <v>43665</v>
      </c>
      <c r="F111" s="38" t="s">
        <v>77</v>
      </c>
      <c r="G111" s="39">
        <v>5760</v>
      </c>
      <c r="H111" s="38">
        <f t="shared" si="11"/>
        <v>24</v>
      </c>
      <c r="I111" s="38">
        <f t="shared" si="12"/>
        <v>6</v>
      </c>
      <c r="J111" s="38"/>
      <c r="K111" s="40">
        <v>43765</v>
      </c>
      <c r="L111" s="41" t="s">
        <v>4477</v>
      </c>
      <c r="M111" s="42">
        <v>43760</v>
      </c>
      <c r="N111" s="43" t="s">
        <v>3878</v>
      </c>
      <c r="O111" s="42">
        <v>43765</v>
      </c>
      <c r="P111" s="45"/>
      <c r="Q111" s="38"/>
      <c r="R111" s="115" t="s">
        <v>4387</v>
      </c>
      <c r="S111" s="46"/>
    </row>
    <row r="112" spans="2:19" s="30" customFormat="1" ht="33" customHeight="1">
      <c r="B112" s="46" t="s">
        <v>3576</v>
      </c>
      <c r="C112" s="35" t="s">
        <v>586</v>
      </c>
      <c r="D112" s="36" t="s">
        <v>4932</v>
      </c>
      <c r="E112" s="37">
        <v>43689</v>
      </c>
      <c r="F112" s="38" t="s">
        <v>77</v>
      </c>
      <c r="G112" s="39">
        <v>5760</v>
      </c>
      <c r="H112" s="38">
        <f t="shared" si="11"/>
        <v>24</v>
      </c>
      <c r="I112" s="38">
        <f t="shared" si="12"/>
        <v>6</v>
      </c>
      <c r="J112" s="38"/>
      <c r="K112" s="40">
        <v>43793</v>
      </c>
      <c r="L112" s="41" t="s">
        <v>5415</v>
      </c>
      <c r="M112" s="42">
        <v>43788</v>
      </c>
      <c r="N112" s="43" t="s">
        <v>5322</v>
      </c>
      <c r="O112" s="42">
        <v>43793</v>
      </c>
      <c r="P112" s="45"/>
      <c r="Q112" s="38"/>
      <c r="R112" s="115" t="s">
        <v>4931</v>
      </c>
      <c r="S112" s="46"/>
    </row>
    <row r="113" spans="2:19" s="34" customFormat="1" ht="33" customHeight="1">
      <c r="B113" s="47" t="s">
        <v>3577</v>
      </c>
      <c r="C113" s="48" t="s">
        <v>226</v>
      </c>
      <c r="D113" s="49" t="s">
        <v>593</v>
      </c>
      <c r="E113" s="50">
        <v>43483</v>
      </c>
      <c r="F113" s="52" t="s">
        <v>218</v>
      </c>
      <c r="G113" s="51">
        <v>640</v>
      </c>
      <c r="H113" s="52">
        <f t="shared" ref="H113:H149" si="13">SUM(G113/20)</f>
        <v>32</v>
      </c>
      <c r="I113" s="52">
        <f t="shared" ref="I113:I149" si="14">SUM(H113/32)</f>
        <v>1</v>
      </c>
      <c r="J113" s="52"/>
      <c r="K113" s="53">
        <v>43534</v>
      </c>
      <c r="L113" s="54" t="s">
        <v>566</v>
      </c>
      <c r="M113" s="55"/>
      <c r="N113" s="56"/>
      <c r="O113" s="55">
        <v>43520</v>
      </c>
      <c r="P113" s="58" t="s">
        <v>651</v>
      </c>
      <c r="Q113" s="52"/>
      <c r="R113" s="63" t="s">
        <v>211</v>
      </c>
      <c r="S113" s="52"/>
    </row>
    <row r="114" spans="2:19" s="34" customFormat="1" ht="33" customHeight="1">
      <c r="B114" s="47" t="s">
        <v>3577</v>
      </c>
      <c r="C114" s="48" t="s">
        <v>285</v>
      </c>
      <c r="D114" s="49" t="s">
        <v>526</v>
      </c>
      <c r="E114" s="50">
        <v>43507</v>
      </c>
      <c r="F114" s="52" t="s">
        <v>218</v>
      </c>
      <c r="G114" s="51">
        <v>3200</v>
      </c>
      <c r="H114" s="52">
        <f t="shared" si="13"/>
        <v>160</v>
      </c>
      <c r="I114" s="52">
        <f t="shared" si="14"/>
        <v>5</v>
      </c>
      <c r="J114" s="52"/>
      <c r="K114" s="53">
        <v>43576</v>
      </c>
      <c r="L114" s="54" t="s">
        <v>503</v>
      </c>
      <c r="M114" s="55">
        <v>43571</v>
      </c>
      <c r="N114" s="56" t="s">
        <v>445</v>
      </c>
      <c r="O114" s="55">
        <v>43576</v>
      </c>
      <c r="P114" s="58"/>
      <c r="Q114" s="52" t="s">
        <v>643</v>
      </c>
      <c r="R114" s="63" t="s">
        <v>211</v>
      </c>
      <c r="S114" s="52"/>
    </row>
    <row r="115" spans="2:19" s="34" customFormat="1" ht="33" customHeight="1">
      <c r="B115" s="47" t="s">
        <v>3577</v>
      </c>
      <c r="C115" s="48" t="s">
        <v>650</v>
      </c>
      <c r="D115" s="49" t="s">
        <v>526</v>
      </c>
      <c r="E115" s="50">
        <v>43507</v>
      </c>
      <c r="F115" s="52" t="s">
        <v>218</v>
      </c>
      <c r="G115" s="51">
        <v>640</v>
      </c>
      <c r="H115" s="52">
        <f t="shared" si="13"/>
        <v>32</v>
      </c>
      <c r="I115" s="52">
        <f t="shared" si="14"/>
        <v>1</v>
      </c>
      <c r="J115" s="52"/>
      <c r="K115" s="53">
        <v>43576</v>
      </c>
      <c r="L115" s="54" t="s">
        <v>448</v>
      </c>
      <c r="M115" s="55">
        <v>43578</v>
      </c>
      <c r="N115" s="56" t="s">
        <v>447</v>
      </c>
      <c r="O115" s="55">
        <v>43583</v>
      </c>
      <c r="P115" s="58"/>
      <c r="Q115" s="52" t="s">
        <v>643</v>
      </c>
      <c r="R115" s="63" t="s">
        <v>211</v>
      </c>
      <c r="S115" s="52"/>
    </row>
    <row r="116" spans="2:19" s="34" customFormat="1" ht="33" customHeight="1">
      <c r="B116" s="47" t="s">
        <v>3577</v>
      </c>
      <c r="C116" s="48" t="s">
        <v>331</v>
      </c>
      <c r="D116" s="49" t="s">
        <v>632</v>
      </c>
      <c r="E116" s="50">
        <v>43519</v>
      </c>
      <c r="F116" s="52" t="s">
        <v>218</v>
      </c>
      <c r="G116" s="51">
        <v>3200</v>
      </c>
      <c r="H116" s="52">
        <f t="shared" si="13"/>
        <v>160</v>
      </c>
      <c r="I116" s="52">
        <f t="shared" si="14"/>
        <v>5</v>
      </c>
      <c r="J116" s="52"/>
      <c r="K116" s="53">
        <v>43562</v>
      </c>
      <c r="L116" s="54" t="s">
        <v>608</v>
      </c>
      <c r="M116" s="55">
        <v>43557</v>
      </c>
      <c r="N116" s="56" t="s">
        <v>403</v>
      </c>
      <c r="O116" s="55">
        <v>43562</v>
      </c>
      <c r="P116" s="58"/>
      <c r="Q116" s="52" t="s">
        <v>642</v>
      </c>
      <c r="R116" s="63" t="s">
        <v>211</v>
      </c>
      <c r="S116" s="52"/>
    </row>
    <row r="117" spans="2:19" s="34" customFormat="1" ht="33" customHeight="1">
      <c r="B117" s="47" t="s">
        <v>3577</v>
      </c>
      <c r="C117" s="48" t="s">
        <v>647</v>
      </c>
      <c r="D117" s="49" t="s">
        <v>632</v>
      </c>
      <c r="E117" s="50">
        <v>43519</v>
      </c>
      <c r="F117" s="52" t="s">
        <v>218</v>
      </c>
      <c r="G117" s="51">
        <v>640</v>
      </c>
      <c r="H117" s="52">
        <f t="shared" si="13"/>
        <v>32</v>
      </c>
      <c r="I117" s="52">
        <f t="shared" si="14"/>
        <v>1</v>
      </c>
      <c r="J117" s="52"/>
      <c r="K117" s="53">
        <v>43562</v>
      </c>
      <c r="L117" s="54" t="s">
        <v>480</v>
      </c>
      <c r="M117" s="55">
        <v>43564</v>
      </c>
      <c r="N117" s="56" t="s">
        <v>646</v>
      </c>
      <c r="O117" s="55">
        <v>43569</v>
      </c>
      <c r="P117" s="58"/>
      <c r="Q117" s="52" t="s">
        <v>642</v>
      </c>
      <c r="R117" s="63" t="s">
        <v>211</v>
      </c>
      <c r="S117" s="52"/>
    </row>
    <row r="118" spans="2:19" s="34" customFormat="1" ht="33" customHeight="1">
      <c r="B118" s="47" t="s">
        <v>3577</v>
      </c>
      <c r="C118" s="48" t="s">
        <v>2527</v>
      </c>
      <c r="D118" s="199" t="s">
        <v>2532</v>
      </c>
      <c r="E118" s="50">
        <v>43609</v>
      </c>
      <c r="F118" s="52" t="s">
        <v>218</v>
      </c>
      <c r="G118" s="51">
        <v>120</v>
      </c>
      <c r="H118" s="52">
        <f t="shared" si="13"/>
        <v>6</v>
      </c>
      <c r="I118" s="52">
        <f t="shared" si="14"/>
        <v>0.1875</v>
      </c>
      <c r="J118" s="52"/>
      <c r="K118" s="53">
        <v>43646</v>
      </c>
      <c r="L118" s="54" t="s">
        <v>1083</v>
      </c>
      <c r="M118" s="55">
        <v>43634</v>
      </c>
      <c r="N118" s="56" t="s">
        <v>1084</v>
      </c>
      <c r="O118" s="55">
        <v>43639</v>
      </c>
      <c r="P118" s="58"/>
      <c r="Q118" s="63" t="s">
        <v>2543</v>
      </c>
      <c r="R118" s="63" t="s">
        <v>2542</v>
      </c>
      <c r="S118" s="52"/>
    </row>
    <row r="119" spans="2:19" s="34" customFormat="1" ht="33" customHeight="1">
      <c r="B119" s="47" t="s">
        <v>3580</v>
      </c>
      <c r="C119" s="48" t="s">
        <v>2531</v>
      </c>
      <c r="D119" s="199" t="s">
        <v>2532</v>
      </c>
      <c r="E119" s="50">
        <v>43609</v>
      </c>
      <c r="F119" s="52" t="s">
        <v>228</v>
      </c>
      <c r="G119" s="51">
        <v>120</v>
      </c>
      <c r="H119" s="52">
        <f t="shared" si="13"/>
        <v>6</v>
      </c>
      <c r="I119" s="52">
        <f t="shared" si="14"/>
        <v>0.1875</v>
      </c>
      <c r="J119" s="52"/>
      <c r="K119" s="53">
        <v>43646</v>
      </c>
      <c r="L119" s="54" t="s">
        <v>1083</v>
      </c>
      <c r="M119" s="55">
        <v>43634</v>
      </c>
      <c r="N119" s="56" t="s">
        <v>1084</v>
      </c>
      <c r="O119" s="55">
        <v>43639</v>
      </c>
      <c r="P119" s="58"/>
      <c r="Q119" s="63" t="s">
        <v>2544</v>
      </c>
      <c r="R119" s="63" t="s">
        <v>2542</v>
      </c>
      <c r="S119" s="52"/>
    </row>
    <row r="120" spans="2:19" s="34" customFormat="1" ht="33" customHeight="1">
      <c r="B120" s="47" t="s">
        <v>3577</v>
      </c>
      <c r="C120" s="48" t="s">
        <v>431</v>
      </c>
      <c r="D120" s="49" t="s">
        <v>633</v>
      </c>
      <c r="E120" s="50">
        <v>43523</v>
      </c>
      <c r="F120" s="52" t="s">
        <v>218</v>
      </c>
      <c r="G120" s="51">
        <v>3200</v>
      </c>
      <c r="H120" s="52">
        <f t="shared" si="13"/>
        <v>160</v>
      </c>
      <c r="I120" s="52">
        <f t="shared" si="14"/>
        <v>5</v>
      </c>
      <c r="J120" s="52"/>
      <c r="K120" s="53">
        <v>43597</v>
      </c>
      <c r="L120" s="54" t="s">
        <v>605</v>
      </c>
      <c r="M120" s="55">
        <v>43594</v>
      </c>
      <c r="N120" s="56" t="s">
        <v>561</v>
      </c>
      <c r="O120" s="55">
        <v>43598</v>
      </c>
      <c r="P120" s="58"/>
      <c r="Q120" s="52" t="s">
        <v>641</v>
      </c>
      <c r="R120" s="63" t="s">
        <v>211</v>
      </c>
      <c r="S120" s="52"/>
    </row>
    <row r="121" spans="2:19" s="34" customFormat="1" ht="33" customHeight="1">
      <c r="B121" s="47" t="s">
        <v>3577</v>
      </c>
      <c r="C121" s="48" t="s">
        <v>648</v>
      </c>
      <c r="D121" s="49" t="s">
        <v>633</v>
      </c>
      <c r="E121" s="50">
        <v>43523</v>
      </c>
      <c r="F121" s="52" t="s">
        <v>218</v>
      </c>
      <c r="G121" s="51">
        <v>640</v>
      </c>
      <c r="H121" s="52">
        <f t="shared" si="13"/>
        <v>32</v>
      </c>
      <c r="I121" s="52">
        <f t="shared" si="14"/>
        <v>1</v>
      </c>
      <c r="J121" s="52"/>
      <c r="K121" s="53">
        <v>43618</v>
      </c>
      <c r="L121" s="54" t="s">
        <v>977</v>
      </c>
      <c r="M121" s="55">
        <v>43613</v>
      </c>
      <c r="N121" s="56" t="s">
        <v>766</v>
      </c>
      <c r="O121" s="55">
        <v>43618</v>
      </c>
      <c r="P121" s="58"/>
      <c r="Q121" s="52" t="s">
        <v>641</v>
      </c>
      <c r="R121" s="63" t="s">
        <v>211</v>
      </c>
      <c r="S121" s="52"/>
    </row>
    <row r="122" spans="2:19" s="34" customFormat="1" ht="33" customHeight="1">
      <c r="B122" s="47" t="s">
        <v>3577</v>
      </c>
      <c r="C122" s="48" t="s">
        <v>738</v>
      </c>
      <c r="D122" s="49" t="s">
        <v>739</v>
      </c>
      <c r="E122" s="50">
        <v>43532</v>
      </c>
      <c r="F122" s="52" t="s">
        <v>218</v>
      </c>
      <c r="G122" s="51">
        <v>2560</v>
      </c>
      <c r="H122" s="52">
        <f t="shared" si="13"/>
        <v>128</v>
      </c>
      <c r="I122" s="52">
        <f t="shared" si="14"/>
        <v>4</v>
      </c>
      <c r="J122" s="52"/>
      <c r="K122" s="53">
        <v>43618</v>
      </c>
      <c r="L122" s="54" t="s">
        <v>977</v>
      </c>
      <c r="M122" s="55">
        <v>43613</v>
      </c>
      <c r="N122" s="56" t="s">
        <v>766</v>
      </c>
      <c r="O122" s="55">
        <v>43618</v>
      </c>
      <c r="P122" s="58"/>
      <c r="Q122" s="52" t="s">
        <v>970</v>
      </c>
      <c r="R122" s="63" t="s">
        <v>211</v>
      </c>
      <c r="S122" s="52"/>
    </row>
    <row r="123" spans="2:19" s="34" customFormat="1" ht="33" customHeight="1">
      <c r="B123" s="47" t="s">
        <v>3577</v>
      </c>
      <c r="C123" s="48" t="s">
        <v>589</v>
      </c>
      <c r="D123" s="49" t="s">
        <v>1260</v>
      </c>
      <c r="E123" s="50">
        <v>43558</v>
      </c>
      <c r="F123" s="52" t="s">
        <v>218</v>
      </c>
      <c r="G123" s="51">
        <v>3200</v>
      </c>
      <c r="H123" s="52">
        <f t="shared" si="13"/>
        <v>160</v>
      </c>
      <c r="I123" s="52">
        <f t="shared" si="14"/>
        <v>5</v>
      </c>
      <c r="J123" s="52"/>
      <c r="K123" s="53">
        <v>43639</v>
      </c>
      <c r="L123" s="54" t="s">
        <v>978</v>
      </c>
      <c r="M123" s="55">
        <v>43634</v>
      </c>
      <c r="N123" s="56" t="s">
        <v>764</v>
      </c>
      <c r="O123" s="55">
        <v>43639</v>
      </c>
      <c r="P123" s="58"/>
      <c r="Q123" s="52" t="s">
        <v>973</v>
      </c>
      <c r="R123" s="63" t="s">
        <v>211</v>
      </c>
      <c r="S123" s="52"/>
    </row>
    <row r="124" spans="2:19" s="34" customFormat="1" ht="33" customHeight="1">
      <c r="B124" s="47" t="s">
        <v>3577</v>
      </c>
      <c r="C124" s="48" t="s">
        <v>2078</v>
      </c>
      <c r="D124" s="49" t="s">
        <v>2426</v>
      </c>
      <c r="E124" s="50">
        <v>43602</v>
      </c>
      <c r="F124" s="52" t="s">
        <v>218</v>
      </c>
      <c r="G124" s="51">
        <v>3200</v>
      </c>
      <c r="H124" s="52">
        <f t="shared" si="13"/>
        <v>160</v>
      </c>
      <c r="I124" s="52">
        <f t="shared" si="14"/>
        <v>5</v>
      </c>
      <c r="J124" s="52"/>
      <c r="K124" s="53">
        <v>43653</v>
      </c>
      <c r="L124" s="54" t="s">
        <v>1326</v>
      </c>
      <c r="M124" s="55">
        <v>43648</v>
      </c>
      <c r="N124" s="56" t="s">
        <v>2143</v>
      </c>
      <c r="O124" s="55">
        <v>43653</v>
      </c>
      <c r="P124" s="58"/>
      <c r="Q124" s="52" t="s">
        <v>2148</v>
      </c>
      <c r="R124" s="63" t="s">
        <v>211</v>
      </c>
      <c r="S124" s="52"/>
    </row>
    <row r="125" spans="2:19" s="34" customFormat="1" ht="33" customHeight="1">
      <c r="B125" s="47" t="s">
        <v>3577</v>
      </c>
      <c r="C125" s="48" t="s">
        <v>2079</v>
      </c>
      <c r="D125" s="49" t="s">
        <v>2428</v>
      </c>
      <c r="E125" s="50">
        <v>43602</v>
      </c>
      <c r="F125" s="52" t="s">
        <v>218</v>
      </c>
      <c r="G125" s="51">
        <v>3200</v>
      </c>
      <c r="H125" s="52">
        <f t="shared" si="13"/>
        <v>160</v>
      </c>
      <c r="I125" s="52">
        <f t="shared" si="14"/>
        <v>5</v>
      </c>
      <c r="J125" s="52"/>
      <c r="K125" s="53">
        <v>43667</v>
      </c>
      <c r="L125" s="54" t="s">
        <v>2146</v>
      </c>
      <c r="M125" s="55">
        <v>43669</v>
      </c>
      <c r="N125" s="56" t="s">
        <v>2551</v>
      </c>
      <c r="O125" s="55">
        <v>43674</v>
      </c>
      <c r="P125" s="58"/>
      <c r="Q125" s="52" t="s">
        <v>2150</v>
      </c>
      <c r="R125" s="63" t="s">
        <v>211</v>
      </c>
      <c r="S125" s="52"/>
    </row>
    <row r="126" spans="2:19" s="32" customFormat="1" ht="33" customHeight="1">
      <c r="B126" s="46" t="s">
        <v>3577</v>
      </c>
      <c r="C126" s="35" t="s">
        <v>2378</v>
      </c>
      <c r="D126" s="36" t="s">
        <v>2518</v>
      </c>
      <c r="E126" s="37">
        <v>43602</v>
      </c>
      <c r="F126" s="38" t="s">
        <v>218</v>
      </c>
      <c r="G126" s="39">
        <v>3200</v>
      </c>
      <c r="H126" s="38">
        <f t="shared" si="13"/>
        <v>160</v>
      </c>
      <c r="I126" s="38">
        <f t="shared" si="14"/>
        <v>5</v>
      </c>
      <c r="J126" s="38"/>
      <c r="K126" s="40">
        <v>43688</v>
      </c>
      <c r="L126" s="41" t="s">
        <v>2505</v>
      </c>
      <c r="M126" s="42">
        <v>43683</v>
      </c>
      <c r="N126" s="43" t="s">
        <v>2763</v>
      </c>
      <c r="O126" s="42">
        <v>43688</v>
      </c>
      <c r="P126" s="45"/>
      <c r="Q126" s="38" t="s">
        <v>2762</v>
      </c>
      <c r="R126" s="66" t="s">
        <v>211</v>
      </c>
      <c r="S126" s="46" t="s">
        <v>2764</v>
      </c>
    </row>
    <row r="127" spans="2:19" s="32" customFormat="1" ht="33" customHeight="1">
      <c r="B127" s="46" t="s">
        <v>3577</v>
      </c>
      <c r="C127" s="35" t="s">
        <v>2430</v>
      </c>
      <c r="D127" s="190" t="s">
        <v>2520</v>
      </c>
      <c r="E127" s="37">
        <v>43602</v>
      </c>
      <c r="F127" s="38" t="s">
        <v>218</v>
      </c>
      <c r="G127" s="39">
        <v>3200</v>
      </c>
      <c r="H127" s="38">
        <f t="shared" si="13"/>
        <v>160</v>
      </c>
      <c r="I127" s="38">
        <f t="shared" si="14"/>
        <v>5</v>
      </c>
      <c r="J127" s="38"/>
      <c r="K127" s="40">
        <v>43702</v>
      </c>
      <c r="L127" s="41" t="s">
        <v>2509</v>
      </c>
      <c r="M127" s="42">
        <v>43697</v>
      </c>
      <c r="N127" s="43" t="s">
        <v>2499</v>
      </c>
      <c r="O127" s="42">
        <v>43702</v>
      </c>
      <c r="P127" s="45"/>
      <c r="Q127" s="38" t="s">
        <v>2517</v>
      </c>
      <c r="R127" s="66" t="s">
        <v>211</v>
      </c>
      <c r="S127" s="38"/>
    </row>
    <row r="128" spans="2:19" s="34" customFormat="1" ht="33" customHeight="1">
      <c r="B128" s="47" t="s">
        <v>3577</v>
      </c>
      <c r="C128" s="48" t="s">
        <v>2528</v>
      </c>
      <c r="D128" s="199" t="s">
        <v>2704</v>
      </c>
      <c r="E128" s="50">
        <v>43609</v>
      </c>
      <c r="F128" s="52" t="s">
        <v>218</v>
      </c>
      <c r="G128" s="51">
        <v>3200</v>
      </c>
      <c r="H128" s="52">
        <f t="shared" si="13"/>
        <v>160</v>
      </c>
      <c r="I128" s="52">
        <f t="shared" si="14"/>
        <v>5</v>
      </c>
      <c r="J128" s="52"/>
      <c r="K128" s="53">
        <v>43660</v>
      </c>
      <c r="L128" s="54" t="s">
        <v>1326</v>
      </c>
      <c r="M128" s="55">
        <v>43648</v>
      </c>
      <c r="N128" s="56" t="s">
        <v>2540</v>
      </c>
      <c r="O128" s="55">
        <v>43653</v>
      </c>
      <c r="P128" s="58"/>
      <c r="Q128" s="52" t="s">
        <v>2148</v>
      </c>
      <c r="R128" s="63" t="s">
        <v>211</v>
      </c>
      <c r="S128" s="52"/>
    </row>
    <row r="129" spans="2:19" s="34" customFormat="1" ht="33" customHeight="1">
      <c r="B129" s="47" t="s">
        <v>3577</v>
      </c>
      <c r="C129" s="48" t="s">
        <v>2529</v>
      </c>
      <c r="D129" s="199" t="s">
        <v>2705</v>
      </c>
      <c r="E129" s="50">
        <v>43609</v>
      </c>
      <c r="F129" s="52" t="s">
        <v>218</v>
      </c>
      <c r="G129" s="51">
        <v>3200</v>
      </c>
      <c r="H129" s="52">
        <f t="shared" si="13"/>
        <v>160</v>
      </c>
      <c r="I129" s="52">
        <f t="shared" si="14"/>
        <v>5</v>
      </c>
      <c r="J129" s="52"/>
      <c r="K129" s="53">
        <v>43675</v>
      </c>
      <c r="L129" s="54" t="s">
        <v>2146</v>
      </c>
      <c r="M129" s="55">
        <v>43669</v>
      </c>
      <c r="N129" s="56" t="s">
        <v>2551</v>
      </c>
      <c r="O129" s="55">
        <v>43674</v>
      </c>
      <c r="P129" s="58"/>
      <c r="Q129" s="52" t="s">
        <v>2150</v>
      </c>
      <c r="R129" s="63" t="s">
        <v>211</v>
      </c>
      <c r="S129" s="52"/>
    </row>
    <row r="130" spans="2:19" s="32" customFormat="1" ht="33" customHeight="1">
      <c r="B130" s="46" t="s">
        <v>3577</v>
      </c>
      <c r="C130" s="35" t="s">
        <v>3497</v>
      </c>
      <c r="D130" s="190" t="s">
        <v>3498</v>
      </c>
      <c r="E130" s="37">
        <v>43637</v>
      </c>
      <c r="F130" s="38" t="s">
        <v>218</v>
      </c>
      <c r="G130" s="39">
        <v>3200</v>
      </c>
      <c r="H130" s="38">
        <f t="shared" si="13"/>
        <v>160</v>
      </c>
      <c r="I130" s="38">
        <f t="shared" si="14"/>
        <v>5</v>
      </c>
      <c r="J130" s="38"/>
      <c r="K130" s="40">
        <v>43716</v>
      </c>
      <c r="L130" s="41" t="s">
        <v>3565</v>
      </c>
      <c r="M130" s="42">
        <v>43711</v>
      </c>
      <c r="N130" s="43" t="s">
        <v>3557</v>
      </c>
      <c r="O130" s="42">
        <v>43716</v>
      </c>
      <c r="P130" s="45"/>
      <c r="Q130" s="38" t="s">
        <v>4820</v>
      </c>
      <c r="R130" s="66" t="s">
        <v>211</v>
      </c>
      <c r="S130" s="38"/>
    </row>
    <row r="131" spans="2:19" s="32" customFormat="1" ht="33" customHeight="1">
      <c r="B131" s="46" t="s">
        <v>3577</v>
      </c>
      <c r="C131" s="35" t="s">
        <v>3499</v>
      </c>
      <c r="D131" s="190" t="s">
        <v>3500</v>
      </c>
      <c r="E131" s="37">
        <v>43637</v>
      </c>
      <c r="F131" s="38" t="s">
        <v>218</v>
      </c>
      <c r="G131" s="39">
        <v>3200</v>
      </c>
      <c r="H131" s="38">
        <f t="shared" si="13"/>
        <v>160</v>
      </c>
      <c r="I131" s="38">
        <f t="shared" si="14"/>
        <v>5</v>
      </c>
      <c r="J131" s="38"/>
      <c r="K131" s="40">
        <v>43730</v>
      </c>
      <c r="L131" s="41" t="s">
        <v>2553</v>
      </c>
      <c r="M131" s="42">
        <v>43725</v>
      </c>
      <c r="N131" s="43" t="s">
        <v>2546</v>
      </c>
      <c r="O131" s="42">
        <v>43730</v>
      </c>
      <c r="P131" s="45"/>
      <c r="Q131" s="38" t="s">
        <v>5446</v>
      </c>
      <c r="R131" s="66" t="s">
        <v>211</v>
      </c>
      <c r="S131" s="38"/>
    </row>
    <row r="132" spans="2:19" s="32" customFormat="1" ht="33" customHeight="1">
      <c r="B132" s="46" t="s">
        <v>3577</v>
      </c>
      <c r="C132" s="35" t="s">
        <v>3501</v>
      </c>
      <c r="D132" s="190" t="s">
        <v>3502</v>
      </c>
      <c r="E132" s="37">
        <v>43637</v>
      </c>
      <c r="F132" s="38" t="s">
        <v>218</v>
      </c>
      <c r="G132" s="39">
        <v>3200</v>
      </c>
      <c r="H132" s="38">
        <f t="shared" si="13"/>
        <v>160</v>
      </c>
      <c r="I132" s="38">
        <f t="shared" si="14"/>
        <v>5</v>
      </c>
      <c r="J132" s="38"/>
      <c r="K132" s="40">
        <v>43737</v>
      </c>
      <c r="L132" s="41" t="s">
        <v>3568</v>
      </c>
      <c r="M132" s="42">
        <v>43732</v>
      </c>
      <c r="N132" s="43" t="s">
        <v>3562</v>
      </c>
      <c r="O132" s="42">
        <v>43737</v>
      </c>
      <c r="P132" s="45"/>
      <c r="Q132" s="38" t="s">
        <v>5427</v>
      </c>
      <c r="R132" s="66" t="s">
        <v>211</v>
      </c>
      <c r="S132" s="38"/>
    </row>
    <row r="133" spans="2:19" s="32" customFormat="1" ht="33" customHeight="1">
      <c r="B133" s="46" t="s">
        <v>3577</v>
      </c>
      <c r="C133" s="35" t="s">
        <v>4103</v>
      </c>
      <c r="D133" s="190" t="s">
        <v>4408</v>
      </c>
      <c r="E133" s="37">
        <v>43657</v>
      </c>
      <c r="F133" s="38" t="s">
        <v>218</v>
      </c>
      <c r="G133" s="39">
        <v>3200</v>
      </c>
      <c r="H133" s="38">
        <f t="shared" si="13"/>
        <v>160</v>
      </c>
      <c r="I133" s="38">
        <f t="shared" si="14"/>
        <v>5</v>
      </c>
      <c r="J133" s="38"/>
      <c r="K133" s="40">
        <v>43723</v>
      </c>
      <c r="L133" s="41" t="s">
        <v>3567</v>
      </c>
      <c r="M133" s="42">
        <v>43718</v>
      </c>
      <c r="N133" s="43" t="s">
        <v>3559</v>
      </c>
      <c r="O133" s="42">
        <v>43723</v>
      </c>
      <c r="P133" s="45"/>
      <c r="Q133" s="38" t="s">
        <v>4167</v>
      </c>
      <c r="R133" s="66" t="s">
        <v>211</v>
      </c>
      <c r="S133" s="38"/>
    </row>
    <row r="134" spans="2:19" s="32" customFormat="1" ht="33" customHeight="1">
      <c r="B134" s="46" t="s">
        <v>3577</v>
      </c>
      <c r="C134" s="35" t="s">
        <v>4410</v>
      </c>
      <c r="D134" s="190" t="s">
        <v>4411</v>
      </c>
      <c r="E134" s="37">
        <v>43665</v>
      </c>
      <c r="F134" s="38" t="s">
        <v>218</v>
      </c>
      <c r="G134" s="39">
        <v>3200</v>
      </c>
      <c r="H134" s="38">
        <f t="shared" si="13"/>
        <v>160</v>
      </c>
      <c r="I134" s="38">
        <f t="shared" si="14"/>
        <v>5</v>
      </c>
      <c r="J134" s="38"/>
      <c r="K134" s="40">
        <v>43751</v>
      </c>
      <c r="L134" s="41" t="s">
        <v>4475</v>
      </c>
      <c r="M134" s="42">
        <v>43746</v>
      </c>
      <c r="N134" s="43" t="s">
        <v>4469</v>
      </c>
      <c r="O134" s="42">
        <v>43751</v>
      </c>
      <c r="P134" s="45"/>
      <c r="Q134" s="66" t="s">
        <v>5445</v>
      </c>
      <c r="R134" s="66" t="s">
        <v>2542</v>
      </c>
      <c r="S134" s="38"/>
    </row>
    <row r="135" spans="2:19" s="32" customFormat="1" ht="33" customHeight="1">
      <c r="B135" s="46" t="s">
        <v>3577</v>
      </c>
      <c r="C135" s="35" t="s">
        <v>4412</v>
      </c>
      <c r="D135" s="190" t="s">
        <v>4413</v>
      </c>
      <c r="E135" s="37">
        <v>43665</v>
      </c>
      <c r="F135" s="38" t="s">
        <v>218</v>
      </c>
      <c r="G135" s="39">
        <v>3200</v>
      </c>
      <c r="H135" s="38">
        <f t="shared" si="13"/>
        <v>160</v>
      </c>
      <c r="I135" s="38">
        <f t="shared" si="14"/>
        <v>5</v>
      </c>
      <c r="J135" s="38"/>
      <c r="K135" s="40">
        <v>43758</v>
      </c>
      <c r="L135" s="41" t="s">
        <v>4479</v>
      </c>
      <c r="M135" s="42">
        <v>43753</v>
      </c>
      <c r="N135" s="43" t="s">
        <v>4471</v>
      </c>
      <c r="O135" s="42">
        <v>43758</v>
      </c>
      <c r="P135" s="45"/>
      <c r="Q135" s="66" t="s">
        <v>4818</v>
      </c>
      <c r="R135" s="66" t="s">
        <v>2542</v>
      </c>
      <c r="S135" s="38"/>
    </row>
    <row r="136" spans="2:19" s="32" customFormat="1" ht="33" customHeight="1">
      <c r="B136" s="46" t="s">
        <v>3577</v>
      </c>
      <c r="C136" s="35" t="s">
        <v>4414</v>
      </c>
      <c r="D136" s="190" t="s">
        <v>4415</v>
      </c>
      <c r="E136" s="37">
        <v>43665</v>
      </c>
      <c r="F136" s="38" t="s">
        <v>218</v>
      </c>
      <c r="G136" s="39">
        <v>3200</v>
      </c>
      <c r="H136" s="38">
        <f t="shared" si="13"/>
        <v>160</v>
      </c>
      <c r="I136" s="38">
        <f t="shared" si="14"/>
        <v>5</v>
      </c>
      <c r="J136" s="38"/>
      <c r="K136" s="40">
        <v>43765</v>
      </c>
      <c r="L136" s="41" t="s">
        <v>4477</v>
      </c>
      <c r="M136" s="42">
        <v>43760</v>
      </c>
      <c r="N136" s="43" t="s">
        <v>3878</v>
      </c>
      <c r="O136" s="42">
        <v>43765</v>
      </c>
      <c r="P136" s="45"/>
      <c r="Q136" s="66" t="s">
        <v>4817</v>
      </c>
      <c r="R136" s="66" t="s">
        <v>2542</v>
      </c>
      <c r="S136" s="38"/>
    </row>
    <row r="137" spans="2:19" s="32" customFormat="1" ht="33" customHeight="1">
      <c r="B137" s="46" t="s">
        <v>3577</v>
      </c>
      <c r="C137" s="35" t="s">
        <v>4550</v>
      </c>
      <c r="D137" s="187" t="s">
        <v>5433</v>
      </c>
      <c r="E137" s="37">
        <v>43679</v>
      </c>
      <c r="F137" s="38" t="s">
        <v>218</v>
      </c>
      <c r="G137" s="39">
        <v>3200</v>
      </c>
      <c r="H137" s="38">
        <f t="shared" si="13"/>
        <v>160</v>
      </c>
      <c r="I137" s="38">
        <f t="shared" si="14"/>
        <v>5</v>
      </c>
      <c r="J137" s="38"/>
      <c r="K137" s="40">
        <v>43765</v>
      </c>
      <c r="L137" s="41" t="s">
        <v>4477</v>
      </c>
      <c r="M137" s="42">
        <v>43760</v>
      </c>
      <c r="N137" s="43" t="s">
        <v>4549</v>
      </c>
      <c r="O137" s="42">
        <v>43765</v>
      </c>
      <c r="P137" s="45"/>
      <c r="Q137" s="66" t="s">
        <v>4817</v>
      </c>
      <c r="R137" s="66" t="s">
        <v>2542</v>
      </c>
      <c r="S137" s="38"/>
    </row>
    <row r="138" spans="2:19" s="32" customFormat="1" ht="33" customHeight="1">
      <c r="B138" s="46" t="s">
        <v>3577</v>
      </c>
      <c r="C138" s="35" t="s">
        <v>4899</v>
      </c>
      <c r="D138" s="190" t="s">
        <v>4898</v>
      </c>
      <c r="E138" s="37">
        <v>43689</v>
      </c>
      <c r="F138" s="38" t="s">
        <v>218</v>
      </c>
      <c r="G138" s="39">
        <v>3200</v>
      </c>
      <c r="H138" s="38">
        <f t="shared" si="13"/>
        <v>160</v>
      </c>
      <c r="I138" s="38">
        <f t="shared" si="14"/>
        <v>5</v>
      </c>
      <c r="J138" s="38"/>
      <c r="K138" s="40">
        <v>43779</v>
      </c>
      <c r="L138" s="41" t="s">
        <v>4816</v>
      </c>
      <c r="M138" s="42">
        <v>43774</v>
      </c>
      <c r="N138" s="43" t="s">
        <v>4815</v>
      </c>
      <c r="O138" s="42">
        <v>43779</v>
      </c>
      <c r="P138" s="45"/>
      <c r="Q138" s="66" t="s">
        <v>5444</v>
      </c>
      <c r="R138" s="66" t="s">
        <v>211</v>
      </c>
      <c r="S138" s="38"/>
    </row>
    <row r="139" spans="2:19" s="32" customFormat="1" ht="33" customHeight="1">
      <c r="B139" s="46" t="s">
        <v>3577</v>
      </c>
      <c r="C139" s="35" t="s">
        <v>4897</v>
      </c>
      <c r="D139" s="190" t="s">
        <v>4896</v>
      </c>
      <c r="E139" s="37">
        <v>43689</v>
      </c>
      <c r="F139" s="38" t="s">
        <v>218</v>
      </c>
      <c r="G139" s="39">
        <v>3200</v>
      </c>
      <c r="H139" s="38">
        <f t="shared" si="13"/>
        <v>160</v>
      </c>
      <c r="I139" s="38">
        <f t="shared" si="14"/>
        <v>5</v>
      </c>
      <c r="J139" s="38"/>
      <c r="K139" s="40">
        <v>43793</v>
      </c>
      <c r="L139" s="41" t="s">
        <v>5415</v>
      </c>
      <c r="M139" s="42">
        <v>43788</v>
      </c>
      <c r="N139" s="43" t="s">
        <v>5322</v>
      </c>
      <c r="O139" s="42">
        <v>43793</v>
      </c>
      <c r="P139" s="45"/>
      <c r="Q139" s="66" t="s">
        <v>5442</v>
      </c>
      <c r="R139" s="66" t="s">
        <v>211</v>
      </c>
      <c r="S139" s="38"/>
    </row>
    <row r="140" spans="2:19" s="34" customFormat="1" ht="33" customHeight="1">
      <c r="B140" s="47" t="s">
        <v>5451</v>
      </c>
      <c r="C140" s="48" t="s">
        <v>235</v>
      </c>
      <c r="D140" s="49" t="s">
        <v>744</v>
      </c>
      <c r="E140" s="50">
        <v>43532</v>
      </c>
      <c r="F140" s="52" t="s">
        <v>228</v>
      </c>
      <c r="G140" s="51">
        <v>1280</v>
      </c>
      <c r="H140" s="52">
        <f t="shared" si="13"/>
        <v>64</v>
      </c>
      <c r="I140" s="52">
        <f t="shared" si="14"/>
        <v>2</v>
      </c>
      <c r="J140" s="52"/>
      <c r="K140" s="53">
        <v>43597</v>
      </c>
      <c r="L140" s="54" t="s">
        <v>605</v>
      </c>
      <c r="M140" s="55">
        <v>43594</v>
      </c>
      <c r="N140" s="56" t="s">
        <v>772</v>
      </c>
      <c r="O140" s="55">
        <v>43598</v>
      </c>
      <c r="P140" s="58"/>
      <c r="Q140" s="52" t="s">
        <v>641</v>
      </c>
      <c r="R140" s="63" t="s">
        <v>211</v>
      </c>
      <c r="S140" s="52"/>
    </row>
    <row r="141" spans="2:19" s="34" customFormat="1" ht="33" customHeight="1">
      <c r="B141" s="47" t="s">
        <v>5451</v>
      </c>
      <c r="C141" s="48" t="s">
        <v>1569</v>
      </c>
      <c r="D141" s="49" t="s">
        <v>2085</v>
      </c>
      <c r="E141" s="50">
        <v>43581</v>
      </c>
      <c r="F141" s="52" t="s">
        <v>228</v>
      </c>
      <c r="G141" s="51">
        <v>1280</v>
      </c>
      <c r="H141" s="52">
        <f t="shared" si="13"/>
        <v>64</v>
      </c>
      <c r="I141" s="52">
        <f t="shared" si="14"/>
        <v>2</v>
      </c>
      <c r="J141" s="52"/>
      <c r="K141" s="53">
        <v>43632</v>
      </c>
      <c r="L141" s="54" t="s">
        <v>807</v>
      </c>
      <c r="M141" s="55">
        <v>43627</v>
      </c>
      <c r="N141" s="56" t="s">
        <v>769</v>
      </c>
      <c r="O141" s="55">
        <v>43632</v>
      </c>
      <c r="P141" s="58"/>
      <c r="Q141" s="52" t="s">
        <v>1810</v>
      </c>
      <c r="R141" s="63" t="s">
        <v>211</v>
      </c>
      <c r="S141" s="52"/>
    </row>
    <row r="142" spans="2:19" s="34" customFormat="1" ht="33" customHeight="1">
      <c r="B142" s="47" t="s">
        <v>5451</v>
      </c>
      <c r="C142" s="48" t="s">
        <v>90</v>
      </c>
      <c r="D142" s="49" t="s">
        <v>2087</v>
      </c>
      <c r="E142" s="50">
        <v>43595</v>
      </c>
      <c r="F142" s="52" t="s">
        <v>228</v>
      </c>
      <c r="G142" s="51">
        <v>1280</v>
      </c>
      <c r="H142" s="52">
        <f t="shared" si="13"/>
        <v>64</v>
      </c>
      <c r="I142" s="52">
        <f t="shared" si="14"/>
        <v>2</v>
      </c>
      <c r="J142" s="52"/>
      <c r="K142" s="53">
        <v>43646</v>
      </c>
      <c r="L142" s="54" t="s">
        <v>1326</v>
      </c>
      <c r="M142" s="55">
        <v>43648</v>
      </c>
      <c r="N142" s="56" t="s">
        <v>2143</v>
      </c>
      <c r="O142" s="55">
        <v>43653</v>
      </c>
      <c r="P142" s="58"/>
      <c r="Q142" s="52" t="s">
        <v>2148</v>
      </c>
      <c r="R142" s="63" t="s">
        <v>211</v>
      </c>
      <c r="S142" s="52"/>
    </row>
    <row r="143" spans="2:19" s="32" customFormat="1" ht="33" customHeight="1">
      <c r="B143" s="46" t="s">
        <v>5451</v>
      </c>
      <c r="C143" s="35" t="s">
        <v>2088</v>
      </c>
      <c r="D143" s="36" t="s">
        <v>2089</v>
      </c>
      <c r="E143" s="37">
        <v>43595</v>
      </c>
      <c r="F143" s="38" t="s">
        <v>228</v>
      </c>
      <c r="G143" s="39">
        <v>640</v>
      </c>
      <c r="H143" s="38">
        <f t="shared" si="13"/>
        <v>32</v>
      </c>
      <c r="I143" s="38">
        <f t="shared" si="14"/>
        <v>1</v>
      </c>
      <c r="J143" s="38"/>
      <c r="K143" s="40">
        <v>43709</v>
      </c>
      <c r="L143" s="41" t="s">
        <v>3565</v>
      </c>
      <c r="M143" s="42">
        <v>43711</v>
      </c>
      <c r="N143" s="43" t="s">
        <v>3557</v>
      </c>
      <c r="O143" s="42">
        <v>43716</v>
      </c>
      <c r="P143" s="45"/>
      <c r="Q143" s="66" t="s">
        <v>2548</v>
      </c>
      <c r="R143" s="66" t="s">
        <v>211</v>
      </c>
      <c r="S143" s="46" t="s">
        <v>4822</v>
      </c>
    </row>
    <row r="144" spans="2:19" s="32" customFormat="1" ht="33" customHeight="1">
      <c r="B144" s="46" t="s">
        <v>3580</v>
      </c>
      <c r="C144" s="35" t="s">
        <v>208</v>
      </c>
      <c r="D144" s="190" t="s">
        <v>2443</v>
      </c>
      <c r="E144" s="37">
        <v>43602</v>
      </c>
      <c r="F144" s="38" t="s">
        <v>228</v>
      </c>
      <c r="G144" s="39">
        <v>640</v>
      </c>
      <c r="H144" s="38">
        <f t="shared" si="13"/>
        <v>32</v>
      </c>
      <c r="I144" s="38">
        <f t="shared" si="14"/>
        <v>1</v>
      </c>
      <c r="J144" s="38"/>
      <c r="K144" s="196">
        <v>43737</v>
      </c>
      <c r="L144" s="41" t="s">
        <v>5462</v>
      </c>
      <c r="M144" s="42">
        <v>43725</v>
      </c>
      <c r="N144" s="43" t="s">
        <v>5463</v>
      </c>
      <c r="O144" s="42">
        <v>43730</v>
      </c>
      <c r="P144" s="45"/>
      <c r="Q144" s="66" t="s">
        <v>5466</v>
      </c>
      <c r="R144" s="66" t="s">
        <v>211</v>
      </c>
      <c r="S144" s="38" t="s">
        <v>5467</v>
      </c>
    </row>
    <row r="145" spans="1:19" s="32" customFormat="1" ht="33" customHeight="1">
      <c r="B145" s="46" t="s">
        <v>5451</v>
      </c>
      <c r="C145" s="35" t="s">
        <v>942</v>
      </c>
      <c r="D145" s="190" t="s">
        <v>5416</v>
      </c>
      <c r="E145" s="37">
        <v>43693</v>
      </c>
      <c r="F145" s="38" t="s">
        <v>228</v>
      </c>
      <c r="G145" s="39">
        <v>640</v>
      </c>
      <c r="H145" s="38">
        <f t="shared" si="13"/>
        <v>32</v>
      </c>
      <c r="I145" s="38">
        <f t="shared" si="14"/>
        <v>1</v>
      </c>
      <c r="J145" s="38"/>
      <c r="K145" s="196">
        <v>43737</v>
      </c>
      <c r="L145" s="41" t="s">
        <v>5462</v>
      </c>
      <c r="M145" s="42">
        <v>43725</v>
      </c>
      <c r="N145" s="43" t="s">
        <v>5463</v>
      </c>
      <c r="O145" s="42">
        <v>43730</v>
      </c>
      <c r="P145" s="45"/>
      <c r="Q145" s="66" t="s">
        <v>5466</v>
      </c>
      <c r="R145" s="66" t="s">
        <v>211</v>
      </c>
      <c r="S145" s="38" t="s">
        <v>5468</v>
      </c>
    </row>
    <row r="146" spans="1:19" s="32" customFormat="1" ht="33" customHeight="1">
      <c r="B146" s="46" t="s">
        <v>5451</v>
      </c>
      <c r="C146" s="35" t="s">
        <v>212</v>
      </c>
      <c r="D146" s="190" t="s">
        <v>2444</v>
      </c>
      <c r="E146" s="37">
        <v>43602</v>
      </c>
      <c r="F146" s="38" t="s">
        <v>228</v>
      </c>
      <c r="G146" s="39">
        <v>640</v>
      </c>
      <c r="H146" s="38">
        <f t="shared" si="13"/>
        <v>32</v>
      </c>
      <c r="I146" s="38">
        <f t="shared" si="14"/>
        <v>1</v>
      </c>
      <c r="J146" s="38"/>
      <c r="K146" s="40">
        <v>43779</v>
      </c>
      <c r="L146" s="41" t="s">
        <v>4816</v>
      </c>
      <c r="M146" s="42">
        <v>43774</v>
      </c>
      <c r="N146" s="43" t="s">
        <v>4815</v>
      </c>
      <c r="O146" s="42">
        <v>43779</v>
      </c>
      <c r="P146" s="45"/>
      <c r="Q146" s="38" t="s">
        <v>4823</v>
      </c>
      <c r="R146" s="66" t="s">
        <v>211</v>
      </c>
      <c r="S146" s="38"/>
    </row>
    <row r="147" spans="1:19" s="32" customFormat="1" ht="33" customHeight="1">
      <c r="B147" s="122" t="s">
        <v>5451</v>
      </c>
      <c r="C147" s="126" t="s">
        <v>2531</v>
      </c>
      <c r="D147" s="187" t="s">
        <v>4426</v>
      </c>
      <c r="E147" s="37">
        <v>43665</v>
      </c>
      <c r="F147" s="38" t="s">
        <v>228</v>
      </c>
      <c r="G147" s="39">
        <v>1920</v>
      </c>
      <c r="H147" s="38">
        <f t="shared" si="13"/>
        <v>96</v>
      </c>
      <c r="I147" s="38">
        <f t="shared" si="14"/>
        <v>3</v>
      </c>
      <c r="J147" s="38"/>
      <c r="K147" s="40">
        <v>43751</v>
      </c>
      <c r="L147" s="41" t="s">
        <v>4475</v>
      </c>
      <c r="M147" s="42">
        <v>43746</v>
      </c>
      <c r="N147" s="43" t="s">
        <v>4469</v>
      </c>
      <c r="O147" s="42">
        <v>43751</v>
      </c>
      <c r="P147" s="45"/>
      <c r="Q147" s="38" t="s">
        <v>4818</v>
      </c>
      <c r="R147" s="66" t="s">
        <v>211</v>
      </c>
      <c r="S147" s="38"/>
    </row>
    <row r="148" spans="1:19" s="32" customFormat="1" ht="33" customHeight="1">
      <c r="B148" s="122" t="s">
        <v>5451</v>
      </c>
      <c r="C148" s="126" t="s">
        <v>5417</v>
      </c>
      <c r="D148" s="187" t="s">
        <v>5450</v>
      </c>
      <c r="E148" s="37">
        <v>43700</v>
      </c>
      <c r="F148" s="38" t="s">
        <v>228</v>
      </c>
      <c r="G148" s="39">
        <v>640</v>
      </c>
      <c r="H148" s="38">
        <f t="shared" si="13"/>
        <v>32</v>
      </c>
      <c r="I148" s="38">
        <f t="shared" si="14"/>
        <v>1</v>
      </c>
      <c r="J148" s="38"/>
      <c r="K148" s="40">
        <v>43765</v>
      </c>
      <c r="L148" s="41" t="s">
        <v>4477</v>
      </c>
      <c r="M148" s="42">
        <v>43760</v>
      </c>
      <c r="N148" s="43" t="s">
        <v>4549</v>
      </c>
      <c r="O148" s="42">
        <v>43765</v>
      </c>
      <c r="P148" s="45"/>
      <c r="Q148" s="38" t="s">
        <v>5441</v>
      </c>
      <c r="R148" s="66" t="s">
        <v>211</v>
      </c>
      <c r="S148" s="38"/>
    </row>
    <row r="149" spans="1:19" s="32" customFormat="1" ht="33" customHeight="1">
      <c r="B149" s="122" t="s">
        <v>5452</v>
      </c>
      <c r="C149" s="126" t="s">
        <v>5418</v>
      </c>
      <c r="D149" s="187" t="s">
        <v>5453</v>
      </c>
      <c r="E149" s="37">
        <v>43700</v>
      </c>
      <c r="F149" s="38" t="s">
        <v>228</v>
      </c>
      <c r="G149" s="39">
        <v>1280</v>
      </c>
      <c r="H149" s="38">
        <f t="shared" si="13"/>
        <v>64</v>
      </c>
      <c r="I149" s="38">
        <f t="shared" si="14"/>
        <v>2</v>
      </c>
      <c r="J149" s="38"/>
      <c r="K149" s="40">
        <v>43793</v>
      </c>
      <c r="L149" s="41" t="s">
        <v>5439</v>
      </c>
      <c r="M149" s="42">
        <v>43788</v>
      </c>
      <c r="N149" s="43" t="s">
        <v>5440</v>
      </c>
      <c r="O149" s="42">
        <v>43793</v>
      </c>
      <c r="P149" s="45"/>
      <c r="Q149" s="38" t="s">
        <v>5443</v>
      </c>
      <c r="R149" s="66" t="s">
        <v>211</v>
      </c>
      <c r="S149" s="38"/>
    </row>
    <row r="150" spans="1:19" s="33" customFormat="1" ht="33" customHeight="1">
      <c r="A150" s="33" t="s">
        <v>2530</v>
      </c>
      <c r="B150" s="47" t="s">
        <v>86</v>
      </c>
      <c r="C150" s="48" t="s">
        <v>225</v>
      </c>
      <c r="D150" s="49" t="s">
        <v>487</v>
      </c>
      <c r="E150" s="50">
        <v>43490</v>
      </c>
      <c r="F150" s="52" t="s">
        <v>87</v>
      </c>
      <c r="G150" s="51">
        <v>1520</v>
      </c>
      <c r="H150" s="52">
        <f>SUM(G150/190)</f>
        <v>8</v>
      </c>
      <c r="I150" s="52">
        <f>SUM(H150/4)</f>
        <v>2</v>
      </c>
      <c r="J150" s="52"/>
      <c r="K150" s="53">
        <v>43569</v>
      </c>
      <c r="L150" s="54" t="s">
        <v>417</v>
      </c>
      <c r="M150" s="55">
        <v>43564</v>
      </c>
      <c r="N150" s="56" t="s">
        <v>405</v>
      </c>
      <c r="O150" s="55">
        <v>43569</v>
      </c>
      <c r="P150" s="58"/>
      <c r="Q150" s="52"/>
      <c r="R150" s="63" t="s">
        <v>495</v>
      </c>
      <c r="S150" s="47"/>
    </row>
    <row r="151" spans="1:19" s="33" customFormat="1" ht="33" customHeight="1">
      <c r="B151" s="47" t="s">
        <v>86</v>
      </c>
      <c r="C151" s="48" t="s">
        <v>226</v>
      </c>
      <c r="D151" s="49" t="s">
        <v>833</v>
      </c>
      <c r="E151" s="50">
        <v>43546</v>
      </c>
      <c r="F151" s="52" t="s">
        <v>87</v>
      </c>
      <c r="G151" s="51">
        <v>1520</v>
      </c>
      <c r="H151" s="52">
        <f>SUM(G151/190)</f>
        <v>8</v>
      </c>
      <c r="I151" s="52">
        <f>SUM(H151/4)</f>
        <v>2</v>
      </c>
      <c r="J151" s="52"/>
      <c r="K151" s="53">
        <v>43632</v>
      </c>
      <c r="L151" s="54" t="s">
        <v>838</v>
      </c>
      <c r="M151" s="55">
        <v>43627</v>
      </c>
      <c r="N151" s="56" t="s">
        <v>769</v>
      </c>
      <c r="O151" s="55">
        <v>43632</v>
      </c>
      <c r="P151" s="58"/>
      <c r="Q151" s="52"/>
      <c r="R151" s="63" t="s">
        <v>928</v>
      </c>
      <c r="S151" s="47"/>
    </row>
    <row r="152" spans="1:19" s="30" customFormat="1" ht="33" customHeight="1">
      <c r="B152" s="46" t="s">
        <v>2514</v>
      </c>
      <c r="C152" s="35" t="s">
        <v>2515</v>
      </c>
      <c r="D152" s="36" t="s">
        <v>2480</v>
      </c>
      <c r="E152" s="37">
        <v>43602</v>
      </c>
      <c r="F152" s="38" t="s">
        <v>2516</v>
      </c>
      <c r="G152" s="39">
        <v>1520</v>
      </c>
      <c r="H152" s="38">
        <v>8</v>
      </c>
      <c r="I152" s="38">
        <v>2</v>
      </c>
      <c r="J152" s="38"/>
      <c r="K152" s="40">
        <v>43702</v>
      </c>
      <c r="L152" s="41" t="s">
        <v>2512</v>
      </c>
      <c r="M152" s="42">
        <v>43697</v>
      </c>
      <c r="N152" s="43" t="s">
        <v>2499</v>
      </c>
      <c r="O152" s="42">
        <v>43702</v>
      </c>
      <c r="P152" s="45"/>
      <c r="Q152" s="38"/>
      <c r="R152" s="66" t="s">
        <v>4435</v>
      </c>
      <c r="S152" s="46"/>
    </row>
    <row r="153" spans="1:19" s="30" customFormat="1" ht="33" customHeight="1">
      <c r="B153" s="46" t="s">
        <v>2514</v>
      </c>
      <c r="C153" s="35" t="s">
        <v>285</v>
      </c>
      <c r="D153" s="36" t="s">
        <v>4436</v>
      </c>
      <c r="E153" s="37">
        <v>43665</v>
      </c>
      <c r="F153" s="38" t="s">
        <v>2516</v>
      </c>
      <c r="G153" s="39">
        <v>1520</v>
      </c>
      <c r="H153" s="38">
        <v>8</v>
      </c>
      <c r="I153" s="38">
        <v>2</v>
      </c>
      <c r="J153" s="38"/>
      <c r="K153" s="40">
        <v>43758</v>
      </c>
      <c r="L153" s="41" t="s">
        <v>4483</v>
      </c>
      <c r="M153" s="42">
        <v>43753</v>
      </c>
      <c r="N153" s="43" t="s">
        <v>4471</v>
      </c>
      <c r="O153" s="42">
        <v>43758</v>
      </c>
      <c r="P153" s="45"/>
      <c r="Q153" s="38"/>
      <c r="R153" s="66" t="s">
        <v>4437</v>
      </c>
      <c r="S153" s="46"/>
    </row>
    <row r="154" spans="1:19" s="30" customFormat="1" ht="33" customHeight="1">
      <c r="B154" s="46" t="s">
        <v>2514</v>
      </c>
      <c r="C154" s="35" t="s">
        <v>331</v>
      </c>
      <c r="D154" s="36" t="s">
        <v>4864</v>
      </c>
      <c r="E154" s="37">
        <v>43689</v>
      </c>
      <c r="F154" s="38" t="s">
        <v>2516</v>
      </c>
      <c r="G154" s="39">
        <v>1520</v>
      </c>
      <c r="H154" s="38">
        <v>8</v>
      </c>
      <c r="I154" s="38">
        <v>2</v>
      </c>
      <c r="J154" s="38"/>
      <c r="K154" s="40">
        <v>43802</v>
      </c>
      <c r="L154" s="41" t="s">
        <v>5419</v>
      </c>
      <c r="M154" s="42">
        <v>43795</v>
      </c>
      <c r="N154" s="43" t="s">
        <v>5430</v>
      </c>
      <c r="O154" s="42">
        <v>43800</v>
      </c>
      <c r="P154" s="45"/>
      <c r="Q154" s="38"/>
      <c r="R154" s="66" t="s">
        <v>5420</v>
      </c>
      <c r="S154" s="46"/>
    </row>
    <row r="155" spans="1:19" s="33" customFormat="1" ht="33" customHeight="1">
      <c r="B155" s="47" t="s">
        <v>238</v>
      </c>
      <c r="C155" s="48" t="s">
        <v>274</v>
      </c>
      <c r="D155" s="49" t="s">
        <v>474</v>
      </c>
      <c r="E155" s="50"/>
      <c r="F155" s="52" t="s">
        <v>236</v>
      </c>
      <c r="G155" s="51">
        <v>3200</v>
      </c>
      <c r="H155" s="52">
        <f t="shared" ref="H155:H166" si="15">SUM(G155/200)</f>
        <v>16</v>
      </c>
      <c r="I155" s="52">
        <f t="shared" ref="I155:I166" si="16">SUM(H155/4)</f>
        <v>4</v>
      </c>
      <c r="J155" s="52"/>
      <c r="K155" s="53">
        <v>43562</v>
      </c>
      <c r="L155" s="54" t="s">
        <v>406</v>
      </c>
      <c r="M155" s="55">
        <v>43557</v>
      </c>
      <c r="N155" s="56" t="s">
        <v>403</v>
      </c>
      <c r="O155" s="55">
        <v>43562</v>
      </c>
      <c r="P155" s="58"/>
      <c r="Q155" s="52"/>
      <c r="R155" s="63"/>
      <c r="S155" s="47"/>
    </row>
    <row r="156" spans="1:19" s="33" customFormat="1" ht="33" customHeight="1">
      <c r="B156" s="47" t="s">
        <v>238</v>
      </c>
      <c r="C156" s="48" t="s">
        <v>404</v>
      </c>
      <c r="D156" s="49" t="s">
        <v>475</v>
      </c>
      <c r="E156" s="50"/>
      <c r="F156" s="52" t="s">
        <v>236</v>
      </c>
      <c r="G156" s="51">
        <v>1600</v>
      </c>
      <c r="H156" s="52">
        <f t="shared" si="15"/>
        <v>8</v>
      </c>
      <c r="I156" s="52">
        <f t="shared" si="16"/>
        <v>2</v>
      </c>
      <c r="J156" s="52"/>
      <c r="K156" s="53">
        <v>43562</v>
      </c>
      <c r="L156" s="54" t="s">
        <v>407</v>
      </c>
      <c r="M156" s="55">
        <v>43564</v>
      </c>
      <c r="N156" s="56" t="s">
        <v>405</v>
      </c>
      <c r="O156" s="55">
        <v>43569</v>
      </c>
      <c r="P156" s="58"/>
      <c r="Q156" s="52"/>
      <c r="R156" s="63"/>
      <c r="S156" s="47"/>
    </row>
    <row r="157" spans="1:19" s="33" customFormat="1" ht="33" customHeight="1">
      <c r="B157" s="47" t="s">
        <v>238</v>
      </c>
      <c r="C157" s="48" t="s">
        <v>490</v>
      </c>
      <c r="D157" s="49" t="s">
        <v>488</v>
      </c>
      <c r="E157" s="50">
        <v>43495</v>
      </c>
      <c r="F157" s="52" t="s">
        <v>236</v>
      </c>
      <c r="G157" s="51">
        <v>1600</v>
      </c>
      <c r="H157" s="52">
        <f t="shared" si="15"/>
        <v>8</v>
      </c>
      <c r="I157" s="52">
        <f t="shared" si="16"/>
        <v>2</v>
      </c>
      <c r="J157" s="52"/>
      <c r="K157" s="53">
        <v>43583</v>
      </c>
      <c r="L157" s="54" t="s">
        <v>481</v>
      </c>
      <c r="M157" s="55">
        <v>43578</v>
      </c>
      <c r="N157" s="56" t="s">
        <v>447</v>
      </c>
      <c r="O157" s="55">
        <v>43583</v>
      </c>
      <c r="P157" s="58"/>
      <c r="Q157" s="52"/>
      <c r="R157" s="63"/>
      <c r="S157" s="47"/>
    </row>
    <row r="158" spans="1:19" s="33" customFormat="1" ht="33" customHeight="1">
      <c r="B158" s="47" t="s">
        <v>238</v>
      </c>
      <c r="C158" s="48" t="s">
        <v>597</v>
      </c>
      <c r="D158" s="49" t="s">
        <v>598</v>
      </c>
      <c r="E158" s="50">
        <v>43519</v>
      </c>
      <c r="F158" s="52" t="s">
        <v>236</v>
      </c>
      <c r="G158" s="51">
        <v>1600</v>
      </c>
      <c r="H158" s="52">
        <f t="shared" si="15"/>
        <v>8</v>
      </c>
      <c r="I158" s="52">
        <f t="shared" si="16"/>
        <v>2</v>
      </c>
      <c r="J158" s="52"/>
      <c r="K158" s="53">
        <v>43597</v>
      </c>
      <c r="L158" s="54" t="s">
        <v>606</v>
      </c>
      <c r="M158" s="55">
        <v>43592</v>
      </c>
      <c r="N158" s="56" t="s">
        <v>600</v>
      </c>
      <c r="O158" s="55">
        <v>43597</v>
      </c>
      <c r="P158" s="58"/>
      <c r="Q158" s="52"/>
      <c r="R158" s="63"/>
      <c r="S158" s="47"/>
    </row>
    <row r="159" spans="1:19" s="33" customFormat="1" ht="33" customHeight="1">
      <c r="B159" s="47" t="s">
        <v>238</v>
      </c>
      <c r="C159" s="48" t="s">
        <v>1085</v>
      </c>
      <c r="D159" s="49" t="s">
        <v>598</v>
      </c>
      <c r="E159" s="50">
        <v>43519</v>
      </c>
      <c r="F159" s="52" t="s">
        <v>236</v>
      </c>
      <c r="G159" s="51">
        <v>1600</v>
      </c>
      <c r="H159" s="52">
        <f t="shared" si="15"/>
        <v>8</v>
      </c>
      <c r="I159" s="52">
        <f t="shared" si="16"/>
        <v>2</v>
      </c>
      <c r="J159" s="52"/>
      <c r="K159" s="53">
        <v>43597</v>
      </c>
      <c r="L159" s="54" t="s">
        <v>1086</v>
      </c>
      <c r="M159" s="55">
        <v>43606</v>
      </c>
      <c r="N159" s="56" t="s">
        <v>599</v>
      </c>
      <c r="O159" s="55">
        <v>43613</v>
      </c>
      <c r="P159" s="58"/>
      <c r="Q159" s="52"/>
      <c r="R159" s="63"/>
      <c r="S159" s="47"/>
    </row>
    <row r="160" spans="1:19" s="33" customFormat="1" ht="33" customHeight="1">
      <c r="B160" s="47" t="s">
        <v>238</v>
      </c>
      <c r="C160" s="48" t="s">
        <v>226</v>
      </c>
      <c r="D160" s="49" t="s">
        <v>749</v>
      </c>
      <c r="E160" s="50">
        <v>43532</v>
      </c>
      <c r="F160" s="52" t="s">
        <v>236</v>
      </c>
      <c r="G160" s="51">
        <v>3200</v>
      </c>
      <c r="H160" s="52">
        <f t="shared" si="15"/>
        <v>16</v>
      </c>
      <c r="I160" s="52">
        <f t="shared" si="16"/>
        <v>4</v>
      </c>
      <c r="J160" s="52"/>
      <c r="K160" s="53">
        <v>43625</v>
      </c>
      <c r="L160" s="54" t="s">
        <v>2538</v>
      </c>
      <c r="M160" s="55">
        <v>43627</v>
      </c>
      <c r="N160" s="56" t="s">
        <v>808</v>
      </c>
      <c r="O160" s="55">
        <v>43632</v>
      </c>
      <c r="P160" s="58"/>
      <c r="Q160" s="52"/>
      <c r="R160" s="63"/>
      <c r="S160" s="47" t="s">
        <v>2539</v>
      </c>
    </row>
    <row r="161" spans="2:19" s="33" customFormat="1" ht="33" customHeight="1">
      <c r="B161" s="47" t="s">
        <v>238</v>
      </c>
      <c r="C161" s="48" t="s">
        <v>233</v>
      </c>
      <c r="D161" s="49" t="s">
        <v>750</v>
      </c>
      <c r="E161" s="50">
        <v>43532</v>
      </c>
      <c r="F161" s="52" t="s">
        <v>236</v>
      </c>
      <c r="G161" s="51">
        <v>3200</v>
      </c>
      <c r="H161" s="52">
        <f t="shared" si="15"/>
        <v>16</v>
      </c>
      <c r="I161" s="52">
        <f t="shared" si="16"/>
        <v>4</v>
      </c>
      <c r="J161" s="52"/>
      <c r="K161" s="53">
        <v>43646</v>
      </c>
      <c r="L161" s="54" t="s">
        <v>778</v>
      </c>
      <c r="M161" s="55">
        <v>43641</v>
      </c>
      <c r="N161" s="56" t="s">
        <v>776</v>
      </c>
      <c r="O161" s="55">
        <v>43646</v>
      </c>
      <c r="P161" s="58"/>
      <c r="Q161" s="52"/>
      <c r="R161" s="63"/>
      <c r="S161" s="47"/>
    </row>
    <row r="162" spans="2:19" s="33" customFormat="1" ht="33" customHeight="1">
      <c r="B162" s="47" t="s">
        <v>238</v>
      </c>
      <c r="C162" s="48" t="s">
        <v>285</v>
      </c>
      <c r="D162" s="49" t="s">
        <v>1305</v>
      </c>
      <c r="E162" s="50">
        <v>43567</v>
      </c>
      <c r="F162" s="52" t="s">
        <v>236</v>
      </c>
      <c r="G162" s="51">
        <v>3200</v>
      </c>
      <c r="H162" s="52">
        <f t="shared" si="15"/>
        <v>16</v>
      </c>
      <c r="I162" s="52">
        <f t="shared" si="16"/>
        <v>4</v>
      </c>
      <c r="J162" s="52"/>
      <c r="K162" s="53">
        <v>43660</v>
      </c>
      <c r="L162" s="54" t="s">
        <v>1327</v>
      </c>
      <c r="M162" s="55">
        <v>43655</v>
      </c>
      <c r="N162" s="56" t="s">
        <v>1315</v>
      </c>
      <c r="O162" s="55">
        <v>43660</v>
      </c>
      <c r="P162" s="58"/>
      <c r="Q162" s="52"/>
      <c r="R162" s="63"/>
      <c r="S162" s="47"/>
    </row>
    <row r="163" spans="2:19" s="33" customFormat="1" ht="33" customHeight="1">
      <c r="B163" s="47" t="s">
        <v>238</v>
      </c>
      <c r="C163" s="48" t="s">
        <v>331</v>
      </c>
      <c r="D163" s="49" t="s">
        <v>1306</v>
      </c>
      <c r="E163" s="50">
        <v>43567</v>
      </c>
      <c r="F163" s="52" t="s">
        <v>236</v>
      </c>
      <c r="G163" s="51">
        <v>3200</v>
      </c>
      <c r="H163" s="52">
        <f t="shared" si="15"/>
        <v>16</v>
      </c>
      <c r="I163" s="52">
        <f t="shared" si="16"/>
        <v>4</v>
      </c>
      <c r="J163" s="52"/>
      <c r="K163" s="53">
        <v>43674</v>
      </c>
      <c r="L163" s="54" t="s">
        <v>1324</v>
      </c>
      <c r="M163" s="55">
        <v>43669</v>
      </c>
      <c r="N163" s="56" t="s">
        <v>1313</v>
      </c>
      <c r="O163" s="55">
        <v>43674</v>
      </c>
      <c r="P163" s="58"/>
      <c r="Q163" s="52"/>
      <c r="R163" s="63"/>
      <c r="S163" s="47"/>
    </row>
    <row r="164" spans="2:19" s="30" customFormat="1" ht="33" customHeight="1">
      <c r="B164" s="46" t="s">
        <v>3578</v>
      </c>
      <c r="C164" s="35" t="s">
        <v>431</v>
      </c>
      <c r="D164" s="36" t="s">
        <v>3536</v>
      </c>
      <c r="E164" s="37">
        <v>43637</v>
      </c>
      <c r="F164" s="38" t="s">
        <v>236</v>
      </c>
      <c r="G164" s="39">
        <v>3200</v>
      </c>
      <c r="H164" s="38">
        <f t="shared" si="15"/>
        <v>16</v>
      </c>
      <c r="I164" s="38">
        <f t="shared" si="16"/>
        <v>4</v>
      </c>
      <c r="J164" s="38"/>
      <c r="K164" s="40">
        <v>43730</v>
      </c>
      <c r="L164" s="41" t="s">
        <v>3571</v>
      </c>
      <c r="M164" s="42">
        <v>43725</v>
      </c>
      <c r="N164" s="43" t="s">
        <v>2546</v>
      </c>
      <c r="O164" s="42">
        <v>43730</v>
      </c>
      <c r="P164" s="45"/>
      <c r="Q164" s="38"/>
      <c r="R164" s="66"/>
      <c r="S164" s="46"/>
    </row>
    <row r="165" spans="2:19" s="30" customFormat="1" ht="33" customHeight="1">
      <c r="B165" s="46" t="s">
        <v>3578</v>
      </c>
      <c r="C165" s="35" t="s">
        <v>523</v>
      </c>
      <c r="D165" s="36" t="s">
        <v>4452</v>
      </c>
      <c r="E165" s="37">
        <v>43665</v>
      </c>
      <c r="F165" s="38" t="s">
        <v>236</v>
      </c>
      <c r="G165" s="39">
        <v>3200</v>
      </c>
      <c r="H165" s="38">
        <f t="shared" si="15"/>
        <v>16</v>
      </c>
      <c r="I165" s="38">
        <f t="shared" si="16"/>
        <v>4</v>
      </c>
      <c r="J165" s="38"/>
      <c r="K165" s="40">
        <v>43751</v>
      </c>
      <c r="L165" s="41" t="s">
        <v>4482</v>
      </c>
      <c r="M165" s="42">
        <v>43746</v>
      </c>
      <c r="N165" s="43" t="s">
        <v>4469</v>
      </c>
      <c r="O165" s="42">
        <v>43751</v>
      </c>
      <c r="P165" s="45"/>
      <c r="Q165" s="38"/>
      <c r="R165" s="66"/>
      <c r="S165" s="46"/>
    </row>
    <row r="166" spans="2:19" s="30" customFormat="1" ht="33" customHeight="1">
      <c r="B166" s="46" t="s">
        <v>3578</v>
      </c>
      <c r="C166" s="35" t="s">
        <v>589</v>
      </c>
      <c r="D166" s="36" t="s">
        <v>4835</v>
      </c>
      <c r="E166" s="37">
        <v>43689</v>
      </c>
      <c r="F166" s="38" t="s">
        <v>236</v>
      </c>
      <c r="G166" s="39">
        <v>2400</v>
      </c>
      <c r="H166" s="38">
        <f t="shared" si="15"/>
        <v>12</v>
      </c>
      <c r="I166" s="38">
        <f t="shared" si="16"/>
        <v>3</v>
      </c>
      <c r="J166" s="38"/>
      <c r="K166" s="40">
        <v>43779</v>
      </c>
      <c r="L166" s="41" t="s">
        <v>5421</v>
      </c>
      <c r="M166" s="42">
        <v>43774</v>
      </c>
      <c r="N166" s="43" t="s">
        <v>4815</v>
      </c>
      <c r="O166" s="42">
        <v>43779</v>
      </c>
      <c r="P166" s="45"/>
      <c r="Q166" s="38"/>
      <c r="R166" s="66"/>
      <c r="S166" s="46"/>
    </row>
    <row r="167" spans="2:19" ht="22.2">
      <c r="F167" s="177"/>
      <c r="L167" s="176"/>
      <c r="M167" s="177"/>
      <c r="N167" s="177"/>
      <c r="O167"/>
      <c r="P167" s="13"/>
      <c r="R167" s="19"/>
      <c r="S167" s="28"/>
    </row>
    <row r="168" spans="2:19" ht="22.2">
      <c r="F168" s="177"/>
      <c r="L168" s="176"/>
      <c r="M168" s="177"/>
      <c r="N168" s="177"/>
      <c r="O168"/>
      <c r="P168" s="13"/>
      <c r="R168" s="19"/>
      <c r="S168" s="28"/>
    </row>
    <row r="169" spans="2:19" hidden="1">
      <c r="E169" s="175"/>
      <c r="L169" s="11"/>
      <c r="M169"/>
      <c r="N169"/>
      <c r="O169"/>
      <c r="P169" s="13"/>
      <c r="R169" s="19"/>
      <c r="S169" s="28"/>
    </row>
    <row r="170" spans="2:19" s="19" customFormat="1" hidden="1">
      <c r="B170"/>
      <c r="C170" s="15"/>
      <c r="D170" s="1"/>
      <c r="L170" s="178" t="s">
        <v>1825</v>
      </c>
      <c r="M170" s="178" t="s">
        <v>1826</v>
      </c>
      <c r="N170" s="178" t="s">
        <v>1827</v>
      </c>
      <c r="O170" s="178" t="s">
        <v>1828</v>
      </c>
      <c r="P170" s="179" t="s">
        <v>1829</v>
      </c>
      <c r="Q170" s="179" t="s">
        <v>1830</v>
      </c>
      <c r="R170" s="179" t="s">
        <v>1831</v>
      </c>
      <c r="S170" s="179"/>
    </row>
    <row r="171" spans="2:19" s="19" customFormat="1" hidden="1">
      <c r="B171"/>
      <c r="C171" s="15"/>
      <c r="D171" s="1"/>
      <c r="L171" s="180" t="s">
        <v>1832</v>
      </c>
      <c r="M171" s="181" t="s">
        <v>1833</v>
      </c>
      <c r="N171" s="181" t="s">
        <v>1834</v>
      </c>
      <c r="O171" s="182" t="s">
        <v>1835</v>
      </c>
      <c r="P171" s="183">
        <v>1000</v>
      </c>
      <c r="Q171" s="183">
        <v>4</v>
      </c>
      <c r="R171" s="184">
        <v>43598</v>
      </c>
      <c r="S171" s="181" t="s">
        <v>99</v>
      </c>
    </row>
    <row r="172" spans="2:19" s="19" customFormat="1" hidden="1">
      <c r="B172"/>
      <c r="C172" s="15"/>
      <c r="D172" s="1"/>
      <c r="L172" s="180" t="s">
        <v>1832</v>
      </c>
      <c r="M172" s="181" t="s">
        <v>1836</v>
      </c>
      <c r="N172" s="181" t="s">
        <v>1834</v>
      </c>
      <c r="O172" s="182" t="s">
        <v>1835</v>
      </c>
      <c r="P172" s="183">
        <v>6000</v>
      </c>
      <c r="Q172" s="183">
        <v>24</v>
      </c>
      <c r="R172" s="184">
        <v>43598</v>
      </c>
      <c r="S172" s="181" t="s">
        <v>99</v>
      </c>
    </row>
    <row r="173" spans="2:19" s="19" customFormat="1" hidden="1">
      <c r="B173"/>
      <c r="C173" s="15"/>
      <c r="D173" s="1"/>
      <c r="L173" s="180" t="s">
        <v>1832</v>
      </c>
      <c r="M173" s="181" t="s">
        <v>1837</v>
      </c>
      <c r="N173" s="181" t="s">
        <v>1834</v>
      </c>
      <c r="O173" s="182" t="s">
        <v>1835</v>
      </c>
      <c r="P173" s="183">
        <v>5000</v>
      </c>
      <c r="Q173" s="183">
        <v>20</v>
      </c>
      <c r="R173" s="185" t="s">
        <v>1838</v>
      </c>
      <c r="S173" s="180" t="s">
        <v>1839</v>
      </c>
    </row>
    <row r="174" spans="2:19" s="19" customFormat="1" hidden="1">
      <c r="B174"/>
      <c r="C174" s="15"/>
      <c r="D174" s="1"/>
      <c r="L174" s="180" t="s">
        <v>1832</v>
      </c>
      <c r="M174" s="181" t="s">
        <v>1840</v>
      </c>
      <c r="N174" s="181" t="s">
        <v>1834</v>
      </c>
      <c r="O174" s="182" t="s">
        <v>1835</v>
      </c>
      <c r="P174" s="183">
        <v>5000</v>
      </c>
      <c r="Q174" s="183">
        <v>20</v>
      </c>
      <c r="R174" s="184">
        <v>43605</v>
      </c>
      <c r="S174" s="181" t="s">
        <v>99</v>
      </c>
    </row>
    <row r="175" spans="2:19" s="19" customFormat="1" hidden="1">
      <c r="B175"/>
      <c r="C175" s="15"/>
      <c r="D175" s="1"/>
      <c r="L175" s="180" t="s">
        <v>1832</v>
      </c>
      <c r="M175" s="181" t="s">
        <v>1841</v>
      </c>
      <c r="N175" s="181" t="s">
        <v>1834</v>
      </c>
      <c r="O175" s="182" t="s">
        <v>1835</v>
      </c>
      <c r="P175" s="183">
        <v>7000</v>
      </c>
      <c r="Q175" s="183">
        <v>28</v>
      </c>
      <c r="R175" s="184">
        <v>43605</v>
      </c>
      <c r="S175" s="181" t="s">
        <v>99</v>
      </c>
    </row>
    <row r="176" spans="2:19" hidden="1">
      <c r="L176" s="180" t="s">
        <v>1842</v>
      </c>
      <c r="M176" s="181" t="s">
        <v>1843</v>
      </c>
      <c r="N176" s="181" t="s">
        <v>1844</v>
      </c>
      <c r="O176" s="182" t="s">
        <v>1835</v>
      </c>
      <c r="P176" s="183">
        <v>2000</v>
      </c>
      <c r="Q176" s="183">
        <v>8</v>
      </c>
      <c r="R176" s="184">
        <v>43598</v>
      </c>
      <c r="S176" s="181" t="s">
        <v>99</v>
      </c>
    </row>
    <row r="177" spans="12:19" hidden="1">
      <c r="L177" s="180" t="s">
        <v>1842</v>
      </c>
      <c r="M177" s="181" t="s">
        <v>1845</v>
      </c>
      <c r="N177" s="181" t="s">
        <v>1844</v>
      </c>
      <c r="O177" s="182" t="s">
        <v>1835</v>
      </c>
      <c r="P177" s="183">
        <v>2000</v>
      </c>
      <c r="Q177" s="183">
        <v>8</v>
      </c>
      <c r="R177" s="184">
        <v>43598</v>
      </c>
      <c r="S177" s="181" t="s">
        <v>99</v>
      </c>
    </row>
    <row r="178" spans="12:19" hidden="1">
      <c r="L178" s="180" t="s">
        <v>1842</v>
      </c>
      <c r="M178" s="181" t="s">
        <v>1846</v>
      </c>
      <c r="N178" s="181" t="s">
        <v>1844</v>
      </c>
      <c r="O178" s="182" t="s">
        <v>1835</v>
      </c>
      <c r="P178" s="183">
        <v>10000</v>
      </c>
      <c r="Q178" s="183">
        <v>40</v>
      </c>
      <c r="R178" s="184">
        <v>43598</v>
      </c>
      <c r="S178" s="181" t="s">
        <v>99</v>
      </c>
    </row>
    <row r="179" spans="12:19" hidden="1">
      <c r="L179" s="180" t="s">
        <v>1842</v>
      </c>
      <c r="M179" s="181" t="s">
        <v>1847</v>
      </c>
      <c r="N179" s="181" t="s">
        <v>1844</v>
      </c>
      <c r="O179" s="182" t="s">
        <v>1835</v>
      </c>
      <c r="P179" s="183">
        <v>8000</v>
      </c>
      <c r="Q179" s="183">
        <v>32</v>
      </c>
      <c r="R179" s="184">
        <v>43598</v>
      </c>
      <c r="S179" s="180"/>
    </row>
    <row r="180" spans="12:19" hidden="1">
      <c r="L180" s="180" t="s">
        <v>1842</v>
      </c>
      <c r="M180" s="181" t="s">
        <v>1848</v>
      </c>
      <c r="N180" s="181" t="s">
        <v>1844</v>
      </c>
      <c r="O180" s="182" t="s">
        <v>1835</v>
      </c>
      <c r="P180" s="183">
        <v>10000</v>
      </c>
      <c r="Q180" s="183">
        <v>40</v>
      </c>
      <c r="R180" s="185" t="s">
        <v>1849</v>
      </c>
      <c r="S180" s="180" t="s">
        <v>1839</v>
      </c>
    </row>
    <row r="181" spans="12:19" hidden="1">
      <c r="L181" s="182" t="s">
        <v>1850</v>
      </c>
      <c r="M181" s="181" t="s">
        <v>1851</v>
      </c>
      <c r="N181" s="181" t="s">
        <v>1834</v>
      </c>
      <c r="O181" s="182" t="s">
        <v>1852</v>
      </c>
      <c r="P181" s="183">
        <v>5000</v>
      </c>
      <c r="Q181" s="183">
        <v>20</v>
      </c>
      <c r="R181" s="184">
        <v>43605</v>
      </c>
      <c r="S181" s="181" t="s">
        <v>99</v>
      </c>
    </row>
    <row r="182" spans="12:19" hidden="1">
      <c r="L182" s="180" t="s">
        <v>1842</v>
      </c>
      <c r="M182" s="181" t="s">
        <v>1851</v>
      </c>
      <c r="N182" s="181" t="s">
        <v>1844</v>
      </c>
      <c r="O182" s="182" t="s">
        <v>1835</v>
      </c>
      <c r="P182" s="183">
        <v>2000</v>
      </c>
      <c r="Q182" s="183">
        <v>8</v>
      </c>
      <c r="R182" s="184">
        <v>43605</v>
      </c>
      <c r="S182" s="181" t="s">
        <v>99</v>
      </c>
    </row>
    <row r="183" spans="12:19" hidden="1">
      <c r="L183" s="182" t="s">
        <v>1850</v>
      </c>
      <c r="M183" s="181" t="s">
        <v>1855</v>
      </c>
      <c r="N183" s="181" t="s">
        <v>1834</v>
      </c>
      <c r="O183" s="182" t="s">
        <v>1852</v>
      </c>
      <c r="P183" s="183">
        <v>6000</v>
      </c>
      <c r="Q183" s="183">
        <v>24</v>
      </c>
      <c r="R183" s="184">
        <v>43605</v>
      </c>
      <c r="S183" s="181" t="s">
        <v>99</v>
      </c>
    </row>
    <row r="184" spans="12:19" hidden="1">
      <c r="L184" s="182" t="s">
        <v>1850</v>
      </c>
      <c r="M184" s="181" t="s">
        <v>1856</v>
      </c>
      <c r="N184" s="181" t="s">
        <v>1834</v>
      </c>
      <c r="O184" s="182" t="s">
        <v>1852</v>
      </c>
      <c r="P184" s="183">
        <v>6000</v>
      </c>
      <c r="Q184" s="183">
        <v>24</v>
      </c>
      <c r="R184" s="185">
        <v>43605</v>
      </c>
      <c r="S184" s="180"/>
    </row>
    <row r="185" spans="12:19" hidden="1">
      <c r="L185" s="182" t="s">
        <v>1850</v>
      </c>
      <c r="M185" s="181" t="s">
        <v>1857</v>
      </c>
      <c r="N185" s="181" t="s">
        <v>1834</v>
      </c>
      <c r="O185" s="182" t="s">
        <v>1852</v>
      </c>
      <c r="P185" s="183">
        <v>6000</v>
      </c>
      <c r="Q185" s="183">
        <v>24</v>
      </c>
      <c r="R185" s="184" t="s">
        <v>5424</v>
      </c>
      <c r="S185" s="181" t="s">
        <v>2138</v>
      </c>
    </row>
    <row r="188" spans="12:19" ht="16.2">
      <c r="L188" s="186"/>
    </row>
    <row r="189" spans="12:19" ht="16.2">
      <c r="L189" s="186"/>
    </row>
    <row r="190" spans="12:19" ht="16.2">
      <c r="L190" s="186"/>
    </row>
    <row r="191" spans="12:19">
      <c r="Q191" t="s">
        <v>5426</v>
      </c>
    </row>
  </sheetData>
  <autoFilter ref="B2:R168" xr:uid="{00000000-0009-0000-0000-000009000000}">
    <sortState ref="B89:R144">
      <sortCondition descending="1" ref="L2:L148"/>
    </sortState>
  </autoFilter>
  <phoneticPr fontId="1"/>
  <pageMargins left="0.23622047244094491" right="0.23622047244094491" top="0.35433070866141736" bottom="0.35433070866141736" header="0.31496062992125984" footer="0.31496062992125984"/>
  <pageSetup paperSize="9" scale="44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74">
    <pageSetUpPr fitToPage="1"/>
  </sheetPr>
  <dimension ref="A1:S191"/>
  <sheetViews>
    <sheetView zoomScale="77" zoomScaleNormal="77" workbookViewId="0">
      <pane xSplit="1" ySplit="2" topLeftCell="B33" activePane="bottomRight" state="frozen"/>
      <selection pane="topRight" activeCell="B1" sqref="B1"/>
      <selection pane="bottomLeft" activeCell="A3" sqref="A3"/>
      <selection pane="bottomRight" activeCell="B35" sqref="B35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7.12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B2" s="194"/>
      <c r="C2" s="14" t="s">
        <v>9</v>
      </c>
      <c r="D2" s="5" t="s">
        <v>0</v>
      </c>
      <c r="E2" s="6" t="s">
        <v>93</v>
      </c>
      <c r="F2" s="6" t="s">
        <v>11</v>
      </c>
      <c r="G2" s="10" t="s">
        <v>1</v>
      </c>
      <c r="H2" s="6" t="s">
        <v>15</v>
      </c>
      <c r="I2" s="6" t="s">
        <v>16</v>
      </c>
      <c r="J2" s="6" t="s">
        <v>95</v>
      </c>
      <c r="K2" s="12" t="s">
        <v>7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85</v>
      </c>
      <c r="Q2" s="6" t="s">
        <v>8</v>
      </c>
      <c r="R2" s="16" t="s">
        <v>6</v>
      </c>
      <c r="S2" s="16" t="s">
        <v>80</v>
      </c>
    </row>
    <row r="3" spans="2:19" s="33" customFormat="1" ht="33" customHeight="1">
      <c r="B3" s="47" t="s">
        <v>220</v>
      </c>
      <c r="C3" s="48" t="s">
        <v>377</v>
      </c>
      <c r="D3" s="49" t="s">
        <v>378</v>
      </c>
      <c r="E3" s="50">
        <v>43455</v>
      </c>
      <c r="F3" s="49" t="s">
        <v>91</v>
      </c>
      <c r="G3" s="51">
        <v>14000</v>
      </c>
      <c r="H3" s="52">
        <f t="shared" ref="H3:H48" si="0">SUM(G3/250)</f>
        <v>56</v>
      </c>
      <c r="I3" s="52">
        <f t="shared" ref="I3:I66" si="1">SUM(H3/4)</f>
        <v>14</v>
      </c>
      <c r="J3" s="49"/>
      <c r="K3" s="53">
        <v>43548</v>
      </c>
      <c r="L3" s="54" t="s">
        <v>802</v>
      </c>
      <c r="M3" s="55">
        <v>43563</v>
      </c>
      <c r="N3" s="56" t="s">
        <v>438</v>
      </c>
      <c r="O3" s="55">
        <v>43569</v>
      </c>
      <c r="P3" s="54" t="s">
        <v>839</v>
      </c>
      <c r="Q3" s="49"/>
      <c r="R3" s="57" t="s">
        <v>379</v>
      </c>
      <c r="S3" s="47"/>
    </row>
    <row r="4" spans="2:19" s="33" customFormat="1" ht="33" customHeight="1">
      <c r="B4" s="47" t="s">
        <v>220</v>
      </c>
      <c r="C4" s="48" t="s">
        <v>421</v>
      </c>
      <c r="D4" s="49" t="s">
        <v>453</v>
      </c>
      <c r="E4" s="50">
        <v>43483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43576</v>
      </c>
      <c r="L4" s="54" t="s">
        <v>443</v>
      </c>
      <c r="M4" s="55">
        <v>43570</v>
      </c>
      <c r="N4" s="56" t="s">
        <v>440</v>
      </c>
      <c r="O4" s="55">
        <v>43576</v>
      </c>
      <c r="P4" s="54" t="s">
        <v>981</v>
      </c>
      <c r="Q4" s="49"/>
      <c r="R4" s="57" t="s">
        <v>454</v>
      </c>
      <c r="S4" s="47"/>
    </row>
    <row r="5" spans="2:19" s="33" customFormat="1" ht="33" customHeight="1">
      <c r="B5" s="47" t="s">
        <v>78</v>
      </c>
      <c r="C5" s="48" t="s">
        <v>422</v>
      </c>
      <c r="D5" s="49" t="s">
        <v>455</v>
      </c>
      <c r="E5" s="50">
        <v>43483</v>
      </c>
      <c r="F5" s="49" t="s">
        <v>91</v>
      </c>
      <c r="G5" s="51">
        <v>10000</v>
      </c>
      <c r="H5" s="52">
        <f t="shared" si="0"/>
        <v>40</v>
      </c>
      <c r="I5" s="52">
        <f t="shared" si="1"/>
        <v>10</v>
      </c>
      <c r="J5" s="49"/>
      <c r="K5" s="53">
        <v>43618</v>
      </c>
      <c r="L5" s="54" t="s">
        <v>442</v>
      </c>
      <c r="M5" s="55">
        <v>43612</v>
      </c>
      <c r="N5" s="56" t="s">
        <v>637</v>
      </c>
      <c r="O5" s="55">
        <v>43618</v>
      </c>
      <c r="P5" s="54" t="s">
        <v>2155</v>
      </c>
      <c r="Q5" s="49" t="s">
        <v>82</v>
      </c>
      <c r="R5" s="57" t="s">
        <v>616</v>
      </c>
      <c r="S5" s="47"/>
    </row>
    <row r="6" spans="2:19" s="33" customFormat="1" ht="33" customHeight="1">
      <c r="B6" s="47" t="s">
        <v>78</v>
      </c>
      <c r="C6" s="48" t="s">
        <v>617</v>
      </c>
      <c r="D6" s="49" t="s">
        <v>455</v>
      </c>
      <c r="E6" s="50">
        <v>43523</v>
      </c>
      <c r="F6" s="49" t="s">
        <v>91</v>
      </c>
      <c r="G6" s="51">
        <v>10000</v>
      </c>
      <c r="H6" s="52">
        <f t="shared" si="0"/>
        <v>40</v>
      </c>
      <c r="I6" s="52">
        <f t="shared" si="1"/>
        <v>10</v>
      </c>
      <c r="J6" s="49"/>
      <c r="K6" s="53">
        <v>43618</v>
      </c>
      <c r="L6" s="54" t="s">
        <v>638</v>
      </c>
      <c r="M6" s="55">
        <v>43612</v>
      </c>
      <c r="N6" s="56" t="s">
        <v>636</v>
      </c>
      <c r="O6" s="55">
        <v>43618</v>
      </c>
      <c r="P6" s="54" t="s">
        <v>2156</v>
      </c>
      <c r="Q6" s="49" t="s">
        <v>82</v>
      </c>
      <c r="R6" s="57" t="s">
        <v>618</v>
      </c>
      <c r="S6" s="47"/>
    </row>
    <row r="7" spans="2:19" s="33" customFormat="1" ht="33" customHeight="1">
      <c r="B7" s="47" t="s">
        <v>78</v>
      </c>
      <c r="C7" s="48" t="s">
        <v>1330</v>
      </c>
      <c r="D7" s="49" t="s">
        <v>1337</v>
      </c>
      <c r="E7" s="50">
        <v>43483</v>
      </c>
      <c r="F7" s="49" t="s">
        <v>91</v>
      </c>
      <c r="G7" s="51">
        <v>20000</v>
      </c>
      <c r="H7" s="52">
        <f t="shared" si="0"/>
        <v>80</v>
      </c>
      <c r="I7" s="52">
        <f t="shared" si="1"/>
        <v>20</v>
      </c>
      <c r="J7" s="49"/>
      <c r="K7" s="53">
        <v>43618</v>
      </c>
      <c r="L7" s="54" t="s">
        <v>442</v>
      </c>
      <c r="M7" s="55">
        <v>43612</v>
      </c>
      <c r="N7" s="56" t="s">
        <v>637</v>
      </c>
      <c r="O7" s="55">
        <v>43618</v>
      </c>
      <c r="P7" s="54" t="s">
        <v>2157</v>
      </c>
      <c r="Q7" s="49" t="s">
        <v>82</v>
      </c>
      <c r="R7" s="57" t="s">
        <v>616</v>
      </c>
      <c r="S7" s="47" t="s">
        <v>479</v>
      </c>
    </row>
    <row r="8" spans="2:19" s="33" customFormat="1" ht="33" customHeight="1">
      <c r="B8" s="47" t="s">
        <v>78</v>
      </c>
      <c r="C8" s="48" t="s">
        <v>423</v>
      </c>
      <c r="D8" s="49" t="s">
        <v>457</v>
      </c>
      <c r="E8" s="50">
        <v>43483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43576</v>
      </c>
      <c r="L8" s="54" t="s">
        <v>5211</v>
      </c>
      <c r="M8" s="55">
        <v>43570</v>
      </c>
      <c r="N8" s="56" t="s">
        <v>5212</v>
      </c>
      <c r="O8" s="55">
        <v>43576</v>
      </c>
      <c r="P8" s="54" t="s">
        <v>5213</v>
      </c>
      <c r="Q8" s="49" t="s">
        <v>82</v>
      </c>
      <c r="R8" s="57" t="s">
        <v>5214</v>
      </c>
      <c r="S8" s="47"/>
    </row>
    <row r="9" spans="2:19" s="33" customFormat="1" ht="33" customHeight="1">
      <c r="B9" s="47" t="s">
        <v>220</v>
      </c>
      <c r="C9" s="48" t="s">
        <v>425</v>
      </c>
      <c r="D9" s="49" t="s">
        <v>459</v>
      </c>
      <c r="E9" s="50">
        <v>43483</v>
      </c>
      <c r="F9" s="49" t="s">
        <v>79</v>
      </c>
      <c r="G9" s="51">
        <v>20000</v>
      </c>
      <c r="H9" s="52">
        <f t="shared" si="0"/>
        <v>80</v>
      </c>
      <c r="I9" s="52">
        <f t="shared" si="1"/>
        <v>20</v>
      </c>
      <c r="J9" s="49"/>
      <c r="K9" s="53">
        <v>43583</v>
      </c>
      <c r="L9" s="54" t="s">
        <v>5215</v>
      </c>
      <c r="M9" s="55">
        <v>43577</v>
      </c>
      <c r="N9" s="56" t="s">
        <v>5216</v>
      </c>
      <c r="O9" s="55">
        <v>43583</v>
      </c>
      <c r="P9" s="54" t="s">
        <v>5217</v>
      </c>
      <c r="Q9" s="49"/>
      <c r="R9" s="57" t="s">
        <v>5218</v>
      </c>
      <c r="S9" s="47"/>
    </row>
    <row r="10" spans="2:19" s="33" customFormat="1" ht="33" customHeight="1">
      <c r="B10" s="47" t="s">
        <v>78</v>
      </c>
      <c r="C10" s="48" t="s">
        <v>462</v>
      </c>
      <c r="D10" s="49" t="s">
        <v>483</v>
      </c>
      <c r="E10" s="50">
        <v>43490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43583</v>
      </c>
      <c r="L10" s="54" t="s">
        <v>5215</v>
      </c>
      <c r="M10" s="55">
        <v>43577</v>
      </c>
      <c r="N10" s="56" t="s">
        <v>5216</v>
      </c>
      <c r="O10" s="55">
        <v>43583</v>
      </c>
      <c r="P10" s="54" t="s">
        <v>5219</v>
      </c>
      <c r="Q10" s="49" t="s">
        <v>82</v>
      </c>
      <c r="R10" s="57" t="s">
        <v>5220</v>
      </c>
      <c r="S10" s="47"/>
    </row>
    <row r="11" spans="2:19" s="33" customFormat="1" ht="33" customHeight="1">
      <c r="B11" s="47" t="s">
        <v>78</v>
      </c>
      <c r="C11" s="48" t="s">
        <v>570</v>
      </c>
      <c r="D11" s="49" t="s">
        <v>571</v>
      </c>
      <c r="E11" s="50">
        <v>43519</v>
      </c>
      <c r="F11" s="49" t="s">
        <v>79</v>
      </c>
      <c r="G11" s="51">
        <v>20000</v>
      </c>
      <c r="H11" s="52">
        <f t="shared" si="0"/>
        <v>80</v>
      </c>
      <c r="I11" s="52">
        <f t="shared" si="1"/>
        <v>20</v>
      </c>
      <c r="J11" s="49"/>
      <c r="K11" s="53">
        <v>43590</v>
      </c>
      <c r="L11" s="54" t="s">
        <v>602</v>
      </c>
      <c r="M11" s="55">
        <v>43577</v>
      </c>
      <c r="N11" s="56" t="s">
        <v>5216</v>
      </c>
      <c r="O11" s="55">
        <v>43583</v>
      </c>
      <c r="P11" s="54" t="s">
        <v>5221</v>
      </c>
      <c r="Q11" s="49" t="s">
        <v>82</v>
      </c>
      <c r="R11" s="57" t="s">
        <v>5222</v>
      </c>
      <c r="S11" s="47"/>
    </row>
    <row r="12" spans="2:19" s="33" customFormat="1" ht="33" customHeight="1">
      <c r="B12" s="47" t="s">
        <v>78</v>
      </c>
      <c r="C12" s="48" t="s">
        <v>573</v>
      </c>
      <c r="D12" s="49" t="s">
        <v>574</v>
      </c>
      <c r="E12" s="50">
        <v>43519</v>
      </c>
      <c r="F12" s="49" t="s">
        <v>79</v>
      </c>
      <c r="G12" s="51">
        <v>20000</v>
      </c>
      <c r="H12" s="52">
        <f t="shared" si="0"/>
        <v>80</v>
      </c>
      <c r="I12" s="52">
        <f t="shared" si="1"/>
        <v>20</v>
      </c>
      <c r="J12" s="49"/>
      <c r="K12" s="53">
        <v>43604</v>
      </c>
      <c r="L12" s="54" t="s">
        <v>5223</v>
      </c>
      <c r="M12" s="55">
        <v>43598</v>
      </c>
      <c r="N12" s="56" t="s">
        <v>5224</v>
      </c>
      <c r="O12" s="55">
        <v>43604</v>
      </c>
      <c r="P12" s="54" t="s">
        <v>5225</v>
      </c>
      <c r="Q12" s="49" t="s">
        <v>82</v>
      </c>
      <c r="R12" s="57" t="s">
        <v>5226</v>
      </c>
      <c r="S12" s="47"/>
    </row>
    <row r="13" spans="2:19" s="33" customFormat="1" ht="33" customHeight="1">
      <c r="B13" s="47" t="s">
        <v>78</v>
      </c>
      <c r="C13" s="48" t="s">
        <v>5227</v>
      </c>
      <c r="D13" s="49" t="s">
        <v>577</v>
      </c>
      <c r="E13" s="50">
        <v>43519</v>
      </c>
      <c r="F13" s="49" t="s">
        <v>5228</v>
      </c>
      <c r="G13" s="51">
        <v>10000</v>
      </c>
      <c r="H13" s="52">
        <f t="shared" si="0"/>
        <v>40</v>
      </c>
      <c r="I13" s="52">
        <f t="shared" si="1"/>
        <v>10</v>
      </c>
      <c r="J13" s="49"/>
      <c r="K13" s="53">
        <v>43598</v>
      </c>
      <c r="L13" s="54" t="s">
        <v>803</v>
      </c>
      <c r="M13" s="55">
        <v>43598</v>
      </c>
      <c r="N13" s="56" t="s">
        <v>804</v>
      </c>
      <c r="O13" s="55">
        <v>43604</v>
      </c>
      <c r="P13" s="54" t="s">
        <v>5229</v>
      </c>
      <c r="Q13" s="49" t="s">
        <v>82</v>
      </c>
      <c r="R13" s="57" t="s">
        <v>5230</v>
      </c>
      <c r="S13" s="47"/>
    </row>
    <row r="14" spans="2:19" s="33" customFormat="1" ht="33" customHeight="1">
      <c r="B14" s="47" t="s">
        <v>220</v>
      </c>
      <c r="C14" s="48" t="s">
        <v>579</v>
      </c>
      <c r="D14" s="49" t="s">
        <v>580</v>
      </c>
      <c r="E14" s="50">
        <v>43519</v>
      </c>
      <c r="F14" s="49" t="s">
        <v>79</v>
      </c>
      <c r="G14" s="51">
        <v>10000</v>
      </c>
      <c r="H14" s="52">
        <f t="shared" si="0"/>
        <v>40</v>
      </c>
      <c r="I14" s="52">
        <f t="shared" si="1"/>
        <v>10</v>
      </c>
      <c r="J14" s="49"/>
      <c r="K14" s="53">
        <v>43598</v>
      </c>
      <c r="L14" s="54" t="s">
        <v>803</v>
      </c>
      <c r="M14" s="55">
        <v>43598</v>
      </c>
      <c r="N14" s="56" t="s">
        <v>804</v>
      </c>
      <c r="O14" s="55">
        <v>43604</v>
      </c>
      <c r="P14" s="54" t="s">
        <v>5231</v>
      </c>
      <c r="Q14" s="49"/>
      <c r="R14" s="57" t="s">
        <v>5232</v>
      </c>
      <c r="S14" s="47"/>
    </row>
    <row r="15" spans="2:19" s="33" customFormat="1" ht="33" customHeight="1">
      <c r="B15" s="47" t="s">
        <v>78</v>
      </c>
      <c r="C15" s="48" t="s">
        <v>576</v>
      </c>
      <c r="D15" s="49" t="s">
        <v>577</v>
      </c>
      <c r="E15" s="50">
        <v>43519</v>
      </c>
      <c r="F15" s="49" t="s">
        <v>79</v>
      </c>
      <c r="G15" s="51">
        <v>20000</v>
      </c>
      <c r="H15" s="52">
        <f t="shared" si="0"/>
        <v>80</v>
      </c>
      <c r="I15" s="52">
        <f t="shared" si="1"/>
        <v>20</v>
      </c>
      <c r="J15" s="49"/>
      <c r="K15" s="53">
        <v>43611</v>
      </c>
      <c r="L15" s="54" t="s">
        <v>5233</v>
      </c>
      <c r="M15" s="55">
        <v>43605</v>
      </c>
      <c r="N15" s="56" t="s">
        <v>5234</v>
      </c>
      <c r="O15" s="55">
        <v>43611</v>
      </c>
      <c r="P15" s="54" t="s">
        <v>5235</v>
      </c>
      <c r="Q15" s="49" t="s">
        <v>82</v>
      </c>
      <c r="R15" s="57" t="s">
        <v>5236</v>
      </c>
      <c r="S15" s="47"/>
    </row>
    <row r="16" spans="2:19" s="33" customFormat="1" ht="33" customHeight="1">
      <c r="B16" s="47" t="s">
        <v>78</v>
      </c>
      <c r="C16" s="48" t="s">
        <v>685</v>
      </c>
      <c r="D16" s="49" t="s">
        <v>686</v>
      </c>
      <c r="E16" s="50">
        <v>43532</v>
      </c>
      <c r="F16" s="49" t="s">
        <v>79</v>
      </c>
      <c r="G16" s="51">
        <v>20000</v>
      </c>
      <c r="H16" s="52">
        <f t="shared" si="0"/>
        <v>80</v>
      </c>
      <c r="I16" s="52">
        <f t="shared" si="1"/>
        <v>20</v>
      </c>
      <c r="J16" s="49"/>
      <c r="K16" s="53">
        <v>43625</v>
      </c>
      <c r="L16" s="54" t="s">
        <v>5237</v>
      </c>
      <c r="M16" s="55">
        <v>43619</v>
      </c>
      <c r="N16" s="56" t="s">
        <v>5238</v>
      </c>
      <c r="O16" s="55">
        <v>43625</v>
      </c>
      <c r="P16" s="54"/>
      <c r="Q16" s="49" t="s">
        <v>82</v>
      </c>
      <c r="R16" s="57" t="s">
        <v>5239</v>
      </c>
      <c r="S16" s="47"/>
    </row>
    <row r="17" spans="2:19" s="33" customFormat="1" ht="33" customHeight="1">
      <c r="B17" s="47" t="s">
        <v>78</v>
      </c>
      <c r="C17" s="48" t="s">
        <v>5240</v>
      </c>
      <c r="D17" s="49" t="s">
        <v>1366</v>
      </c>
      <c r="E17" s="50">
        <v>43532</v>
      </c>
      <c r="F17" s="49" t="s">
        <v>79</v>
      </c>
      <c r="G17" s="51">
        <v>20000</v>
      </c>
      <c r="H17" s="52">
        <f t="shared" si="0"/>
        <v>80</v>
      </c>
      <c r="I17" s="52">
        <f t="shared" si="1"/>
        <v>20</v>
      </c>
      <c r="J17" s="49"/>
      <c r="K17" s="53">
        <v>43625</v>
      </c>
      <c r="L17" s="54" t="s">
        <v>5237</v>
      </c>
      <c r="M17" s="55">
        <v>43619</v>
      </c>
      <c r="N17" s="56" t="s">
        <v>5238</v>
      </c>
      <c r="O17" s="55">
        <v>43625</v>
      </c>
      <c r="P17" s="54"/>
      <c r="Q17" s="49" t="s">
        <v>82</v>
      </c>
      <c r="R17" s="57" t="s">
        <v>5239</v>
      </c>
      <c r="S17" s="47" t="s">
        <v>479</v>
      </c>
    </row>
    <row r="18" spans="2:19" s="33" customFormat="1" ht="33" customHeight="1">
      <c r="B18" s="47" t="s">
        <v>220</v>
      </c>
      <c r="C18" s="48" t="s">
        <v>688</v>
      </c>
      <c r="D18" s="49" t="s">
        <v>689</v>
      </c>
      <c r="E18" s="50">
        <v>43532</v>
      </c>
      <c r="F18" s="49" t="s">
        <v>79</v>
      </c>
      <c r="G18" s="51">
        <v>20000</v>
      </c>
      <c r="H18" s="52">
        <f t="shared" si="0"/>
        <v>80</v>
      </c>
      <c r="I18" s="52">
        <f t="shared" si="1"/>
        <v>20</v>
      </c>
      <c r="J18" s="49"/>
      <c r="K18" s="53">
        <v>43632</v>
      </c>
      <c r="L18" s="54" t="s">
        <v>5241</v>
      </c>
      <c r="M18" s="55">
        <v>43626</v>
      </c>
      <c r="N18" s="56" t="s">
        <v>5242</v>
      </c>
      <c r="O18" s="55">
        <v>43632</v>
      </c>
      <c r="P18" s="54" t="s">
        <v>5243</v>
      </c>
      <c r="Q18" s="49"/>
      <c r="R18" s="57" t="s">
        <v>5244</v>
      </c>
      <c r="S18" s="47"/>
    </row>
    <row r="19" spans="2:19" s="33" customFormat="1" ht="33" customHeight="1">
      <c r="B19" s="47" t="s">
        <v>78</v>
      </c>
      <c r="C19" s="48" t="s">
        <v>691</v>
      </c>
      <c r="D19" s="49" t="s">
        <v>692</v>
      </c>
      <c r="E19" s="50">
        <v>43532</v>
      </c>
      <c r="F19" s="49" t="s">
        <v>79</v>
      </c>
      <c r="G19" s="51">
        <v>20000</v>
      </c>
      <c r="H19" s="52">
        <f t="shared" si="0"/>
        <v>80</v>
      </c>
      <c r="I19" s="52">
        <f t="shared" si="1"/>
        <v>20</v>
      </c>
      <c r="J19" s="49"/>
      <c r="K19" s="53">
        <v>43639</v>
      </c>
      <c r="L19" s="54" t="s">
        <v>5245</v>
      </c>
      <c r="M19" s="55">
        <v>43633</v>
      </c>
      <c r="N19" s="56" t="s">
        <v>5246</v>
      </c>
      <c r="O19" s="55">
        <v>43639</v>
      </c>
      <c r="P19" s="54"/>
      <c r="Q19" s="49" t="s">
        <v>82</v>
      </c>
      <c r="R19" s="57" t="s">
        <v>5247</v>
      </c>
      <c r="S19" s="47"/>
    </row>
    <row r="20" spans="2:19" s="33" customFormat="1" ht="33" customHeight="1">
      <c r="B20" s="47" t="s">
        <v>78</v>
      </c>
      <c r="C20" s="48" t="s">
        <v>5248</v>
      </c>
      <c r="D20" s="49" t="s">
        <v>5249</v>
      </c>
      <c r="E20" s="50">
        <v>43566</v>
      </c>
      <c r="F20" s="49" t="s">
        <v>79</v>
      </c>
      <c r="G20" s="51">
        <v>6000</v>
      </c>
      <c r="H20" s="52">
        <f t="shared" si="0"/>
        <v>24</v>
      </c>
      <c r="I20" s="52">
        <f t="shared" si="1"/>
        <v>6</v>
      </c>
      <c r="J20" s="49"/>
      <c r="K20" s="53">
        <v>43611</v>
      </c>
      <c r="L20" s="54" t="s">
        <v>603</v>
      </c>
      <c r="M20" s="55">
        <v>43605</v>
      </c>
      <c r="N20" s="56" t="s">
        <v>1080</v>
      </c>
      <c r="O20" s="55">
        <v>43611</v>
      </c>
      <c r="P20" s="54" t="s">
        <v>5250</v>
      </c>
      <c r="Q20" s="49" t="s">
        <v>82</v>
      </c>
      <c r="R20" s="57" t="s">
        <v>5251</v>
      </c>
      <c r="S20" s="47"/>
    </row>
    <row r="21" spans="2:19" s="33" customFormat="1" ht="33" customHeight="1">
      <c r="B21" s="47" t="s">
        <v>5252</v>
      </c>
      <c r="C21" s="48" t="s">
        <v>986</v>
      </c>
      <c r="D21" s="49" t="s">
        <v>5249</v>
      </c>
      <c r="E21" s="50">
        <v>43566</v>
      </c>
      <c r="F21" s="49" t="s">
        <v>79</v>
      </c>
      <c r="G21" s="51">
        <v>14000</v>
      </c>
      <c r="H21" s="52">
        <f t="shared" si="0"/>
        <v>56</v>
      </c>
      <c r="I21" s="52">
        <f t="shared" si="1"/>
        <v>14</v>
      </c>
      <c r="J21" s="49"/>
      <c r="K21" s="53">
        <v>43611</v>
      </c>
      <c r="L21" s="54" t="s">
        <v>603</v>
      </c>
      <c r="M21" s="55">
        <v>43605</v>
      </c>
      <c r="N21" s="56" t="s">
        <v>1080</v>
      </c>
      <c r="O21" s="55">
        <v>43611</v>
      </c>
      <c r="P21" s="54" t="s">
        <v>5253</v>
      </c>
      <c r="Q21" s="49"/>
      <c r="R21" s="57" t="s">
        <v>5251</v>
      </c>
      <c r="S21" s="47"/>
    </row>
    <row r="22" spans="2:19" s="33" customFormat="1" ht="33" customHeight="1">
      <c r="B22" s="47" t="s">
        <v>78</v>
      </c>
      <c r="C22" s="48" t="s">
        <v>988</v>
      </c>
      <c r="D22" s="49" t="s">
        <v>5254</v>
      </c>
      <c r="E22" s="50">
        <v>43566</v>
      </c>
      <c r="F22" s="49" t="s">
        <v>79</v>
      </c>
      <c r="G22" s="51">
        <v>20000</v>
      </c>
      <c r="H22" s="52">
        <f t="shared" si="0"/>
        <v>80</v>
      </c>
      <c r="I22" s="52">
        <f t="shared" si="1"/>
        <v>20</v>
      </c>
      <c r="J22" s="49"/>
      <c r="K22" s="53">
        <v>43632</v>
      </c>
      <c r="L22" s="54" t="s">
        <v>1081</v>
      </c>
      <c r="M22" s="55">
        <v>43626</v>
      </c>
      <c r="N22" s="56" t="s">
        <v>1082</v>
      </c>
      <c r="O22" s="55">
        <v>43632</v>
      </c>
      <c r="P22" s="54"/>
      <c r="Q22" s="49" t="s">
        <v>82</v>
      </c>
      <c r="R22" s="57" t="s">
        <v>5255</v>
      </c>
      <c r="S22" s="47"/>
    </row>
    <row r="23" spans="2:19" s="33" customFormat="1" ht="33" customHeight="1">
      <c r="B23" s="47" t="s">
        <v>78</v>
      </c>
      <c r="C23" s="48" t="s">
        <v>1160</v>
      </c>
      <c r="D23" s="49" t="s">
        <v>1161</v>
      </c>
      <c r="E23" s="50">
        <v>43567</v>
      </c>
      <c r="F23" s="49" t="s">
        <v>5256</v>
      </c>
      <c r="G23" s="51">
        <v>40000</v>
      </c>
      <c r="H23" s="52">
        <f t="shared" si="0"/>
        <v>160</v>
      </c>
      <c r="I23" s="52">
        <f t="shared" si="1"/>
        <v>40</v>
      </c>
      <c r="J23" s="49"/>
      <c r="K23" s="53">
        <v>43646</v>
      </c>
      <c r="L23" s="54" t="s">
        <v>5257</v>
      </c>
      <c r="M23" s="55">
        <v>43640</v>
      </c>
      <c r="N23" s="56" t="s">
        <v>5258</v>
      </c>
      <c r="O23" s="55">
        <v>43646</v>
      </c>
      <c r="P23" s="54"/>
      <c r="Q23" s="49" t="s">
        <v>82</v>
      </c>
      <c r="R23" s="57" t="s">
        <v>5259</v>
      </c>
      <c r="S23" s="47" t="s">
        <v>2140</v>
      </c>
    </row>
    <row r="24" spans="2:19" s="33" customFormat="1" ht="33" customHeight="1">
      <c r="B24" s="47" t="s">
        <v>220</v>
      </c>
      <c r="C24" s="48" t="s">
        <v>1163</v>
      </c>
      <c r="D24" s="49" t="s">
        <v>1164</v>
      </c>
      <c r="E24" s="50">
        <v>43567</v>
      </c>
      <c r="F24" s="49" t="s">
        <v>79</v>
      </c>
      <c r="G24" s="51">
        <v>20000</v>
      </c>
      <c r="H24" s="52">
        <f t="shared" si="0"/>
        <v>80</v>
      </c>
      <c r="I24" s="52">
        <f t="shared" si="1"/>
        <v>20</v>
      </c>
      <c r="J24" s="49"/>
      <c r="K24" s="53">
        <v>43646</v>
      </c>
      <c r="L24" s="54" t="s">
        <v>5257</v>
      </c>
      <c r="M24" s="55">
        <v>43640</v>
      </c>
      <c r="N24" s="56" t="s">
        <v>5258</v>
      </c>
      <c r="O24" s="55">
        <v>43646</v>
      </c>
      <c r="P24" s="54"/>
      <c r="Q24" s="49"/>
      <c r="R24" s="57" t="s">
        <v>5260</v>
      </c>
      <c r="S24" s="47" t="s">
        <v>2140</v>
      </c>
    </row>
    <row r="25" spans="2:19" s="33" customFormat="1" ht="33" customHeight="1">
      <c r="B25" s="47" t="s">
        <v>78</v>
      </c>
      <c r="C25" s="48" t="s">
        <v>1166</v>
      </c>
      <c r="D25" s="49" t="s">
        <v>1167</v>
      </c>
      <c r="E25" s="50">
        <v>43567</v>
      </c>
      <c r="F25" s="49" t="s">
        <v>79</v>
      </c>
      <c r="G25" s="51">
        <v>20000</v>
      </c>
      <c r="H25" s="52">
        <f t="shared" si="0"/>
        <v>80</v>
      </c>
      <c r="I25" s="52">
        <f t="shared" si="1"/>
        <v>20</v>
      </c>
      <c r="J25" s="49"/>
      <c r="K25" s="53">
        <v>43653</v>
      </c>
      <c r="L25" s="54" t="s">
        <v>5261</v>
      </c>
      <c r="M25" s="55">
        <v>43647</v>
      </c>
      <c r="N25" s="56" t="s">
        <v>5262</v>
      </c>
      <c r="O25" s="55">
        <v>43653</v>
      </c>
      <c r="P25" s="54"/>
      <c r="Q25" s="49" t="s">
        <v>82</v>
      </c>
      <c r="R25" s="57" t="s">
        <v>5263</v>
      </c>
      <c r="S25" s="47" t="s">
        <v>2140</v>
      </c>
    </row>
    <row r="26" spans="2:19" s="33" customFormat="1" ht="33" customHeight="1">
      <c r="B26" s="47" t="s">
        <v>78</v>
      </c>
      <c r="C26" s="48" t="s">
        <v>1169</v>
      </c>
      <c r="D26" s="49" t="s">
        <v>1170</v>
      </c>
      <c r="E26" s="50">
        <v>43567</v>
      </c>
      <c r="F26" s="49" t="s">
        <v>79</v>
      </c>
      <c r="G26" s="51">
        <v>20000</v>
      </c>
      <c r="H26" s="52">
        <f t="shared" si="0"/>
        <v>80</v>
      </c>
      <c r="I26" s="52">
        <f t="shared" si="1"/>
        <v>20</v>
      </c>
      <c r="J26" s="49"/>
      <c r="K26" s="53">
        <v>43660</v>
      </c>
      <c r="L26" s="54" t="s">
        <v>5264</v>
      </c>
      <c r="M26" s="55">
        <v>43654</v>
      </c>
      <c r="N26" s="56" t="s">
        <v>5265</v>
      </c>
      <c r="O26" s="55">
        <v>43660</v>
      </c>
      <c r="P26" s="54"/>
      <c r="Q26" s="49" t="s">
        <v>82</v>
      </c>
      <c r="R26" s="57" t="s">
        <v>5266</v>
      </c>
      <c r="S26" s="47" t="s">
        <v>2140</v>
      </c>
    </row>
    <row r="27" spans="2:19" s="33" customFormat="1" ht="33" customHeight="1">
      <c r="B27" s="47" t="s">
        <v>78</v>
      </c>
      <c r="C27" s="48" t="s">
        <v>1172</v>
      </c>
      <c r="D27" s="49" t="s">
        <v>1173</v>
      </c>
      <c r="E27" s="50">
        <v>43567</v>
      </c>
      <c r="F27" s="49" t="s">
        <v>79</v>
      </c>
      <c r="G27" s="51">
        <v>20000</v>
      </c>
      <c r="H27" s="52">
        <f t="shared" si="0"/>
        <v>80</v>
      </c>
      <c r="I27" s="52">
        <f t="shared" si="1"/>
        <v>20</v>
      </c>
      <c r="J27" s="49"/>
      <c r="K27" s="53">
        <v>43667</v>
      </c>
      <c r="L27" s="54" t="s">
        <v>5267</v>
      </c>
      <c r="M27" s="55">
        <v>43658</v>
      </c>
      <c r="N27" s="56" t="s">
        <v>5268</v>
      </c>
      <c r="O27" s="55">
        <v>43667</v>
      </c>
      <c r="P27" s="54"/>
      <c r="Q27" s="49" t="s">
        <v>82</v>
      </c>
      <c r="R27" s="57" t="s">
        <v>5269</v>
      </c>
      <c r="S27" s="47" t="s">
        <v>2140</v>
      </c>
    </row>
    <row r="28" spans="2:19" s="33" customFormat="1" ht="33" customHeight="1">
      <c r="B28" s="47" t="s">
        <v>220</v>
      </c>
      <c r="C28" s="48" t="s">
        <v>1175</v>
      </c>
      <c r="D28" s="49" t="s">
        <v>1176</v>
      </c>
      <c r="E28" s="50">
        <v>43567</v>
      </c>
      <c r="F28" s="49" t="s">
        <v>79</v>
      </c>
      <c r="G28" s="51">
        <v>20000</v>
      </c>
      <c r="H28" s="52">
        <f t="shared" si="0"/>
        <v>80</v>
      </c>
      <c r="I28" s="52">
        <f t="shared" si="1"/>
        <v>20</v>
      </c>
      <c r="J28" s="49"/>
      <c r="K28" s="53">
        <v>43667</v>
      </c>
      <c r="L28" s="54" t="s">
        <v>5270</v>
      </c>
      <c r="M28" s="55">
        <v>43675</v>
      </c>
      <c r="N28" s="56" t="s">
        <v>5271</v>
      </c>
      <c r="O28" s="55">
        <v>43681</v>
      </c>
      <c r="P28" s="54"/>
      <c r="Q28" s="49"/>
      <c r="R28" s="57" t="s">
        <v>5272</v>
      </c>
      <c r="S28" s="47" t="s">
        <v>2539</v>
      </c>
    </row>
    <row r="29" spans="2:19" s="33" customFormat="1" ht="33" customHeight="1">
      <c r="B29" s="47" t="s">
        <v>78</v>
      </c>
      <c r="C29" s="48" t="s">
        <v>1178</v>
      </c>
      <c r="D29" s="49" t="s">
        <v>1179</v>
      </c>
      <c r="E29" s="50">
        <v>43567</v>
      </c>
      <c r="F29" s="49" t="s">
        <v>5228</v>
      </c>
      <c r="G29" s="51">
        <v>10000</v>
      </c>
      <c r="H29" s="52">
        <f t="shared" si="0"/>
        <v>40</v>
      </c>
      <c r="I29" s="52">
        <f t="shared" si="1"/>
        <v>10</v>
      </c>
      <c r="J29" s="49"/>
      <c r="K29" s="53">
        <v>43674</v>
      </c>
      <c r="L29" s="54" t="s">
        <v>5273</v>
      </c>
      <c r="M29" s="55">
        <v>43682</v>
      </c>
      <c r="N29" s="56" t="s">
        <v>5274</v>
      </c>
      <c r="O29" s="55">
        <v>43688</v>
      </c>
      <c r="P29" s="54"/>
      <c r="Q29" s="49" t="s">
        <v>82</v>
      </c>
      <c r="R29" s="57" t="s">
        <v>5275</v>
      </c>
      <c r="S29" s="47" t="s">
        <v>2539</v>
      </c>
    </row>
    <row r="30" spans="2:19" s="33" customFormat="1" ht="33" customHeight="1">
      <c r="B30" s="47" t="s">
        <v>220</v>
      </c>
      <c r="C30" s="48" t="s">
        <v>1181</v>
      </c>
      <c r="D30" s="49" t="s">
        <v>1182</v>
      </c>
      <c r="E30" s="50">
        <v>43567</v>
      </c>
      <c r="F30" s="49" t="s">
        <v>5228</v>
      </c>
      <c r="G30" s="51">
        <v>10000</v>
      </c>
      <c r="H30" s="52">
        <f t="shared" si="0"/>
        <v>40</v>
      </c>
      <c r="I30" s="52">
        <f t="shared" si="1"/>
        <v>10</v>
      </c>
      <c r="J30" s="49"/>
      <c r="K30" s="53">
        <v>43674</v>
      </c>
      <c r="L30" s="54" t="s">
        <v>5273</v>
      </c>
      <c r="M30" s="55">
        <v>43682</v>
      </c>
      <c r="N30" s="56" t="s">
        <v>5274</v>
      </c>
      <c r="O30" s="55">
        <v>43688</v>
      </c>
      <c r="P30" s="54"/>
      <c r="Q30" s="49"/>
      <c r="R30" s="57" t="s">
        <v>5276</v>
      </c>
      <c r="S30" s="47" t="s">
        <v>2539</v>
      </c>
    </row>
    <row r="31" spans="2:19" s="33" customFormat="1" ht="33" customHeight="1">
      <c r="B31" s="47" t="s">
        <v>78</v>
      </c>
      <c r="C31" s="48" t="s">
        <v>2273</v>
      </c>
      <c r="D31" s="49" t="s">
        <v>2274</v>
      </c>
      <c r="E31" s="50">
        <v>43602</v>
      </c>
      <c r="F31" s="49" t="s">
        <v>79</v>
      </c>
      <c r="G31" s="51">
        <v>20000</v>
      </c>
      <c r="H31" s="52">
        <f t="shared" si="0"/>
        <v>80</v>
      </c>
      <c r="I31" s="52">
        <f t="shared" si="1"/>
        <v>20</v>
      </c>
      <c r="J31" s="49"/>
      <c r="K31" s="53">
        <v>43688</v>
      </c>
      <c r="L31" s="54" t="s">
        <v>5273</v>
      </c>
      <c r="M31" s="55">
        <v>43682</v>
      </c>
      <c r="N31" s="56" t="s">
        <v>5274</v>
      </c>
      <c r="O31" s="55">
        <v>43688</v>
      </c>
      <c r="P31" s="54"/>
      <c r="Q31" s="49" t="s">
        <v>82</v>
      </c>
      <c r="R31" s="57" t="s">
        <v>5277</v>
      </c>
      <c r="S31" s="47"/>
    </row>
    <row r="32" spans="2:19" s="33" customFormat="1" ht="33" customHeight="1">
      <c r="B32" s="47" t="s">
        <v>78</v>
      </c>
      <c r="C32" s="48" t="s">
        <v>2276</v>
      </c>
      <c r="D32" s="49" t="s">
        <v>2277</v>
      </c>
      <c r="E32" s="50">
        <v>43602</v>
      </c>
      <c r="F32" s="49" t="s">
        <v>79</v>
      </c>
      <c r="G32" s="51">
        <v>20000</v>
      </c>
      <c r="H32" s="52">
        <f t="shared" si="0"/>
        <v>80</v>
      </c>
      <c r="I32" s="52">
        <f t="shared" si="1"/>
        <v>20</v>
      </c>
      <c r="J32" s="49"/>
      <c r="K32" s="53">
        <v>43695</v>
      </c>
      <c r="L32" s="54" t="s">
        <v>5273</v>
      </c>
      <c r="M32" s="55">
        <v>43682</v>
      </c>
      <c r="N32" s="56" t="s">
        <v>5274</v>
      </c>
      <c r="O32" s="55">
        <v>43688</v>
      </c>
      <c r="P32" s="54"/>
      <c r="Q32" s="49" t="s">
        <v>82</v>
      </c>
      <c r="R32" s="57" t="s">
        <v>5278</v>
      </c>
      <c r="S32" s="47"/>
    </row>
    <row r="33" spans="2:19" s="33" customFormat="1" ht="33" customHeight="1">
      <c r="B33" s="47" t="s">
        <v>220</v>
      </c>
      <c r="C33" s="48" t="s">
        <v>2279</v>
      </c>
      <c r="D33" s="49" t="s">
        <v>2280</v>
      </c>
      <c r="E33" s="50">
        <v>43602</v>
      </c>
      <c r="F33" s="49" t="s">
        <v>79</v>
      </c>
      <c r="G33" s="51">
        <v>20000</v>
      </c>
      <c r="H33" s="52">
        <f t="shared" si="0"/>
        <v>80</v>
      </c>
      <c r="I33" s="52">
        <f t="shared" si="1"/>
        <v>20</v>
      </c>
      <c r="J33" s="49"/>
      <c r="K33" s="53">
        <v>43695</v>
      </c>
      <c r="L33" s="54" t="s">
        <v>5273</v>
      </c>
      <c r="M33" s="55">
        <v>43682</v>
      </c>
      <c r="N33" s="56" t="s">
        <v>5274</v>
      </c>
      <c r="O33" s="55">
        <v>43688</v>
      </c>
      <c r="P33" s="54"/>
      <c r="Q33" s="49"/>
      <c r="R33" s="57" t="s">
        <v>5279</v>
      </c>
      <c r="S33" s="47"/>
    </row>
    <row r="34" spans="2:19" s="30" customFormat="1" ht="33" customHeight="1">
      <c r="B34" s="46" t="s">
        <v>78</v>
      </c>
      <c r="C34" s="35" t="s">
        <v>2282</v>
      </c>
      <c r="D34" s="36" t="s">
        <v>2283</v>
      </c>
      <c r="E34" s="37">
        <v>43602</v>
      </c>
      <c r="F34" s="36" t="s">
        <v>79</v>
      </c>
      <c r="G34" s="39">
        <v>20000</v>
      </c>
      <c r="H34" s="38">
        <f t="shared" si="0"/>
        <v>80</v>
      </c>
      <c r="I34" s="38">
        <f t="shared" si="1"/>
        <v>20</v>
      </c>
      <c r="J34" s="36"/>
      <c r="K34" s="40">
        <v>43709</v>
      </c>
      <c r="L34" s="41" t="s">
        <v>5280</v>
      </c>
      <c r="M34" s="42">
        <v>43703</v>
      </c>
      <c r="N34" s="43" t="s">
        <v>5281</v>
      </c>
      <c r="O34" s="42">
        <v>43709</v>
      </c>
      <c r="P34" s="41"/>
      <c r="Q34" s="36" t="s">
        <v>82</v>
      </c>
      <c r="R34" s="44" t="s">
        <v>5282</v>
      </c>
      <c r="S34" s="46"/>
    </row>
    <row r="35" spans="2:19" s="30" customFormat="1" ht="33" customHeight="1">
      <c r="B35" s="122" t="s">
        <v>220</v>
      </c>
      <c r="C35" s="126" t="s">
        <v>5283</v>
      </c>
      <c r="D35" s="127" t="s">
        <v>3354</v>
      </c>
      <c r="E35" s="128">
        <v>43637</v>
      </c>
      <c r="F35" s="127" t="s">
        <v>79</v>
      </c>
      <c r="G35" s="129">
        <v>20000</v>
      </c>
      <c r="H35" s="201">
        <v>64</v>
      </c>
      <c r="I35" s="201">
        <v>16</v>
      </c>
      <c r="J35" s="127"/>
      <c r="K35" s="130">
        <v>43716</v>
      </c>
      <c r="L35" s="119" t="s">
        <v>5447</v>
      </c>
      <c r="M35" s="120">
        <v>43717</v>
      </c>
      <c r="N35" s="121" t="s">
        <v>5448</v>
      </c>
      <c r="O35" s="120">
        <v>43723</v>
      </c>
      <c r="P35" s="119"/>
      <c r="Q35" s="127"/>
      <c r="R35" s="125" t="s">
        <v>5284</v>
      </c>
      <c r="S35" s="122" t="s">
        <v>5465</v>
      </c>
    </row>
    <row r="36" spans="2:19" s="30" customFormat="1" ht="33" customHeight="1">
      <c r="B36" s="46" t="s">
        <v>78</v>
      </c>
      <c r="C36" s="35" t="s">
        <v>3356</v>
      </c>
      <c r="D36" s="36" t="s">
        <v>3357</v>
      </c>
      <c r="E36" s="37">
        <v>43637</v>
      </c>
      <c r="F36" s="36" t="s">
        <v>79</v>
      </c>
      <c r="G36" s="39">
        <v>20000</v>
      </c>
      <c r="H36" s="38">
        <f t="shared" si="0"/>
        <v>80</v>
      </c>
      <c r="I36" s="38">
        <f t="shared" si="1"/>
        <v>20</v>
      </c>
      <c r="J36" s="36"/>
      <c r="K36" s="40">
        <v>43723</v>
      </c>
      <c r="L36" s="41" t="s">
        <v>3555</v>
      </c>
      <c r="M36" s="42">
        <v>43717</v>
      </c>
      <c r="N36" s="43" t="s">
        <v>5285</v>
      </c>
      <c r="O36" s="42">
        <v>43723</v>
      </c>
      <c r="P36" s="41"/>
      <c r="Q36" s="36" t="s">
        <v>82</v>
      </c>
      <c r="R36" s="44" t="s">
        <v>5286</v>
      </c>
      <c r="S36" s="46"/>
    </row>
    <row r="37" spans="2:19" s="30" customFormat="1" ht="33" customHeight="1">
      <c r="B37" s="46" t="s">
        <v>78</v>
      </c>
      <c r="C37" s="35" t="s">
        <v>3359</v>
      </c>
      <c r="D37" s="36" t="s">
        <v>3360</v>
      </c>
      <c r="E37" s="37">
        <v>43637</v>
      </c>
      <c r="F37" s="36" t="s">
        <v>79</v>
      </c>
      <c r="G37" s="39">
        <v>20000</v>
      </c>
      <c r="H37" s="38">
        <f t="shared" si="0"/>
        <v>80</v>
      </c>
      <c r="I37" s="38">
        <f t="shared" si="1"/>
        <v>20</v>
      </c>
      <c r="J37" s="36"/>
      <c r="K37" s="40">
        <v>43737</v>
      </c>
      <c r="L37" s="41" t="s">
        <v>3556</v>
      </c>
      <c r="M37" s="42">
        <v>43728</v>
      </c>
      <c r="N37" s="43" t="s">
        <v>5287</v>
      </c>
      <c r="O37" s="42">
        <v>43737</v>
      </c>
      <c r="P37" s="41"/>
      <c r="Q37" s="36" t="s">
        <v>82</v>
      </c>
      <c r="R37" s="44" t="s">
        <v>5288</v>
      </c>
      <c r="S37" s="46"/>
    </row>
    <row r="38" spans="2:19" s="30" customFormat="1" ht="33" customHeight="1">
      <c r="B38" s="122" t="s">
        <v>220</v>
      </c>
      <c r="C38" s="126" t="s">
        <v>4252</v>
      </c>
      <c r="D38" s="127" t="s">
        <v>4253</v>
      </c>
      <c r="E38" s="128">
        <v>43665</v>
      </c>
      <c r="F38" s="127" t="s">
        <v>79</v>
      </c>
      <c r="G38" s="129">
        <v>20000</v>
      </c>
      <c r="H38" s="201">
        <v>96</v>
      </c>
      <c r="I38" s="201">
        <f t="shared" si="1"/>
        <v>24</v>
      </c>
      <c r="J38" s="127"/>
      <c r="K38" s="130">
        <v>43744</v>
      </c>
      <c r="L38" s="119" t="s">
        <v>3556</v>
      </c>
      <c r="M38" s="120">
        <v>43728</v>
      </c>
      <c r="N38" s="121" t="s">
        <v>5449</v>
      </c>
      <c r="O38" s="120">
        <v>43737</v>
      </c>
      <c r="P38" s="119"/>
      <c r="Q38" s="127"/>
      <c r="R38" s="125" t="s">
        <v>5291</v>
      </c>
      <c r="S38" s="122" t="s">
        <v>5464</v>
      </c>
    </row>
    <row r="39" spans="2:19" s="30" customFormat="1" ht="33" customHeight="1">
      <c r="B39" s="46" t="s">
        <v>78</v>
      </c>
      <c r="C39" s="35" t="s">
        <v>4255</v>
      </c>
      <c r="D39" s="36" t="s">
        <v>4256</v>
      </c>
      <c r="E39" s="37">
        <v>43665</v>
      </c>
      <c r="F39" s="36" t="s">
        <v>79</v>
      </c>
      <c r="G39" s="39">
        <v>20000</v>
      </c>
      <c r="H39" s="38">
        <f t="shared" si="0"/>
        <v>80</v>
      </c>
      <c r="I39" s="38">
        <f t="shared" si="1"/>
        <v>20</v>
      </c>
      <c r="J39" s="36"/>
      <c r="K39" s="40">
        <v>43744</v>
      </c>
      <c r="L39" s="41" t="s">
        <v>5289</v>
      </c>
      <c r="M39" s="42">
        <v>43738</v>
      </c>
      <c r="N39" s="43" t="s">
        <v>5290</v>
      </c>
      <c r="O39" s="42">
        <v>43744</v>
      </c>
      <c r="P39" s="41"/>
      <c r="Q39" s="36" t="s">
        <v>82</v>
      </c>
      <c r="R39" s="44" t="s">
        <v>5292</v>
      </c>
      <c r="S39" s="46"/>
    </row>
    <row r="40" spans="2:19" s="30" customFormat="1" ht="33" customHeight="1">
      <c r="B40" s="46" t="s">
        <v>78</v>
      </c>
      <c r="C40" s="35" t="s">
        <v>4258</v>
      </c>
      <c r="D40" s="36" t="s">
        <v>4259</v>
      </c>
      <c r="E40" s="37">
        <v>43665</v>
      </c>
      <c r="F40" s="36" t="s">
        <v>79</v>
      </c>
      <c r="G40" s="39">
        <v>20000</v>
      </c>
      <c r="H40" s="38">
        <f t="shared" si="0"/>
        <v>80</v>
      </c>
      <c r="I40" s="38">
        <f t="shared" si="1"/>
        <v>20</v>
      </c>
      <c r="J40" s="36"/>
      <c r="K40" s="40">
        <v>43758</v>
      </c>
      <c r="L40" s="41" t="s">
        <v>5293</v>
      </c>
      <c r="M40" s="42">
        <v>43749</v>
      </c>
      <c r="N40" s="43" t="s">
        <v>5294</v>
      </c>
      <c r="O40" s="42">
        <v>43758</v>
      </c>
      <c r="P40" s="41"/>
      <c r="Q40" s="36" t="s">
        <v>82</v>
      </c>
      <c r="R40" s="44" t="s">
        <v>5295</v>
      </c>
      <c r="S40" s="46"/>
    </row>
    <row r="41" spans="2:19" s="30" customFormat="1" ht="33" customHeight="1">
      <c r="B41" s="46" t="s">
        <v>78</v>
      </c>
      <c r="C41" s="35" t="s">
        <v>4261</v>
      </c>
      <c r="D41" s="36" t="s">
        <v>4262</v>
      </c>
      <c r="E41" s="37">
        <v>43665</v>
      </c>
      <c r="F41" s="36" t="s">
        <v>79</v>
      </c>
      <c r="G41" s="39">
        <v>20000</v>
      </c>
      <c r="H41" s="38">
        <f t="shared" si="0"/>
        <v>80</v>
      </c>
      <c r="I41" s="38">
        <f t="shared" si="1"/>
        <v>20</v>
      </c>
      <c r="J41" s="36"/>
      <c r="K41" s="40">
        <v>43765</v>
      </c>
      <c r="L41" s="41" t="s">
        <v>5296</v>
      </c>
      <c r="M41" s="42">
        <v>43759</v>
      </c>
      <c r="N41" s="43" t="s">
        <v>5297</v>
      </c>
      <c r="O41" s="42">
        <v>43765</v>
      </c>
      <c r="P41" s="41"/>
      <c r="Q41" s="36" t="s">
        <v>82</v>
      </c>
      <c r="R41" s="44" t="s">
        <v>5298</v>
      </c>
      <c r="S41" s="46"/>
    </row>
    <row r="42" spans="2:19" s="30" customFormat="1" ht="33" customHeight="1">
      <c r="B42" s="46" t="s">
        <v>220</v>
      </c>
      <c r="C42" s="35" t="s">
        <v>4264</v>
      </c>
      <c r="D42" s="36" t="s">
        <v>4265</v>
      </c>
      <c r="E42" s="37">
        <v>43665</v>
      </c>
      <c r="F42" s="36" t="s">
        <v>79</v>
      </c>
      <c r="G42" s="39">
        <v>20000</v>
      </c>
      <c r="H42" s="38">
        <f t="shared" si="0"/>
        <v>80</v>
      </c>
      <c r="I42" s="38">
        <f t="shared" si="1"/>
        <v>20</v>
      </c>
      <c r="J42" s="36"/>
      <c r="K42" s="40">
        <v>43758</v>
      </c>
      <c r="L42" s="41" t="s">
        <v>5293</v>
      </c>
      <c r="M42" s="42">
        <v>43749</v>
      </c>
      <c r="N42" s="43" t="s">
        <v>5294</v>
      </c>
      <c r="O42" s="42">
        <v>43758</v>
      </c>
      <c r="P42" s="41"/>
      <c r="Q42" s="36"/>
      <c r="R42" s="44" t="s">
        <v>5299</v>
      </c>
      <c r="S42" s="46"/>
    </row>
    <row r="43" spans="2:19" s="30" customFormat="1" ht="33" customHeight="1">
      <c r="B43" s="46" t="s">
        <v>78</v>
      </c>
      <c r="C43" s="35" t="s">
        <v>5057</v>
      </c>
      <c r="D43" s="36" t="s">
        <v>5300</v>
      </c>
      <c r="E43" s="37">
        <v>43689</v>
      </c>
      <c r="F43" s="36" t="s">
        <v>79</v>
      </c>
      <c r="G43" s="39">
        <v>20000</v>
      </c>
      <c r="H43" s="38">
        <f t="shared" si="0"/>
        <v>80</v>
      </c>
      <c r="I43" s="38">
        <f t="shared" si="1"/>
        <v>20</v>
      </c>
      <c r="J43" s="36"/>
      <c r="K43" s="40">
        <v>43772</v>
      </c>
      <c r="L43" s="41" t="s">
        <v>5301</v>
      </c>
      <c r="M43" s="42">
        <v>43766</v>
      </c>
      <c r="N43" s="43" t="s">
        <v>5302</v>
      </c>
      <c r="O43" s="42">
        <v>43772</v>
      </c>
      <c r="P43" s="41"/>
      <c r="Q43" s="36"/>
      <c r="R43" s="44" t="s">
        <v>5303</v>
      </c>
      <c r="S43" s="46"/>
    </row>
    <row r="44" spans="2:19" s="30" customFormat="1" ht="33" customHeight="1">
      <c r="B44" s="46" t="s">
        <v>220</v>
      </c>
      <c r="C44" s="35" t="s">
        <v>5055</v>
      </c>
      <c r="D44" s="36" t="s">
        <v>5304</v>
      </c>
      <c r="E44" s="37">
        <v>43689</v>
      </c>
      <c r="F44" s="36" t="s">
        <v>79</v>
      </c>
      <c r="G44" s="39">
        <v>20000</v>
      </c>
      <c r="H44" s="38">
        <f t="shared" si="0"/>
        <v>80</v>
      </c>
      <c r="I44" s="38">
        <f t="shared" si="1"/>
        <v>20</v>
      </c>
      <c r="J44" s="36"/>
      <c r="K44" s="40">
        <v>43779</v>
      </c>
      <c r="L44" s="41" t="s">
        <v>5305</v>
      </c>
      <c r="M44" s="42">
        <v>43770</v>
      </c>
      <c r="N44" s="43" t="s">
        <v>5306</v>
      </c>
      <c r="O44" s="42">
        <v>43779</v>
      </c>
      <c r="P44" s="41"/>
      <c r="Q44" s="36"/>
      <c r="R44" s="44" t="s">
        <v>5307</v>
      </c>
      <c r="S44" s="46"/>
    </row>
    <row r="45" spans="2:19" s="30" customFormat="1" ht="33" customHeight="1">
      <c r="B45" s="46" t="s">
        <v>78</v>
      </c>
      <c r="C45" s="35" t="s">
        <v>5053</v>
      </c>
      <c r="D45" s="36" t="s">
        <v>5308</v>
      </c>
      <c r="E45" s="37">
        <v>43689</v>
      </c>
      <c r="F45" s="36" t="s">
        <v>79</v>
      </c>
      <c r="G45" s="39">
        <v>20000</v>
      </c>
      <c r="H45" s="38">
        <f t="shared" si="0"/>
        <v>80</v>
      </c>
      <c r="I45" s="38">
        <f t="shared" si="1"/>
        <v>20</v>
      </c>
      <c r="J45" s="36"/>
      <c r="K45" s="40">
        <v>43786</v>
      </c>
      <c r="L45" s="41" t="s">
        <v>5309</v>
      </c>
      <c r="M45" s="42">
        <v>43780</v>
      </c>
      <c r="N45" s="43" t="s">
        <v>5310</v>
      </c>
      <c r="O45" s="42">
        <v>43786</v>
      </c>
      <c r="P45" s="41"/>
      <c r="Q45" s="36"/>
      <c r="R45" s="44" t="s">
        <v>5311</v>
      </c>
      <c r="S45" s="46"/>
    </row>
    <row r="46" spans="2:19" s="30" customFormat="1" ht="33" customHeight="1">
      <c r="B46" s="46" t="s">
        <v>78</v>
      </c>
      <c r="C46" s="35" t="s">
        <v>5051</v>
      </c>
      <c r="D46" s="36" t="s">
        <v>5312</v>
      </c>
      <c r="E46" s="37">
        <v>43689</v>
      </c>
      <c r="F46" s="36" t="s">
        <v>79</v>
      </c>
      <c r="G46" s="39">
        <v>20000</v>
      </c>
      <c r="H46" s="38">
        <f t="shared" si="0"/>
        <v>80</v>
      </c>
      <c r="I46" s="38">
        <f t="shared" si="1"/>
        <v>20</v>
      </c>
      <c r="J46" s="36"/>
      <c r="K46" s="40">
        <v>43793</v>
      </c>
      <c r="L46" s="41" t="s">
        <v>5313</v>
      </c>
      <c r="M46" s="42">
        <v>43787</v>
      </c>
      <c r="N46" s="43" t="s">
        <v>5314</v>
      </c>
      <c r="O46" s="42">
        <v>43793</v>
      </c>
      <c r="P46" s="41"/>
      <c r="Q46" s="36"/>
      <c r="R46" s="44" t="s">
        <v>5315</v>
      </c>
      <c r="S46" s="46"/>
    </row>
    <row r="47" spans="2:19" s="30" customFormat="1" ht="33" customHeight="1">
      <c r="B47" s="46" t="s">
        <v>5316</v>
      </c>
      <c r="C47" s="35" t="s">
        <v>5049</v>
      </c>
      <c r="D47" s="36" t="s">
        <v>5317</v>
      </c>
      <c r="E47" s="37">
        <v>43689</v>
      </c>
      <c r="F47" s="36" t="s">
        <v>79</v>
      </c>
      <c r="G47" s="39">
        <v>20000</v>
      </c>
      <c r="H47" s="38">
        <f t="shared" si="0"/>
        <v>80</v>
      </c>
      <c r="I47" s="38">
        <f t="shared" si="1"/>
        <v>20</v>
      </c>
      <c r="J47" s="36"/>
      <c r="K47" s="40">
        <v>43800</v>
      </c>
      <c r="L47" s="41" t="s">
        <v>5318</v>
      </c>
      <c r="M47" s="42">
        <v>43794</v>
      </c>
      <c r="N47" s="43" t="s">
        <v>5431</v>
      </c>
      <c r="O47" s="42">
        <v>43800</v>
      </c>
      <c r="P47" s="41"/>
      <c r="Q47" s="36"/>
      <c r="R47" s="44" t="s">
        <v>5320</v>
      </c>
      <c r="S47" s="46"/>
    </row>
    <row r="48" spans="2:19" s="30" customFormat="1" ht="33" customHeight="1">
      <c r="B48" s="46" t="s">
        <v>220</v>
      </c>
      <c r="C48" s="35" t="s">
        <v>5047</v>
      </c>
      <c r="D48" s="36" t="s">
        <v>5321</v>
      </c>
      <c r="E48" s="37">
        <v>43689</v>
      </c>
      <c r="F48" s="36" t="s">
        <v>79</v>
      </c>
      <c r="G48" s="39">
        <v>20000</v>
      </c>
      <c r="H48" s="38">
        <f t="shared" si="0"/>
        <v>80</v>
      </c>
      <c r="I48" s="38">
        <f t="shared" si="1"/>
        <v>20</v>
      </c>
      <c r="J48" s="36"/>
      <c r="K48" s="40">
        <v>43793</v>
      </c>
      <c r="L48" s="41" t="s">
        <v>5313</v>
      </c>
      <c r="M48" s="42">
        <v>43787</v>
      </c>
      <c r="N48" s="43" t="s">
        <v>5435</v>
      </c>
      <c r="O48" s="42">
        <v>43793</v>
      </c>
      <c r="P48" s="41"/>
      <c r="Q48" s="36"/>
      <c r="R48" s="44" t="s">
        <v>5323</v>
      </c>
      <c r="S48" s="46"/>
    </row>
    <row r="49" spans="2:19" s="96" customFormat="1" ht="33" customHeight="1">
      <c r="B49" s="47" t="s">
        <v>17</v>
      </c>
      <c r="C49" s="48" t="s">
        <v>427</v>
      </c>
      <c r="D49" s="49" t="s">
        <v>5324</v>
      </c>
      <c r="E49" s="50">
        <v>43483</v>
      </c>
      <c r="F49" s="52" t="s">
        <v>84</v>
      </c>
      <c r="G49" s="51">
        <v>9200</v>
      </c>
      <c r="H49" s="52">
        <f t="shared" ref="H49:H53" si="2">SUM(G49/230)</f>
        <v>40</v>
      </c>
      <c r="I49" s="52">
        <f t="shared" si="1"/>
        <v>10</v>
      </c>
      <c r="J49" s="49"/>
      <c r="K49" s="53">
        <v>43576</v>
      </c>
      <c r="L49" s="54" t="s">
        <v>5325</v>
      </c>
      <c r="M49" s="55">
        <v>43571</v>
      </c>
      <c r="N49" s="56" t="s">
        <v>5326</v>
      </c>
      <c r="O49" s="55">
        <v>43576</v>
      </c>
      <c r="P49" s="58"/>
      <c r="Q49" s="52" t="s">
        <v>82</v>
      </c>
      <c r="R49" s="57" t="s">
        <v>5327</v>
      </c>
      <c r="S49" s="47"/>
    </row>
    <row r="50" spans="2:19" s="96" customFormat="1" ht="33" customHeight="1">
      <c r="B50" s="47" t="s">
        <v>17</v>
      </c>
      <c r="C50" s="48" t="s">
        <v>581</v>
      </c>
      <c r="D50" s="49" t="s">
        <v>582</v>
      </c>
      <c r="E50" s="50">
        <v>43519</v>
      </c>
      <c r="F50" s="52" t="s">
        <v>84</v>
      </c>
      <c r="G50" s="51">
        <v>9200</v>
      </c>
      <c r="H50" s="52">
        <f t="shared" si="2"/>
        <v>40</v>
      </c>
      <c r="I50" s="52">
        <f t="shared" si="1"/>
        <v>10</v>
      </c>
      <c r="J50" s="49"/>
      <c r="K50" s="53">
        <v>43632</v>
      </c>
      <c r="L50" s="54" t="s">
        <v>5328</v>
      </c>
      <c r="M50" s="55">
        <v>43620</v>
      </c>
      <c r="N50" s="56" t="s">
        <v>5329</v>
      </c>
      <c r="O50" s="55">
        <v>43625</v>
      </c>
      <c r="P50" s="58"/>
      <c r="Q50" s="52" t="s">
        <v>82</v>
      </c>
      <c r="R50" s="57" t="s">
        <v>5330</v>
      </c>
      <c r="S50" s="47"/>
    </row>
    <row r="51" spans="2:19" s="96" customFormat="1" ht="33" customHeight="1">
      <c r="B51" s="47" t="s">
        <v>17</v>
      </c>
      <c r="C51" s="48" t="s">
        <v>694</v>
      </c>
      <c r="D51" s="49" t="s">
        <v>695</v>
      </c>
      <c r="E51" s="50">
        <v>43532</v>
      </c>
      <c r="F51" s="52" t="s">
        <v>5331</v>
      </c>
      <c r="G51" s="51">
        <v>9200</v>
      </c>
      <c r="H51" s="52">
        <f t="shared" si="2"/>
        <v>40</v>
      </c>
      <c r="I51" s="52">
        <f t="shared" si="1"/>
        <v>10</v>
      </c>
      <c r="J51" s="49"/>
      <c r="K51" s="53">
        <v>43653</v>
      </c>
      <c r="L51" s="54" t="s">
        <v>1326</v>
      </c>
      <c r="M51" s="55">
        <v>43648</v>
      </c>
      <c r="N51" s="56" t="s">
        <v>2540</v>
      </c>
      <c r="O51" s="55">
        <v>43653</v>
      </c>
      <c r="P51" s="58"/>
      <c r="Q51" s="52" t="s">
        <v>82</v>
      </c>
      <c r="R51" s="57" t="s">
        <v>5332</v>
      </c>
      <c r="S51" s="47"/>
    </row>
    <row r="52" spans="2:19" s="96" customFormat="1" ht="33" customHeight="1">
      <c r="B52" s="47" t="s">
        <v>17</v>
      </c>
      <c r="C52" s="48" t="s">
        <v>2299</v>
      </c>
      <c r="D52" s="49" t="s">
        <v>2641</v>
      </c>
      <c r="E52" s="50">
        <v>43609</v>
      </c>
      <c r="F52" s="52" t="s">
        <v>5331</v>
      </c>
      <c r="G52" s="51">
        <v>2760</v>
      </c>
      <c r="H52" s="52">
        <f t="shared" si="2"/>
        <v>12</v>
      </c>
      <c r="I52" s="52">
        <f t="shared" si="1"/>
        <v>3</v>
      </c>
      <c r="J52" s="49"/>
      <c r="K52" s="53">
        <v>43653</v>
      </c>
      <c r="L52" s="54" t="s">
        <v>1326</v>
      </c>
      <c r="M52" s="55">
        <v>43648</v>
      </c>
      <c r="N52" s="56" t="s">
        <v>2540</v>
      </c>
      <c r="O52" s="55">
        <v>43653</v>
      </c>
      <c r="P52" s="58"/>
      <c r="Q52" s="52" t="s">
        <v>82</v>
      </c>
      <c r="R52" s="57" t="s">
        <v>5332</v>
      </c>
      <c r="S52" s="47"/>
    </row>
    <row r="53" spans="2:19" s="96" customFormat="1" ht="33" customHeight="1">
      <c r="B53" s="47" t="s">
        <v>17</v>
      </c>
      <c r="C53" s="48" t="s">
        <v>5333</v>
      </c>
      <c r="D53" s="49" t="s">
        <v>2300</v>
      </c>
      <c r="E53" s="50">
        <v>43602</v>
      </c>
      <c r="F53" s="52" t="s">
        <v>5331</v>
      </c>
      <c r="G53" s="51">
        <v>9200</v>
      </c>
      <c r="H53" s="52">
        <f t="shared" si="2"/>
        <v>40</v>
      </c>
      <c r="I53" s="52">
        <f t="shared" si="1"/>
        <v>10</v>
      </c>
      <c r="J53" s="49"/>
      <c r="K53" s="53">
        <v>43695</v>
      </c>
      <c r="L53" s="54" t="s">
        <v>5334</v>
      </c>
      <c r="M53" s="55">
        <v>43683</v>
      </c>
      <c r="N53" s="56" t="s">
        <v>5335</v>
      </c>
      <c r="O53" s="55">
        <v>43688</v>
      </c>
      <c r="P53" s="58"/>
      <c r="Q53" s="52" t="s">
        <v>82</v>
      </c>
      <c r="R53" s="57" t="s">
        <v>5336</v>
      </c>
      <c r="S53" s="47" t="s">
        <v>2764</v>
      </c>
    </row>
    <row r="54" spans="2:19" s="96" customFormat="1" ht="33" customHeight="1">
      <c r="B54" s="47" t="s">
        <v>17</v>
      </c>
      <c r="C54" s="48" t="s">
        <v>3702</v>
      </c>
      <c r="D54" s="49" t="s">
        <v>3703</v>
      </c>
      <c r="E54" s="50">
        <v>43643</v>
      </c>
      <c r="F54" s="52" t="s">
        <v>5331</v>
      </c>
      <c r="G54" s="51">
        <v>4600</v>
      </c>
      <c r="H54" s="52">
        <f>SUM(G54/230)</f>
        <v>20</v>
      </c>
      <c r="I54" s="52">
        <f t="shared" si="1"/>
        <v>5</v>
      </c>
      <c r="J54" s="49"/>
      <c r="K54" s="53">
        <v>43688</v>
      </c>
      <c r="L54" s="54" t="s">
        <v>5334</v>
      </c>
      <c r="M54" s="55">
        <v>43683</v>
      </c>
      <c r="N54" s="56" t="s">
        <v>5335</v>
      </c>
      <c r="O54" s="55">
        <v>43688</v>
      </c>
      <c r="P54" s="58"/>
      <c r="Q54" s="52" t="s">
        <v>82</v>
      </c>
      <c r="R54" s="57"/>
      <c r="S54" s="47"/>
    </row>
    <row r="55" spans="2:19" s="67" customFormat="1" ht="33" customHeight="1">
      <c r="B55" s="46" t="s">
        <v>17</v>
      </c>
      <c r="C55" s="35" t="s">
        <v>5337</v>
      </c>
      <c r="D55" s="36" t="s">
        <v>3377</v>
      </c>
      <c r="E55" s="37">
        <v>43637</v>
      </c>
      <c r="F55" s="38" t="s">
        <v>5331</v>
      </c>
      <c r="G55" s="39">
        <v>9200</v>
      </c>
      <c r="H55" s="38">
        <f t="shared" ref="H55:H56" si="3">SUM(G55/230)</f>
        <v>40</v>
      </c>
      <c r="I55" s="38">
        <f t="shared" si="1"/>
        <v>10</v>
      </c>
      <c r="J55" s="36"/>
      <c r="K55" s="40">
        <v>43716</v>
      </c>
      <c r="L55" s="110" t="s">
        <v>5459</v>
      </c>
      <c r="M55" s="111">
        <v>43718</v>
      </c>
      <c r="N55" s="112" t="s">
        <v>5460</v>
      </c>
      <c r="O55" s="111">
        <v>43723</v>
      </c>
      <c r="P55" s="113"/>
      <c r="Q55" s="107"/>
      <c r="R55" s="114" t="s">
        <v>5338</v>
      </c>
      <c r="S55" s="103" t="s">
        <v>5457</v>
      </c>
    </row>
    <row r="56" spans="2:19" s="67" customFormat="1" ht="33" customHeight="1">
      <c r="B56" s="46" t="s">
        <v>17</v>
      </c>
      <c r="C56" s="35" t="s">
        <v>5339</v>
      </c>
      <c r="D56" s="36" t="s">
        <v>3380</v>
      </c>
      <c r="E56" s="37">
        <v>43637</v>
      </c>
      <c r="F56" s="38" t="s">
        <v>5331</v>
      </c>
      <c r="G56" s="39">
        <v>9200</v>
      </c>
      <c r="H56" s="200">
        <f t="shared" si="3"/>
        <v>40</v>
      </c>
      <c r="I56" s="200">
        <f t="shared" si="1"/>
        <v>10</v>
      </c>
      <c r="J56" s="36"/>
      <c r="K56" s="40">
        <v>43744</v>
      </c>
      <c r="L56" s="41" t="s">
        <v>5340</v>
      </c>
      <c r="M56" s="42">
        <v>43739</v>
      </c>
      <c r="N56" s="43" t="s">
        <v>5341</v>
      </c>
      <c r="O56" s="42">
        <v>43744</v>
      </c>
      <c r="P56" s="45"/>
      <c r="Q56" s="38"/>
      <c r="R56" s="44" t="s">
        <v>5342</v>
      </c>
      <c r="S56" s="46"/>
    </row>
    <row r="57" spans="2:19" s="67" customFormat="1" ht="33" customHeight="1">
      <c r="B57" s="122" t="s">
        <v>17</v>
      </c>
      <c r="C57" s="126" t="s">
        <v>5033</v>
      </c>
      <c r="D57" s="127" t="s">
        <v>5343</v>
      </c>
      <c r="E57" s="128">
        <v>43689</v>
      </c>
      <c r="F57" s="124" t="s">
        <v>5331</v>
      </c>
      <c r="G57" s="129">
        <v>4600</v>
      </c>
      <c r="H57" s="124">
        <f>SUM(G57/230)</f>
        <v>20</v>
      </c>
      <c r="I57" s="124">
        <f t="shared" si="1"/>
        <v>5</v>
      </c>
      <c r="J57" s="127"/>
      <c r="K57" s="130">
        <v>43800</v>
      </c>
      <c r="L57" s="119" t="s">
        <v>5432</v>
      </c>
      <c r="M57" s="120">
        <v>43795</v>
      </c>
      <c r="N57" s="121" t="s">
        <v>5430</v>
      </c>
      <c r="O57" s="120">
        <v>43800</v>
      </c>
      <c r="P57" s="123"/>
      <c r="Q57" s="124" t="s">
        <v>82</v>
      </c>
      <c r="R57" s="125" t="s">
        <v>5345</v>
      </c>
      <c r="S57" s="122"/>
    </row>
    <row r="58" spans="2:19" s="67" customFormat="1" ht="33" customHeight="1">
      <c r="B58" s="122" t="s">
        <v>17</v>
      </c>
      <c r="C58" s="126" t="s">
        <v>5346</v>
      </c>
      <c r="D58" s="127" t="s">
        <v>5454</v>
      </c>
      <c r="E58" s="128">
        <v>43700</v>
      </c>
      <c r="F58" s="124" t="s">
        <v>5331</v>
      </c>
      <c r="G58" s="129">
        <v>6440</v>
      </c>
      <c r="H58" s="124">
        <f>SUM(G58/230)</f>
        <v>28</v>
      </c>
      <c r="I58" s="124">
        <f t="shared" si="1"/>
        <v>7</v>
      </c>
      <c r="J58" s="127"/>
      <c r="K58" s="130">
        <v>43744</v>
      </c>
      <c r="L58" s="119" t="s">
        <v>4481</v>
      </c>
      <c r="M58" s="120">
        <v>43739</v>
      </c>
      <c r="N58" s="121" t="s">
        <v>5436</v>
      </c>
      <c r="O58" s="120">
        <v>43744</v>
      </c>
      <c r="P58" s="123"/>
      <c r="Q58" s="124" t="s">
        <v>82</v>
      </c>
      <c r="R58" s="125" t="s">
        <v>5347</v>
      </c>
      <c r="S58" s="122"/>
    </row>
    <row r="59" spans="2:19" s="67" customFormat="1" ht="33" customHeight="1">
      <c r="B59" s="122" t="s">
        <v>17</v>
      </c>
      <c r="C59" s="126" t="s">
        <v>5348</v>
      </c>
      <c r="D59" s="127" t="s">
        <v>5455</v>
      </c>
      <c r="E59" s="128">
        <v>43700</v>
      </c>
      <c r="F59" s="124" t="s">
        <v>5331</v>
      </c>
      <c r="G59" s="129">
        <v>6440</v>
      </c>
      <c r="H59" s="124">
        <f>SUM(G59/230)</f>
        <v>28</v>
      </c>
      <c r="I59" s="124">
        <f t="shared" si="1"/>
        <v>7</v>
      </c>
      <c r="J59" s="127"/>
      <c r="K59" s="130">
        <v>43765</v>
      </c>
      <c r="L59" s="119" t="s">
        <v>4477</v>
      </c>
      <c r="M59" s="120">
        <v>43760</v>
      </c>
      <c r="N59" s="121" t="s">
        <v>4549</v>
      </c>
      <c r="O59" s="120">
        <v>43765</v>
      </c>
      <c r="P59" s="123"/>
      <c r="Q59" s="124" t="s">
        <v>82</v>
      </c>
      <c r="R59" s="125" t="s">
        <v>5349</v>
      </c>
      <c r="S59" s="122"/>
    </row>
    <row r="60" spans="2:19" s="96" customFormat="1" ht="33" customHeight="1">
      <c r="B60" s="47" t="s">
        <v>81</v>
      </c>
      <c r="C60" s="48" t="s">
        <v>279</v>
      </c>
      <c r="D60" s="49" t="s">
        <v>5350</v>
      </c>
      <c r="E60" s="50">
        <v>43392</v>
      </c>
      <c r="F60" s="52" t="s">
        <v>84</v>
      </c>
      <c r="G60" s="51">
        <v>11960</v>
      </c>
      <c r="H60" s="52">
        <f t="shared" ref="H60:H80" si="4">SUM(G60/230)</f>
        <v>52</v>
      </c>
      <c r="I60" s="52">
        <f t="shared" si="1"/>
        <v>13</v>
      </c>
      <c r="J60" s="52"/>
      <c r="K60" s="53">
        <v>43597</v>
      </c>
      <c r="L60" s="54" t="s">
        <v>5351</v>
      </c>
      <c r="M60" s="55">
        <v>43594</v>
      </c>
      <c r="N60" s="56" t="s">
        <v>5352</v>
      </c>
      <c r="O60" s="55">
        <v>43598</v>
      </c>
      <c r="P60" s="58" t="s">
        <v>5353</v>
      </c>
      <c r="Q60" s="47"/>
      <c r="R60" s="57" t="s">
        <v>5354</v>
      </c>
      <c r="S60" s="47"/>
    </row>
    <row r="61" spans="2:19" s="96" customFormat="1" ht="33" customHeight="1">
      <c r="B61" s="47" t="s">
        <v>81</v>
      </c>
      <c r="C61" s="48" t="s">
        <v>5355</v>
      </c>
      <c r="D61" s="49" t="s">
        <v>5350</v>
      </c>
      <c r="E61" s="50">
        <v>43392</v>
      </c>
      <c r="F61" s="52" t="s">
        <v>84</v>
      </c>
      <c r="G61" s="51">
        <v>1840</v>
      </c>
      <c r="H61" s="52">
        <f t="shared" si="4"/>
        <v>8</v>
      </c>
      <c r="I61" s="52">
        <f t="shared" si="1"/>
        <v>2</v>
      </c>
      <c r="J61" s="52"/>
      <c r="K61" s="53">
        <v>43597</v>
      </c>
      <c r="L61" s="54" t="s">
        <v>773</v>
      </c>
      <c r="M61" s="55">
        <v>43601</v>
      </c>
      <c r="N61" s="56" t="s">
        <v>5356</v>
      </c>
      <c r="O61" s="55">
        <v>43605</v>
      </c>
      <c r="P61" s="58" t="s">
        <v>5353</v>
      </c>
      <c r="Q61" s="47"/>
      <c r="R61" s="57" t="s">
        <v>5354</v>
      </c>
      <c r="S61" s="47" t="s">
        <v>1329</v>
      </c>
    </row>
    <row r="62" spans="2:19" s="96" customFormat="1" ht="33" customHeight="1">
      <c r="B62" s="47" t="s">
        <v>81</v>
      </c>
      <c r="C62" s="48" t="s">
        <v>318</v>
      </c>
      <c r="D62" s="49" t="s">
        <v>319</v>
      </c>
      <c r="E62" s="50">
        <v>43420</v>
      </c>
      <c r="F62" s="52" t="s">
        <v>5331</v>
      </c>
      <c r="G62" s="51">
        <v>17940</v>
      </c>
      <c r="H62" s="52">
        <f t="shared" si="4"/>
        <v>78</v>
      </c>
      <c r="I62" s="52">
        <f t="shared" si="1"/>
        <v>19.5</v>
      </c>
      <c r="J62" s="52"/>
      <c r="K62" s="53">
        <v>43576</v>
      </c>
      <c r="L62" s="54" t="s">
        <v>480</v>
      </c>
      <c r="M62" s="55">
        <v>43564</v>
      </c>
      <c r="N62" s="56" t="s">
        <v>5357</v>
      </c>
      <c r="O62" s="55">
        <v>43569</v>
      </c>
      <c r="P62" s="58"/>
      <c r="Q62" s="47"/>
      <c r="R62" s="57" t="s">
        <v>5358</v>
      </c>
      <c r="S62" s="47" t="s">
        <v>5359</v>
      </c>
    </row>
    <row r="63" spans="2:19" s="96" customFormat="1" ht="33" customHeight="1">
      <c r="B63" s="47" t="s">
        <v>81</v>
      </c>
      <c r="C63" s="48" t="s">
        <v>5360</v>
      </c>
      <c r="D63" s="49" t="s">
        <v>701</v>
      </c>
      <c r="E63" s="50">
        <v>43532</v>
      </c>
      <c r="F63" s="52" t="s">
        <v>5331</v>
      </c>
      <c r="G63" s="51">
        <v>13800</v>
      </c>
      <c r="H63" s="52">
        <f t="shared" si="4"/>
        <v>60</v>
      </c>
      <c r="I63" s="52">
        <f t="shared" si="1"/>
        <v>15</v>
      </c>
      <c r="J63" s="52"/>
      <c r="K63" s="53">
        <v>43615</v>
      </c>
      <c r="L63" s="54" t="s">
        <v>5361</v>
      </c>
      <c r="M63" s="55">
        <v>43613</v>
      </c>
      <c r="N63" s="56" t="s">
        <v>5362</v>
      </c>
      <c r="O63" s="55">
        <v>43618</v>
      </c>
      <c r="P63" s="58"/>
      <c r="Q63" s="47"/>
      <c r="R63" s="57" t="s">
        <v>5363</v>
      </c>
      <c r="S63" s="47"/>
    </row>
    <row r="64" spans="2:19" s="96" customFormat="1" ht="33" customHeight="1">
      <c r="B64" s="47" t="s">
        <v>81</v>
      </c>
      <c r="C64" s="48" t="s">
        <v>5364</v>
      </c>
      <c r="D64" s="49" t="s">
        <v>5365</v>
      </c>
      <c r="E64" s="50">
        <v>43532</v>
      </c>
      <c r="F64" s="52" t="s">
        <v>5331</v>
      </c>
      <c r="G64" s="51">
        <v>4600</v>
      </c>
      <c r="H64" s="52">
        <f t="shared" si="4"/>
        <v>20</v>
      </c>
      <c r="I64" s="52">
        <f t="shared" si="1"/>
        <v>5</v>
      </c>
      <c r="J64" s="52"/>
      <c r="K64" s="53">
        <v>43615</v>
      </c>
      <c r="L64" s="54" t="s">
        <v>5328</v>
      </c>
      <c r="M64" s="55">
        <v>43620</v>
      </c>
      <c r="N64" s="56" t="s">
        <v>5329</v>
      </c>
      <c r="O64" s="55">
        <v>43625</v>
      </c>
      <c r="P64" s="58"/>
      <c r="Q64" s="47"/>
      <c r="R64" s="57" t="s">
        <v>5363</v>
      </c>
      <c r="S64" s="47"/>
    </row>
    <row r="65" spans="2:19" s="96" customFormat="1" ht="33" customHeight="1">
      <c r="B65" s="47" t="s">
        <v>81</v>
      </c>
      <c r="C65" s="48" t="s">
        <v>702</v>
      </c>
      <c r="D65" s="49" t="s">
        <v>703</v>
      </c>
      <c r="E65" s="50">
        <v>43532</v>
      </c>
      <c r="F65" s="52" t="s">
        <v>5331</v>
      </c>
      <c r="G65" s="51">
        <v>9200</v>
      </c>
      <c r="H65" s="52">
        <f t="shared" si="4"/>
        <v>40</v>
      </c>
      <c r="I65" s="52">
        <f t="shared" si="1"/>
        <v>10</v>
      </c>
      <c r="J65" s="52"/>
      <c r="K65" s="53">
        <v>43632</v>
      </c>
      <c r="L65" s="54" t="s">
        <v>807</v>
      </c>
      <c r="M65" s="55">
        <v>43627</v>
      </c>
      <c r="N65" s="56" t="s">
        <v>808</v>
      </c>
      <c r="O65" s="55">
        <v>43632</v>
      </c>
      <c r="P65" s="58"/>
      <c r="Q65" s="47"/>
      <c r="R65" s="57" t="s">
        <v>5366</v>
      </c>
      <c r="S65" s="47"/>
    </row>
    <row r="66" spans="2:19" s="96" customFormat="1" ht="33" customHeight="1">
      <c r="B66" s="47" t="s">
        <v>81</v>
      </c>
      <c r="C66" s="48" t="s">
        <v>852</v>
      </c>
      <c r="D66" s="49" t="s">
        <v>1990</v>
      </c>
      <c r="E66" s="50">
        <v>43558</v>
      </c>
      <c r="F66" s="52" t="s">
        <v>5331</v>
      </c>
      <c r="G66" s="51">
        <v>9200</v>
      </c>
      <c r="H66" s="52">
        <f t="shared" si="4"/>
        <v>40</v>
      </c>
      <c r="I66" s="52">
        <f t="shared" si="1"/>
        <v>10</v>
      </c>
      <c r="J66" s="52"/>
      <c r="K66" s="53">
        <v>43639</v>
      </c>
      <c r="L66" s="54" t="s">
        <v>1083</v>
      </c>
      <c r="M66" s="55">
        <v>43634</v>
      </c>
      <c r="N66" s="56" t="s">
        <v>1084</v>
      </c>
      <c r="O66" s="55">
        <v>43639</v>
      </c>
      <c r="P66" s="58"/>
      <c r="Q66" s="47"/>
      <c r="R66" s="57" t="s">
        <v>5366</v>
      </c>
      <c r="S66" s="47"/>
    </row>
    <row r="67" spans="2:19" s="96" customFormat="1" ht="33" customHeight="1">
      <c r="B67" s="47" t="s">
        <v>81</v>
      </c>
      <c r="C67" s="48" t="s">
        <v>1435</v>
      </c>
      <c r="D67" s="49" t="s">
        <v>1436</v>
      </c>
      <c r="E67" s="50">
        <v>43574</v>
      </c>
      <c r="F67" s="52" t="s">
        <v>5331</v>
      </c>
      <c r="G67" s="51">
        <v>18400</v>
      </c>
      <c r="H67" s="52">
        <f t="shared" si="4"/>
        <v>80</v>
      </c>
      <c r="I67" s="52">
        <f t="shared" ref="I67:I70" si="5">SUM(H67/4)</f>
        <v>20</v>
      </c>
      <c r="J67" s="52"/>
      <c r="K67" s="53">
        <v>43646</v>
      </c>
      <c r="L67" s="54" t="s">
        <v>5367</v>
      </c>
      <c r="M67" s="55">
        <v>43641</v>
      </c>
      <c r="N67" s="56" t="s">
        <v>5368</v>
      </c>
      <c r="O67" s="55">
        <v>43646</v>
      </c>
      <c r="P67" s="58"/>
      <c r="Q67" s="47"/>
      <c r="R67" s="57" t="s">
        <v>5369</v>
      </c>
      <c r="S67" s="47" t="s">
        <v>3251</v>
      </c>
    </row>
    <row r="68" spans="2:19" s="96" customFormat="1" ht="33" customHeight="1">
      <c r="B68" s="47" t="s">
        <v>81</v>
      </c>
      <c r="C68" s="48" t="s">
        <v>2322</v>
      </c>
      <c r="D68" s="49" t="s">
        <v>2323</v>
      </c>
      <c r="E68" s="50">
        <v>43602</v>
      </c>
      <c r="F68" s="52" t="s">
        <v>5331</v>
      </c>
      <c r="G68" s="51">
        <v>18400</v>
      </c>
      <c r="H68" s="52">
        <f t="shared" si="4"/>
        <v>80</v>
      </c>
      <c r="I68" s="52">
        <f t="shared" si="5"/>
        <v>20</v>
      </c>
      <c r="J68" s="52"/>
      <c r="K68" s="53">
        <v>43674</v>
      </c>
      <c r="L68" s="54" t="s">
        <v>2146</v>
      </c>
      <c r="M68" s="55">
        <v>43669</v>
      </c>
      <c r="N68" s="56" t="s">
        <v>2551</v>
      </c>
      <c r="O68" s="55">
        <v>43674</v>
      </c>
      <c r="P68" s="58"/>
      <c r="Q68" s="47"/>
      <c r="R68" s="57" t="s">
        <v>5370</v>
      </c>
      <c r="S68" s="47"/>
    </row>
    <row r="69" spans="2:19" s="96" customFormat="1" ht="33" customHeight="1">
      <c r="B69" s="47" t="s">
        <v>81</v>
      </c>
      <c r="C69" s="48" t="s">
        <v>2325</v>
      </c>
      <c r="D69" s="49" t="s">
        <v>2326</v>
      </c>
      <c r="E69" s="50">
        <v>43602</v>
      </c>
      <c r="F69" s="52" t="s">
        <v>5331</v>
      </c>
      <c r="G69" s="51">
        <v>10580</v>
      </c>
      <c r="H69" s="52">
        <f t="shared" si="4"/>
        <v>46</v>
      </c>
      <c r="I69" s="52">
        <f t="shared" si="5"/>
        <v>11.5</v>
      </c>
      <c r="J69" s="52"/>
      <c r="K69" s="53">
        <v>43681</v>
      </c>
      <c r="L69" s="54" t="s">
        <v>5371</v>
      </c>
      <c r="M69" s="55">
        <v>43676</v>
      </c>
      <c r="N69" s="56" t="s">
        <v>5372</v>
      </c>
      <c r="O69" s="55">
        <v>43681</v>
      </c>
      <c r="P69" s="58"/>
      <c r="Q69" s="47"/>
      <c r="R69" s="57" t="s">
        <v>5373</v>
      </c>
      <c r="S69" s="47" t="s">
        <v>3549</v>
      </c>
    </row>
    <row r="70" spans="2:19" s="67" customFormat="1" ht="33" customHeight="1">
      <c r="B70" s="46" t="s">
        <v>81</v>
      </c>
      <c r="C70" s="35" t="s">
        <v>3406</v>
      </c>
      <c r="D70" s="36" t="s">
        <v>3407</v>
      </c>
      <c r="E70" s="37">
        <v>43637</v>
      </c>
      <c r="F70" s="38" t="s">
        <v>5331</v>
      </c>
      <c r="G70" s="39">
        <v>12880</v>
      </c>
      <c r="H70" s="38">
        <f t="shared" si="4"/>
        <v>56</v>
      </c>
      <c r="I70" s="38">
        <f t="shared" si="5"/>
        <v>14</v>
      </c>
      <c r="J70" s="38"/>
      <c r="K70" s="40">
        <v>43723</v>
      </c>
      <c r="L70" s="110" t="s">
        <v>5462</v>
      </c>
      <c r="M70" s="111">
        <v>43725</v>
      </c>
      <c r="N70" s="112" t="s">
        <v>5463</v>
      </c>
      <c r="O70" s="111">
        <v>43730</v>
      </c>
      <c r="P70" s="113"/>
      <c r="Q70" s="103"/>
      <c r="R70" s="114" t="s">
        <v>5376</v>
      </c>
      <c r="S70" s="103" t="s">
        <v>5461</v>
      </c>
    </row>
    <row r="71" spans="2:19" s="67" customFormat="1" ht="33" customHeight="1">
      <c r="B71" s="46" t="s">
        <v>81</v>
      </c>
      <c r="C71" s="35" t="s">
        <v>5377</v>
      </c>
      <c r="D71" s="36" t="s">
        <v>3407</v>
      </c>
      <c r="E71" s="37">
        <v>43637</v>
      </c>
      <c r="F71" s="38" t="s">
        <v>5331</v>
      </c>
      <c r="G71" s="39">
        <v>920</v>
      </c>
      <c r="H71" s="38">
        <f t="shared" si="4"/>
        <v>4</v>
      </c>
      <c r="I71" s="38">
        <v>1</v>
      </c>
      <c r="J71" s="38"/>
      <c r="K71" s="40">
        <v>43723</v>
      </c>
      <c r="L71" s="110" t="s">
        <v>5459</v>
      </c>
      <c r="M71" s="111">
        <v>43718</v>
      </c>
      <c r="N71" s="112" t="s">
        <v>5460</v>
      </c>
      <c r="O71" s="111">
        <v>43723</v>
      </c>
      <c r="P71" s="113"/>
      <c r="Q71" s="103"/>
      <c r="R71" s="114" t="s">
        <v>5376</v>
      </c>
      <c r="S71" s="103" t="s">
        <v>5458</v>
      </c>
    </row>
    <row r="72" spans="2:19" s="96" customFormat="1" ht="33" customHeight="1">
      <c r="B72" s="47" t="s">
        <v>81</v>
      </c>
      <c r="C72" s="48" t="s">
        <v>3409</v>
      </c>
      <c r="D72" s="49" t="s">
        <v>3743</v>
      </c>
      <c r="E72" s="50">
        <v>43665</v>
      </c>
      <c r="F72" s="52" t="s">
        <v>5331</v>
      </c>
      <c r="G72" s="51">
        <v>9200</v>
      </c>
      <c r="H72" s="52">
        <f t="shared" si="4"/>
        <v>40</v>
      </c>
      <c r="I72" s="52">
        <f t="shared" ref="I72:I80" si="6">SUM(H72/4)</f>
        <v>10</v>
      </c>
      <c r="J72" s="52"/>
      <c r="K72" s="53">
        <v>43667</v>
      </c>
      <c r="L72" s="54" t="s">
        <v>5378</v>
      </c>
      <c r="M72" s="55">
        <v>43662</v>
      </c>
      <c r="N72" s="56" t="s">
        <v>5379</v>
      </c>
      <c r="O72" s="55">
        <v>43667</v>
      </c>
      <c r="P72" s="58"/>
      <c r="Q72" s="47"/>
      <c r="R72" s="57"/>
      <c r="S72" s="47"/>
    </row>
    <row r="73" spans="2:19" s="67" customFormat="1" ht="33" customHeight="1">
      <c r="B73" s="46" t="s">
        <v>81</v>
      </c>
      <c r="C73" s="35" t="s">
        <v>4318</v>
      </c>
      <c r="D73" s="36" t="s">
        <v>4319</v>
      </c>
      <c r="E73" s="37">
        <v>43665</v>
      </c>
      <c r="F73" s="38" t="s">
        <v>5331</v>
      </c>
      <c r="G73" s="39">
        <v>9200</v>
      </c>
      <c r="H73" s="38">
        <f t="shared" si="4"/>
        <v>40</v>
      </c>
      <c r="I73" s="38">
        <f t="shared" si="6"/>
        <v>10</v>
      </c>
      <c r="J73" s="38"/>
      <c r="K73" s="40">
        <v>43751</v>
      </c>
      <c r="L73" s="41" t="s">
        <v>5380</v>
      </c>
      <c r="M73" s="42">
        <v>43746</v>
      </c>
      <c r="N73" s="43" t="s">
        <v>5381</v>
      </c>
      <c r="O73" s="42">
        <v>43751</v>
      </c>
      <c r="P73" s="45"/>
      <c r="Q73" s="46"/>
      <c r="R73" s="44" t="s">
        <v>5382</v>
      </c>
      <c r="S73" s="46"/>
    </row>
    <row r="74" spans="2:19" s="67" customFormat="1" ht="33" customHeight="1">
      <c r="B74" s="46" t="s">
        <v>81</v>
      </c>
      <c r="C74" s="35" t="s">
        <v>4321</v>
      </c>
      <c r="D74" s="36" t="s">
        <v>4322</v>
      </c>
      <c r="E74" s="37">
        <v>43665</v>
      </c>
      <c r="F74" s="38" t="s">
        <v>5331</v>
      </c>
      <c r="G74" s="39">
        <v>8740</v>
      </c>
      <c r="H74" s="38">
        <f t="shared" si="4"/>
        <v>38</v>
      </c>
      <c r="I74" s="38">
        <f t="shared" si="6"/>
        <v>9.5</v>
      </c>
      <c r="J74" s="38"/>
      <c r="K74" s="40">
        <v>43765</v>
      </c>
      <c r="L74" s="41" t="s">
        <v>5383</v>
      </c>
      <c r="M74" s="42">
        <v>43760</v>
      </c>
      <c r="N74" s="43" t="s">
        <v>5384</v>
      </c>
      <c r="O74" s="42">
        <v>43765</v>
      </c>
      <c r="P74" s="45"/>
      <c r="Q74" s="46"/>
      <c r="R74" s="44" t="s">
        <v>5385</v>
      </c>
      <c r="S74" s="46"/>
    </row>
    <row r="75" spans="2:19" s="67" customFormat="1" ht="33" customHeight="1">
      <c r="B75" s="46" t="s">
        <v>81</v>
      </c>
      <c r="C75" s="35" t="s">
        <v>5006</v>
      </c>
      <c r="D75" s="36" t="s">
        <v>5005</v>
      </c>
      <c r="E75" s="37">
        <v>43689</v>
      </c>
      <c r="F75" s="38" t="s">
        <v>5331</v>
      </c>
      <c r="G75" s="39">
        <v>9200</v>
      </c>
      <c r="H75" s="38">
        <f t="shared" si="4"/>
        <v>40</v>
      </c>
      <c r="I75" s="38">
        <f t="shared" si="6"/>
        <v>10</v>
      </c>
      <c r="J75" s="38"/>
      <c r="K75" s="40">
        <v>43786</v>
      </c>
      <c r="L75" s="41" t="s">
        <v>5386</v>
      </c>
      <c r="M75" s="42">
        <v>43781</v>
      </c>
      <c r="N75" s="43" t="s">
        <v>5344</v>
      </c>
      <c r="O75" s="42">
        <v>43786</v>
      </c>
      <c r="P75" s="45"/>
      <c r="Q75" s="46"/>
      <c r="R75" s="44" t="s">
        <v>5387</v>
      </c>
      <c r="S75" s="46"/>
    </row>
    <row r="76" spans="2:19" s="67" customFormat="1" ht="33" customHeight="1">
      <c r="B76" s="46" t="s">
        <v>81</v>
      </c>
      <c r="C76" s="35" t="s">
        <v>5003</v>
      </c>
      <c r="D76" s="36" t="s">
        <v>5002</v>
      </c>
      <c r="E76" s="37">
        <v>43689</v>
      </c>
      <c r="F76" s="38" t="s">
        <v>5331</v>
      </c>
      <c r="G76" s="39">
        <v>9200</v>
      </c>
      <c r="H76" s="38">
        <f t="shared" si="4"/>
        <v>40</v>
      </c>
      <c r="I76" s="38">
        <f t="shared" si="6"/>
        <v>10</v>
      </c>
      <c r="J76" s="38"/>
      <c r="K76" s="40">
        <v>43800</v>
      </c>
      <c r="L76" s="41" t="s">
        <v>5388</v>
      </c>
      <c r="M76" s="42">
        <v>43795</v>
      </c>
      <c r="N76" s="43" t="s">
        <v>5319</v>
      </c>
      <c r="O76" s="42">
        <v>43800</v>
      </c>
      <c r="P76" s="45"/>
      <c r="Q76" s="46"/>
      <c r="R76" s="44" t="s">
        <v>5389</v>
      </c>
      <c r="S76" s="46"/>
    </row>
    <row r="77" spans="2:19" s="96" customFormat="1" ht="33" customHeight="1">
      <c r="B77" s="47" t="s">
        <v>5390</v>
      </c>
      <c r="C77" s="48" t="s">
        <v>5391</v>
      </c>
      <c r="D77" s="49" t="s">
        <v>705</v>
      </c>
      <c r="E77" s="50">
        <v>43532</v>
      </c>
      <c r="F77" s="52" t="s">
        <v>5331</v>
      </c>
      <c r="G77" s="51">
        <v>920</v>
      </c>
      <c r="H77" s="52">
        <f t="shared" si="4"/>
        <v>4</v>
      </c>
      <c r="I77" s="52">
        <f t="shared" si="6"/>
        <v>1</v>
      </c>
      <c r="J77" s="52"/>
      <c r="K77" s="53">
        <v>43609</v>
      </c>
      <c r="L77" s="54" t="s">
        <v>773</v>
      </c>
      <c r="M77" s="55">
        <v>43601</v>
      </c>
      <c r="N77" s="56" t="s">
        <v>774</v>
      </c>
      <c r="O77" s="55">
        <v>43605</v>
      </c>
      <c r="P77" s="58"/>
      <c r="Q77" s="47"/>
      <c r="R77" s="57"/>
      <c r="S77" s="47" t="s">
        <v>5392</v>
      </c>
    </row>
    <row r="78" spans="2:19" s="96" customFormat="1" ht="33" customHeight="1">
      <c r="B78" s="47" t="s">
        <v>5393</v>
      </c>
      <c r="C78" s="48" t="s">
        <v>5391</v>
      </c>
      <c r="D78" s="49" t="s">
        <v>5394</v>
      </c>
      <c r="E78" s="50">
        <v>43511</v>
      </c>
      <c r="F78" s="52" t="s">
        <v>5331</v>
      </c>
      <c r="G78" s="51">
        <v>460</v>
      </c>
      <c r="H78" s="52">
        <f t="shared" si="4"/>
        <v>2</v>
      </c>
      <c r="I78" s="52">
        <f t="shared" si="6"/>
        <v>0.5</v>
      </c>
      <c r="J78" s="52"/>
      <c r="K78" s="53">
        <v>43576</v>
      </c>
      <c r="L78" s="54" t="s">
        <v>480</v>
      </c>
      <c r="M78" s="55">
        <v>43564</v>
      </c>
      <c r="N78" s="56" t="s">
        <v>646</v>
      </c>
      <c r="O78" s="55">
        <v>43569</v>
      </c>
      <c r="P78" s="58"/>
      <c r="Q78" s="47"/>
      <c r="R78" s="57" t="s">
        <v>5358</v>
      </c>
      <c r="S78" s="47"/>
    </row>
    <row r="79" spans="2:19" s="96" customFormat="1" ht="33" customHeight="1">
      <c r="B79" s="47" t="s">
        <v>5393</v>
      </c>
      <c r="C79" s="48" t="s">
        <v>2333</v>
      </c>
      <c r="D79" s="49" t="s">
        <v>2334</v>
      </c>
      <c r="E79" s="50">
        <v>43602</v>
      </c>
      <c r="F79" s="52" t="s">
        <v>5331</v>
      </c>
      <c r="G79" s="51">
        <v>460</v>
      </c>
      <c r="H79" s="52">
        <f t="shared" si="4"/>
        <v>2</v>
      </c>
      <c r="I79" s="52">
        <f t="shared" si="6"/>
        <v>0.5</v>
      </c>
      <c r="J79" s="52"/>
      <c r="K79" s="53">
        <v>43681</v>
      </c>
      <c r="L79" s="54" t="s">
        <v>5371</v>
      </c>
      <c r="M79" s="55">
        <v>43676</v>
      </c>
      <c r="N79" s="56" t="s">
        <v>5372</v>
      </c>
      <c r="O79" s="55">
        <v>43681</v>
      </c>
      <c r="P79" s="58"/>
      <c r="Q79" s="47"/>
      <c r="R79" s="57" t="s">
        <v>5373</v>
      </c>
      <c r="S79" s="47" t="s">
        <v>3549</v>
      </c>
    </row>
    <row r="80" spans="2:19" s="67" customFormat="1" ht="33" customHeight="1">
      <c r="B80" s="46" t="s">
        <v>5393</v>
      </c>
      <c r="C80" s="35" t="s">
        <v>4329</v>
      </c>
      <c r="D80" s="36" t="s">
        <v>4330</v>
      </c>
      <c r="E80" s="37">
        <v>43665</v>
      </c>
      <c r="F80" s="38" t="s">
        <v>5331</v>
      </c>
      <c r="G80" s="39">
        <v>460</v>
      </c>
      <c r="H80" s="38">
        <f t="shared" si="4"/>
        <v>2</v>
      </c>
      <c r="I80" s="38">
        <f t="shared" si="6"/>
        <v>0.5</v>
      </c>
      <c r="J80" s="38"/>
      <c r="K80" s="40">
        <v>43765</v>
      </c>
      <c r="L80" s="41" t="s">
        <v>4477</v>
      </c>
      <c r="M80" s="42">
        <v>43760</v>
      </c>
      <c r="N80" s="43" t="s">
        <v>5384</v>
      </c>
      <c r="O80" s="42">
        <v>43765</v>
      </c>
      <c r="P80" s="45"/>
      <c r="Q80" s="46"/>
      <c r="R80" s="44" t="s">
        <v>5385</v>
      </c>
      <c r="S80" s="46"/>
    </row>
    <row r="81" spans="2:19" s="33" customFormat="1" ht="33" customHeight="1">
      <c r="B81" s="47" t="s">
        <v>5395</v>
      </c>
      <c r="C81" s="48" t="s">
        <v>430</v>
      </c>
      <c r="D81" s="49" t="s">
        <v>470</v>
      </c>
      <c r="E81" s="50">
        <v>43473</v>
      </c>
      <c r="F81" s="52" t="s">
        <v>5331</v>
      </c>
      <c r="G81" s="51">
        <v>1920</v>
      </c>
      <c r="H81" s="52">
        <f t="shared" ref="H81:H92" si="7">SUM(G81/20)</f>
        <v>96</v>
      </c>
      <c r="I81" s="52">
        <f t="shared" ref="I81:I92" si="8">SUM(H81/32)</f>
        <v>3</v>
      </c>
      <c r="J81" s="59"/>
      <c r="K81" s="53">
        <v>43555</v>
      </c>
      <c r="L81" s="54" t="s">
        <v>480</v>
      </c>
      <c r="M81" s="55">
        <v>43564</v>
      </c>
      <c r="N81" s="56" t="s">
        <v>5357</v>
      </c>
      <c r="O81" s="55">
        <v>43569</v>
      </c>
      <c r="P81" s="58"/>
      <c r="Q81" s="60" t="s">
        <v>89</v>
      </c>
      <c r="R81" s="57" t="s">
        <v>5396</v>
      </c>
      <c r="S81" s="47"/>
    </row>
    <row r="82" spans="2:19" s="33" customFormat="1" ht="33" customHeight="1">
      <c r="B82" s="47" t="s">
        <v>5395</v>
      </c>
      <c r="C82" s="48" t="s">
        <v>519</v>
      </c>
      <c r="D82" s="49" t="s">
        <v>710</v>
      </c>
      <c r="E82" s="50">
        <v>43511</v>
      </c>
      <c r="F82" s="52" t="s">
        <v>5331</v>
      </c>
      <c r="G82" s="51">
        <v>640</v>
      </c>
      <c r="H82" s="52">
        <f t="shared" si="7"/>
        <v>32</v>
      </c>
      <c r="I82" s="52">
        <f t="shared" si="8"/>
        <v>1</v>
      </c>
      <c r="J82" s="59"/>
      <c r="K82" s="53">
        <v>43555</v>
      </c>
      <c r="L82" s="54" t="s">
        <v>608</v>
      </c>
      <c r="M82" s="55">
        <v>43557</v>
      </c>
      <c r="N82" s="56" t="s">
        <v>5397</v>
      </c>
      <c r="O82" s="55">
        <v>43562</v>
      </c>
      <c r="P82" s="58"/>
      <c r="Q82" s="60" t="s">
        <v>89</v>
      </c>
      <c r="R82" s="57" t="s">
        <v>5396</v>
      </c>
      <c r="S82" s="47"/>
    </row>
    <row r="83" spans="2:19" s="33" customFormat="1" ht="33" customHeight="1">
      <c r="B83" s="47" t="s">
        <v>5395</v>
      </c>
      <c r="C83" s="48" t="s">
        <v>520</v>
      </c>
      <c r="D83" s="49" t="s">
        <v>584</v>
      </c>
      <c r="E83" s="50">
        <v>43511</v>
      </c>
      <c r="F83" s="52" t="s">
        <v>5331</v>
      </c>
      <c r="G83" s="51">
        <v>1920</v>
      </c>
      <c r="H83" s="52">
        <f t="shared" si="7"/>
        <v>96</v>
      </c>
      <c r="I83" s="52">
        <f t="shared" si="8"/>
        <v>3</v>
      </c>
      <c r="J83" s="59"/>
      <c r="K83" s="53">
        <v>43576</v>
      </c>
      <c r="L83" s="54" t="s">
        <v>503</v>
      </c>
      <c r="M83" s="55">
        <v>43571</v>
      </c>
      <c r="N83" s="56" t="s">
        <v>5326</v>
      </c>
      <c r="O83" s="55">
        <v>43576</v>
      </c>
      <c r="P83" s="58"/>
      <c r="Q83" s="60" t="s">
        <v>89</v>
      </c>
      <c r="R83" s="57" t="s">
        <v>5398</v>
      </c>
      <c r="S83" s="47"/>
    </row>
    <row r="84" spans="2:19" s="33" customFormat="1" ht="33" customHeight="1">
      <c r="B84" s="47" t="s">
        <v>5395</v>
      </c>
      <c r="C84" s="48" t="s">
        <v>586</v>
      </c>
      <c r="D84" s="49" t="s">
        <v>640</v>
      </c>
      <c r="E84" s="50">
        <v>43519</v>
      </c>
      <c r="F84" s="52" t="s">
        <v>5331</v>
      </c>
      <c r="G84" s="51">
        <v>2560</v>
      </c>
      <c r="H84" s="52">
        <f t="shared" si="7"/>
        <v>128</v>
      </c>
      <c r="I84" s="52">
        <f t="shared" si="8"/>
        <v>4</v>
      </c>
      <c r="J84" s="59"/>
      <c r="K84" s="53">
        <v>43611</v>
      </c>
      <c r="L84" s="54" t="s">
        <v>773</v>
      </c>
      <c r="M84" s="55">
        <v>43601</v>
      </c>
      <c r="N84" s="56" t="s">
        <v>5356</v>
      </c>
      <c r="O84" s="55">
        <v>43605</v>
      </c>
      <c r="P84" s="58"/>
      <c r="Q84" s="60" t="s">
        <v>89</v>
      </c>
      <c r="R84" s="57" t="s">
        <v>5399</v>
      </c>
      <c r="S84" s="47" t="s">
        <v>980</v>
      </c>
    </row>
    <row r="85" spans="2:19" s="33" customFormat="1" ht="33" customHeight="1">
      <c r="B85" s="47" t="s">
        <v>5395</v>
      </c>
      <c r="C85" s="48" t="s">
        <v>713</v>
      </c>
      <c r="D85" s="49" t="s">
        <v>714</v>
      </c>
      <c r="E85" s="50">
        <v>43532</v>
      </c>
      <c r="F85" s="52" t="s">
        <v>5331</v>
      </c>
      <c r="G85" s="51">
        <v>1920</v>
      </c>
      <c r="H85" s="52">
        <f t="shared" si="7"/>
        <v>96</v>
      </c>
      <c r="I85" s="52">
        <f t="shared" si="8"/>
        <v>3</v>
      </c>
      <c r="J85" s="59"/>
      <c r="K85" s="53">
        <v>43639</v>
      </c>
      <c r="L85" s="54" t="s">
        <v>1083</v>
      </c>
      <c r="M85" s="55">
        <v>43634</v>
      </c>
      <c r="N85" s="56" t="s">
        <v>1084</v>
      </c>
      <c r="O85" s="55">
        <v>43639</v>
      </c>
      <c r="P85" s="58"/>
      <c r="Q85" s="60" t="s">
        <v>89</v>
      </c>
      <c r="R85" s="57" t="s">
        <v>5400</v>
      </c>
      <c r="S85" s="47"/>
    </row>
    <row r="86" spans="2:19" s="33" customFormat="1" ht="33" customHeight="1">
      <c r="B86" s="47" t="s">
        <v>5395</v>
      </c>
      <c r="C86" s="48" t="s">
        <v>1184</v>
      </c>
      <c r="D86" s="49" t="s">
        <v>1185</v>
      </c>
      <c r="E86" s="50">
        <v>43567</v>
      </c>
      <c r="F86" s="52" t="s">
        <v>5331</v>
      </c>
      <c r="G86" s="51">
        <v>2560</v>
      </c>
      <c r="H86" s="52">
        <f t="shared" si="7"/>
        <v>128</v>
      </c>
      <c r="I86" s="52">
        <f t="shared" si="8"/>
        <v>4</v>
      </c>
      <c r="J86" s="59"/>
      <c r="K86" s="53">
        <v>43653</v>
      </c>
      <c r="L86" s="54" t="s">
        <v>1326</v>
      </c>
      <c r="M86" s="55">
        <v>43648</v>
      </c>
      <c r="N86" s="56" t="s">
        <v>2540</v>
      </c>
      <c r="O86" s="55">
        <v>43653</v>
      </c>
      <c r="P86" s="58"/>
      <c r="Q86" s="60" t="s">
        <v>89</v>
      </c>
      <c r="R86" s="57" t="s">
        <v>5401</v>
      </c>
      <c r="S86" s="47"/>
    </row>
    <row r="87" spans="2:19" s="33" customFormat="1" ht="33" customHeight="1">
      <c r="B87" s="47" t="s">
        <v>5395</v>
      </c>
      <c r="C87" s="48" t="s">
        <v>5402</v>
      </c>
      <c r="D87" s="49" t="s">
        <v>2685</v>
      </c>
      <c r="E87" s="50">
        <v>43609</v>
      </c>
      <c r="F87" s="52" t="s">
        <v>5331</v>
      </c>
      <c r="G87" s="51">
        <v>1280</v>
      </c>
      <c r="H87" s="52">
        <f t="shared" si="7"/>
        <v>64</v>
      </c>
      <c r="I87" s="52">
        <f t="shared" si="8"/>
        <v>2</v>
      </c>
      <c r="J87" s="59"/>
      <c r="K87" s="53">
        <v>43653</v>
      </c>
      <c r="L87" s="54" t="s">
        <v>1326</v>
      </c>
      <c r="M87" s="55">
        <v>43648</v>
      </c>
      <c r="N87" s="56" t="s">
        <v>2540</v>
      </c>
      <c r="O87" s="55">
        <v>43653</v>
      </c>
      <c r="P87" s="58"/>
      <c r="Q87" s="60" t="s">
        <v>89</v>
      </c>
      <c r="R87" s="57" t="s">
        <v>5401</v>
      </c>
      <c r="S87" s="47"/>
    </row>
    <row r="88" spans="2:19" s="33" customFormat="1" ht="33" customHeight="1">
      <c r="B88" s="47" t="s">
        <v>5395</v>
      </c>
      <c r="C88" s="48" t="s">
        <v>2357</v>
      </c>
      <c r="D88" s="49" t="s">
        <v>2358</v>
      </c>
      <c r="E88" s="50">
        <v>43602</v>
      </c>
      <c r="F88" s="52" t="s">
        <v>5331</v>
      </c>
      <c r="G88" s="51">
        <v>2560</v>
      </c>
      <c r="H88" s="52">
        <f t="shared" si="7"/>
        <v>128</v>
      </c>
      <c r="I88" s="52">
        <f t="shared" si="8"/>
        <v>4</v>
      </c>
      <c r="J88" s="59"/>
      <c r="K88" s="53">
        <v>43674</v>
      </c>
      <c r="L88" s="54" t="s">
        <v>2146</v>
      </c>
      <c r="M88" s="55">
        <v>43669</v>
      </c>
      <c r="N88" s="56" t="s">
        <v>2551</v>
      </c>
      <c r="O88" s="55">
        <v>43674</v>
      </c>
      <c r="P88" s="58"/>
      <c r="Q88" s="60" t="s">
        <v>89</v>
      </c>
      <c r="R88" s="57" t="s">
        <v>5403</v>
      </c>
      <c r="S88" s="47"/>
    </row>
    <row r="89" spans="2:19" s="33" customFormat="1" ht="33" customHeight="1">
      <c r="B89" s="47" t="s">
        <v>5395</v>
      </c>
      <c r="C89" s="48" t="s">
        <v>2360</v>
      </c>
      <c r="D89" s="49" t="s">
        <v>5404</v>
      </c>
      <c r="E89" s="50">
        <v>43602</v>
      </c>
      <c r="F89" s="52" t="s">
        <v>5331</v>
      </c>
      <c r="G89" s="51">
        <v>2560</v>
      </c>
      <c r="H89" s="52">
        <f t="shared" si="7"/>
        <v>128</v>
      </c>
      <c r="I89" s="52">
        <f t="shared" si="8"/>
        <v>4</v>
      </c>
      <c r="J89" s="59"/>
      <c r="K89" s="53">
        <v>43695</v>
      </c>
      <c r="L89" s="54" t="s">
        <v>2505</v>
      </c>
      <c r="M89" s="55">
        <v>43683</v>
      </c>
      <c r="N89" s="56" t="s">
        <v>5335</v>
      </c>
      <c r="O89" s="55">
        <v>43688</v>
      </c>
      <c r="P89" s="58"/>
      <c r="Q89" s="60" t="s">
        <v>89</v>
      </c>
      <c r="R89" s="57" t="s">
        <v>5405</v>
      </c>
      <c r="S89" s="47"/>
    </row>
    <row r="90" spans="2:19" s="30" customFormat="1" ht="33" customHeight="1">
      <c r="B90" s="46" t="s">
        <v>5395</v>
      </c>
      <c r="C90" s="35" t="s">
        <v>3429</v>
      </c>
      <c r="D90" s="36" t="s">
        <v>3430</v>
      </c>
      <c r="E90" s="37">
        <v>43637</v>
      </c>
      <c r="F90" s="38" t="s">
        <v>5331</v>
      </c>
      <c r="G90" s="39">
        <v>3840</v>
      </c>
      <c r="H90" s="38">
        <f t="shared" si="7"/>
        <v>192</v>
      </c>
      <c r="I90" s="38">
        <f t="shared" si="8"/>
        <v>6</v>
      </c>
      <c r="J90" s="61"/>
      <c r="K90" s="40">
        <v>43723</v>
      </c>
      <c r="L90" s="41" t="s">
        <v>5374</v>
      </c>
      <c r="M90" s="42">
        <v>43718</v>
      </c>
      <c r="N90" s="43" t="s">
        <v>5375</v>
      </c>
      <c r="O90" s="42">
        <v>43723</v>
      </c>
      <c r="P90" s="45"/>
      <c r="Q90" s="62" t="s">
        <v>89</v>
      </c>
      <c r="R90" s="44" t="s">
        <v>5406</v>
      </c>
      <c r="S90" s="46"/>
    </row>
    <row r="91" spans="2:19" s="30" customFormat="1" ht="33" customHeight="1">
      <c r="B91" s="46" t="s">
        <v>5395</v>
      </c>
      <c r="C91" s="35" t="s">
        <v>4344</v>
      </c>
      <c r="D91" s="36" t="s">
        <v>4345</v>
      </c>
      <c r="E91" s="37">
        <v>43665</v>
      </c>
      <c r="F91" s="38" t="s">
        <v>5331</v>
      </c>
      <c r="G91" s="39">
        <v>3200</v>
      </c>
      <c r="H91" s="38">
        <f t="shared" si="7"/>
        <v>160</v>
      </c>
      <c r="I91" s="38">
        <f t="shared" si="8"/>
        <v>5</v>
      </c>
      <c r="J91" s="61"/>
      <c r="K91" s="40">
        <v>43758</v>
      </c>
      <c r="L91" s="41" t="s">
        <v>5407</v>
      </c>
      <c r="M91" s="42">
        <v>43753</v>
      </c>
      <c r="N91" s="43" t="s">
        <v>5408</v>
      </c>
      <c r="O91" s="42">
        <v>43758</v>
      </c>
      <c r="P91" s="45"/>
      <c r="Q91" s="62" t="s">
        <v>89</v>
      </c>
      <c r="R91" s="44" t="s">
        <v>5409</v>
      </c>
      <c r="S91" s="46"/>
    </row>
    <row r="92" spans="2:19" s="30" customFormat="1" ht="33" customHeight="1">
      <c r="B92" s="46" t="s">
        <v>5395</v>
      </c>
      <c r="C92" s="35" t="s">
        <v>4969</v>
      </c>
      <c r="D92" s="36" t="s">
        <v>4968</v>
      </c>
      <c r="E92" s="37">
        <v>43689</v>
      </c>
      <c r="F92" s="38" t="s">
        <v>5331</v>
      </c>
      <c r="G92" s="39">
        <v>3840</v>
      </c>
      <c r="H92" s="38">
        <f t="shared" si="7"/>
        <v>192</v>
      </c>
      <c r="I92" s="38">
        <f t="shared" si="8"/>
        <v>6</v>
      </c>
      <c r="J92" s="61"/>
      <c r="K92" s="40">
        <v>43786</v>
      </c>
      <c r="L92" s="41" t="s">
        <v>5386</v>
      </c>
      <c r="M92" s="42">
        <v>43781</v>
      </c>
      <c r="N92" s="43" t="s">
        <v>5344</v>
      </c>
      <c r="O92" s="42">
        <v>43786</v>
      </c>
      <c r="P92" s="45"/>
      <c r="Q92" s="62" t="s">
        <v>89</v>
      </c>
      <c r="R92" s="44" t="s">
        <v>5410</v>
      </c>
      <c r="S92" s="46"/>
    </row>
    <row r="93" spans="2:19" s="33" customFormat="1" ht="33" customHeight="1">
      <c r="B93" s="47" t="s">
        <v>38</v>
      </c>
      <c r="C93" s="48" t="s">
        <v>225</v>
      </c>
      <c r="D93" s="49" t="s">
        <v>587</v>
      </c>
      <c r="E93" s="50">
        <v>43519</v>
      </c>
      <c r="F93" s="52" t="s">
        <v>5411</v>
      </c>
      <c r="G93" s="64">
        <v>640</v>
      </c>
      <c r="H93" s="52">
        <f>SUBTOTAL(9,G93)/20</f>
        <v>32</v>
      </c>
      <c r="I93" s="52">
        <f>H93/32</f>
        <v>1</v>
      </c>
      <c r="J93" s="52"/>
      <c r="K93" s="53">
        <v>43583</v>
      </c>
      <c r="L93" s="54" t="s">
        <v>565</v>
      </c>
      <c r="M93" s="55">
        <v>43578</v>
      </c>
      <c r="N93" s="56" t="s">
        <v>5412</v>
      </c>
      <c r="O93" s="55">
        <v>43583</v>
      </c>
      <c r="P93" s="58"/>
      <c r="Q93" s="52"/>
      <c r="R93" s="63" t="s">
        <v>5354</v>
      </c>
      <c r="S93" s="47"/>
    </row>
    <row r="94" spans="2:19" s="30" customFormat="1" ht="33" customHeight="1">
      <c r="B94" s="46" t="s">
        <v>5413</v>
      </c>
      <c r="C94" s="35" t="s">
        <v>226</v>
      </c>
      <c r="D94" s="36" t="s">
        <v>1194</v>
      </c>
      <c r="E94" s="37">
        <v>43567</v>
      </c>
      <c r="F94" s="38" t="s">
        <v>5411</v>
      </c>
      <c r="G94" s="65">
        <v>640</v>
      </c>
      <c r="H94" s="38">
        <f>SUBTOTAL(9,G94)/20</f>
        <v>32</v>
      </c>
      <c r="I94" s="38">
        <f>H94/32</f>
        <v>1</v>
      </c>
      <c r="J94" s="38"/>
      <c r="K94" s="40">
        <v>43758</v>
      </c>
      <c r="L94" s="41" t="s">
        <v>4483</v>
      </c>
      <c r="M94" s="42">
        <v>43753</v>
      </c>
      <c r="N94" s="43" t="s">
        <v>4813</v>
      </c>
      <c r="O94" s="42">
        <v>43758</v>
      </c>
      <c r="P94" s="45"/>
      <c r="Q94" s="38"/>
      <c r="R94" s="66" t="s">
        <v>4607</v>
      </c>
      <c r="S94" s="46"/>
    </row>
    <row r="95" spans="2:19" s="33" customFormat="1" ht="33" customHeight="1">
      <c r="B95" s="47" t="s">
        <v>88</v>
      </c>
      <c r="C95" s="48" t="s">
        <v>431</v>
      </c>
      <c r="D95" s="49" t="s">
        <v>471</v>
      </c>
      <c r="E95" s="50">
        <v>43483</v>
      </c>
      <c r="F95" s="52" t="s">
        <v>214</v>
      </c>
      <c r="G95" s="64">
        <v>760</v>
      </c>
      <c r="H95" s="52">
        <f t="shared" ref="H95:H103" si="9">SUBTOTAL(9,G95)/190</f>
        <v>4</v>
      </c>
      <c r="I95" s="52">
        <f t="shared" ref="I95:I103" si="10">H95/4</f>
        <v>1</v>
      </c>
      <c r="J95" s="52"/>
      <c r="K95" s="53">
        <v>43569</v>
      </c>
      <c r="L95" s="54" t="s">
        <v>417</v>
      </c>
      <c r="M95" s="55">
        <v>43564</v>
      </c>
      <c r="N95" s="56" t="s">
        <v>405</v>
      </c>
      <c r="O95" s="55">
        <v>43569</v>
      </c>
      <c r="P95" s="58"/>
      <c r="Q95" s="52"/>
      <c r="R95" s="63" t="s">
        <v>493</v>
      </c>
      <c r="S95" s="47"/>
    </row>
    <row r="96" spans="2:19" s="33" customFormat="1" ht="33" customHeight="1">
      <c r="B96" s="47" t="s">
        <v>88</v>
      </c>
      <c r="C96" s="48" t="s">
        <v>523</v>
      </c>
      <c r="D96" s="49" t="s">
        <v>588</v>
      </c>
      <c r="E96" s="50">
        <v>43511</v>
      </c>
      <c r="F96" s="52" t="s">
        <v>214</v>
      </c>
      <c r="G96" s="64">
        <v>760</v>
      </c>
      <c r="H96" s="52">
        <f t="shared" si="9"/>
        <v>4</v>
      </c>
      <c r="I96" s="52">
        <f t="shared" si="10"/>
        <v>1</v>
      </c>
      <c r="J96" s="52"/>
      <c r="K96" s="53">
        <v>43583</v>
      </c>
      <c r="L96" s="54" t="s">
        <v>565</v>
      </c>
      <c r="M96" s="55">
        <v>43578</v>
      </c>
      <c r="N96" s="56" t="s">
        <v>447</v>
      </c>
      <c r="O96" s="55">
        <v>43583</v>
      </c>
      <c r="P96" s="58"/>
      <c r="Q96" s="52"/>
      <c r="R96" s="63" t="s">
        <v>320</v>
      </c>
      <c r="S96" s="47"/>
    </row>
    <row r="97" spans="2:19" s="33" customFormat="1" ht="33" customHeight="1">
      <c r="B97" s="47" t="s">
        <v>88</v>
      </c>
      <c r="C97" s="48" t="s">
        <v>589</v>
      </c>
      <c r="D97" s="49" t="s">
        <v>590</v>
      </c>
      <c r="E97" s="50">
        <v>43519</v>
      </c>
      <c r="F97" s="52" t="s">
        <v>214</v>
      </c>
      <c r="G97" s="64">
        <v>760</v>
      </c>
      <c r="H97" s="52">
        <f t="shared" si="9"/>
        <v>4</v>
      </c>
      <c r="I97" s="52">
        <f t="shared" si="10"/>
        <v>1</v>
      </c>
      <c r="J97" s="52"/>
      <c r="K97" s="53">
        <v>43597</v>
      </c>
      <c r="L97" s="54" t="s">
        <v>606</v>
      </c>
      <c r="M97" s="55">
        <v>43592</v>
      </c>
      <c r="N97" s="56" t="s">
        <v>600</v>
      </c>
      <c r="O97" s="55">
        <v>43597</v>
      </c>
      <c r="P97" s="58"/>
      <c r="Q97" s="52"/>
      <c r="R97" s="63" t="s">
        <v>469</v>
      </c>
      <c r="S97" s="47"/>
    </row>
    <row r="98" spans="2:19" s="33" customFormat="1" ht="33" customHeight="1">
      <c r="B98" s="47" t="s">
        <v>88</v>
      </c>
      <c r="C98" s="48" t="s">
        <v>1333</v>
      </c>
      <c r="D98" s="49" t="s">
        <v>1207</v>
      </c>
      <c r="E98" s="50">
        <v>43567</v>
      </c>
      <c r="F98" s="52" t="s">
        <v>214</v>
      </c>
      <c r="G98" s="64">
        <v>760</v>
      </c>
      <c r="H98" s="52">
        <f t="shared" si="9"/>
        <v>4</v>
      </c>
      <c r="I98" s="52">
        <f t="shared" si="10"/>
        <v>1</v>
      </c>
      <c r="J98" s="52"/>
      <c r="K98" s="53">
        <v>43667</v>
      </c>
      <c r="L98" s="54" t="s">
        <v>1327</v>
      </c>
      <c r="M98" s="55">
        <v>43655</v>
      </c>
      <c r="N98" s="56" t="s">
        <v>1315</v>
      </c>
      <c r="O98" s="55">
        <v>43660</v>
      </c>
      <c r="P98" s="58"/>
      <c r="Q98" s="52"/>
      <c r="R98" s="63" t="s">
        <v>1208</v>
      </c>
      <c r="S98" s="47" t="s">
        <v>980</v>
      </c>
    </row>
    <row r="99" spans="2:19" s="33" customFormat="1" ht="33" customHeight="1">
      <c r="B99" s="47" t="s">
        <v>5438</v>
      </c>
      <c r="C99" s="48" t="s">
        <v>2079</v>
      </c>
      <c r="D99" s="49" t="s">
        <v>2536</v>
      </c>
      <c r="E99" s="50">
        <v>43602</v>
      </c>
      <c r="F99" s="52" t="s">
        <v>214</v>
      </c>
      <c r="G99" s="64">
        <v>760</v>
      </c>
      <c r="H99" s="52">
        <f t="shared" si="9"/>
        <v>4</v>
      </c>
      <c r="I99" s="52">
        <f t="shared" si="10"/>
        <v>1</v>
      </c>
      <c r="J99" s="52"/>
      <c r="K99" s="53">
        <v>43667</v>
      </c>
      <c r="L99" s="54" t="s">
        <v>1327</v>
      </c>
      <c r="M99" s="55">
        <v>43655</v>
      </c>
      <c r="N99" s="56" t="s">
        <v>1315</v>
      </c>
      <c r="O99" s="55">
        <v>43660</v>
      </c>
      <c r="P99" s="58"/>
      <c r="Q99" s="52"/>
      <c r="R99" s="63" t="s">
        <v>1208</v>
      </c>
      <c r="S99" s="47" t="s">
        <v>980</v>
      </c>
    </row>
    <row r="100" spans="2:19" s="30" customFormat="1" ht="33" customHeight="1">
      <c r="B100" s="46" t="s">
        <v>5438</v>
      </c>
      <c r="C100" s="35" t="s">
        <v>2378</v>
      </c>
      <c r="D100" s="36" t="s">
        <v>2379</v>
      </c>
      <c r="E100" s="37">
        <v>43602</v>
      </c>
      <c r="F100" s="38" t="s">
        <v>214</v>
      </c>
      <c r="G100" s="65">
        <v>760</v>
      </c>
      <c r="H100" s="38">
        <f t="shared" si="9"/>
        <v>4</v>
      </c>
      <c r="I100" s="38">
        <f t="shared" si="10"/>
        <v>1</v>
      </c>
      <c r="J100" s="38"/>
      <c r="K100" s="40">
        <v>43702</v>
      </c>
      <c r="L100" s="41" t="s">
        <v>2512</v>
      </c>
      <c r="M100" s="42">
        <v>43697</v>
      </c>
      <c r="N100" s="43" t="s">
        <v>2499</v>
      </c>
      <c r="O100" s="42">
        <v>43702</v>
      </c>
      <c r="P100" s="45"/>
      <c r="Q100" s="38"/>
      <c r="R100" s="66" t="s">
        <v>2380</v>
      </c>
      <c r="S100" s="46"/>
    </row>
    <row r="101" spans="2:19" s="30" customFormat="1" ht="33" customHeight="1">
      <c r="B101" s="46" t="s">
        <v>5438</v>
      </c>
      <c r="C101" s="35" t="s">
        <v>2430</v>
      </c>
      <c r="D101" s="36" t="s">
        <v>3457</v>
      </c>
      <c r="E101" s="37">
        <v>43637</v>
      </c>
      <c r="F101" s="38" t="s">
        <v>214</v>
      </c>
      <c r="G101" s="65">
        <v>760</v>
      </c>
      <c r="H101" s="38">
        <f t="shared" si="9"/>
        <v>4</v>
      </c>
      <c r="I101" s="38">
        <f t="shared" si="10"/>
        <v>1</v>
      </c>
      <c r="J101" s="38"/>
      <c r="K101" s="40">
        <v>43731</v>
      </c>
      <c r="L101" s="41" t="s">
        <v>3571</v>
      </c>
      <c r="M101" s="42">
        <v>43725</v>
      </c>
      <c r="N101" s="43" t="s">
        <v>2546</v>
      </c>
      <c r="O101" s="42">
        <v>43730</v>
      </c>
      <c r="P101" s="45"/>
      <c r="Q101" s="38"/>
      <c r="R101" s="66" t="s">
        <v>2335</v>
      </c>
      <c r="S101" s="46"/>
    </row>
    <row r="102" spans="2:19" s="30" customFormat="1" ht="33" customHeight="1">
      <c r="B102" s="46" t="s">
        <v>5438</v>
      </c>
      <c r="C102" s="35" t="s">
        <v>2527</v>
      </c>
      <c r="D102" s="36" t="s">
        <v>4369</v>
      </c>
      <c r="E102" s="37">
        <v>43657</v>
      </c>
      <c r="F102" s="38" t="s">
        <v>214</v>
      </c>
      <c r="G102" s="65">
        <v>760</v>
      </c>
      <c r="H102" s="38">
        <f t="shared" si="9"/>
        <v>4</v>
      </c>
      <c r="I102" s="38">
        <f t="shared" si="10"/>
        <v>1</v>
      </c>
      <c r="J102" s="38"/>
      <c r="K102" s="40">
        <v>43758</v>
      </c>
      <c r="L102" s="41" t="s">
        <v>4483</v>
      </c>
      <c r="M102" s="42">
        <v>43753</v>
      </c>
      <c r="N102" s="43" t="s">
        <v>4813</v>
      </c>
      <c r="O102" s="42">
        <v>43758</v>
      </c>
      <c r="P102" s="45"/>
      <c r="Q102" s="38"/>
      <c r="R102" s="66" t="s">
        <v>4066</v>
      </c>
      <c r="S102" s="46"/>
    </row>
    <row r="103" spans="2:19" s="30" customFormat="1" ht="33" customHeight="1">
      <c r="B103" s="122" t="s">
        <v>5438</v>
      </c>
      <c r="C103" s="126" t="s">
        <v>2528</v>
      </c>
      <c r="D103" s="127" t="s">
        <v>5456</v>
      </c>
      <c r="E103" s="128">
        <v>43700</v>
      </c>
      <c r="F103" s="124" t="s">
        <v>214</v>
      </c>
      <c r="G103" s="152">
        <v>760</v>
      </c>
      <c r="H103" s="124">
        <f t="shared" si="9"/>
        <v>4</v>
      </c>
      <c r="I103" s="124">
        <f t="shared" si="10"/>
        <v>1</v>
      </c>
      <c r="J103" s="124"/>
      <c r="K103" s="130">
        <v>43802</v>
      </c>
      <c r="L103" s="119" t="s">
        <v>5437</v>
      </c>
      <c r="M103" s="120">
        <v>43795</v>
      </c>
      <c r="N103" s="121" t="s">
        <v>5429</v>
      </c>
      <c r="O103" s="120">
        <v>43800</v>
      </c>
      <c r="P103" s="123"/>
      <c r="Q103" s="124"/>
      <c r="R103" s="134" t="s">
        <v>5414</v>
      </c>
      <c r="S103" s="122"/>
    </row>
    <row r="104" spans="2:19" s="33" customFormat="1" ht="33" customHeight="1">
      <c r="B104" s="47" t="s">
        <v>3576</v>
      </c>
      <c r="C104" s="48" t="s">
        <v>244</v>
      </c>
      <c r="D104" s="49" t="s">
        <v>722</v>
      </c>
      <c r="E104" s="50">
        <v>43483</v>
      </c>
      <c r="F104" s="52" t="s">
        <v>77</v>
      </c>
      <c r="G104" s="51">
        <v>6720</v>
      </c>
      <c r="H104" s="52">
        <f t="shared" ref="H104:H112" si="11">SUM(G104/240)</f>
        <v>28</v>
      </c>
      <c r="I104" s="52">
        <f t="shared" ref="I104:I112" si="12">SUM(H104/4)</f>
        <v>7</v>
      </c>
      <c r="J104" s="52"/>
      <c r="K104" s="53">
        <v>43569</v>
      </c>
      <c r="L104" s="54" t="s">
        <v>480</v>
      </c>
      <c r="M104" s="55">
        <v>43564</v>
      </c>
      <c r="N104" s="56" t="s">
        <v>646</v>
      </c>
      <c r="O104" s="55">
        <v>43569</v>
      </c>
      <c r="P104" s="58" t="s">
        <v>659</v>
      </c>
      <c r="Q104" s="52"/>
      <c r="R104" s="118" t="s">
        <v>432</v>
      </c>
      <c r="S104" s="47"/>
    </row>
    <row r="105" spans="2:19" s="33" customFormat="1" ht="33" customHeight="1">
      <c r="B105" s="47" t="s">
        <v>3576</v>
      </c>
      <c r="C105" s="48" t="s">
        <v>660</v>
      </c>
      <c r="D105" s="49" t="s">
        <v>472</v>
      </c>
      <c r="E105" s="50">
        <v>43483</v>
      </c>
      <c r="F105" s="52" t="s">
        <v>77</v>
      </c>
      <c r="G105" s="51">
        <v>5760</v>
      </c>
      <c r="H105" s="52">
        <f t="shared" si="11"/>
        <v>24</v>
      </c>
      <c r="I105" s="52">
        <f t="shared" si="12"/>
        <v>6</v>
      </c>
      <c r="J105" s="52"/>
      <c r="K105" s="53">
        <v>43583</v>
      </c>
      <c r="L105" s="54" t="s">
        <v>448</v>
      </c>
      <c r="M105" s="55">
        <v>43578</v>
      </c>
      <c r="N105" s="56" t="s">
        <v>447</v>
      </c>
      <c r="O105" s="55">
        <v>43583</v>
      </c>
      <c r="P105" s="58" t="s">
        <v>662</v>
      </c>
      <c r="Q105" s="52"/>
      <c r="R105" s="118" t="s">
        <v>432</v>
      </c>
      <c r="S105" s="47"/>
    </row>
    <row r="106" spans="2:19" s="33" customFormat="1" ht="33" customHeight="1">
      <c r="B106" s="47" t="s">
        <v>3576</v>
      </c>
      <c r="C106" s="48" t="s">
        <v>258</v>
      </c>
      <c r="D106" s="49" t="s">
        <v>591</v>
      </c>
      <c r="E106" s="50">
        <v>43519</v>
      </c>
      <c r="F106" s="52" t="s">
        <v>77</v>
      </c>
      <c r="G106" s="51">
        <v>5760</v>
      </c>
      <c r="H106" s="52">
        <f t="shared" si="11"/>
        <v>24</v>
      </c>
      <c r="I106" s="52">
        <f t="shared" si="12"/>
        <v>6</v>
      </c>
      <c r="J106" s="52"/>
      <c r="K106" s="53">
        <v>43605</v>
      </c>
      <c r="L106" s="54" t="s">
        <v>607</v>
      </c>
      <c r="M106" s="55">
        <v>43601</v>
      </c>
      <c r="N106" s="56" t="s">
        <v>601</v>
      </c>
      <c r="O106" s="55">
        <v>43605</v>
      </c>
      <c r="P106" s="58" t="s">
        <v>663</v>
      </c>
      <c r="Q106" s="52"/>
      <c r="R106" s="118" t="s">
        <v>592</v>
      </c>
      <c r="S106" s="47"/>
    </row>
    <row r="107" spans="2:19" s="33" customFormat="1" ht="33" customHeight="1">
      <c r="B107" s="47" t="s">
        <v>3576</v>
      </c>
      <c r="C107" s="48" t="s">
        <v>321</v>
      </c>
      <c r="D107" s="49" t="s">
        <v>727</v>
      </c>
      <c r="E107" s="50">
        <v>43532</v>
      </c>
      <c r="F107" s="52" t="s">
        <v>77</v>
      </c>
      <c r="G107" s="51">
        <v>6720</v>
      </c>
      <c r="H107" s="52">
        <f t="shared" si="11"/>
        <v>28</v>
      </c>
      <c r="I107" s="52">
        <f t="shared" si="12"/>
        <v>7</v>
      </c>
      <c r="J107" s="52"/>
      <c r="K107" s="53">
        <v>43633</v>
      </c>
      <c r="L107" s="54" t="s">
        <v>807</v>
      </c>
      <c r="M107" s="55">
        <v>43627</v>
      </c>
      <c r="N107" s="56" t="s">
        <v>808</v>
      </c>
      <c r="O107" s="55">
        <v>43632</v>
      </c>
      <c r="P107" s="58"/>
      <c r="Q107" s="52"/>
      <c r="R107" s="118" t="s">
        <v>728</v>
      </c>
      <c r="S107" s="47"/>
    </row>
    <row r="108" spans="2:19" s="33" customFormat="1" ht="33" customHeight="1">
      <c r="B108" s="47" t="s">
        <v>3576</v>
      </c>
      <c r="C108" s="48" t="s">
        <v>324</v>
      </c>
      <c r="D108" s="49" t="s">
        <v>1234</v>
      </c>
      <c r="E108" s="50">
        <v>43567</v>
      </c>
      <c r="F108" s="52" t="s">
        <v>77</v>
      </c>
      <c r="G108" s="51">
        <v>5760</v>
      </c>
      <c r="H108" s="52">
        <f t="shared" si="11"/>
        <v>24</v>
      </c>
      <c r="I108" s="52">
        <f t="shared" si="12"/>
        <v>6</v>
      </c>
      <c r="J108" s="52"/>
      <c r="K108" s="53">
        <v>43674</v>
      </c>
      <c r="L108" s="54" t="s">
        <v>2147</v>
      </c>
      <c r="M108" s="55">
        <v>43669</v>
      </c>
      <c r="N108" s="56" t="s">
        <v>1313</v>
      </c>
      <c r="O108" s="55">
        <v>43674</v>
      </c>
      <c r="P108" s="58"/>
      <c r="Q108" s="52"/>
      <c r="R108" s="118" t="s">
        <v>2055</v>
      </c>
      <c r="S108" s="47"/>
    </row>
    <row r="109" spans="2:19" s="30" customFormat="1" ht="33" customHeight="1">
      <c r="B109" s="46" t="s">
        <v>3576</v>
      </c>
      <c r="C109" s="35" t="s">
        <v>430</v>
      </c>
      <c r="D109" s="36" t="s">
        <v>2696</v>
      </c>
      <c r="E109" s="37">
        <v>43609</v>
      </c>
      <c r="F109" s="38" t="s">
        <v>77</v>
      </c>
      <c r="G109" s="39">
        <v>7680</v>
      </c>
      <c r="H109" s="38">
        <f t="shared" si="11"/>
        <v>32</v>
      </c>
      <c r="I109" s="38">
        <f t="shared" si="12"/>
        <v>8</v>
      </c>
      <c r="J109" s="38"/>
      <c r="K109" s="40">
        <v>43702</v>
      </c>
      <c r="L109" s="41" t="s">
        <v>2509</v>
      </c>
      <c r="M109" s="42">
        <v>43697</v>
      </c>
      <c r="N109" s="43" t="s">
        <v>2498</v>
      </c>
      <c r="O109" s="42">
        <v>43702</v>
      </c>
      <c r="P109" s="45"/>
      <c r="Q109" s="38"/>
      <c r="R109" s="115" t="s">
        <v>2525</v>
      </c>
      <c r="S109" s="46"/>
    </row>
    <row r="110" spans="2:19" s="30" customFormat="1" ht="33" customHeight="1">
      <c r="B110" s="46" t="s">
        <v>3576</v>
      </c>
      <c r="C110" s="35" t="s">
        <v>519</v>
      </c>
      <c r="D110" s="36" t="s">
        <v>3473</v>
      </c>
      <c r="E110" s="37">
        <v>43637</v>
      </c>
      <c r="F110" s="38" t="s">
        <v>77</v>
      </c>
      <c r="G110" s="39">
        <v>9600</v>
      </c>
      <c r="H110" s="38">
        <f t="shared" si="11"/>
        <v>40</v>
      </c>
      <c r="I110" s="38">
        <f t="shared" si="12"/>
        <v>10</v>
      </c>
      <c r="J110" s="38"/>
      <c r="K110" s="40">
        <v>43716</v>
      </c>
      <c r="L110" s="41" t="s">
        <v>3565</v>
      </c>
      <c r="M110" s="42">
        <v>43711</v>
      </c>
      <c r="N110" s="43" t="s">
        <v>3557</v>
      </c>
      <c r="O110" s="42">
        <v>43716</v>
      </c>
      <c r="P110" s="45"/>
      <c r="Q110" s="38"/>
      <c r="R110" s="115" t="s">
        <v>3474</v>
      </c>
      <c r="S110" s="46"/>
    </row>
    <row r="111" spans="2:19" s="30" customFormat="1" ht="33" customHeight="1">
      <c r="B111" s="46" t="s">
        <v>3576</v>
      </c>
      <c r="C111" s="35" t="s">
        <v>520</v>
      </c>
      <c r="D111" s="36" t="s">
        <v>4386</v>
      </c>
      <c r="E111" s="37">
        <v>43665</v>
      </c>
      <c r="F111" s="38" t="s">
        <v>77</v>
      </c>
      <c r="G111" s="39">
        <v>5760</v>
      </c>
      <c r="H111" s="38">
        <f t="shared" si="11"/>
        <v>24</v>
      </c>
      <c r="I111" s="38">
        <f t="shared" si="12"/>
        <v>6</v>
      </c>
      <c r="J111" s="38"/>
      <c r="K111" s="40">
        <v>43765</v>
      </c>
      <c r="L111" s="41" t="s">
        <v>4477</v>
      </c>
      <c r="M111" s="42">
        <v>43760</v>
      </c>
      <c r="N111" s="43" t="s">
        <v>3878</v>
      </c>
      <c r="O111" s="42">
        <v>43765</v>
      </c>
      <c r="P111" s="45"/>
      <c r="Q111" s="38"/>
      <c r="R111" s="115" t="s">
        <v>4387</v>
      </c>
      <c r="S111" s="46"/>
    </row>
    <row r="112" spans="2:19" s="30" customFormat="1" ht="33" customHeight="1">
      <c r="B112" s="46" t="s">
        <v>3576</v>
      </c>
      <c r="C112" s="35" t="s">
        <v>586</v>
      </c>
      <c r="D112" s="36" t="s">
        <v>4932</v>
      </c>
      <c r="E112" s="37">
        <v>43689</v>
      </c>
      <c r="F112" s="38" t="s">
        <v>77</v>
      </c>
      <c r="G112" s="39">
        <v>5760</v>
      </c>
      <c r="H112" s="38">
        <f t="shared" si="11"/>
        <v>24</v>
      </c>
      <c r="I112" s="38">
        <f t="shared" si="12"/>
        <v>6</v>
      </c>
      <c r="J112" s="38"/>
      <c r="K112" s="40">
        <v>43793</v>
      </c>
      <c r="L112" s="41" t="s">
        <v>5415</v>
      </c>
      <c r="M112" s="42">
        <v>43788</v>
      </c>
      <c r="N112" s="43" t="s">
        <v>5322</v>
      </c>
      <c r="O112" s="42">
        <v>43793</v>
      </c>
      <c r="P112" s="45"/>
      <c r="Q112" s="38"/>
      <c r="R112" s="115" t="s">
        <v>4931</v>
      </c>
      <c r="S112" s="46"/>
    </row>
    <row r="113" spans="2:19" s="34" customFormat="1" ht="33" customHeight="1">
      <c r="B113" s="47" t="s">
        <v>3577</v>
      </c>
      <c r="C113" s="48" t="s">
        <v>226</v>
      </c>
      <c r="D113" s="49" t="s">
        <v>593</v>
      </c>
      <c r="E113" s="50">
        <v>43483</v>
      </c>
      <c r="F113" s="52" t="s">
        <v>218</v>
      </c>
      <c r="G113" s="51">
        <v>640</v>
      </c>
      <c r="H113" s="52">
        <f t="shared" ref="H113:H149" si="13">SUM(G113/20)</f>
        <v>32</v>
      </c>
      <c r="I113" s="52">
        <f t="shared" ref="I113:I149" si="14">SUM(H113/32)</f>
        <v>1</v>
      </c>
      <c r="J113" s="52"/>
      <c r="K113" s="53">
        <v>43534</v>
      </c>
      <c r="L113" s="54" t="s">
        <v>566</v>
      </c>
      <c r="M113" s="55"/>
      <c r="N113" s="56"/>
      <c r="O113" s="55">
        <v>43520</v>
      </c>
      <c r="P113" s="58" t="s">
        <v>651</v>
      </c>
      <c r="Q113" s="52"/>
      <c r="R113" s="63" t="s">
        <v>211</v>
      </c>
      <c r="S113" s="52"/>
    </row>
    <row r="114" spans="2:19" s="34" customFormat="1" ht="33" customHeight="1">
      <c r="B114" s="47" t="s">
        <v>3577</v>
      </c>
      <c r="C114" s="48" t="s">
        <v>285</v>
      </c>
      <c r="D114" s="49" t="s">
        <v>526</v>
      </c>
      <c r="E114" s="50">
        <v>43507</v>
      </c>
      <c r="F114" s="52" t="s">
        <v>218</v>
      </c>
      <c r="G114" s="51">
        <v>3200</v>
      </c>
      <c r="H114" s="52">
        <f t="shared" si="13"/>
        <v>160</v>
      </c>
      <c r="I114" s="52">
        <f t="shared" si="14"/>
        <v>5</v>
      </c>
      <c r="J114" s="52"/>
      <c r="K114" s="53">
        <v>43576</v>
      </c>
      <c r="L114" s="54" t="s">
        <v>503</v>
      </c>
      <c r="M114" s="55">
        <v>43571</v>
      </c>
      <c r="N114" s="56" t="s">
        <v>445</v>
      </c>
      <c r="O114" s="55">
        <v>43576</v>
      </c>
      <c r="P114" s="58"/>
      <c r="Q114" s="52" t="s">
        <v>643</v>
      </c>
      <c r="R114" s="63" t="s">
        <v>211</v>
      </c>
      <c r="S114" s="52"/>
    </row>
    <row r="115" spans="2:19" s="34" customFormat="1" ht="33" customHeight="1">
      <c r="B115" s="47" t="s">
        <v>3577</v>
      </c>
      <c r="C115" s="48" t="s">
        <v>650</v>
      </c>
      <c r="D115" s="49" t="s">
        <v>526</v>
      </c>
      <c r="E115" s="50">
        <v>43507</v>
      </c>
      <c r="F115" s="52" t="s">
        <v>218</v>
      </c>
      <c r="G115" s="51">
        <v>640</v>
      </c>
      <c r="H115" s="52">
        <f t="shared" si="13"/>
        <v>32</v>
      </c>
      <c r="I115" s="52">
        <f t="shared" si="14"/>
        <v>1</v>
      </c>
      <c r="J115" s="52"/>
      <c r="K115" s="53">
        <v>43576</v>
      </c>
      <c r="L115" s="54" t="s">
        <v>448</v>
      </c>
      <c r="M115" s="55">
        <v>43578</v>
      </c>
      <c r="N115" s="56" t="s">
        <v>447</v>
      </c>
      <c r="O115" s="55">
        <v>43583</v>
      </c>
      <c r="P115" s="58"/>
      <c r="Q115" s="52" t="s">
        <v>643</v>
      </c>
      <c r="R115" s="63" t="s">
        <v>211</v>
      </c>
      <c r="S115" s="52"/>
    </row>
    <row r="116" spans="2:19" s="34" customFormat="1" ht="33" customHeight="1">
      <c r="B116" s="47" t="s">
        <v>3577</v>
      </c>
      <c r="C116" s="48" t="s">
        <v>331</v>
      </c>
      <c r="D116" s="49" t="s">
        <v>632</v>
      </c>
      <c r="E116" s="50">
        <v>43519</v>
      </c>
      <c r="F116" s="52" t="s">
        <v>218</v>
      </c>
      <c r="G116" s="51">
        <v>3200</v>
      </c>
      <c r="H116" s="52">
        <f t="shared" si="13"/>
        <v>160</v>
      </c>
      <c r="I116" s="52">
        <f t="shared" si="14"/>
        <v>5</v>
      </c>
      <c r="J116" s="52"/>
      <c r="K116" s="53">
        <v>43562</v>
      </c>
      <c r="L116" s="54" t="s">
        <v>608</v>
      </c>
      <c r="M116" s="55">
        <v>43557</v>
      </c>
      <c r="N116" s="56" t="s">
        <v>403</v>
      </c>
      <c r="O116" s="55">
        <v>43562</v>
      </c>
      <c r="P116" s="58"/>
      <c r="Q116" s="52" t="s">
        <v>642</v>
      </c>
      <c r="R116" s="63" t="s">
        <v>211</v>
      </c>
      <c r="S116" s="52"/>
    </row>
    <row r="117" spans="2:19" s="34" customFormat="1" ht="33" customHeight="1">
      <c r="B117" s="47" t="s">
        <v>3577</v>
      </c>
      <c r="C117" s="48" t="s">
        <v>647</v>
      </c>
      <c r="D117" s="49" t="s">
        <v>632</v>
      </c>
      <c r="E117" s="50">
        <v>43519</v>
      </c>
      <c r="F117" s="52" t="s">
        <v>218</v>
      </c>
      <c r="G117" s="51">
        <v>640</v>
      </c>
      <c r="H117" s="52">
        <f t="shared" si="13"/>
        <v>32</v>
      </c>
      <c r="I117" s="52">
        <f t="shared" si="14"/>
        <v>1</v>
      </c>
      <c r="J117" s="52"/>
      <c r="K117" s="53">
        <v>43562</v>
      </c>
      <c r="L117" s="54" t="s">
        <v>480</v>
      </c>
      <c r="M117" s="55">
        <v>43564</v>
      </c>
      <c r="N117" s="56" t="s">
        <v>646</v>
      </c>
      <c r="O117" s="55">
        <v>43569</v>
      </c>
      <c r="P117" s="58"/>
      <c r="Q117" s="52" t="s">
        <v>642</v>
      </c>
      <c r="R117" s="63" t="s">
        <v>211</v>
      </c>
      <c r="S117" s="52"/>
    </row>
    <row r="118" spans="2:19" s="34" customFormat="1" ht="33" customHeight="1">
      <c r="B118" s="47" t="s">
        <v>3577</v>
      </c>
      <c r="C118" s="48" t="s">
        <v>2527</v>
      </c>
      <c r="D118" s="199" t="s">
        <v>2532</v>
      </c>
      <c r="E118" s="50">
        <v>43609</v>
      </c>
      <c r="F118" s="52" t="s">
        <v>218</v>
      </c>
      <c r="G118" s="51">
        <v>120</v>
      </c>
      <c r="H118" s="52">
        <f t="shared" si="13"/>
        <v>6</v>
      </c>
      <c r="I118" s="52">
        <f t="shared" si="14"/>
        <v>0.1875</v>
      </c>
      <c r="J118" s="52"/>
      <c r="K118" s="53">
        <v>43646</v>
      </c>
      <c r="L118" s="54" t="s">
        <v>1083</v>
      </c>
      <c r="M118" s="55">
        <v>43634</v>
      </c>
      <c r="N118" s="56" t="s">
        <v>1084</v>
      </c>
      <c r="O118" s="55">
        <v>43639</v>
      </c>
      <c r="P118" s="58"/>
      <c r="Q118" s="63" t="s">
        <v>2543</v>
      </c>
      <c r="R118" s="63" t="s">
        <v>2542</v>
      </c>
      <c r="S118" s="52"/>
    </row>
    <row r="119" spans="2:19" s="34" customFormat="1" ht="33" customHeight="1">
      <c r="B119" s="47" t="s">
        <v>3580</v>
      </c>
      <c r="C119" s="48" t="s">
        <v>2531</v>
      </c>
      <c r="D119" s="199" t="s">
        <v>2532</v>
      </c>
      <c r="E119" s="50">
        <v>43609</v>
      </c>
      <c r="F119" s="52" t="s">
        <v>228</v>
      </c>
      <c r="G119" s="51">
        <v>120</v>
      </c>
      <c r="H119" s="52">
        <f t="shared" si="13"/>
        <v>6</v>
      </c>
      <c r="I119" s="52">
        <f t="shared" si="14"/>
        <v>0.1875</v>
      </c>
      <c r="J119" s="52"/>
      <c r="K119" s="53">
        <v>43646</v>
      </c>
      <c r="L119" s="54" t="s">
        <v>1083</v>
      </c>
      <c r="M119" s="55">
        <v>43634</v>
      </c>
      <c r="N119" s="56" t="s">
        <v>1084</v>
      </c>
      <c r="O119" s="55">
        <v>43639</v>
      </c>
      <c r="P119" s="58"/>
      <c r="Q119" s="63" t="s">
        <v>2544</v>
      </c>
      <c r="R119" s="63" t="s">
        <v>2542</v>
      </c>
      <c r="S119" s="52"/>
    </row>
    <row r="120" spans="2:19" s="34" customFormat="1" ht="33" customHeight="1">
      <c r="B120" s="47" t="s">
        <v>3577</v>
      </c>
      <c r="C120" s="48" t="s">
        <v>431</v>
      </c>
      <c r="D120" s="49" t="s">
        <v>633</v>
      </c>
      <c r="E120" s="50">
        <v>43523</v>
      </c>
      <c r="F120" s="52" t="s">
        <v>218</v>
      </c>
      <c r="G120" s="51">
        <v>3200</v>
      </c>
      <c r="H120" s="52">
        <f t="shared" si="13"/>
        <v>160</v>
      </c>
      <c r="I120" s="52">
        <f t="shared" si="14"/>
        <v>5</v>
      </c>
      <c r="J120" s="52"/>
      <c r="K120" s="53">
        <v>43597</v>
      </c>
      <c r="L120" s="54" t="s">
        <v>605</v>
      </c>
      <c r="M120" s="55">
        <v>43594</v>
      </c>
      <c r="N120" s="56" t="s">
        <v>561</v>
      </c>
      <c r="O120" s="55">
        <v>43598</v>
      </c>
      <c r="P120" s="58"/>
      <c r="Q120" s="52" t="s">
        <v>641</v>
      </c>
      <c r="R120" s="63" t="s">
        <v>211</v>
      </c>
      <c r="S120" s="52"/>
    </row>
    <row r="121" spans="2:19" s="34" customFormat="1" ht="33" customHeight="1">
      <c r="B121" s="47" t="s">
        <v>3577</v>
      </c>
      <c r="C121" s="48" t="s">
        <v>648</v>
      </c>
      <c r="D121" s="49" t="s">
        <v>633</v>
      </c>
      <c r="E121" s="50">
        <v>43523</v>
      </c>
      <c r="F121" s="52" t="s">
        <v>218</v>
      </c>
      <c r="G121" s="51">
        <v>640</v>
      </c>
      <c r="H121" s="52">
        <f t="shared" si="13"/>
        <v>32</v>
      </c>
      <c r="I121" s="52">
        <f t="shared" si="14"/>
        <v>1</v>
      </c>
      <c r="J121" s="52"/>
      <c r="K121" s="53">
        <v>43618</v>
      </c>
      <c r="L121" s="54" t="s">
        <v>977</v>
      </c>
      <c r="M121" s="55">
        <v>43613</v>
      </c>
      <c r="N121" s="56" t="s">
        <v>766</v>
      </c>
      <c r="O121" s="55">
        <v>43618</v>
      </c>
      <c r="P121" s="58"/>
      <c r="Q121" s="52" t="s">
        <v>641</v>
      </c>
      <c r="R121" s="63" t="s">
        <v>211</v>
      </c>
      <c r="S121" s="52"/>
    </row>
    <row r="122" spans="2:19" s="34" customFormat="1" ht="33" customHeight="1">
      <c r="B122" s="47" t="s">
        <v>3577</v>
      </c>
      <c r="C122" s="48" t="s">
        <v>738</v>
      </c>
      <c r="D122" s="49" t="s">
        <v>739</v>
      </c>
      <c r="E122" s="50">
        <v>43532</v>
      </c>
      <c r="F122" s="52" t="s">
        <v>218</v>
      </c>
      <c r="G122" s="51">
        <v>2560</v>
      </c>
      <c r="H122" s="52">
        <f t="shared" si="13"/>
        <v>128</v>
      </c>
      <c r="I122" s="52">
        <f t="shared" si="14"/>
        <v>4</v>
      </c>
      <c r="J122" s="52"/>
      <c r="K122" s="53">
        <v>43618</v>
      </c>
      <c r="L122" s="54" t="s">
        <v>977</v>
      </c>
      <c r="M122" s="55">
        <v>43613</v>
      </c>
      <c r="N122" s="56" t="s">
        <v>766</v>
      </c>
      <c r="O122" s="55">
        <v>43618</v>
      </c>
      <c r="P122" s="58"/>
      <c r="Q122" s="52" t="s">
        <v>970</v>
      </c>
      <c r="R122" s="63" t="s">
        <v>211</v>
      </c>
      <c r="S122" s="52"/>
    </row>
    <row r="123" spans="2:19" s="34" customFormat="1" ht="33" customHeight="1">
      <c r="B123" s="47" t="s">
        <v>3577</v>
      </c>
      <c r="C123" s="48" t="s">
        <v>589</v>
      </c>
      <c r="D123" s="49" t="s">
        <v>1260</v>
      </c>
      <c r="E123" s="50">
        <v>43558</v>
      </c>
      <c r="F123" s="52" t="s">
        <v>218</v>
      </c>
      <c r="G123" s="51">
        <v>3200</v>
      </c>
      <c r="H123" s="52">
        <f t="shared" si="13"/>
        <v>160</v>
      </c>
      <c r="I123" s="52">
        <f t="shared" si="14"/>
        <v>5</v>
      </c>
      <c r="J123" s="52"/>
      <c r="K123" s="53">
        <v>43639</v>
      </c>
      <c r="L123" s="54" t="s">
        <v>978</v>
      </c>
      <c r="M123" s="55">
        <v>43634</v>
      </c>
      <c r="N123" s="56" t="s">
        <v>764</v>
      </c>
      <c r="O123" s="55">
        <v>43639</v>
      </c>
      <c r="P123" s="58"/>
      <c r="Q123" s="52" t="s">
        <v>973</v>
      </c>
      <c r="R123" s="63" t="s">
        <v>211</v>
      </c>
      <c r="S123" s="52"/>
    </row>
    <row r="124" spans="2:19" s="34" customFormat="1" ht="33" customHeight="1">
      <c r="B124" s="47" t="s">
        <v>3577</v>
      </c>
      <c r="C124" s="48" t="s">
        <v>2078</v>
      </c>
      <c r="D124" s="49" t="s">
        <v>2426</v>
      </c>
      <c r="E124" s="50">
        <v>43602</v>
      </c>
      <c r="F124" s="52" t="s">
        <v>218</v>
      </c>
      <c r="G124" s="51">
        <v>3200</v>
      </c>
      <c r="H124" s="52">
        <f t="shared" si="13"/>
        <v>160</v>
      </c>
      <c r="I124" s="52">
        <f t="shared" si="14"/>
        <v>5</v>
      </c>
      <c r="J124" s="52"/>
      <c r="K124" s="53">
        <v>43653</v>
      </c>
      <c r="L124" s="54" t="s">
        <v>1326</v>
      </c>
      <c r="M124" s="55">
        <v>43648</v>
      </c>
      <c r="N124" s="56" t="s">
        <v>2143</v>
      </c>
      <c r="O124" s="55">
        <v>43653</v>
      </c>
      <c r="P124" s="58"/>
      <c r="Q124" s="52" t="s">
        <v>2148</v>
      </c>
      <c r="R124" s="63" t="s">
        <v>211</v>
      </c>
      <c r="S124" s="52"/>
    </row>
    <row r="125" spans="2:19" s="34" customFormat="1" ht="33" customHeight="1">
      <c r="B125" s="47" t="s">
        <v>3577</v>
      </c>
      <c r="C125" s="48" t="s">
        <v>2079</v>
      </c>
      <c r="D125" s="49" t="s">
        <v>2428</v>
      </c>
      <c r="E125" s="50">
        <v>43602</v>
      </c>
      <c r="F125" s="52" t="s">
        <v>218</v>
      </c>
      <c r="G125" s="51">
        <v>3200</v>
      </c>
      <c r="H125" s="52">
        <f t="shared" si="13"/>
        <v>160</v>
      </c>
      <c r="I125" s="52">
        <f t="shared" si="14"/>
        <v>5</v>
      </c>
      <c r="J125" s="52"/>
      <c r="K125" s="53">
        <v>43667</v>
      </c>
      <c r="L125" s="54" t="s">
        <v>2146</v>
      </c>
      <c r="M125" s="55">
        <v>43669</v>
      </c>
      <c r="N125" s="56" t="s">
        <v>2551</v>
      </c>
      <c r="O125" s="55">
        <v>43674</v>
      </c>
      <c r="P125" s="58"/>
      <c r="Q125" s="52" t="s">
        <v>2150</v>
      </c>
      <c r="R125" s="63" t="s">
        <v>211</v>
      </c>
      <c r="S125" s="52"/>
    </row>
    <row r="126" spans="2:19" s="32" customFormat="1" ht="33" customHeight="1">
      <c r="B126" s="46" t="s">
        <v>3577</v>
      </c>
      <c r="C126" s="35" t="s">
        <v>2378</v>
      </c>
      <c r="D126" s="36" t="s">
        <v>2518</v>
      </c>
      <c r="E126" s="37">
        <v>43602</v>
      </c>
      <c r="F126" s="38" t="s">
        <v>218</v>
      </c>
      <c r="G126" s="39">
        <v>3200</v>
      </c>
      <c r="H126" s="38">
        <f t="shared" si="13"/>
        <v>160</v>
      </c>
      <c r="I126" s="38">
        <f t="shared" si="14"/>
        <v>5</v>
      </c>
      <c r="J126" s="38"/>
      <c r="K126" s="40">
        <v>43688</v>
      </c>
      <c r="L126" s="41" t="s">
        <v>2505</v>
      </c>
      <c r="M126" s="42">
        <v>43683</v>
      </c>
      <c r="N126" s="43" t="s">
        <v>2763</v>
      </c>
      <c r="O126" s="42">
        <v>43688</v>
      </c>
      <c r="P126" s="45"/>
      <c r="Q126" s="38" t="s">
        <v>2762</v>
      </c>
      <c r="R126" s="66" t="s">
        <v>211</v>
      </c>
      <c r="S126" s="46" t="s">
        <v>2764</v>
      </c>
    </row>
    <row r="127" spans="2:19" s="32" customFormat="1" ht="33" customHeight="1">
      <c r="B127" s="46" t="s">
        <v>3577</v>
      </c>
      <c r="C127" s="35" t="s">
        <v>2430</v>
      </c>
      <c r="D127" s="190" t="s">
        <v>2520</v>
      </c>
      <c r="E127" s="37">
        <v>43602</v>
      </c>
      <c r="F127" s="38" t="s">
        <v>218</v>
      </c>
      <c r="G127" s="39">
        <v>3200</v>
      </c>
      <c r="H127" s="38">
        <f t="shared" si="13"/>
        <v>160</v>
      </c>
      <c r="I127" s="38">
        <f t="shared" si="14"/>
        <v>5</v>
      </c>
      <c r="J127" s="38"/>
      <c r="K127" s="40">
        <v>43702</v>
      </c>
      <c r="L127" s="41" t="s">
        <v>2509</v>
      </c>
      <c r="M127" s="42">
        <v>43697</v>
      </c>
      <c r="N127" s="43" t="s">
        <v>2499</v>
      </c>
      <c r="O127" s="42">
        <v>43702</v>
      </c>
      <c r="P127" s="45"/>
      <c r="Q127" s="38" t="s">
        <v>2517</v>
      </c>
      <c r="R127" s="66" t="s">
        <v>211</v>
      </c>
      <c r="S127" s="38"/>
    </row>
    <row r="128" spans="2:19" s="34" customFormat="1" ht="33" customHeight="1">
      <c r="B128" s="47" t="s">
        <v>3577</v>
      </c>
      <c r="C128" s="48" t="s">
        <v>2528</v>
      </c>
      <c r="D128" s="199" t="s">
        <v>2704</v>
      </c>
      <c r="E128" s="50">
        <v>43609</v>
      </c>
      <c r="F128" s="52" t="s">
        <v>218</v>
      </c>
      <c r="G128" s="51">
        <v>3200</v>
      </c>
      <c r="H128" s="52">
        <f t="shared" si="13"/>
        <v>160</v>
      </c>
      <c r="I128" s="52">
        <f t="shared" si="14"/>
        <v>5</v>
      </c>
      <c r="J128" s="52"/>
      <c r="K128" s="53">
        <v>43660</v>
      </c>
      <c r="L128" s="54" t="s">
        <v>1326</v>
      </c>
      <c r="M128" s="55">
        <v>43648</v>
      </c>
      <c r="N128" s="56" t="s">
        <v>2540</v>
      </c>
      <c r="O128" s="55">
        <v>43653</v>
      </c>
      <c r="P128" s="58"/>
      <c r="Q128" s="52" t="s">
        <v>2148</v>
      </c>
      <c r="R128" s="63" t="s">
        <v>211</v>
      </c>
      <c r="S128" s="52"/>
    </row>
    <row r="129" spans="2:19" s="34" customFormat="1" ht="33" customHeight="1">
      <c r="B129" s="47" t="s">
        <v>3577</v>
      </c>
      <c r="C129" s="48" t="s">
        <v>2529</v>
      </c>
      <c r="D129" s="199" t="s">
        <v>2705</v>
      </c>
      <c r="E129" s="50">
        <v>43609</v>
      </c>
      <c r="F129" s="52" t="s">
        <v>218</v>
      </c>
      <c r="G129" s="51">
        <v>3200</v>
      </c>
      <c r="H129" s="52">
        <f t="shared" si="13"/>
        <v>160</v>
      </c>
      <c r="I129" s="52">
        <f t="shared" si="14"/>
        <v>5</v>
      </c>
      <c r="J129" s="52"/>
      <c r="K129" s="53">
        <v>43675</v>
      </c>
      <c r="L129" s="54" t="s">
        <v>2146</v>
      </c>
      <c r="M129" s="55">
        <v>43669</v>
      </c>
      <c r="N129" s="56" t="s">
        <v>2551</v>
      </c>
      <c r="O129" s="55">
        <v>43674</v>
      </c>
      <c r="P129" s="58"/>
      <c r="Q129" s="52" t="s">
        <v>2150</v>
      </c>
      <c r="R129" s="63" t="s">
        <v>211</v>
      </c>
      <c r="S129" s="52"/>
    </row>
    <row r="130" spans="2:19" s="32" customFormat="1" ht="33" customHeight="1">
      <c r="B130" s="46" t="s">
        <v>3577</v>
      </c>
      <c r="C130" s="35" t="s">
        <v>3497</v>
      </c>
      <c r="D130" s="190" t="s">
        <v>3498</v>
      </c>
      <c r="E130" s="37">
        <v>43637</v>
      </c>
      <c r="F130" s="38" t="s">
        <v>218</v>
      </c>
      <c r="G130" s="39">
        <v>3200</v>
      </c>
      <c r="H130" s="38">
        <f t="shared" si="13"/>
        <v>160</v>
      </c>
      <c r="I130" s="38">
        <f t="shared" si="14"/>
        <v>5</v>
      </c>
      <c r="J130" s="38"/>
      <c r="K130" s="40">
        <v>43716</v>
      </c>
      <c r="L130" s="41" t="s">
        <v>3565</v>
      </c>
      <c r="M130" s="42">
        <v>43711</v>
      </c>
      <c r="N130" s="43" t="s">
        <v>3557</v>
      </c>
      <c r="O130" s="42">
        <v>43716</v>
      </c>
      <c r="P130" s="45"/>
      <c r="Q130" s="38" t="s">
        <v>4820</v>
      </c>
      <c r="R130" s="66" t="s">
        <v>211</v>
      </c>
      <c r="S130" s="38"/>
    </row>
    <row r="131" spans="2:19" s="32" customFormat="1" ht="33" customHeight="1">
      <c r="B131" s="46" t="s">
        <v>3577</v>
      </c>
      <c r="C131" s="35" t="s">
        <v>3499</v>
      </c>
      <c r="D131" s="190" t="s">
        <v>3500</v>
      </c>
      <c r="E131" s="37">
        <v>43637</v>
      </c>
      <c r="F131" s="38" t="s">
        <v>218</v>
      </c>
      <c r="G131" s="39">
        <v>3200</v>
      </c>
      <c r="H131" s="38">
        <f t="shared" si="13"/>
        <v>160</v>
      </c>
      <c r="I131" s="38">
        <f t="shared" si="14"/>
        <v>5</v>
      </c>
      <c r="J131" s="38"/>
      <c r="K131" s="40">
        <v>43730</v>
      </c>
      <c r="L131" s="41" t="s">
        <v>2553</v>
      </c>
      <c r="M131" s="42">
        <v>43725</v>
      </c>
      <c r="N131" s="43" t="s">
        <v>2546</v>
      </c>
      <c r="O131" s="42">
        <v>43730</v>
      </c>
      <c r="P131" s="45"/>
      <c r="Q131" s="38" t="s">
        <v>5446</v>
      </c>
      <c r="R131" s="66" t="s">
        <v>211</v>
      </c>
      <c r="S131" s="38"/>
    </row>
    <row r="132" spans="2:19" s="32" customFormat="1" ht="33" customHeight="1">
      <c r="B132" s="46" t="s">
        <v>3577</v>
      </c>
      <c r="C132" s="35" t="s">
        <v>3501</v>
      </c>
      <c r="D132" s="190" t="s">
        <v>3502</v>
      </c>
      <c r="E132" s="37">
        <v>43637</v>
      </c>
      <c r="F132" s="38" t="s">
        <v>218</v>
      </c>
      <c r="G132" s="39">
        <v>3200</v>
      </c>
      <c r="H132" s="38">
        <f t="shared" si="13"/>
        <v>160</v>
      </c>
      <c r="I132" s="38">
        <f t="shared" si="14"/>
        <v>5</v>
      </c>
      <c r="J132" s="38"/>
      <c r="K132" s="40">
        <v>43737</v>
      </c>
      <c r="L132" s="41" t="s">
        <v>3568</v>
      </c>
      <c r="M132" s="42">
        <v>43732</v>
      </c>
      <c r="N132" s="43" t="s">
        <v>3562</v>
      </c>
      <c r="O132" s="42">
        <v>43737</v>
      </c>
      <c r="P132" s="45"/>
      <c r="Q132" s="38" t="s">
        <v>5427</v>
      </c>
      <c r="R132" s="66" t="s">
        <v>211</v>
      </c>
      <c r="S132" s="38"/>
    </row>
    <row r="133" spans="2:19" s="32" customFormat="1" ht="33" customHeight="1">
      <c r="B133" s="46" t="s">
        <v>3577</v>
      </c>
      <c r="C133" s="35" t="s">
        <v>4103</v>
      </c>
      <c r="D133" s="190" t="s">
        <v>4408</v>
      </c>
      <c r="E133" s="37">
        <v>43657</v>
      </c>
      <c r="F133" s="38" t="s">
        <v>218</v>
      </c>
      <c r="G133" s="39">
        <v>3200</v>
      </c>
      <c r="H133" s="38">
        <f t="shared" si="13"/>
        <v>160</v>
      </c>
      <c r="I133" s="38">
        <f t="shared" si="14"/>
        <v>5</v>
      </c>
      <c r="J133" s="38"/>
      <c r="K133" s="40">
        <v>43723</v>
      </c>
      <c r="L133" s="41" t="s">
        <v>3567</v>
      </c>
      <c r="M133" s="42">
        <v>43718</v>
      </c>
      <c r="N133" s="43" t="s">
        <v>3559</v>
      </c>
      <c r="O133" s="42">
        <v>43723</v>
      </c>
      <c r="P133" s="45"/>
      <c r="Q133" s="38" t="s">
        <v>4167</v>
      </c>
      <c r="R133" s="66" t="s">
        <v>211</v>
      </c>
      <c r="S133" s="38"/>
    </row>
    <row r="134" spans="2:19" s="32" customFormat="1" ht="33" customHeight="1">
      <c r="B134" s="46" t="s">
        <v>3577</v>
      </c>
      <c r="C134" s="35" t="s">
        <v>4410</v>
      </c>
      <c r="D134" s="190" t="s">
        <v>4411</v>
      </c>
      <c r="E134" s="37">
        <v>43665</v>
      </c>
      <c r="F134" s="38" t="s">
        <v>218</v>
      </c>
      <c r="G134" s="39">
        <v>3200</v>
      </c>
      <c r="H134" s="38">
        <f t="shared" si="13"/>
        <v>160</v>
      </c>
      <c r="I134" s="38">
        <f t="shared" si="14"/>
        <v>5</v>
      </c>
      <c r="J134" s="38"/>
      <c r="K134" s="40">
        <v>43751</v>
      </c>
      <c r="L134" s="41" t="s">
        <v>4475</v>
      </c>
      <c r="M134" s="42">
        <v>43746</v>
      </c>
      <c r="N134" s="43" t="s">
        <v>4469</v>
      </c>
      <c r="O134" s="42">
        <v>43751</v>
      </c>
      <c r="P134" s="45"/>
      <c r="Q134" s="66" t="s">
        <v>5445</v>
      </c>
      <c r="R134" s="66" t="s">
        <v>2542</v>
      </c>
      <c r="S134" s="38"/>
    </row>
    <row r="135" spans="2:19" s="32" customFormat="1" ht="33" customHeight="1">
      <c r="B135" s="46" t="s">
        <v>3577</v>
      </c>
      <c r="C135" s="35" t="s">
        <v>4412</v>
      </c>
      <c r="D135" s="190" t="s">
        <v>4413</v>
      </c>
      <c r="E135" s="37">
        <v>43665</v>
      </c>
      <c r="F135" s="38" t="s">
        <v>218</v>
      </c>
      <c r="G135" s="39">
        <v>3200</v>
      </c>
      <c r="H135" s="38">
        <f t="shared" si="13"/>
        <v>160</v>
      </c>
      <c r="I135" s="38">
        <f t="shared" si="14"/>
        <v>5</v>
      </c>
      <c r="J135" s="38"/>
      <c r="K135" s="40">
        <v>43758</v>
      </c>
      <c r="L135" s="41" t="s">
        <v>4479</v>
      </c>
      <c r="M135" s="42">
        <v>43753</v>
      </c>
      <c r="N135" s="43" t="s">
        <v>4471</v>
      </c>
      <c r="O135" s="42">
        <v>43758</v>
      </c>
      <c r="P135" s="45"/>
      <c r="Q135" s="66" t="s">
        <v>4818</v>
      </c>
      <c r="R135" s="66" t="s">
        <v>2542</v>
      </c>
      <c r="S135" s="38"/>
    </row>
    <row r="136" spans="2:19" s="32" customFormat="1" ht="33" customHeight="1">
      <c r="B136" s="46" t="s">
        <v>3577</v>
      </c>
      <c r="C136" s="35" t="s">
        <v>4414</v>
      </c>
      <c r="D136" s="190" t="s">
        <v>4415</v>
      </c>
      <c r="E136" s="37">
        <v>43665</v>
      </c>
      <c r="F136" s="38" t="s">
        <v>218</v>
      </c>
      <c r="G136" s="39">
        <v>3200</v>
      </c>
      <c r="H136" s="38">
        <f t="shared" si="13"/>
        <v>160</v>
      </c>
      <c r="I136" s="38">
        <f t="shared" si="14"/>
        <v>5</v>
      </c>
      <c r="J136" s="38"/>
      <c r="K136" s="40">
        <v>43765</v>
      </c>
      <c r="L136" s="41" t="s">
        <v>4477</v>
      </c>
      <c r="M136" s="42">
        <v>43760</v>
      </c>
      <c r="N136" s="43" t="s">
        <v>3878</v>
      </c>
      <c r="O136" s="42">
        <v>43765</v>
      </c>
      <c r="P136" s="45"/>
      <c r="Q136" s="66" t="s">
        <v>4817</v>
      </c>
      <c r="R136" s="66" t="s">
        <v>2542</v>
      </c>
      <c r="S136" s="38"/>
    </row>
    <row r="137" spans="2:19" s="32" customFormat="1" ht="33" customHeight="1">
      <c r="B137" s="46" t="s">
        <v>3577</v>
      </c>
      <c r="C137" s="35" t="s">
        <v>4550</v>
      </c>
      <c r="D137" s="187" t="s">
        <v>5433</v>
      </c>
      <c r="E137" s="37">
        <v>43679</v>
      </c>
      <c r="F137" s="38" t="s">
        <v>218</v>
      </c>
      <c r="G137" s="39">
        <v>3200</v>
      </c>
      <c r="H137" s="38">
        <f t="shared" si="13"/>
        <v>160</v>
      </c>
      <c r="I137" s="38">
        <f t="shared" si="14"/>
        <v>5</v>
      </c>
      <c r="J137" s="38"/>
      <c r="K137" s="40">
        <v>43765</v>
      </c>
      <c r="L137" s="41" t="s">
        <v>4477</v>
      </c>
      <c r="M137" s="42">
        <v>43760</v>
      </c>
      <c r="N137" s="43" t="s">
        <v>4549</v>
      </c>
      <c r="O137" s="42">
        <v>43765</v>
      </c>
      <c r="P137" s="45"/>
      <c r="Q137" s="66" t="s">
        <v>4817</v>
      </c>
      <c r="R137" s="66" t="s">
        <v>2542</v>
      </c>
      <c r="S137" s="38"/>
    </row>
    <row r="138" spans="2:19" s="32" customFormat="1" ht="33" customHeight="1">
      <c r="B138" s="46" t="s">
        <v>3577</v>
      </c>
      <c r="C138" s="35" t="s">
        <v>4899</v>
      </c>
      <c r="D138" s="190" t="s">
        <v>4898</v>
      </c>
      <c r="E138" s="37">
        <v>43689</v>
      </c>
      <c r="F138" s="38" t="s">
        <v>218</v>
      </c>
      <c r="G138" s="39">
        <v>3200</v>
      </c>
      <c r="H138" s="38">
        <f t="shared" si="13"/>
        <v>160</v>
      </c>
      <c r="I138" s="38">
        <f t="shared" si="14"/>
        <v>5</v>
      </c>
      <c r="J138" s="38"/>
      <c r="K138" s="40">
        <v>43779</v>
      </c>
      <c r="L138" s="41" t="s">
        <v>4816</v>
      </c>
      <c r="M138" s="42">
        <v>43774</v>
      </c>
      <c r="N138" s="43" t="s">
        <v>4815</v>
      </c>
      <c r="O138" s="42">
        <v>43779</v>
      </c>
      <c r="P138" s="45"/>
      <c r="Q138" s="66" t="s">
        <v>5444</v>
      </c>
      <c r="R138" s="66" t="s">
        <v>211</v>
      </c>
      <c r="S138" s="38"/>
    </row>
    <row r="139" spans="2:19" s="32" customFormat="1" ht="33" customHeight="1">
      <c r="B139" s="46" t="s">
        <v>3577</v>
      </c>
      <c r="C139" s="35" t="s">
        <v>4897</v>
      </c>
      <c r="D139" s="190" t="s">
        <v>4896</v>
      </c>
      <c r="E139" s="37">
        <v>43689</v>
      </c>
      <c r="F139" s="38" t="s">
        <v>218</v>
      </c>
      <c r="G139" s="39">
        <v>3200</v>
      </c>
      <c r="H139" s="38">
        <f t="shared" si="13"/>
        <v>160</v>
      </c>
      <c r="I139" s="38">
        <f t="shared" si="14"/>
        <v>5</v>
      </c>
      <c r="J139" s="38"/>
      <c r="K139" s="40">
        <v>43793</v>
      </c>
      <c r="L139" s="41" t="s">
        <v>5415</v>
      </c>
      <c r="M139" s="42">
        <v>43788</v>
      </c>
      <c r="N139" s="43" t="s">
        <v>5322</v>
      </c>
      <c r="O139" s="42">
        <v>43793</v>
      </c>
      <c r="P139" s="45"/>
      <c r="Q139" s="66" t="s">
        <v>5442</v>
      </c>
      <c r="R139" s="66" t="s">
        <v>211</v>
      </c>
      <c r="S139" s="38"/>
    </row>
    <row r="140" spans="2:19" s="34" customFormat="1" ht="33" customHeight="1">
      <c r="B140" s="47" t="s">
        <v>5451</v>
      </c>
      <c r="C140" s="48" t="s">
        <v>235</v>
      </c>
      <c r="D140" s="49" t="s">
        <v>744</v>
      </c>
      <c r="E140" s="50">
        <v>43532</v>
      </c>
      <c r="F140" s="52" t="s">
        <v>228</v>
      </c>
      <c r="G140" s="51">
        <v>1280</v>
      </c>
      <c r="H140" s="52">
        <f t="shared" si="13"/>
        <v>64</v>
      </c>
      <c r="I140" s="52">
        <f t="shared" si="14"/>
        <v>2</v>
      </c>
      <c r="J140" s="52"/>
      <c r="K140" s="53">
        <v>43597</v>
      </c>
      <c r="L140" s="54" t="s">
        <v>605</v>
      </c>
      <c r="M140" s="55">
        <v>43594</v>
      </c>
      <c r="N140" s="56" t="s">
        <v>772</v>
      </c>
      <c r="O140" s="55">
        <v>43598</v>
      </c>
      <c r="P140" s="58"/>
      <c r="Q140" s="52" t="s">
        <v>641</v>
      </c>
      <c r="R140" s="63" t="s">
        <v>211</v>
      </c>
      <c r="S140" s="52"/>
    </row>
    <row r="141" spans="2:19" s="34" customFormat="1" ht="33" customHeight="1">
      <c r="B141" s="47" t="s">
        <v>5451</v>
      </c>
      <c r="C141" s="48" t="s">
        <v>1569</v>
      </c>
      <c r="D141" s="49" t="s">
        <v>2085</v>
      </c>
      <c r="E141" s="50">
        <v>43581</v>
      </c>
      <c r="F141" s="52" t="s">
        <v>228</v>
      </c>
      <c r="G141" s="51">
        <v>1280</v>
      </c>
      <c r="H141" s="52">
        <f t="shared" si="13"/>
        <v>64</v>
      </c>
      <c r="I141" s="52">
        <f t="shared" si="14"/>
        <v>2</v>
      </c>
      <c r="J141" s="52"/>
      <c r="K141" s="53">
        <v>43632</v>
      </c>
      <c r="L141" s="54" t="s">
        <v>807</v>
      </c>
      <c r="M141" s="55">
        <v>43627</v>
      </c>
      <c r="N141" s="56" t="s">
        <v>769</v>
      </c>
      <c r="O141" s="55">
        <v>43632</v>
      </c>
      <c r="P141" s="58"/>
      <c r="Q141" s="52" t="s">
        <v>1810</v>
      </c>
      <c r="R141" s="63" t="s">
        <v>211</v>
      </c>
      <c r="S141" s="52"/>
    </row>
    <row r="142" spans="2:19" s="34" customFormat="1" ht="33" customHeight="1">
      <c r="B142" s="47" t="s">
        <v>5451</v>
      </c>
      <c r="C142" s="48" t="s">
        <v>90</v>
      </c>
      <c r="D142" s="49" t="s">
        <v>2087</v>
      </c>
      <c r="E142" s="50">
        <v>43595</v>
      </c>
      <c r="F142" s="52" t="s">
        <v>228</v>
      </c>
      <c r="G142" s="51">
        <v>1280</v>
      </c>
      <c r="H142" s="52">
        <f t="shared" si="13"/>
        <v>64</v>
      </c>
      <c r="I142" s="52">
        <f t="shared" si="14"/>
        <v>2</v>
      </c>
      <c r="J142" s="52"/>
      <c r="K142" s="53">
        <v>43646</v>
      </c>
      <c r="L142" s="54" t="s">
        <v>1326</v>
      </c>
      <c r="M142" s="55">
        <v>43648</v>
      </c>
      <c r="N142" s="56" t="s">
        <v>2143</v>
      </c>
      <c r="O142" s="55">
        <v>43653</v>
      </c>
      <c r="P142" s="58"/>
      <c r="Q142" s="52" t="s">
        <v>2148</v>
      </c>
      <c r="R142" s="63" t="s">
        <v>211</v>
      </c>
      <c r="S142" s="52"/>
    </row>
    <row r="143" spans="2:19" s="32" customFormat="1" ht="33" customHeight="1">
      <c r="B143" s="46" t="s">
        <v>5451</v>
      </c>
      <c r="C143" s="35" t="s">
        <v>2088</v>
      </c>
      <c r="D143" s="36" t="s">
        <v>2089</v>
      </c>
      <c r="E143" s="37">
        <v>43595</v>
      </c>
      <c r="F143" s="38" t="s">
        <v>228</v>
      </c>
      <c r="G143" s="39">
        <v>640</v>
      </c>
      <c r="H143" s="38">
        <f t="shared" si="13"/>
        <v>32</v>
      </c>
      <c r="I143" s="38">
        <f t="shared" si="14"/>
        <v>1</v>
      </c>
      <c r="J143" s="38"/>
      <c r="K143" s="40">
        <v>43709</v>
      </c>
      <c r="L143" s="41" t="s">
        <v>3565</v>
      </c>
      <c r="M143" s="42">
        <v>43711</v>
      </c>
      <c r="N143" s="43" t="s">
        <v>3557</v>
      </c>
      <c r="O143" s="42">
        <v>43716</v>
      </c>
      <c r="P143" s="45"/>
      <c r="Q143" s="66" t="s">
        <v>2548</v>
      </c>
      <c r="R143" s="66" t="s">
        <v>211</v>
      </c>
      <c r="S143" s="46" t="s">
        <v>4822</v>
      </c>
    </row>
    <row r="144" spans="2:19" s="32" customFormat="1" ht="33" customHeight="1">
      <c r="B144" s="46" t="s">
        <v>3580</v>
      </c>
      <c r="C144" s="35" t="s">
        <v>208</v>
      </c>
      <c r="D144" s="190" t="s">
        <v>2443</v>
      </c>
      <c r="E144" s="37">
        <v>43602</v>
      </c>
      <c r="F144" s="38" t="s">
        <v>228</v>
      </c>
      <c r="G144" s="39">
        <v>640</v>
      </c>
      <c r="H144" s="38">
        <f t="shared" si="13"/>
        <v>32</v>
      </c>
      <c r="I144" s="38">
        <f t="shared" si="14"/>
        <v>1</v>
      </c>
      <c r="J144" s="38"/>
      <c r="K144" s="196">
        <v>43737</v>
      </c>
      <c r="L144" s="41" t="s">
        <v>5205</v>
      </c>
      <c r="M144" s="42">
        <v>43732</v>
      </c>
      <c r="N144" s="43" t="s">
        <v>5206</v>
      </c>
      <c r="O144" s="42">
        <v>43737</v>
      </c>
      <c r="P144" s="45"/>
      <c r="Q144" s="66" t="s">
        <v>5427</v>
      </c>
      <c r="R144" s="66" t="s">
        <v>211</v>
      </c>
      <c r="S144" s="38"/>
    </row>
    <row r="145" spans="1:19" s="32" customFormat="1" ht="33" customHeight="1">
      <c r="B145" s="46" t="s">
        <v>5451</v>
      </c>
      <c r="C145" s="35" t="s">
        <v>942</v>
      </c>
      <c r="D145" s="190" t="s">
        <v>5416</v>
      </c>
      <c r="E145" s="37">
        <v>43693</v>
      </c>
      <c r="F145" s="38" t="s">
        <v>228</v>
      </c>
      <c r="G145" s="39">
        <v>640</v>
      </c>
      <c r="H145" s="38">
        <f t="shared" si="13"/>
        <v>32</v>
      </c>
      <c r="I145" s="38">
        <f t="shared" si="14"/>
        <v>1</v>
      </c>
      <c r="J145" s="38"/>
      <c r="K145" s="196">
        <v>43737</v>
      </c>
      <c r="L145" s="41" t="s">
        <v>5205</v>
      </c>
      <c r="M145" s="42">
        <v>43732</v>
      </c>
      <c r="N145" s="43" t="s">
        <v>5206</v>
      </c>
      <c r="O145" s="42">
        <v>43737</v>
      </c>
      <c r="P145" s="45"/>
      <c r="Q145" s="66" t="s">
        <v>5427</v>
      </c>
      <c r="R145" s="66" t="s">
        <v>211</v>
      </c>
      <c r="S145" s="38"/>
    </row>
    <row r="146" spans="1:19" s="32" customFormat="1" ht="33" customHeight="1">
      <c r="B146" s="46" t="s">
        <v>5451</v>
      </c>
      <c r="C146" s="35" t="s">
        <v>212</v>
      </c>
      <c r="D146" s="190" t="s">
        <v>2444</v>
      </c>
      <c r="E146" s="37">
        <v>43602</v>
      </c>
      <c r="F146" s="38" t="s">
        <v>228</v>
      </c>
      <c r="G146" s="39">
        <v>640</v>
      </c>
      <c r="H146" s="38">
        <f t="shared" si="13"/>
        <v>32</v>
      </c>
      <c r="I146" s="38">
        <f t="shared" si="14"/>
        <v>1</v>
      </c>
      <c r="J146" s="38"/>
      <c r="K146" s="40">
        <v>43779</v>
      </c>
      <c r="L146" s="41" t="s">
        <v>4816</v>
      </c>
      <c r="M146" s="42">
        <v>43774</v>
      </c>
      <c r="N146" s="43" t="s">
        <v>4815</v>
      </c>
      <c r="O146" s="42">
        <v>43779</v>
      </c>
      <c r="P146" s="45"/>
      <c r="Q146" s="38" t="s">
        <v>4823</v>
      </c>
      <c r="R146" s="66" t="s">
        <v>211</v>
      </c>
      <c r="S146" s="38"/>
    </row>
    <row r="147" spans="1:19" s="32" customFormat="1" ht="33" customHeight="1">
      <c r="B147" s="122" t="s">
        <v>5451</v>
      </c>
      <c r="C147" s="126" t="s">
        <v>2531</v>
      </c>
      <c r="D147" s="187" t="s">
        <v>4426</v>
      </c>
      <c r="E147" s="128">
        <v>43665</v>
      </c>
      <c r="F147" s="124" t="s">
        <v>228</v>
      </c>
      <c r="G147" s="129">
        <v>1920</v>
      </c>
      <c r="H147" s="124">
        <f t="shared" si="13"/>
        <v>96</v>
      </c>
      <c r="I147" s="124">
        <f t="shared" si="14"/>
        <v>3</v>
      </c>
      <c r="J147" s="124"/>
      <c r="K147" s="130">
        <v>43751</v>
      </c>
      <c r="L147" s="119" t="s">
        <v>4475</v>
      </c>
      <c r="M147" s="120">
        <v>43746</v>
      </c>
      <c r="N147" s="121" t="s">
        <v>4469</v>
      </c>
      <c r="O147" s="120">
        <v>43751</v>
      </c>
      <c r="P147" s="123"/>
      <c r="Q147" s="124" t="s">
        <v>4818</v>
      </c>
      <c r="R147" s="134" t="s">
        <v>211</v>
      </c>
      <c r="S147" s="124"/>
    </row>
    <row r="148" spans="1:19" s="32" customFormat="1" ht="33" customHeight="1">
      <c r="B148" s="122" t="s">
        <v>5451</v>
      </c>
      <c r="C148" s="126" t="s">
        <v>5417</v>
      </c>
      <c r="D148" s="187" t="s">
        <v>5450</v>
      </c>
      <c r="E148" s="128">
        <v>43700</v>
      </c>
      <c r="F148" s="124" t="s">
        <v>228</v>
      </c>
      <c r="G148" s="129">
        <v>640</v>
      </c>
      <c r="H148" s="124">
        <f t="shared" si="13"/>
        <v>32</v>
      </c>
      <c r="I148" s="124">
        <f t="shared" si="14"/>
        <v>1</v>
      </c>
      <c r="J148" s="124"/>
      <c r="K148" s="130">
        <v>43765</v>
      </c>
      <c r="L148" s="119" t="s">
        <v>4477</v>
      </c>
      <c r="M148" s="120">
        <v>43760</v>
      </c>
      <c r="N148" s="121" t="s">
        <v>4549</v>
      </c>
      <c r="O148" s="120">
        <v>43765</v>
      </c>
      <c r="P148" s="123"/>
      <c r="Q148" s="124" t="s">
        <v>5441</v>
      </c>
      <c r="R148" s="134" t="s">
        <v>211</v>
      </c>
      <c r="S148" s="124"/>
    </row>
    <row r="149" spans="1:19" s="32" customFormat="1" ht="33" customHeight="1">
      <c r="B149" s="122" t="s">
        <v>5452</v>
      </c>
      <c r="C149" s="126" t="s">
        <v>5418</v>
      </c>
      <c r="D149" s="187" t="s">
        <v>5453</v>
      </c>
      <c r="E149" s="128">
        <v>43700</v>
      </c>
      <c r="F149" s="124" t="s">
        <v>228</v>
      </c>
      <c r="G149" s="129">
        <v>1280</v>
      </c>
      <c r="H149" s="124">
        <f t="shared" si="13"/>
        <v>64</v>
      </c>
      <c r="I149" s="124">
        <f t="shared" si="14"/>
        <v>2</v>
      </c>
      <c r="J149" s="124"/>
      <c r="K149" s="130">
        <v>43793</v>
      </c>
      <c r="L149" s="119" t="s">
        <v>5439</v>
      </c>
      <c r="M149" s="120">
        <v>43788</v>
      </c>
      <c r="N149" s="121" t="s">
        <v>5440</v>
      </c>
      <c r="O149" s="120">
        <v>43793</v>
      </c>
      <c r="P149" s="123"/>
      <c r="Q149" s="124" t="s">
        <v>5443</v>
      </c>
      <c r="R149" s="134" t="s">
        <v>211</v>
      </c>
      <c r="S149" s="124"/>
    </row>
    <row r="150" spans="1:19" s="33" customFormat="1" ht="33" customHeight="1">
      <c r="A150" s="33" t="s">
        <v>2530</v>
      </c>
      <c r="B150" s="47" t="s">
        <v>86</v>
      </c>
      <c r="C150" s="48" t="s">
        <v>225</v>
      </c>
      <c r="D150" s="49" t="s">
        <v>487</v>
      </c>
      <c r="E150" s="50">
        <v>43490</v>
      </c>
      <c r="F150" s="52" t="s">
        <v>87</v>
      </c>
      <c r="G150" s="51">
        <v>1520</v>
      </c>
      <c r="H150" s="52">
        <f>SUM(G150/190)</f>
        <v>8</v>
      </c>
      <c r="I150" s="52">
        <f>SUM(H150/4)</f>
        <v>2</v>
      </c>
      <c r="J150" s="52"/>
      <c r="K150" s="53">
        <v>43569</v>
      </c>
      <c r="L150" s="54" t="s">
        <v>417</v>
      </c>
      <c r="M150" s="55">
        <v>43564</v>
      </c>
      <c r="N150" s="56" t="s">
        <v>405</v>
      </c>
      <c r="O150" s="55">
        <v>43569</v>
      </c>
      <c r="P150" s="58"/>
      <c r="Q150" s="52"/>
      <c r="R150" s="63" t="s">
        <v>495</v>
      </c>
      <c r="S150" s="47"/>
    </row>
    <row r="151" spans="1:19" s="33" customFormat="1" ht="33" customHeight="1">
      <c r="B151" s="47" t="s">
        <v>86</v>
      </c>
      <c r="C151" s="48" t="s">
        <v>226</v>
      </c>
      <c r="D151" s="49" t="s">
        <v>833</v>
      </c>
      <c r="E151" s="50">
        <v>43546</v>
      </c>
      <c r="F151" s="52" t="s">
        <v>87</v>
      </c>
      <c r="G151" s="51">
        <v>1520</v>
      </c>
      <c r="H151" s="52">
        <f>SUM(G151/190)</f>
        <v>8</v>
      </c>
      <c r="I151" s="52">
        <f>SUM(H151/4)</f>
        <v>2</v>
      </c>
      <c r="J151" s="52"/>
      <c r="K151" s="53">
        <v>43632</v>
      </c>
      <c r="L151" s="54" t="s">
        <v>838</v>
      </c>
      <c r="M151" s="55">
        <v>43627</v>
      </c>
      <c r="N151" s="56" t="s">
        <v>769</v>
      </c>
      <c r="O151" s="55">
        <v>43632</v>
      </c>
      <c r="P151" s="58"/>
      <c r="Q151" s="52"/>
      <c r="R151" s="63" t="s">
        <v>928</v>
      </c>
      <c r="S151" s="47"/>
    </row>
    <row r="152" spans="1:19" s="30" customFormat="1" ht="33" customHeight="1">
      <c r="B152" s="46" t="s">
        <v>2514</v>
      </c>
      <c r="C152" s="35" t="s">
        <v>2515</v>
      </c>
      <c r="D152" s="36" t="s">
        <v>2480</v>
      </c>
      <c r="E152" s="37">
        <v>43602</v>
      </c>
      <c r="F152" s="38" t="s">
        <v>2516</v>
      </c>
      <c r="G152" s="39">
        <v>1520</v>
      </c>
      <c r="H152" s="38">
        <v>8</v>
      </c>
      <c r="I152" s="38">
        <v>2</v>
      </c>
      <c r="J152" s="38"/>
      <c r="K152" s="40">
        <v>43702</v>
      </c>
      <c r="L152" s="41" t="s">
        <v>2512</v>
      </c>
      <c r="M152" s="42">
        <v>43697</v>
      </c>
      <c r="N152" s="43" t="s">
        <v>2499</v>
      </c>
      <c r="O152" s="42">
        <v>43702</v>
      </c>
      <c r="P152" s="45"/>
      <c r="Q152" s="38"/>
      <c r="R152" s="66" t="s">
        <v>4435</v>
      </c>
      <c r="S152" s="46"/>
    </row>
    <row r="153" spans="1:19" s="30" customFormat="1" ht="33" customHeight="1">
      <c r="B153" s="46" t="s">
        <v>2514</v>
      </c>
      <c r="C153" s="35" t="s">
        <v>285</v>
      </c>
      <c r="D153" s="36" t="s">
        <v>4436</v>
      </c>
      <c r="E153" s="37">
        <v>43665</v>
      </c>
      <c r="F153" s="38" t="s">
        <v>2516</v>
      </c>
      <c r="G153" s="39">
        <v>1520</v>
      </c>
      <c r="H153" s="38">
        <v>8</v>
      </c>
      <c r="I153" s="38">
        <v>2</v>
      </c>
      <c r="J153" s="38"/>
      <c r="K153" s="40">
        <v>43758</v>
      </c>
      <c r="L153" s="41" t="s">
        <v>4483</v>
      </c>
      <c r="M153" s="42">
        <v>43753</v>
      </c>
      <c r="N153" s="43" t="s">
        <v>4471</v>
      </c>
      <c r="O153" s="42">
        <v>43758</v>
      </c>
      <c r="P153" s="45"/>
      <c r="Q153" s="38"/>
      <c r="R153" s="66" t="s">
        <v>4437</v>
      </c>
      <c r="S153" s="46"/>
    </row>
    <row r="154" spans="1:19" s="30" customFormat="1" ht="33" customHeight="1">
      <c r="B154" s="122" t="s">
        <v>2514</v>
      </c>
      <c r="C154" s="126" t="s">
        <v>331</v>
      </c>
      <c r="D154" s="127" t="s">
        <v>4864</v>
      </c>
      <c r="E154" s="128">
        <v>43689</v>
      </c>
      <c r="F154" s="124" t="s">
        <v>2516</v>
      </c>
      <c r="G154" s="129">
        <v>1520</v>
      </c>
      <c r="H154" s="124">
        <v>8</v>
      </c>
      <c r="I154" s="124">
        <v>2</v>
      </c>
      <c r="J154" s="124"/>
      <c r="K154" s="130">
        <v>43802</v>
      </c>
      <c r="L154" s="119" t="s">
        <v>5419</v>
      </c>
      <c r="M154" s="120">
        <v>43795</v>
      </c>
      <c r="N154" s="121" t="s">
        <v>5430</v>
      </c>
      <c r="O154" s="120">
        <v>43800</v>
      </c>
      <c r="P154" s="123" t="s">
        <v>5428</v>
      </c>
      <c r="Q154" s="124"/>
      <c r="R154" s="134" t="s">
        <v>5420</v>
      </c>
      <c r="S154" s="122"/>
    </row>
    <row r="155" spans="1:19" s="33" customFormat="1" ht="33" customHeight="1">
      <c r="B155" s="47" t="s">
        <v>238</v>
      </c>
      <c r="C155" s="48" t="s">
        <v>274</v>
      </c>
      <c r="D155" s="49" t="s">
        <v>474</v>
      </c>
      <c r="E155" s="50"/>
      <c r="F155" s="52" t="s">
        <v>236</v>
      </c>
      <c r="G155" s="51">
        <v>3200</v>
      </c>
      <c r="H155" s="52">
        <f t="shared" ref="H155:H166" si="15">SUM(G155/200)</f>
        <v>16</v>
      </c>
      <c r="I155" s="52">
        <f t="shared" ref="I155:I166" si="16">SUM(H155/4)</f>
        <v>4</v>
      </c>
      <c r="J155" s="52"/>
      <c r="K155" s="53">
        <v>43562</v>
      </c>
      <c r="L155" s="54" t="s">
        <v>406</v>
      </c>
      <c r="M155" s="55">
        <v>43557</v>
      </c>
      <c r="N155" s="56" t="s">
        <v>403</v>
      </c>
      <c r="O155" s="55">
        <v>43562</v>
      </c>
      <c r="P155" s="58"/>
      <c r="Q155" s="52"/>
      <c r="R155" s="63"/>
      <c r="S155" s="47"/>
    </row>
    <row r="156" spans="1:19" s="33" customFormat="1" ht="33" customHeight="1">
      <c r="B156" s="47" t="s">
        <v>238</v>
      </c>
      <c r="C156" s="48" t="s">
        <v>404</v>
      </c>
      <c r="D156" s="49" t="s">
        <v>475</v>
      </c>
      <c r="E156" s="50"/>
      <c r="F156" s="52" t="s">
        <v>236</v>
      </c>
      <c r="G156" s="51">
        <v>1600</v>
      </c>
      <c r="H156" s="52">
        <f t="shared" si="15"/>
        <v>8</v>
      </c>
      <c r="I156" s="52">
        <f t="shared" si="16"/>
        <v>2</v>
      </c>
      <c r="J156" s="52"/>
      <c r="K156" s="53">
        <v>43562</v>
      </c>
      <c r="L156" s="54" t="s">
        <v>407</v>
      </c>
      <c r="M156" s="55">
        <v>43564</v>
      </c>
      <c r="N156" s="56" t="s">
        <v>405</v>
      </c>
      <c r="O156" s="55">
        <v>43569</v>
      </c>
      <c r="P156" s="58"/>
      <c r="Q156" s="52"/>
      <c r="R156" s="63"/>
      <c r="S156" s="47"/>
    </row>
    <row r="157" spans="1:19" s="33" customFormat="1" ht="33" customHeight="1">
      <c r="B157" s="47" t="s">
        <v>238</v>
      </c>
      <c r="C157" s="48" t="s">
        <v>490</v>
      </c>
      <c r="D157" s="49" t="s">
        <v>488</v>
      </c>
      <c r="E157" s="50">
        <v>43495</v>
      </c>
      <c r="F157" s="52" t="s">
        <v>236</v>
      </c>
      <c r="G157" s="51">
        <v>1600</v>
      </c>
      <c r="H157" s="52">
        <f t="shared" si="15"/>
        <v>8</v>
      </c>
      <c r="I157" s="52">
        <f t="shared" si="16"/>
        <v>2</v>
      </c>
      <c r="J157" s="52"/>
      <c r="K157" s="53">
        <v>43583</v>
      </c>
      <c r="L157" s="54" t="s">
        <v>481</v>
      </c>
      <c r="M157" s="55">
        <v>43578</v>
      </c>
      <c r="N157" s="56" t="s">
        <v>447</v>
      </c>
      <c r="O157" s="55">
        <v>43583</v>
      </c>
      <c r="P157" s="58"/>
      <c r="Q157" s="52"/>
      <c r="R157" s="63"/>
      <c r="S157" s="47"/>
    </row>
    <row r="158" spans="1:19" s="33" customFormat="1" ht="33" customHeight="1">
      <c r="B158" s="47" t="s">
        <v>238</v>
      </c>
      <c r="C158" s="48" t="s">
        <v>597</v>
      </c>
      <c r="D158" s="49" t="s">
        <v>598</v>
      </c>
      <c r="E158" s="50">
        <v>43519</v>
      </c>
      <c r="F158" s="52" t="s">
        <v>236</v>
      </c>
      <c r="G158" s="51">
        <v>1600</v>
      </c>
      <c r="H158" s="52">
        <f t="shared" si="15"/>
        <v>8</v>
      </c>
      <c r="I158" s="52">
        <f t="shared" si="16"/>
        <v>2</v>
      </c>
      <c r="J158" s="52"/>
      <c r="K158" s="53">
        <v>43597</v>
      </c>
      <c r="L158" s="54" t="s">
        <v>606</v>
      </c>
      <c r="M158" s="55">
        <v>43592</v>
      </c>
      <c r="N158" s="56" t="s">
        <v>600</v>
      </c>
      <c r="O158" s="55">
        <v>43597</v>
      </c>
      <c r="P158" s="58"/>
      <c r="Q158" s="52"/>
      <c r="R158" s="63"/>
      <c r="S158" s="47"/>
    </row>
    <row r="159" spans="1:19" s="33" customFormat="1" ht="33" customHeight="1">
      <c r="B159" s="47" t="s">
        <v>238</v>
      </c>
      <c r="C159" s="48" t="s">
        <v>1085</v>
      </c>
      <c r="D159" s="49" t="s">
        <v>598</v>
      </c>
      <c r="E159" s="50">
        <v>43519</v>
      </c>
      <c r="F159" s="52" t="s">
        <v>236</v>
      </c>
      <c r="G159" s="51">
        <v>1600</v>
      </c>
      <c r="H159" s="52">
        <f t="shared" si="15"/>
        <v>8</v>
      </c>
      <c r="I159" s="52">
        <f t="shared" si="16"/>
        <v>2</v>
      </c>
      <c r="J159" s="52"/>
      <c r="K159" s="53">
        <v>43597</v>
      </c>
      <c r="L159" s="54" t="s">
        <v>1086</v>
      </c>
      <c r="M159" s="55">
        <v>43606</v>
      </c>
      <c r="N159" s="56" t="s">
        <v>599</v>
      </c>
      <c r="O159" s="55">
        <v>43613</v>
      </c>
      <c r="P159" s="58"/>
      <c r="Q159" s="52"/>
      <c r="R159" s="63"/>
      <c r="S159" s="47"/>
    </row>
    <row r="160" spans="1:19" s="33" customFormat="1" ht="33" customHeight="1">
      <c r="B160" s="47" t="s">
        <v>238</v>
      </c>
      <c r="C160" s="48" t="s">
        <v>226</v>
      </c>
      <c r="D160" s="49" t="s">
        <v>749</v>
      </c>
      <c r="E160" s="50">
        <v>43532</v>
      </c>
      <c r="F160" s="52" t="s">
        <v>236</v>
      </c>
      <c r="G160" s="51">
        <v>3200</v>
      </c>
      <c r="H160" s="52">
        <f t="shared" si="15"/>
        <v>16</v>
      </c>
      <c r="I160" s="52">
        <f t="shared" si="16"/>
        <v>4</v>
      </c>
      <c r="J160" s="52"/>
      <c r="K160" s="53">
        <v>43625</v>
      </c>
      <c r="L160" s="54" t="s">
        <v>2538</v>
      </c>
      <c r="M160" s="55">
        <v>43627</v>
      </c>
      <c r="N160" s="56" t="s">
        <v>808</v>
      </c>
      <c r="O160" s="55">
        <v>43632</v>
      </c>
      <c r="P160" s="58"/>
      <c r="Q160" s="52"/>
      <c r="R160" s="63"/>
      <c r="S160" s="47" t="s">
        <v>2539</v>
      </c>
    </row>
    <row r="161" spans="2:19" s="33" customFormat="1" ht="33" customHeight="1">
      <c r="B161" s="47" t="s">
        <v>238</v>
      </c>
      <c r="C161" s="48" t="s">
        <v>233</v>
      </c>
      <c r="D161" s="49" t="s">
        <v>750</v>
      </c>
      <c r="E161" s="50">
        <v>43532</v>
      </c>
      <c r="F161" s="52" t="s">
        <v>236</v>
      </c>
      <c r="G161" s="51">
        <v>3200</v>
      </c>
      <c r="H161" s="52">
        <f t="shared" si="15"/>
        <v>16</v>
      </c>
      <c r="I161" s="52">
        <f t="shared" si="16"/>
        <v>4</v>
      </c>
      <c r="J161" s="52"/>
      <c r="K161" s="53">
        <v>43646</v>
      </c>
      <c r="L161" s="54" t="s">
        <v>778</v>
      </c>
      <c r="M161" s="55">
        <v>43641</v>
      </c>
      <c r="N161" s="56" t="s">
        <v>776</v>
      </c>
      <c r="O161" s="55">
        <v>43646</v>
      </c>
      <c r="P161" s="58"/>
      <c r="Q161" s="52"/>
      <c r="R161" s="63"/>
      <c r="S161" s="47"/>
    </row>
    <row r="162" spans="2:19" s="33" customFormat="1" ht="33" customHeight="1">
      <c r="B162" s="47" t="s">
        <v>238</v>
      </c>
      <c r="C162" s="48" t="s">
        <v>285</v>
      </c>
      <c r="D162" s="49" t="s">
        <v>1305</v>
      </c>
      <c r="E162" s="50">
        <v>43567</v>
      </c>
      <c r="F162" s="52" t="s">
        <v>236</v>
      </c>
      <c r="G162" s="51">
        <v>3200</v>
      </c>
      <c r="H162" s="52">
        <f t="shared" si="15"/>
        <v>16</v>
      </c>
      <c r="I162" s="52">
        <f t="shared" si="16"/>
        <v>4</v>
      </c>
      <c r="J162" s="52"/>
      <c r="K162" s="53">
        <v>43660</v>
      </c>
      <c r="L162" s="54" t="s">
        <v>1327</v>
      </c>
      <c r="M162" s="55">
        <v>43655</v>
      </c>
      <c r="N162" s="56" t="s">
        <v>1315</v>
      </c>
      <c r="O162" s="55">
        <v>43660</v>
      </c>
      <c r="P162" s="58"/>
      <c r="Q162" s="52"/>
      <c r="R162" s="63"/>
      <c r="S162" s="47"/>
    </row>
    <row r="163" spans="2:19" s="33" customFormat="1" ht="33" customHeight="1">
      <c r="B163" s="47" t="s">
        <v>238</v>
      </c>
      <c r="C163" s="48" t="s">
        <v>331</v>
      </c>
      <c r="D163" s="49" t="s">
        <v>1306</v>
      </c>
      <c r="E163" s="50">
        <v>43567</v>
      </c>
      <c r="F163" s="52" t="s">
        <v>236</v>
      </c>
      <c r="G163" s="51">
        <v>3200</v>
      </c>
      <c r="H163" s="52">
        <f t="shared" si="15"/>
        <v>16</v>
      </c>
      <c r="I163" s="52">
        <f t="shared" si="16"/>
        <v>4</v>
      </c>
      <c r="J163" s="52"/>
      <c r="K163" s="53">
        <v>43674</v>
      </c>
      <c r="L163" s="54" t="s">
        <v>1324</v>
      </c>
      <c r="M163" s="55">
        <v>43669</v>
      </c>
      <c r="N163" s="56" t="s">
        <v>1313</v>
      </c>
      <c r="O163" s="55">
        <v>43674</v>
      </c>
      <c r="P163" s="58"/>
      <c r="Q163" s="52"/>
      <c r="R163" s="63"/>
      <c r="S163" s="47"/>
    </row>
    <row r="164" spans="2:19" s="30" customFormat="1" ht="33" customHeight="1">
      <c r="B164" s="46" t="s">
        <v>3578</v>
      </c>
      <c r="C164" s="35" t="s">
        <v>431</v>
      </c>
      <c r="D164" s="36" t="s">
        <v>3536</v>
      </c>
      <c r="E164" s="37">
        <v>43637</v>
      </c>
      <c r="F164" s="38" t="s">
        <v>236</v>
      </c>
      <c r="G164" s="39">
        <v>3200</v>
      </c>
      <c r="H164" s="38">
        <f t="shared" si="15"/>
        <v>16</v>
      </c>
      <c r="I164" s="38">
        <f t="shared" si="16"/>
        <v>4</v>
      </c>
      <c r="J164" s="38"/>
      <c r="K164" s="40">
        <v>43730</v>
      </c>
      <c r="L164" s="41" t="s">
        <v>3571</v>
      </c>
      <c r="M164" s="42">
        <v>43725</v>
      </c>
      <c r="N164" s="43" t="s">
        <v>2546</v>
      </c>
      <c r="O164" s="42">
        <v>43730</v>
      </c>
      <c r="P164" s="45"/>
      <c r="Q164" s="38"/>
      <c r="R164" s="66"/>
      <c r="S164" s="46"/>
    </row>
    <row r="165" spans="2:19" s="30" customFormat="1" ht="33" customHeight="1">
      <c r="B165" s="46" t="s">
        <v>3578</v>
      </c>
      <c r="C165" s="35" t="s">
        <v>523</v>
      </c>
      <c r="D165" s="36" t="s">
        <v>4452</v>
      </c>
      <c r="E165" s="37">
        <v>43665</v>
      </c>
      <c r="F165" s="38" t="s">
        <v>236</v>
      </c>
      <c r="G165" s="39">
        <v>3200</v>
      </c>
      <c r="H165" s="38">
        <f t="shared" si="15"/>
        <v>16</v>
      </c>
      <c r="I165" s="38">
        <f t="shared" si="16"/>
        <v>4</v>
      </c>
      <c r="J165" s="38"/>
      <c r="K165" s="40">
        <v>43751</v>
      </c>
      <c r="L165" s="41" t="s">
        <v>4482</v>
      </c>
      <c r="M165" s="42">
        <v>43746</v>
      </c>
      <c r="N165" s="43" t="s">
        <v>4469</v>
      </c>
      <c r="O165" s="42">
        <v>43751</v>
      </c>
      <c r="P165" s="45"/>
      <c r="Q165" s="38"/>
      <c r="R165" s="66"/>
      <c r="S165" s="46"/>
    </row>
    <row r="166" spans="2:19" s="30" customFormat="1" ht="33" customHeight="1">
      <c r="B166" s="46" t="s">
        <v>3578</v>
      </c>
      <c r="C166" s="35" t="s">
        <v>589</v>
      </c>
      <c r="D166" s="36" t="s">
        <v>4835</v>
      </c>
      <c r="E166" s="37">
        <v>43689</v>
      </c>
      <c r="F166" s="38" t="s">
        <v>236</v>
      </c>
      <c r="G166" s="39">
        <v>2400</v>
      </c>
      <c r="H166" s="38">
        <f t="shared" si="15"/>
        <v>12</v>
      </c>
      <c r="I166" s="38">
        <f t="shared" si="16"/>
        <v>3</v>
      </c>
      <c r="J166" s="38"/>
      <c r="K166" s="40">
        <v>43779</v>
      </c>
      <c r="L166" s="41" t="s">
        <v>5421</v>
      </c>
      <c r="M166" s="42">
        <v>43774</v>
      </c>
      <c r="N166" s="43" t="s">
        <v>4815</v>
      </c>
      <c r="O166" s="42">
        <v>43779</v>
      </c>
      <c r="P166" s="45"/>
      <c r="Q166" s="38"/>
      <c r="R166" s="66"/>
      <c r="S166" s="46"/>
    </row>
    <row r="167" spans="2:19" ht="22.2">
      <c r="F167" s="177"/>
      <c r="L167" s="176"/>
      <c r="M167" s="177"/>
      <c r="N167" s="177"/>
      <c r="O167"/>
      <c r="P167" s="13"/>
      <c r="R167" s="19"/>
      <c r="S167" s="28"/>
    </row>
    <row r="168" spans="2:19" ht="22.2">
      <c r="F168" s="177"/>
      <c r="L168" s="176"/>
      <c r="M168" s="177"/>
      <c r="N168" s="177"/>
      <c r="O168"/>
      <c r="P168" s="13"/>
      <c r="R168" s="19"/>
      <c r="S168" s="28"/>
    </row>
    <row r="169" spans="2:19" hidden="1">
      <c r="E169" s="175"/>
      <c r="L169" s="11"/>
      <c r="M169"/>
      <c r="N169"/>
      <c r="O169"/>
      <c r="P169" s="13"/>
      <c r="R169" s="19"/>
      <c r="S169" s="28"/>
    </row>
    <row r="170" spans="2:19" s="19" customFormat="1" hidden="1">
      <c r="B170"/>
      <c r="C170" s="15"/>
      <c r="D170" s="1"/>
      <c r="L170" s="178" t="s">
        <v>1825</v>
      </c>
      <c r="M170" s="178" t="s">
        <v>1826</v>
      </c>
      <c r="N170" s="178" t="s">
        <v>1827</v>
      </c>
      <c r="O170" s="178" t="s">
        <v>1828</v>
      </c>
      <c r="P170" s="179" t="s">
        <v>1829</v>
      </c>
      <c r="Q170" s="179" t="s">
        <v>1830</v>
      </c>
      <c r="R170" s="179" t="s">
        <v>1831</v>
      </c>
      <c r="S170" s="179"/>
    </row>
    <row r="171" spans="2:19" s="19" customFormat="1" hidden="1">
      <c r="B171"/>
      <c r="C171" s="15"/>
      <c r="D171" s="1"/>
      <c r="L171" s="180" t="s">
        <v>1832</v>
      </c>
      <c r="M171" s="181" t="s">
        <v>1833</v>
      </c>
      <c r="N171" s="181" t="s">
        <v>1834</v>
      </c>
      <c r="O171" s="182" t="s">
        <v>1835</v>
      </c>
      <c r="P171" s="183">
        <v>1000</v>
      </c>
      <c r="Q171" s="183">
        <v>4</v>
      </c>
      <c r="R171" s="184">
        <v>43598</v>
      </c>
      <c r="S171" s="181" t="s">
        <v>99</v>
      </c>
    </row>
    <row r="172" spans="2:19" s="19" customFormat="1" hidden="1">
      <c r="B172"/>
      <c r="C172" s="15"/>
      <c r="D172" s="1"/>
      <c r="L172" s="180" t="s">
        <v>1832</v>
      </c>
      <c r="M172" s="181" t="s">
        <v>1836</v>
      </c>
      <c r="N172" s="181" t="s">
        <v>1834</v>
      </c>
      <c r="O172" s="182" t="s">
        <v>1835</v>
      </c>
      <c r="P172" s="183">
        <v>6000</v>
      </c>
      <c r="Q172" s="183">
        <v>24</v>
      </c>
      <c r="R172" s="184">
        <v>43598</v>
      </c>
      <c r="S172" s="181" t="s">
        <v>99</v>
      </c>
    </row>
    <row r="173" spans="2:19" s="19" customFormat="1" hidden="1">
      <c r="B173"/>
      <c r="C173" s="15"/>
      <c r="D173" s="1"/>
      <c r="L173" s="180" t="s">
        <v>1832</v>
      </c>
      <c r="M173" s="181" t="s">
        <v>1837</v>
      </c>
      <c r="N173" s="181" t="s">
        <v>1834</v>
      </c>
      <c r="O173" s="182" t="s">
        <v>1835</v>
      </c>
      <c r="P173" s="183">
        <v>5000</v>
      </c>
      <c r="Q173" s="183">
        <v>20</v>
      </c>
      <c r="R173" s="185" t="s">
        <v>1838</v>
      </c>
      <c r="S173" s="180" t="s">
        <v>1839</v>
      </c>
    </row>
    <row r="174" spans="2:19" s="19" customFormat="1" hidden="1">
      <c r="B174"/>
      <c r="C174" s="15"/>
      <c r="D174" s="1"/>
      <c r="L174" s="180" t="s">
        <v>1832</v>
      </c>
      <c r="M174" s="181" t="s">
        <v>1840</v>
      </c>
      <c r="N174" s="181" t="s">
        <v>1834</v>
      </c>
      <c r="O174" s="182" t="s">
        <v>1835</v>
      </c>
      <c r="P174" s="183">
        <v>5000</v>
      </c>
      <c r="Q174" s="183">
        <v>20</v>
      </c>
      <c r="R174" s="184">
        <v>43605</v>
      </c>
      <c r="S174" s="181" t="s">
        <v>99</v>
      </c>
    </row>
    <row r="175" spans="2:19" s="19" customFormat="1" hidden="1">
      <c r="B175"/>
      <c r="C175" s="15"/>
      <c r="D175" s="1"/>
      <c r="L175" s="180" t="s">
        <v>1832</v>
      </c>
      <c r="M175" s="181" t="s">
        <v>1841</v>
      </c>
      <c r="N175" s="181" t="s">
        <v>1834</v>
      </c>
      <c r="O175" s="182" t="s">
        <v>1835</v>
      </c>
      <c r="P175" s="183">
        <v>7000</v>
      </c>
      <c r="Q175" s="183">
        <v>28</v>
      </c>
      <c r="R175" s="184">
        <v>43605</v>
      </c>
      <c r="S175" s="181" t="s">
        <v>99</v>
      </c>
    </row>
    <row r="176" spans="2:19" hidden="1">
      <c r="L176" s="180" t="s">
        <v>1842</v>
      </c>
      <c r="M176" s="181" t="s">
        <v>1843</v>
      </c>
      <c r="N176" s="181" t="s">
        <v>1844</v>
      </c>
      <c r="O176" s="182" t="s">
        <v>1835</v>
      </c>
      <c r="P176" s="183">
        <v>2000</v>
      </c>
      <c r="Q176" s="183">
        <v>8</v>
      </c>
      <c r="R176" s="184">
        <v>43598</v>
      </c>
      <c r="S176" s="181" t="s">
        <v>99</v>
      </c>
    </row>
    <row r="177" spans="12:19" hidden="1">
      <c r="L177" s="180" t="s">
        <v>1842</v>
      </c>
      <c r="M177" s="181" t="s">
        <v>1845</v>
      </c>
      <c r="N177" s="181" t="s">
        <v>1844</v>
      </c>
      <c r="O177" s="182" t="s">
        <v>1835</v>
      </c>
      <c r="P177" s="183">
        <v>2000</v>
      </c>
      <c r="Q177" s="183">
        <v>8</v>
      </c>
      <c r="R177" s="184">
        <v>43598</v>
      </c>
      <c r="S177" s="181" t="s">
        <v>99</v>
      </c>
    </row>
    <row r="178" spans="12:19" hidden="1">
      <c r="L178" s="180" t="s">
        <v>1842</v>
      </c>
      <c r="M178" s="181" t="s">
        <v>1846</v>
      </c>
      <c r="N178" s="181" t="s">
        <v>1844</v>
      </c>
      <c r="O178" s="182" t="s">
        <v>1835</v>
      </c>
      <c r="P178" s="183">
        <v>10000</v>
      </c>
      <c r="Q178" s="183">
        <v>40</v>
      </c>
      <c r="R178" s="184">
        <v>43598</v>
      </c>
      <c r="S178" s="181" t="s">
        <v>99</v>
      </c>
    </row>
    <row r="179" spans="12:19" hidden="1">
      <c r="L179" s="180" t="s">
        <v>1842</v>
      </c>
      <c r="M179" s="181" t="s">
        <v>1847</v>
      </c>
      <c r="N179" s="181" t="s">
        <v>1844</v>
      </c>
      <c r="O179" s="182" t="s">
        <v>1835</v>
      </c>
      <c r="P179" s="183">
        <v>8000</v>
      </c>
      <c r="Q179" s="183">
        <v>32</v>
      </c>
      <c r="R179" s="184">
        <v>43598</v>
      </c>
      <c r="S179" s="180"/>
    </row>
    <row r="180" spans="12:19" hidden="1">
      <c r="L180" s="180" t="s">
        <v>1842</v>
      </c>
      <c r="M180" s="181" t="s">
        <v>1848</v>
      </c>
      <c r="N180" s="181" t="s">
        <v>1844</v>
      </c>
      <c r="O180" s="182" t="s">
        <v>1835</v>
      </c>
      <c r="P180" s="183">
        <v>10000</v>
      </c>
      <c r="Q180" s="183">
        <v>40</v>
      </c>
      <c r="R180" s="185" t="s">
        <v>1849</v>
      </c>
      <c r="S180" s="180" t="s">
        <v>1839</v>
      </c>
    </row>
    <row r="181" spans="12:19" hidden="1">
      <c r="L181" s="182" t="s">
        <v>1850</v>
      </c>
      <c r="M181" s="181" t="s">
        <v>1851</v>
      </c>
      <c r="N181" s="181" t="s">
        <v>1834</v>
      </c>
      <c r="O181" s="182" t="s">
        <v>1852</v>
      </c>
      <c r="P181" s="183">
        <v>5000</v>
      </c>
      <c r="Q181" s="183">
        <v>20</v>
      </c>
      <c r="R181" s="184">
        <v>43605</v>
      </c>
      <c r="S181" s="181" t="s">
        <v>99</v>
      </c>
    </row>
    <row r="182" spans="12:19" hidden="1">
      <c r="L182" s="180" t="s">
        <v>5422</v>
      </c>
      <c r="M182" s="181" t="s">
        <v>1851</v>
      </c>
      <c r="N182" s="181" t="s">
        <v>1844</v>
      </c>
      <c r="O182" s="182" t="s">
        <v>1835</v>
      </c>
      <c r="P182" s="183">
        <v>2000</v>
      </c>
      <c r="Q182" s="183">
        <v>8</v>
      </c>
      <c r="R182" s="184">
        <v>43605</v>
      </c>
      <c r="S182" s="181" t="s">
        <v>99</v>
      </c>
    </row>
    <row r="183" spans="12:19" hidden="1">
      <c r="L183" s="182" t="s">
        <v>5423</v>
      </c>
      <c r="M183" s="181" t="s">
        <v>1855</v>
      </c>
      <c r="N183" s="181" t="s">
        <v>1834</v>
      </c>
      <c r="O183" s="182" t="s">
        <v>1852</v>
      </c>
      <c r="P183" s="183">
        <v>6000</v>
      </c>
      <c r="Q183" s="183">
        <v>24</v>
      </c>
      <c r="R183" s="184">
        <v>43605</v>
      </c>
      <c r="S183" s="181" t="s">
        <v>99</v>
      </c>
    </row>
    <row r="184" spans="12:19" hidden="1">
      <c r="L184" s="182" t="s">
        <v>5423</v>
      </c>
      <c r="M184" s="181" t="s">
        <v>1856</v>
      </c>
      <c r="N184" s="181" t="s">
        <v>1834</v>
      </c>
      <c r="O184" s="182" t="s">
        <v>1852</v>
      </c>
      <c r="P184" s="183">
        <v>6000</v>
      </c>
      <c r="Q184" s="183">
        <v>24</v>
      </c>
      <c r="R184" s="185">
        <v>43605</v>
      </c>
      <c r="S184" s="180"/>
    </row>
    <row r="185" spans="12:19" hidden="1">
      <c r="L185" s="182" t="s">
        <v>5423</v>
      </c>
      <c r="M185" s="181" t="s">
        <v>1857</v>
      </c>
      <c r="N185" s="181" t="s">
        <v>1834</v>
      </c>
      <c r="O185" s="182" t="s">
        <v>1852</v>
      </c>
      <c r="P185" s="183">
        <v>6000</v>
      </c>
      <c r="Q185" s="183">
        <v>24</v>
      </c>
      <c r="R185" s="184" t="s">
        <v>5424</v>
      </c>
      <c r="S185" s="181" t="s">
        <v>5425</v>
      </c>
    </row>
    <row r="188" spans="12:19" ht="16.2">
      <c r="L188" s="186"/>
    </row>
    <row r="189" spans="12:19" ht="16.2">
      <c r="L189" s="186"/>
    </row>
    <row r="190" spans="12:19" ht="16.2">
      <c r="L190" s="186"/>
    </row>
    <row r="191" spans="12:19">
      <c r="Q191" t="s">
        <v>5426</v>
      </c>
    </row>
  </sheetData>
  <autoFilter ref="B2:R168" xr:uid="{00000000-0009-0000-0000-00000A000000}">
    <sortState ref="B89:R144">
      <sortCondition descending="1" ref="L2:L148"/>
    </sortState>
  </autoFilter>
  <phoneticPr fontId="1"/>
  <pageMargins left="0.23622047244094491" right="0.23622047244094491" top="0.35433070866141736" bottom="0.35433070866141736" header="0.31496062992125984" footer="0.31496062992125984"/>
  <pageSetup paperSize="9" scale="44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73">
    <pageSetUpPr fitToPage="1"/>
  </sheetPr>
  <dimension ref="A1:S186"/>
  <sheetViews>
    <sheetView zoomScale="77" zoomScaleNormal="77" workbookViewId="0">
      <pane xSplit="1" ySplit="2" topLeftCell="B126" activePane="bottomRight" state="frozen"/>
      <selection pane="topRight" activeCell="B1" sqref="B1"/>
      <selection pane="bottomLeft" activeCell="A3" sqref="A3"/>
      <selection pane="bottomRight" activeCell="D139" sqref="D139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7.12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B2" s="194"/>
      <c r="C2" s="14" t="s">
        <v>5171</v>
      </c>
      <c r="D2" s="5" t="s">
        <v>0</v>
      </c>
      <c r="E2" s="6" t="s">
        <v>5170</v>
      </c>
      <c r="F2" s="6" t="s">
        <v>5169</v>
      </c>
      <c r="G2" s="10" t="s">
        <v>1</v>
      </c>
      <c r="H2" s="6" t="s">
        <v>15</v>
      </c>
      <c r="I2" s="6" t="s">
        <v>16</v>
      </c>
      <c r="J2" s="6" t="s">
        <v>5168</v>
      </c>
      <c r="K2" s="12" t="s">
        <v>5167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5166</v>
      </c>
      <c r="Q2" s="6" t="s">
        <v>5165</v>
      </c>
      <c r="R2" s="16" t="s">
        <v>6</v>
      </c>
      <c r="S2" s="16" t="s">
        <v>5164</v>
      </c>
    </row>
    <row r="3" spans="2:19" s="33" customFormat="1" ht="33" customHeight="1">
      <c r="B3" s="47" t="s">
        <v>220</v>
      </c>
      <c r="C3" s="48" t="s">
        <v>377</v>
      </c>
      <c r="D3" s="49" t="s">
        <v>378</v>
      </c>
      <c r="E3" s="50">
        <v>43455</v>
      </c>
      <c r="F3" s="49" t="s">
        <v>5131</v>
      </c>
      <c r="G3" s="51">
        <v>14000</v>
      </c>
      <c r="H3" s="52">
        <f t="shared" ref="H3:H48" si="0">SUM(G3/250)</f>
        <v>56</v>
      </c>
      <c r="I3" s="52">
        <f t="shared" ref="I3:I34" si="1">SUM(H3/4)</f>
        <v>14</v>
      </c>
      <c r="J3" s="49"/>
      <c r="K3" s="53">
        <v>43548</v>
      </c>
      <c r="L3" s="54" t="s">
        <v>5163</v>
      </c>
      <c r="M3" s="55">
        <v>43563</v>
      </c>
      <c r="N3" s="56" t="s">
        <v>5162</v>
      </c>
      <c r="O3" s="55">
        <v>43569</v>
      </c>
      <c r="P3" s="54" t="s">
        <v>5161</v>
      </c>
      <c r="Q3" s="49"/>
      <c r="R3" s="57" t="s">
        <v>5160</v>
      </c>
      <c r="S3" s="47"/>
    </row>
    <row r="4" spans="2:19" s="33" customFormat="1" ht="33" customHeight="1">
      <c r="B4" s="47" t="s">
        <v>220</v>
      </c>
      <c r="C4" s="48" t="s">
        <v>421</v>
      </c>
      <c r="D4" s="49" t="s">
        <v>453</v>
      </c>
      <c r="E4" s="50">
        <v>43483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43576</v>
      </c>
      <c r="L4" s="54" t="s">
        <v>5148</v>
      </c>
      <c r="M4" s="55">
        <v>43570</v>
      </c>
      <c r="N4" s="56" t="s">
        <v>5147</v>
      </c>
      <c r="O4" s="55">
        <v>43576</v>
      </c>
      <c r="P4" s="54" t="s">
        <v>5159</v>
      </c>
      <c r="Q4" s="49"/>
      <c r="R4" s="57" t="s">
        <v>5158</v>
      </c>
      <c r="S4" s="47"/>
    </row>
    <row r="5" spans="2:19" s="33" customFormat="1" ht="33" customHeight="1">
      <c r="B5" s="47" t="s">
        <v>78</v>
      </c>
      <c r="C5" s="48" t="s">
        <v>422</v>
      </c>
      <c r="D5" s="49" t="s">
        <v>455</v>
      </c>
      <c r="E5" s="50">
        <v>43483</v>
      </c>
      <c r="F5" s="49" t="s">
        <v>5131</v>
      </c>
      <c r="G5" s="51">
        <v>10000</v>
      </c>
      <c r="H5" s="52">
        <f t="shared" si="0"/>
        <v>40</v>
      </c>
      <c r="I5" s="52">
        <f t="shared" si="1"/>
        <v>10</v>
      </c>
      <c r="J5" s="49"/>
      <c r="K5" s="53">
        <v>43618</v>
      </c>
      <c r="L5" s="54" t="s">
        <v>5152</v>
      </c>
      <c r="M5" s="55">
        <v>43612</v>
      </c>
      <c r="N5" s="56" t="s">
        <v>5151</v>
      </c>
      <c r="O5" s="55">
        <v>43618</v>
      </c>
      <c r="P5" s="54" t="s">
        <v>5157</v>
      </c>
      <c r="Q5" s="49" t="s">
        <v>82</v>
      </c>
      <c r="R5" s="57" t="s">
        <v>5149</v>
      </c>
      <c r="S5" s="47"/>
    </row>
    <row r="6" spans="2:19" s="33" customFormat="1" ht="33" customHeight="1">
      <c r="B6" s="47" t="s">
        <v>78</v>
      </c>
      <c r="C6" s="48" t="s">
        <v>5156</v>
      </c>
      <c r="D6" s="49" t="s">
        <v>455</v>
      </c>
      <c r="E6" s="50">
        <v>43523</v>
      </c>
      <c r="F6" s="49" t="s">
        <v>5131</v>
      </c>
      <c r="G6" s="51">
        <v>10000</v>
      </c>
      <c r="H6" s="52">
        <f t="shared" si="0"/>
        <v>40</v>
      </c>
      <c r="I6" s="52">
        <f t="shared" si="1"/>
        <v>10</v>
      </c>
      <c r="J6" s="49"/>
      <c r="K6" s="53">
        <v>43618</v>
      </c>
      <c r="L6" s="54" t="s">
        <v>638</v>
      </c>
      <c r="M6" s="55">
        <v>43612</v>
      </c>
      <c r="N6" s="56" t="s">
        <v>636</v>
      </c>
      <c r="O6" s="55">
        <v>43618</v>
      </c>
      <c r="P6" s="54" t="s">
        <v>5155</v>
      </c>
      <c r="Q6" s="49" t="s">
        <v>82</v>
      </c>
      <c r="R6" s="57" t="s">
        <v>5154</v>
      </c>
      <c r="S6" s="47"/>
    </row>
    <row r="7" spans="2:19" s="33" customFormat="1" ht="33" customHeight="1">
      <c r="B7" s="47" t="s">
        <v>78</v>
      </c>
      <c r="C7" s="48" t="s">
        <v>5153</v>
      </c>
      <c r="D7" s="49" t="s">
        <v>1337</v>
      </c>
      <c r="E7" s="50">
        <v>43483</v>
      </c>
      <c r="F7" s="49" t="s">
        <v>5131</v>
      </c>
      <c r="G7" s="51">
        <v>20000</v>
      </c>
      <c r="H7" s="52">
        <f t="shared" si="0"/>
        <v>80</v>
      </c>
      <c r="I7" s="52">
        <f t="shared" si="1"/>
        <v>20</v>
      </c>
      <c r="J7" s="49"/>
      <c r="K7" s="53">
        <v>43618</v>
      </c>
      <c r="L7" s="54" t="s">
        <v>5152</v>
      </c>
      <c r="M7" s="55">
        <v>43612</v>
      </c>
      <c r="N7" s="56" t="s">
        <v>5151</v>
      </c>
      <c r="O7" s="55">
        <v>43618</v>
      </c>
      <c r="P7" s="54" t="s">
        <v>5150</v>
      </c>
      <c r="Q7" s="49" t="s">
        <v>82</v>
      </c>
      <c r="R7" s="57" t="s">
        <v>5149</v>
      </c>
      <c r="S7" s="47" t="s">
        <v>479</v>
      </c>
    </row>
    <row r="8" spans="2:19" s="33" customFormat="1" ht="33" customHeight="1">
      <c r="B8" s="47" t="s">
        <v>78</v>
      </c>
      <c r="C8" s="48" t="s">
        <v>423</v>
      </c>
      <c r="D8" s="49" t="s">
        <v>457</v>
      </c>
      <c r="E8" s="50">
        <v>43483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43576</v>
      </c>
      <c r="L8" s="54" t="s">
        <v>5148</v>
      </c>
      <c r="M8" s="55">
        <v>43570</v>
      </c>
      <c r="N8" s="56" t="s">
        <v>5147</v>
      </c>
      <c r="O8" s="55">
        <v>43576</v>
      </c>
      <c r="P8" s="54" t="s">
        <v>5146</v>
      </c>
      <c r="Q8" s="49" t="s">
        <v>82</v>
      </c>
      <c r="R8" s="57" t="s">
        <v>5145</v>
      </c>
      <c r="S8" s="47"/>
    </row>
    <row r="9" spans="2:19" s="33" customFormat="1" ht="33" customHeight="1">
      <c r="B9" s="47" t="s">
        <v>220</v>
      </c>
      <c r="C9" s="48" t="s">
        <v>425</v>
      </c>
      <c r="D9" s="49" t="s">
        <v>459</v>
      </c>
      <c r="E9" s="50">
        <v>43483</v>
      </c>
      <c r="F9" s="49" t="s">
        <v>79</v>
      </c>
      <c r="G9" s="51">
        <v>20000</v>
      </c>
      <c r="H9" s="52">
        <f t="shared" si="0"/>
        <v>80</v>
      </c>
      <c r="I9" s="52">
        <f t="shared" si="1"/>
        <v>20</v>
      </c>
      <c r="J9" s="49"/>
      <c r="K9" s="53">
        <v>43583</v>
      </c>
      <c r="L9" s="54" t="s">
        <v>5142</v>
      </c>
      <c r="M9" s="55">
        <v>43577</v>
      </c>
      <c r="N9" s="56" t="s">
        <v>5139</v>
      </c>
      <c r="O9" s="55">
        <v>43583</v>
      </c>
      <c r="P9" s="54" t="s">
        <v>5144</v>
      </c>
      <c r="Q9" s="49"/>
      <c r="R9" s="57" t="s">
        <v>5143</v>
      </c>
      <c r="S9" s="47"/>
    </row>
    <row r="10" spans="2:19" s="33" customFormat="1" ht="33" customHeight="1">
      <c r="B10" s="47" t="s">
        <v>78</v>
      </c>
      <c r="C10" s="48" t="s">
        <v>462</v>
      </c>
      <c r="D10" s="49" t="s">
        <v>483</v>
      </c>
      <c r="E10" s="50">
        <v>43490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43583</v>
      </c>
      <c r="L10" s="54" t="s">
        <v>5142</v>
      </c>
      <c r="M10" s="55">
        <v>43577</v>
      </c>
      <c r="N10" s="56" t="s">
        <v>5139</v>
      </c>
      <c r="O10" s="55">
        <v>43583</v>
      </c>
      <c r="P10" s="54" t="s">
        <v>5141</v>
      </c>
      <c r="Q10" s="49" t="s">
        <v>82</v>
      </c>
      <c r="R10" s="57" t="s">
        <v>5140</v>
      </c>
      <c r="S10" s="47"/>
    </row>
    <row r="11" spans="2:19" s="33" customFormat="1" ht="33" customHeight="1">
      <c r="B11" s="47" t="s">
        <v>78</v>
      </c>
      <c r="C11" s="48" t="s">
        <v>570</v>
      </c>
      <c r="D11" s="49" t="s">
        <v>571</v>
      </c>
      <c r="E11" s="50">
        <v>43519</v>
      </c>
      <c r="F11" s="49" t="s">
        <v>79</v>
      </c>
      <c r="G11" s="51">
        <v>20000</v>
      </c>
      <c r="H11" s="52">
        <f t="shared" si="0"/>
        <v>80</v>
      </c>
      <c r="I11" s="52">
        <f t="shared" si="1"/>
        <v>20</v>
      </c>
      <c r="J11" s="49"/>
      <c r="K11" s="53">
        <v>43590</v>
      </c>
      <c r="L11" s="54" t="s">
        <v>602</v>
      </c>
      <c r="M11" s="55">
        <v>43577</v>
      </c>
      <c r="N11" s="56" t="s">
        <v>5139</v>
      </c>
      <c r="O11" s="55">
        <v>43583</v>
      </c>
      <c r="P11" s="54" t="s">
        <v>5138</v>
      </c>
      <c r="Q11" s="49" t="s">
        <v>82</v>
      </c>
      <c r="R11" s="57" t="s">
        <v>5137</v>
      </c>
      <c r="S11" s="47"/>
    </row>
    <row r="12" spans="2:19" s="33" customFormat="1" ht="33" customHeight="1">
      <c r="B12" s="47" t="s">
        <v>78</v>
      </c>
      <c r="C12" s="48" t="s">
        <v>573</v>
      </c>
      <c r="D12" s="49" t="s">
        <v>574</v>
      </c>
      <c r="E12" s="50">
        <v>43519</v>
      </c>
      <c r="F12" s="49" t="s">
        <v>79</v>
      </c>
      <c r="G12" s="51">
        <v>20000</v>
      </c>
      <c r="H12" s="52">
        <f t="shared" si="0"/>
        <v>80</v>
      </c>
      <c r="I12" s="52">
        <f t="shared" si="1"/>
        <v>20</v>
      </c>
      <c r="J12" s="49"/>
      <c r="K12" s="53">
        <v>43604</v>
      </c>
      <c r="L12" s="54" t="s">
        <v>5136</v>
      </c>
      <c r="M12" s="55">
        <v>43598</v>
      </c>
      <c r="N12" s="56" t="s">
        <v>5135</v>
      </c>
      <c r="O12" s="55">
        <v>43604</v>
      </c>
      <c r="P12" s="54" t="s">
        <v>5134</v>
      </c>
      <c r="Q12" s="49" t="s">
        <v>82</v>
      </c>
      <c r="R12" s="57" t="s">
        <v>5133</v>
      </c>
      <c r="S12" s="47"/>
    </row>
    <row r="13" spans="2:19" s="33" customFormat="1" ht="33" customHeight="1">
      <c r="B13" s="47" t="s">
        <v>78</v>
      </c>
      <c r="C13" s="48" t="s">
        <v>5132</v>
      </c>
      <c r="D13" s="49" t="s">
        <v>577</v>
      </c>
      <c r="E13" s="50">
        <v>43519</v>
      </c>
      <c r="F13" s="49" t="s">
        <v>5131</v>
      </c>
      <c r="G13" s="51">
        <v>10000</v>
      </c>
      <c r="H13" s="52">
        <f t="shared" si="0"/>
        <v>40</v>
      </c>
      <c r="I13" s="52">
        <f t="shared" si="1"/>
        <v>10</v>
      </c>
      <c r="J13" s="49"/>
      <c r="K13" s="53">
        <v>43598</v>
      </c>
      <c r="L13" s="54" t="s">
        <v>803</v>
      </c>
      <c r="M13" s="55">
        <v>43598</v>
      </c>
      <c r="N13" s="56" t="s">
        <v>804</v>
      </c>
      <c r="O13" s="55">
        <v>43604</v>
      </c>
      <c r="P13" s="54" t="s">
        <v>5130</v>
      </c>
      <c r="Q13" s="49" t="s">
        <v>82</v>
      </c>
      <c r="R13" s="57" t="s">
        <v>5129</v>
      </c>
      <c r="S13" s="47"/>
    </row>
    <row r="14" spans="2:19" s="33" customFormat="1" ht="33" customHeight="1">
      <c r="B14" s="47" t="s">
        <v>220</v>
      </c>
      <c r="C14" s="48" t="s">
        <v>579</v>
      </c>
      <c r="D14" s="49" t="s">
        <v>580</v>
      </c>
      <c r="E14" s="50">
        <v>43519</v>
      </c>
      <c r="F14" s="49" t="s">
        <v>79</v>
      </c>
      <c r="G14" s="51">
        <v>10000</v>
      </c>
      <c r="H14" s="52">
        <f t="shared" si="0"/>
        <v>40</v>
      </c>
      <c r="I14" s="52">
        <f t="shared" si="1"/>
        <v>10</v>
      </c>
      <c r="J14" s="49"/>
      <c r="K14" s="53">
        <v>43598</v>
      </c>
      <c r="L14" s="54" t="s">
        <v>803</v>
      </c>
      <c r="M14" s="55">
        <v>43598</v>
      </c>
      <c r="N14" s="56" t="s">
        <v>804</v>
      </c>
      <c r="O14" s="55">
        <v>43604</v>
      </c>
      <c r="P14" s="54" t="s">
        <v>5128</v>
      </c>
      <c r="Q14" s="49"/>
      <c r="R14" s="57" t="s">
        <v>5127</v>
      </c>
      <c r="S14" s="47"/>
    </row>
    <row r="15" spans="2:19" s="33" customFormat="1" ht="33" customHeight="1">
      <c r="B15" s="47" t="s">
        <v>78</v>
      </c>
      <c r="C15" s="48" t="s">
        <v>576</v>
      </c>
      <c r="D15" s="49" t="s">
        <v>577</v>
      </c>
      <c r="E15" s="50">
        <v>43519</v>
      </c>
      <c r="F15" s="49" t="s">
        <v>79</v>
      </c>
      <c r="G15" s="51">
        <v>20000</v>
      </c>
      <c r="H15" s="52">
        <f t="shared" si="0"/>
        <v>80</v>
      </c>
      <c r="I15" s="52">
        <f t="shared" si="1"/>
        <v>20</v>
      </c>
      <c r="J15" s="49"/>
      <c r="K15" s="53">
        <v>43611</v>
      </c>
      <c r="L15" s="54" t="s">
        <v>5126</v>
      </c>
      <c r="M15" s="55">
        <v>43605</v>
      </c>
      <c r="N15" s="56" t="s">
        <v>5125</v>
      </c>
      <c r="O15" s="55">
        <v>43611</v>
      </c>
      <c r="P15" s="54" t="s">
        <v>5124</v>
      </c>
      <c r="Q15" s="49" t="s">
        <v>82</v>
      </c>
      <c r="R15" s="57" t="s">
        <v>5123</v>
      </c>
      <c r="S15" s="47"/>
    </row>
    <row r="16" spans="2:19" s="33" customFormat="1" ht="33" customHeight="1">
      <c r="B16" s="47" t="s">
        <v>78</v>
      </c>
      <c r="C16" s="48" t="s">
        <v>685</v>
      </c>
      <c r="D16" s="49" t="s">
        <v>686</v>
      </c>
      <c r="E16" s="50">
        <v>43532</v>
      </c>
      <c r="F16" s="49" t="s">
        <v>79</v>
      </c>
      <c r="G16" s="51">
        <v>20000</v>
      </c>
      <c r="H16" s="52">
        <f t="shared" si="0"/>
        <v>80</v>
      </c>
      <c r="I16" s="52">
        <f t="shared" si="1"/>
        <v>20</v>
      </c>
      <c r="J16" s="49"/>
      <c r="K16" s="53">
        <v>43625</v>
      </c>
      <c r="L16" s="54" t="s">
        <v>5121</v>
      </c>
      <c r="M16" s="55">
        <v>43619</v>
      </c>
      <c r="N16" s="56" t="s">
        <v>5120</v>
      </c>
      <c r="O16" s="55">
        <v>43625</v>
      </c>
      <c r="P16" s="54"/>
      <c r="Q16" s="49" t="s">
        <v>82</v>
      </c>
      <c r="R16" s="57" t="s">
        <v>5119</v>
      </c>
      <c r="S16" s="47"/>
    </row>
    <row r="17" spans="2:19" s="33" customFormat="1" ht="33" customHeight="1">
      <c r="B17" s="47" t="s">
        <v>78</v>
      </c>
      <c r="C17" s="48" t="s">
        <v>5122</v>
      </c>
      <c r="D17" s="49" t="s">
        <v>1366</v>
      </c>
      <c r="E17" s="50">
        <v>43532</v>
      </c>
      <c r="F17" s="49" t="s">
        <v>79</v>
      </c>
      <c r="G17" s="51">
        <v>20000</v>
      </c>
      <c r="H17" s="52">
        <f t="shared" si="0"/>
        <v>80</v>
      </c>
      <c r="I17" s="52">
        <f t="shared" si="1"/>
        <v>20</v>
      </c>
      <c r="J17" s="49"/>
      <c r="K17" s="53">
        <v>43625</v>
      </c>
      <c r="L17" s="54" t="s">
        <v>5121</v>
      </c>
      <c r="M17" s="55">
        <v>43619</v>
      </c>
      <c r="N17" s="56" t="s">
        <v>5120</v>
      </c>
      <c r="O17" s="55">
        <v>43625</v>
      </c>
      <c r="P17" s="54"/>
      <c r="Q17" s="49" t="s">
        <v>82</v>
      </c>
      <c r="R17" s="57" t="s">
        <v>5119</v>
      </c>
      <c r="S17" s="47" t="s">
        <v>479</v>
      </c>
    </row>
    <row r="18" spans="2:19" s="33" customFormat="1" ht="33" customHeight="1">
      <c r="B18" s="47" t="s">
        <v>220</v>
      </c>
      <c r="C18" s="48" t="s">
        <v>688</v>
      </c>
      <c r="D18" s="49" t="s">
        <v>689</v>
      </c>
      <c r="E18" s="50">
        <v>43532</v>
      </c>
      <c r="F18" s="49" t="s">
        <v>79</v>
      </c>
      <c r="G18" s="51">
        <v>20000</v>
      </c>
      <c r="H18" s="52">
        <f t="shared" si="0"/>
        <v>80</v>
      </c>
      <c r="I18" s="52">
        <f t="shared" si="1"/>
        <v>20</v>
      </c>
      <c r="J18" s="49"/>
      <c r="K18" s="53">
        <v>43632</v>
      </c>
      <c r="L18" s="54" t="s">
        <v>5118</v>
      </c>
      <c r="M18" s="55">
        <v>43626</v>
      </c>
      <c r="N18" s="56" t="s">
        <v>5117</v>
      </c>
      <c r="O18" s="55">
        <v>43632</v>
      </c>
      <c r="P18" s="54" t="s">
        <v>5116</v>
      </c>
      <c r="Q18" s="49"/>
      <c r="R18" s="57" t="s">
        <v>5115</v>
      </c>
      <c r="S18" s="47"/>
    </row>
    <row r="19" spans="2:19" s="33" customFormat="1" ht="33" customHeight="1">
      <c r="B19" s="47" t="s">
        <v>78</v>
      </c>
      <c r="C19" s="48" t="s">
        <v>691</v>
      </c>
      <c r="D19" s="49" t="s">
        <v>692</v>
      </c>
      <c r="E19" s="50">
        <v>43532</v>
      </c>
      <c r="F19" s="49" t="s">
        <v>79</v>
      </c>
      <c r="G19" s="51">
        <v>20000</v>
      </c>
      <c r="H19" s="52">
        <f t="shared" si="0"/>
        <v>80</v>
      </c>
      <c r="I19" s="52">
        <f t="shared" si="1"/>
        <v>20</v>
      </c>
      <c r="J19" s="49"/>
      <c r="K19" s="53">
        <v>43639</v>
      </c>
      <c r="L19" s="54" t="s">
        <v>5114</v>
      </c>
      <c r="M19" s="55">
        <v>43633</v>
      </c>
      <c r="N19" s="56" t="s">
        <v>5113</v>
      </c>
      <c r="O19" s="55">
        <v>43639</v>
      </c>
      <c r="P19" s="54"/>
      <c r="Q19" s="49" t="s">
        <v>82</v>
      </c>
      <c r="R19" s="57" t="s">
        <v>5112</v>
      </c>
      <c r="S19" s="47"/>
    </row>
    <row r="20" spans="2:19" s="33" customFormat="1" ht="33" customHeight="1">
      <c r="B20" s="47" t="s">
        <v>78</v>
      </c>
      <c r="C20" s="48" t="s">
        <v>5111</v>
      </c>
      <c r="D20" s="49" t="s">
        <v>5108</v>
      </c>
      <c r="E20" s="50">
        <v>43566</v>
      </c>
      <c r="F20" s="49" t="s">
        <v>79</v>
      </c>
      <c r="G20" s="51">
        <v>6000</v>
      </c>
      <c r="H20" s="52">
        <f t="shared" si="0"/>
        <v>24</v>
      </c>
      <c r="I20" s="52">
        <f t="shared" si="1"/>
        <v>6</v>
      </c>
      <c r="J20" s="49"/>
      <c r="K20" s="53">
        <v>43611</v>
      </c>
      <c r="L20" s="54" t="s">
        <v>603</v>
      </c>
      <c r="M20" s="55">
        <v>43605</v>
      </c>
      <c r="N20" s="56" t="s">
        <v>1080</v>
      </c>
      <c r="O20" s="55">
        <v>43611</v>
      </c>
      <c r="P20" s="54" t="s">
        <v>5110</v>
      </c>
      <c r="Q20" s="49" t="s">
        <v>82</v>
      </c>
      <c r="R20" s="57" t="s">
        <v>5106</v>
      </c>
      <c r="S20" s="47"/>
    </row>
    <row r="21" spans="2:19" s="33" customFormat="1" ht="33" customHeight="1">
      <c r="B21" s="47" t="s">
        <v>5109</v>
      </c>
      <c r="C21" s="48" t="s">
        <v>986</v>
      </c>
      <c r="D21" s="49" t="s">
        <v>5108</v>
      </c>
      <c r="E21" s="50">
        <v>43566</v>
      </c>
      <c r="F21" s="49" t="s">
        <v>79</v>
      </c>
      <c r="G21" s="51">
        <v>14000</v>
      </c>
      <c r="H21" s="52">
        <f t="shared" si="0"/>
        <v>56</v>
      </c>
      <c r="I21" s="52">
        <f t="shared" si="1"/>
        <v>14</v>
      </c>
      <c r="J21" s="49"/>
      <c r="K21" s="53">
        <v>43611</v>
      </c>
      <c r="L21" s="54" t="s">
        <v>603</v>
      </c>
      <c r="M21" s="55">
        <v>43605</v>
      </c>
      <c r="N21" s="56" t="s">
        <v>1080</v>
      </c>
      <c r="O21" s="55">
        <v>43611</v>
      </c>
      <c r="P21" s="54" t="s">
        <v>5107</v>
      </c>
      <c r="Q21" s="49"/>
      <c r="R21" s="57" t="s">
        <v>5106</v>
      </c>
      <c r="S21" s="47"/>
    </row>
    <row r="22" spans="2:19" s="33" customFormat="1" ht="33" customHeight="1">
      <c r="B22" s="47" t="s">
        <v>78</v>
      </c>
      <c r="C22" s="48" t="s">
        <v>988</v>
      </c>
      <c r="D22" s="49" t="s">
        <v>5105</v>
      </c>
      <c r="E22" s="50">
        <v>43566</v>
      </c>
      <c r="F22" s="49" t="s">
        <v>79</v>
      </c>
      <c r="G22" s="51">
        <v>20000</v>
      </c>
      <c r="H22" s="52">
        <f t="shared" si="0"/>
        <v>80</v>
      </c>
      <c r="I22" s="52">
        <f t="shared" si="1"/>
        <v>20</v>
      </c>
      <c r="J22" s="49"/>
      <c r="K22" s="53">
        <v>43632</v>
      </c>
      <c r="L22" s="54" t="s">
        <v>1081</v>
      </c>
      <c r="M22" s="55">
        <v>43626</v>
      </c>
      <c r="N22" s="56" t="s">
        <v>1082</v>
      </c>
      <c r="O22" s="55">
        <v>43632</v>
      </c>
      <c r="P22" s="54"/>
      <c r="Q22" s="49" t="s">
        <v>82</v>
      </c>
      <c r="R22" s="57" t="s">
        <v>5104</v>
      </c>
      <c r="S22" s="47"/>
    </row>
    <row r="23" spans="2:19" s="33" customFormat="1" ht="33" customHeight="1">
      <c r="B23" s="47" t="s">
        <v>78</v>
      </c>
      <c r="C23" s="48" t="s">
        <v>1160</v>
      </c>
      <c r="D23" s="49" t="s">
        <v>1161</v>
      </c>
      <c r="E23" s="50">
        <v>43567</v>
      </c>
      <c r="F23" s="49" t="s">
        <v>5103</v>
      </c>
      <c r="G23" s="51">
        <v>40000</v>
      </c>
      <c r="H23" s="52">
        <f t="shared" si="0"/>
        <v>160</v>
      </c>
      <c r="I23" s="52">
        <f t="shared" si="1"/>
        <v>40</v>
      </c>
      <c r="J23" s="49"/>
      <c r="K23" s="53">
        <v>43646</v>
      </c>
      <c r="L23" s="54" t="s">
        <v>5101</v>
      </c>
      <c r="M23" s="55">
        <v>43640</v>
      </c>
      <c r="N23" s="56" t="s">
        <v>5100</v>
      </c>
      <c r="O23" s="55">
        <v>43646</v>
      </c>
      <c r="P23" s="54"/>
      <c r="Q23" s="49" t="s">
        <v>82</v>
      </c>
      <c r="R23" s="57" t="s">
        <v>5102</v>
      </c>
      <c r="S23" s="47" t="s">
        <v>2140</v>
      </c>
    </row>
    <row r="24" spans="2:19" s="33" customFormat="1" ht="33" customHeight="1">
      <c r="B24" s="47" t="s">
        <v>220</v>
      </c>
      <c r="C24" s="48" t="s">
        <v>1163</v>
      </c>
      <c r="D24" s="49" t="s">
        <v>1164</v>
      </c>
      <c r="E24" s="50">
        <v>43567</v>
      </c>
      <c r="F24" s="49" t="s">
        <v>79</v>
      </c>
      <c r="G24" s="51">
        <v>20000</v>
      </c>
      <c r="H24" s="52">
        <f t="shared" si="0"/>
        <v>80</v>
      </c>
      <c r="I24" s="52">
        <f t="shared" si="1"/>
        <v>20</v>
      </c>
      <c r="J24" s="49"/>
      <c r="K24" s="53">
        <v>43646</v>
      </c>
      <c r="L24" s="54" t="s">
        <v>5101</v>
      </c>
      <c r="M24" s="55">
        <v>43640</v>
      </c>
      <c r="N24" s="56" t="s">
        <v>5100</v>
      </c>
      <c r="O24" s="55">
        <v>43646</v>
      </c>
      <c r="P24" s="54"/>
      <c r="Q24" s="49"/>
      <c r="R24" s="57" t="s">
        <v>5099</v>
      </c>
      <c r="S24" s="47" t="s">
        <v>2140</v>
      </c>
    </row>
    <row r="25" spans="2:19" s="33" customFormat="1" ht="33" customHeight="1">
      <c r="B25" s="47" t="s">
        <v>78</v>
      </c>
      <c r="C25" s="48" t="s">
        <v>1166</v>
      </c>
      <c r="D25" s="49" t="s">
        <v>1167</v>
      </c>
      <c r="E25" s="50">
        <v>43567</v>
      </c>
      <c r="F25" s="49" t="s">
        <v>79</v>
      </c>
      <c r="G25" s="51">
        <v>20000</v>
      </c>
      <c r="H25" s="52">
        <f t="shared" si="0"/>
        <v>80</v>
      </c>
      <c r="I25" s="52">
        <f t="shared" si="1"/>
        <v>20</v>
      </c>
      <c r="J25" s="49"/>
      <c r="K25" s="53">
        <v>43653</v>
      </c>
      <c r="L25" s="54" t="s">
        <v>5098</v>
      </c>
      <c r="M25" s="55">
        <v>43647</v>
      </c>
      <c r="N25" s="56" t="s">
        <v>5097</v>
      </c>
      <c r="O25" s="55">
        <v>43653</v>
      </c>
      <c r="P25" s="54"/>
      <c r="Q25" s="49" t="s">
        <v>82</v>
      </c>
      <c r="R25" s="57" t="s">
        <v>5096</v>
      </c>
      <c r="S25" s="47" t="s">
        <v>2140</v>
      </c>
    </row>
    <row r="26" spans="2:19" s="33" customFormat="1" ht="33" customHeight="1">
      <c r="B26" s="47" t="s">
        <v>78</v>
      </c>
      <c r="C26" s="48" t="s">
        <v>1169</v>
      </c>
      <c r="D26" s="49" t="s">
        <v>1170</v>
      </c>
      <c r="E26" s="50">
        <v>43567</v>
      </c>
      <c r="F26" s="49" t="s">
        <v>79</v>
      </c>
      <c r="G26" s="51">
        <v>20000</v>
      </c>
      <c r="H26" s="52">
        <f t="shared" si="0"/>
        <v>80</v>
      </c>
      <c r="I26" s="52">
        <f t="shared" si="1"/>
        <v>20</v>
      </c>
      <c r="J26" s="49"/>
      <c r="K26" s="53">
        <v>43660</v>
      </c>
      <c r="L26" s="54" t="s">
        <v>5095</v>
      </c>
      <c r="M26" s="55">
        <v>43654</v>
      </c>
      <c r="N26" s="56" t="s">
        <v>5094</v>
      </c>
      <c r="O26" s="55">
        <v>43660</v>
      </c>
      <c r="P26" s="54"/>
      <c r="Q26" s="49" t="s">
        <v>82</v>
      </c>
      <c r="R26" s="57" t="s">
        <v>5093</v>
      </c>
      <c r="S26" s="47" t="s">
        <v>2140</v>
      </c>
    </row>
    <row r="27" spans="2:19" s="33" customFormat="1" ht="33" customHeight="1">
      <c r="B27" s="47" t="s">
        <v>78</v>
      </c>
      <c r="C27" s="48" t="s">
        <v>1172</v>
      </c>
      <c r="D27" s="49" t="s">
        <v>1173</v>
      </c>
      <c r="E27" s="50">
        <v>43567</v>
      </c>
      <c r="F27" s="49" t="s">
        <v>79</v>
      </c>
      <c r="G27" s="51">
        <v>20000</v>
      </c>
      <c r="H27" s="52">
        <f t="shared" si="0"/>
        <v>80</v>
      </c>
      <c r="I27" s="52">
        <f t="shared" si="1"/>
        <v>20</v>
      </c>
      <c r="J27" s="49"/>
      <c r="K27" s="53">
        <v>43667</v>
      </c>
      <c r="L27" s="54" t="s">
        <v>5092</v>
      </c>
      <c r="M27" s="55">
        <v>43658</v>
      </c>
      <c r="N27" s="56" t="s">
        <v>5091</v>
      </c>
      <c r="O27" s="55">
        <v>43667</v>
      </c>
      <c r="P27" s="54"/>
      <c r="Q27" s="49" t="s">
        <v>82</v>
      </c>
      <c r="R27" s="57" t="s">
        <v>5090</v>
      </c>
      <c r="S27" s="47" t="s">
        <v>2140</v>
      </c>
    </row>
    <row r="28" spans="2:19" s="33" customFormat="1" ht="33" customHeight="1">
      <c r="B28" s="47" t="s">
        <v>220</v>
      </c>
      <c r="C28" s="48" t="s">
        <v>1175</v>
      </c>
      <c r="D28" s="49" t="s">
        <v>1176</v>
      </c>
      <c r="E28" s="50">
        <v>43567</v>
      </c>
      <c r="F28" s="49" t="s">
        <v>79</v>
      </c>
      <c r="G28" s="51">
        <v>20000</v>
      </c>
      <c r="H28" s="52">
        <f t="shared" si="0"/>
        <v>80</v>
      </c>
      <c r="I28" s="52">
        <f t="shared" si="1"/>
        <v>20</v>
      </c>
      <c r="J28" s="49"/>
      <c r="K28" s="53">
        <v>43667</v>
      </c>
      <c r="L28" s="54" t="s">
        <v>5089</v>
      </c>
      <c r="M28" s="55">
        <v>43675</v>
      </c>
      <c r="N28" s="56" t="s">
        <v>5088</v>
      </c>
      <c r="O28" s="55">
        <v>43681</v>
      </c>
      <c r="P28" s="54"/>
      <c r="Q28" s="49"/>
      <c r="R28" s="57" t="s">
        <v>5087</v>
      </c>
      <c r="S28" s="47" t="s">
        <v>2539</v>
      </c>
    </row>
    <row r="29" spans="2:19" s="33" customFormat="1" ht="33" customHeight="1">
      <c r="B29" s="47" t="s">
        <v>78</v>
      </c>
      <c r="C29" s="48" t="s">
        <v>1178</v>
      </c>
      <c r="D29" s="49" t="s">
        <v>1179</v>
      </c>
      <c r="E29" s="50">
        <v>43567</v>
      </c>
      <c r="F29" s="49" t="s">
        <v>5085</v>
      </c>
      <c r="G29" s="51">
        <v>10000</v>
      </c>
      <c r="H29" s="52">
        <f t="shared" si="0"/>
        <v>40</v>
      </c>
      <c r="I29" s="52">
        <f t="shared" si="1"/>
        <v>10</v>
      </c>
      <c r="J29" s="49"/>
      <c r="K29" s="53">
        <v>43674</v>
      </c>
      <c r="L29" s="54" t="s">
        <v>5082</v>
      </c>
      <c r="M29" s="55">
        <v>43682</v>
      </c>
      <c r="N29" s="56" t="s">
        <v>5081</v>
      </c>
      <c r="O29" s="55">
        <v>43688</v>
      </c>
      <c r="P29" s="54"/>
      <c r="Q29" s="49" t="s">
        <v>82</v>
      </c>
      <c r="R29" s="57" t="s">
        <v>5086</v>
      </c>
      <c r="S29" s="47" t="s">
        <v>2539</v>
      </c>
    </row>
    <row r="30" spans="2:19" s="33" customFormat="1" ht="33" customHeight="1">
      <c r="B30" s="47" t="s">
        <v>220</v>
      </c>
      <c r="C30" s="48" t="s">
        <v>1181</v>
      </c>
      <c r="D30" s="49" t="s">
        <v>1182</v>
      </c>
      <c r="E30" s="50">
        <v>43567</v>
      </c>
      <c r="F30" s="49" t="s">
        <v>5085</v>
      </c>
      <c r="G30" s="51">
        <v>10000</v>
      </c>
      <c r="H30" s="52">
        <f t="shared" si="0"/>
        <v>40</v>
      </c>
      <c r="I30" s="52">
        <f t="shared" si="1"/>
        <v>10</v>
      </c>
      <c r="J30" s="49"/>
      <c r="K30" s="53">
        <v>43674</v>
      </c>
      <c r="L30" s="54" t="s">
        <v>5082</v>
      </c>
      <c r="M30" s="55">
        <v>43682</v>
      </c>
      <c r="N30" s="56" t="s">
        <v>5081</v>
      </c>
      <c r="O30" s="55">
        <v>43688</v>
      </c>
      <c r="P30" s="54"/>
      <c r="Q30" s="49"/>
      <c r="R30" s="57" t="s">
        <v>5084</v>
      </c>
      <c r="S30" s="47" t="s">
        <v>2539</v>
      </c>
    </row>
    <row r="31" spans="2:19" s="33" customFormat="1" ht="33" customHeight="1">
      <c r="B31" s="47" t="s">
        <v>78</v>
      </c>
      <c r="C31" s="48" t="s">
        <v>2273</v>
      </c>
      <c r="D31" s="49" t="s">
        <v>2274</v>
      </c>
      <c r="E31" s="50">
        <v>43602</v>
      </c>
      <c r="F31" s="49" t="s">
        <v>79</v>
      </c>
      <c r="G31" s="51">
        <v>20000</v>
      </c>
      <c r="H31" s="52">
        <f t="shared" si="0"/>
        <v>80</v>
      </c>
      <c r="I31" s="52">
        <f t="shared" si="1"/>
        <v>20</v>
      </c>
      <c r="J31" s="49"/>
      <c r="K31" s="53">
        <v>43688</v>
      </c>
      <c r="L31" s="54" t="s">
        <v>5082</v>
      </c>
      <c r="M31" s="55">
        <v>43682</v>
      </c>
      <c r="N31" s="56" t="s">
        <v>5081</v>
      </c>
      <c r="O31" s="55">
        <v>43688</v>
      </c>
      <c r="P31" s="54"/>
      <c r="Q31" s="49" t="s">
        <v>82</v>
      </c>
      <c r="R31" s="57" t="s">
        <v>5083</v>
      </c>
      <c r="S31" s="47"/>
    </row>
    <row r="32" spans="2:19" s="33" customFormat="1" ht="33" customHeight="1">
      <c r="B32" s="47" t="s">
        <v>78</v>
      </c>
      <c r="C32" s="48" t="s">
        <v>2276</v>
      </c>
      <c r="D32" s="49" t="s">
        <v>2277</v>
      </c>
      <c r="E32" s="50">
        <v>43602</v>
      </c>
      <c r="F32" s="49" t="s">
        <v>79</v>
      </c>
      <c r="G32" s="51">
        <v>20000</v>
      </c>
      <c r="H32" s="52">
        <f t="shared" si="0"/>
        <v>80</v>
      </c>
      <c r="I32" s="52">
        <f t="shared" si="1"/>
        <v>20</v>
      </c>
      <c r="J32" s="49"/>
      <c r="K32" s="53">
        <v>43695</v>
      </c>
      <c r="L32" s="54" t="s">
        <v>5082</v>
      </c>
      <c r="M32" s="55">
        <v>43682</v>
      </c>
      <c r="N32" s="56" t="s">
        <v>5081</v>
      </c>
      <c r="O32" s="55">
        <v>43688</v>
      </c>
      <c r="P32" s="54"/>
      <c r="Q32" s="49" t="s">
        <v>82</v>
      </c>
      <c r="R32" s="57" t="s">
        <v>3096</v>
      </c>
      <c r="S32" s="47"/>
    </row>
    <row r="33" spans="2:19" s="33" customFormat="1" ht="33" customHeight="1">
      <c r="B33" s="47" t="s">
        <v>220</v>
      </c>
      <c r="C33" s="48" t="s">
        <v>2279</v>
      </c>
      <c r="D33" s="49" t="s">
        <v>2280</v>
      </c>
      <c r="E33" s="50">
        <v>43602</v>
      </c>
      <c r="F33" s="49" t="s">
        <v>79</v>
      </c>
      <c r="G33" s="51">
        <v>20000</v>
      </c>
      <c r="H33" s="52">
        <f t="shared" si="0"/>
        <v>80</v>
      </c>
      <c r="I33" s="52">
        <f t="shared" si="1"/>
        <v>20</v>
      </c>
      <c r="J33" s="49"/>
      <c r="K33" s="53">
        <v>43695</v>
      </c>
      <c r="L33" s="54" t="s">
        <v>5082</v>
      </c>
      <c r="M33" s="55">
        <v>43682</v>
      </c>
      <c r="N33" s="56" t="s">
        <v>5081</v>
      </c>
      <c r="O33" s="55">
        <v>43688</v>
      </c>
      <c r="P33" s="54"/>
      <c r="Q33" s="49"/>
      <c r="R33" s="57" t="s">
        <v>5080</v>
      </c>
      <c r="S33" s="47"/>
    </row>
    <row r="34" spans="2:19" s="30" customFormat="1" ht="33" customHeight="1">
      <c r="B34" s="46" t="s">
        <v>78</v>
      </c>
      <c r="C34" s="35" t="s">
        <v>2282</v>
      </c>
      <c r="D34" s="36" t="s">
        <v>2283</v>
      </c>
      <c r="E34" s="37">
        <v>43602</v>
      </c>
      <c r="F34" s="36" t="s">
        <v>79</v>
      </c>
      <c r="G34" s="39">
        <v>20000</v>
      </c>
      <c r="H34" s="38">
        <f t="shared" si="0"/>
        <v>80</v>
      </c>
      <c r="I34" s="38">
        <f t="shared" si="1"/>
        <v>20</v>
      </c>
      <c r="J34" s="36"/>
      <c r="K34" s="40">
        <v>43709</v>
      </c>
      <c r="L34" s="41" t="s">
        <v>5079</v>
      </c>
      <c r="M34" s="42">
        <v>43703</v>
      </c>
      <c r="N34" s="43" t="s">
        <v>5078</v>
      </c>
      <c r="O34" s="42">
        <v>43709</v>
      </c>
      <c r="P34" s="41"/>
      <c r="Q34" s="36" t="s">
        <v>82</v>
      </c>
      <c r="R34" s="44" t="s">
        <v>5077</v>
      </c>
      <c r="S34" s="46"/>
    </row>
    <row r="35" spans="2:19" s="30" customFormat="1" ht="33" customHeight="1">
      <c r="B35" s="46" t="s">
        <v>220</v>
      </c>
      <c r="C35" s="35" t="s">
        <v>5076</v>
      </c>
      <c r="D35" s="36" t="s">
        <v>3354</v>
      </c>
      <c r="E35" s="37">
        <v>43637</v>
      </c>
      <c r="F35" s="36" t="s">
        <v>79</v>
      </c>
      <c r="G35" s="39">
        <v>20000</v>
      </c>
      <c r="H35" s="38">
        <f t="shared" si="0"/>
        <v>80</v>
      </c>
      <c r="I35" s="38">
        <f t="shared" ref="I35:I66" si="2">SUM(H35/4)</f>
        <v>20</v>
      </c>
      <c r="J35" s="36"/>
      <c r="K35" s="40">
        <v>43716</v>
      </c>
      <c r="L35" s="41" t="s">
        <v>5075</v>
      </c>
      <c r="M35" s="42">
        <v>43710</v>
      </c>
      <c r="N35" s="43" t="s">
        <v>5074</v>
      </c>
      <c r="O35" s="42">
        <v>43716</v>
      </c>
      <c r="P35" s="41"/>
      <c r="Q35" s="36"/>
      <c r="R35" s="44" t="s">
        <v>5073</v>
      </c>
      <c r="S35" s="46"/>
    </row>
    <row r="36" spans="2:19" s="30" customFormat="1" ht="33" customHeight="1">
      <c r="B36" s="46" t="s">
        <v>78</v>
      </c>
      <c r="C36" s="35" t="s">
        <v>3356</v>
      </c>
      <c r="D36" s="36" t="s">
        <v>3357</v>
      </c>
      <c r="E36" s="37">
        <v>43637</v>
      </c>
      <c r="F36" s="36" t="s">
        <v>79</v>
      </c>
      <c r="G36" s="39">
        <v>20000</v>
      </c>
      <c r="H36" s="38">
        <f t="shared" si="0"/>
        <v>80</v>
      </c>
      <c r="I36" s="38">
        <f t="shared" si="2"/>
        <v>20</v>
      </c>
      <c r="J36" s="36"/>
      <c r="K36" s="40">
        <v>43723</v>
      </c>
      <c r="L36" s="41" t="s">
        <v>3555</v>
      </c>
      <c r="M36" s="42">
        <v>43717</v>
      </c>
      <c r="N36" s="43" t="s">
        <v>5072</v>
      </c>
      <c r="O36" s="42">
        <v>43723</v>
      </c>
      <c r="P36" s="41"/>
      <c r="Q36" s="36" t="s">
        <v>82</v>
      </c>
      <c r="R36" s="44" t="s">
        <v>5071</v>
      </c>
      <c r="S36" s="46"/>
    </row>
    <row r="37" spans="2:19" s="30" customFormat="1" ht="33" customHeight="1">
      <c r="B37" s="46" t="s">
        <v>78</v>
      </c>
      <c r="C37" s="35" t="s">
        <v>3359</v>
      </c>
      <c r="D37" s="36" t="s">
        <v>3360</v>
      </c>
      <c r="E37" s="37">
        <v>43637</v>
      </c>
      <c r="F37" s="36" t="s">
        <v>79</v>
      </c>
      <c r="G37" s="39">
        <v>20000</v>
      </c>
      <c r="H37" s="38">
        <f t="shared" si="0"/>
        <v>80</v>
      </c>
      <c r="I37" s="38">
        <f t="shared" si="2"/>
        <v>20</v>
      </c>
      <c r="J37" s="36"/>
      <c r="K37" s="40">
        <v>43737</v>
      </c>
      <c r="L37" s="41" t="s">
        <v>3556</v>
      </c>
      <c r="M37" s="42">
        <v>43728</v>
      </c>
      <c r="N37" s="43" t="s">
        <v>5070</v>
      </c>
      <c r="O37" s="42">
        <v>43737</v>
      </c>
      <c r="P37" s="41"/>
      <c r="Q37" s="36" t="s">
        <v>82</v>
      </c>
      <c r="R37" s="44" t="s">
        <v>5069</v>
      </c>
      <c r="S37" s="46"/>
    </row>
    <row r="38" spans="2:19" s="30" customFormat="1" ht="33" customHeight="1">
      <c r="B38" s="46" t="s">
        <v>220</v>
      </c>
      <c r="C38" s="35" t="s">
        <v>4252</v>
      </c>
      <c r="D38" s="36" t="s">
        <v>4253</v>
      </c>
      <c r="E38" s="37">
        <v>43665</v>
      </c>
      <c r="F38" s="36" t="s">
        <v>79</v>
      </c>
      <c r="G38" s="39">
        <v>20000</v>
      </c>
      <c r="H38" s="38">
        <f t="shared" si="0"/>
        <v>80</v>
      </c>
      <c r="I38" s="38">
        <f t="shared" si="2"/>
        <v>20</v>
      </c>
      <c r="J38" s="36"/>
      <c r="K38" s="40">
        <v>43744</v>
      </c>
      <c r="L38" s="41" t="s">
        <v>5067</v>
      </c>
      <c r="M38" s="42">
        <v>43738</v>
      </c>
      <c r="N38" s="43" t="s">
        <v>5066</v>
      </c>
      <c r="O38" s="42">
        <v>43744</v>
      </c>
      <c r="P38" s="41"/>
      <c r="Q38" s="36"/>
      <c r="R38" s="44" t="s">
        <v>5068</v>
      </c>
      <c r="S38" s="46"/>
    </row>
    <row r="39" spans="2:19" s="30" customFormat="1" ht="33" customHeight="1">
      <c r="B39" s="46" t="s">
        <v>78</v>
      </c>
      <c r="C39" s="35" t="s">
        <v>4255</v>
      </c>
      <c r="D39" s="36" t="s">
        <v>4256</v>
      </c>
      <c r="E39" s="37">
        <v>43665</v>
      </c>
      <c r="F39" s="36" t="s">
        <v>79</v>
      </c>
      <c r="G39" s="39">
        <v>20000</v>
      </c>
      <c r="H39" s="38">
        <f t="shared" si="0"/>
        <v>80</v>
      </c>
      <c r="I39" s="38">
        <f t="shared" si="2"/>
        <v>20</v>
      </c>
      <c r="J39" s="36"/>
      <c r="K39" s="40">
        <v>43744</v>
      </c>
      <c r="L39" s="41" t="s">
        <v>5067</v>
      </c>
      <c r="M39" s="42">
        <v>43738</v>
      </c>
      <c r="N39" s="43" t="s">
        <v>5066</v>
      </c>
      <c r="O39" s="42">
        <v>43744</v>
      </c>
      <c r="P39" s="41"/>
      <c r="Q39" s="36" t="s">
        <v>82</v>
      </c>
      <c r="R39" s="44" t="s">
        <v>5065</v>
      </c>
      <c r="S39" s="46"/>
    </row>
    <row r="40" spans="2:19" s="30" customFormat="1" ht="33" customHeight="1">
      <c r="B40" s="46" t="s">
        <v>78</v>
      </c>
      <c r="C40" s="35" t="s">
        <v>4258</v>
      </c>
      <c r="D40" s="36" t="s">
        <v>4259</v>
      </c>
      <c r="E40" s="37">
        <v>43665</v>
      </c>
      <c r="F40" s="36" t="s">
        <v>79</v>
      </c>
      <c r="G40" s="39">
        <v>20000</v>
      </c>
      <c r="H40" s="38">
        <f t="shared" si="0"/>
        <v>80</v>
      </c>
      <c r="I40" s="38">
        <f t="shared" si="2"/>
        <v>20</v>
      </c>
      <c r="J40" s="36"/>
      <c r="K40" s="40">
        <v>43758</v>
      </c>
      <c r="L40" s="41" t="s">
        <v>5064</v>
      </c>
      <c r="M40" s="42">
        <v>43749</v>
      </c>
      <c r="N40" s="43" t="s">
        <v>5063</v>
      </c>
      <c r="O40" s="42">
        <v>43758</v>
      </c>
      <c r="P40" s="41"/>
      <c r="Q40" s="36" t="s">
        <v>82</v>
      </c>
      <c r="R40" s="44" t="s">
        <v>5062</v>
      </c>
      <c r="S40" s="46"/>
    </row>
    <row r="41" spans="2:19" s="30" customFormat="1" ht="33" customHeight="1">
      <c r="B41" s="46" t="s">
        <v>78</v>
      </c>
      <c r="C41" s="35" t="s">
        <v>4261</v>
      </c>
      <c r="D41" s="36" t="s">
        <v>4262</v>
      </c>
      <c r="E41" s="37">
        <v>43665</v>
      </c>
      <c r="F41" s="36" t="s">
        <v>79</v>
      </c>
      <c r="G41" s="39">
        <v>20000</v>
      </c>
      <c r="H41" s="38">
        <f t="shared" si="0"/>
        <v>80</v>
      </c>
      <c r="I41" s="38">
        <f t="shared" si="2"/>
        <v>20</v>
      </c>
      <c r="J41" s="36"/>
      <c r="K41" s="40">
        <v>43765</v>
      </c>
      <c r="L41" s="41" t="s">
        <v>5060</v>
      </c>
      <c r="M41" s="111">
        <v>43756</v>
      </c>
      <c r="N41" s="43" t="s">
        <v>5059</v>
      </c>
      <c r="O41" s="42">
        <v>43765</v>
      </c>
      <c r="P41" s="41"/>
      <c r="Q41" s="36" t="s">
        <v>82</v>
      </c>
      <c r="R41" s="44" t="s">
        <v>5061</v>
      </c>
      <c r="S41" s="46"/>
    </row>
    <row r="42" spans="2:19" s="30" customFormat="1" ht="33" customHeight="1">
      <c r="B42" s="122" t="s">
        <v>220</v>
      </c>
      <c r="C42" s="126" t="s">
        <v>4264</v>
      </c>
      <c r="D42" s="127" t="s">
        <v>4265</v>
      </c>
      <c r="E42" s="128">
        <v>43665</v>
      </c>
      <c r="F42" s="127" t="s">
        <v>79</v>
      </c>
      <c r="G42" s="129">
        <v>20000</v>
      </c>
      <c r="H42" s="124">
        <f t="shared" si="0"/>
        <v>80</v>
      </c>
      <c r="I42" s="124">
        <f t="shared" si="2"/>
        <v>20</v>
      </c>
      <c r="J42" s="127"/>
      <c r="K42" s="130">
        <v>43758</v>
      </c>
      <c r="L42" s="119" t="s">
        <v>5064</v>
      </c>
      <c r="M42" s="120">
        <v>43749</v>
      </c>
      <c r="N42" s="121" t="s">
        <v>5063</v>
      </c>
      <c r="O42" s="120">
        <v>43758</v>
      </c>
      <c r="P42" s="119"/>
      <c r="Q42" s="127"/>
      <c r="R42" s="125" t="s">
        <v>5058</v>
      </c>
      <c r="S42" s="122"/>
    </row>
    <row r="43" spans="2:19" s="30" customFormat="1" ht="33" customHeight="1">
      <c r="B43" s="122" t="s">
        <v>78</v>
      </c>
      <c r="C43" s="126" t="s">
        <v>5057</v>
      </c>
      <c r="D43" s="127" t="s">
        <v>5192</v>
      </c>
      <c r="E43" s="128">
        <v>43689</v>
      </c>
      <c r="F43" s="127" t="s">
        <v>79</v>
      </c>
      <c r="G43" s="129">
        <v>20000</v>
      </c>
      <c r="H43" s="124">
        <f t="shared" si="0"/>
        <v>80</v>
      </c>
      <c r="I43" s="124">
        <f t="shared" si="2"/>
        <v>20</v>
      </c>
      <c r="J43" s="127"/>
      <c r="K43" s="130">
        <v>43772</v>
      </c>
      <c r="L43" s="119" t="s">
        <v>5182</v>
      </c>
      <c r="M43" s="120">
        <v>43766</v>
      </c>
      <c r="N43" s="121" t="s">
        <v>5175</v>
      </c>
      <c r="O43" s="120">
        <v>43772</v>
      </c>
      <c r="P43" s="119"/>
      <c r="Q43" s="127"/>
      <c r="R43" s="125" t="s">
        <v>5056</v>
      </c>
      <c r="S43" s="122"/>
    </row>
    <row r="44" spans="2:19" s="30" customFormat="1" ht="33" customHeight="1">
      <c r="B44" s="122" t="s">
        <v>220</v>
      </c>
      <c r="C44" s="126" t="s">
        <v>5055</v>
      </c>
      <c r="D44" s="127" t="s">
        <v>5193</v>
      </c>
      <c r="E44" s="128">
        <v>43689</v>
      </c>
      <c r="F44" s="127" t="s">
        <v>79</v>
      </c>
      <c r="G44" s="129">
        <v>20000</v>
      </c>
      <c r="H44" s="124">
        <f t="shared" si="0"/>
        <v>80</v>
      </c>
      <c r="I44" s="124">
        <f t="shared" si="2"/>
        <v>20</v>
      </c>
      <c r="J44" s="127"/>
      <c r="K44" s="130">
        <v>43779</v>
      </c>
      <c r="L44" s="119" t="s">
        <v>5183</v>
      </c>
      <c r="M44" s="120">
        <v>43770</v>
      </c>
      <c r="N44" s="121" t="s">
        <v>5176</v>
      </c>
      <c r="O44" s="120">
        <v>43779</v>
      </c>
      <c r="P44" s="119"/>
      <c r="Q44" s="127"/>
      <c r="R44" s="125" t="s">
        <v>5054</v>
      </c>
      <c r="S44" s="122"/>
    </row>
    <row r="45" spans="2:19" s="30" customFormat="1" ht="33" customHeight="1">
      <c r="B45" s="122" t="s">
        <v>78</v>
      </c>
      <c r="C45" s="126" t="s">
        <v>5053</v>
      </c>
      <c r="D45" s="127" t="s">
        <v>5194</v>
      </c>
      <c r="E45" s="128">
        <v>43689</v>
      </c>
      <c r="F45" s="127" t="s">
        <v>79</v>
      </c>
      <c r="G45" s="129">
        <v>20000</v>
      </c>
      <c r="H45" s="124">
        <f t="shared" si="0"/>
        <v>80</v>
      </c>
      <c r="I45" s="124">
        <f t="shared" si="2"/>
        <v>20</v>
      </c>
      <c r="J45" s="127"/>
      <c r="K45" s="130">
        <v>43786</v>
      </c>
      <c r="L45" s="119" t="s">
        <v>5184</v>
      </c>
      <c r="M45" s="120">
        <v>43780</v>
      </c>
      <c r="N45" s="121" t="s">
        <v>5177</v>
      </c>
      <c r="O45" s="120">
        <v>43786</v>
      </c>
      <c r="P45" s="119"/>
      <c r="Q45" s="127"/>
      <c r="R45" s="125" t="s">
        <v>5052</v>
      </c>
      <c r="S45" s="122"/>
    </row>
    <row r="46" spans="2:19" s="30" customFormat="1" ht="33" customHeight="1">
      <c r="B46" s="122" t="s">
        <v>78</v>
      </c>
      <c r="C46" s="126" t="s">
        <v>5051</v>
      </c>
      <c r="D46" s="127" t="s">
        <v>5195</v>
      </c>
      <c r="E46" s="128">
        <v>43689</v>
      </c>
      <c r="F46" s="127" t="s">
        <v>79</v>
      </c>
      <c r="G46" s="129">
        <v>20000</v>
      </c>
      <c r="H46" s="124">
        <f t="shared" si="0"/>
        <v>80</v>
      </c>
      <c r="I46" s="124">
        <f t="shared" si="2"/>
        <v>20</v>
      </c>
      <c r="J46" s="127"/>
      <c r="K46" s="130">
        <v>43793</v>
      </c>
      <c r="L46" s="119" t="s">
        <v>5185</v>
      </c>
      <c r="M46" s="120">
        <v>43787</v>
      </c>
      <c r="N46" s="121" t="s">
        <v>5178</v>
      </c>
      <c r="O46" s="120">
        <v>43793</v>
      </c>
      <c r="P46" s="119"/>
      <c r="Q46" s="127"/>
      <c r="R46" s="125" t="s">
        <v>5050</v>
      </c>
      <c r="S46" s="122"/>
    </row>
    <row r="47" spans="2:19" s="30" customFormat="1" ht="33" customHeight="1">
      <c r="B47" s="122" t="s">
        <v>220</v>
      </c>
      <c r="C47" s="126" t="s">
        <v>5049</v>
      </c>
      <c r="D47" s="127" t="s">
        <v>5196</v>
      </c>
      <c r="E47" s="128">
        <v>43689</v>
      </c>
      <c r="F47" s="127" t="s">
        <v>79</v>
      </c>
      <c r="G47" s="129">
        <v>20000</v>
      </c>
      <c r="H47" s="124">
        <f t="shared" si="0"/>
        <v>80</v>
      </c>
      <c r="I47" s="124">
        <f t="shared" si="2"/>
        <v>20</v>
      </c>
      <c r="J47" s="127"/>
      <c r="K47" s="130">
        <v>43800</v>
      </c>
      <c r="L47" s="119" t="s">
        <v>5186</v>
      </c>
      <c r="M47" s="120">
        <v>43795</v>
      </c>
      <c r="N47" s="121" t="s">
        <v>5179</v>
      </c>
      <c r="O47" s="120">
        <v>43800</v>
      </c>
      <c r="P47" s="119"/>
      <c r="Q47" s="127"/>
      <c r="R47" s="125" t="s">
        <v>5048</v>
      </c>
      <c r="S47" s="122"/>
    </row>
    <row r="48" spans="2:19" s="30" customFormat="1" ht="33" customHeight="1">
      <c r="B48" s="122" t="s">
        <v>220</v>
      </c>
      <c r="C48" s="126" t="s">
        <v>5047</v>
      </c>
      <c r="D48" s="127" t="s">
        <v>5197</v>
      </c>
      <c r="E48" s="128">
        <v>43689</v>
      </c>
      <c r="F48" s="127" t="s">
        <v>79</v>
      </c>
      <c r="G48" s="129">
        <v>20000</v>
      </c>
      <c r="H48" s="124">
        <f t="shared" si="0"/>
        <v>80</v>
      </c>
      <c r="I48" s="124">
        <f t="shared" si="2"/>
        <v>20</v>
      </c>
      <c r="J48" s="127"/>
      <c r="K48" s="130">
        <v>43793</v>
      </c>
      <c r="L48" s="119" t="s">
        <v>5185</v>
      </c>
      <c r="M48" s="120">
        <v>43788</v>
      </c>
      <c r="N48" s="121" t="s">
        <v>5174</v>
      </c>
      <c r="O48" s="120">
        <v>43793</v>
      </c>
      <c r="P48" s="119"/>
      <c r="Q48" s="127"/>
      <c r="R48" s="125" t="s">
        <v>5046</v>
      </c>
      <c r="S48" s="122"/>
    </row>
    <row r="49" spans="2:19" s="96" customFormat="1" ht="33" customHeight="1">
      <c r="B49" s="47" t="s">
        <v>17</v>
      </c>
      <c r="C49" s="48" t="s">
        <v>427</v>
      </c>
      <c r="D49" s="49" t="s">
        <v>5045</v>
      </c>
      <c r="E49" s="50">
        <v>43483</v>
      </c>
      <c r="F49" s="52" t="s">
        <v>84</v>
      </c>
      <c r="G49" s="51">
        <v>9200</v>
      </c>
      <c r="H49" s="52">
        <f t="shared" ref="H49:H55" si="3">SUM(G49/230)</f>
        <v>40</v>
      </c>
      <c r="I49" s="52">
        <f t="shared" si="2"/>
        <v>10</v>
      </c>
      <c r="J49" s="49"/>
      <c r="K49" s="53">
        <v>43576</v>
      </c>
      <c r="L49" s="54" t="s">
        <v>5044</v>
      </c>
      <c r="M49" s="55">
        <v>43571</v>
      </c>
      <c r="N49" s="56" t="s">
        <v>4929</v>
      </c>
      <c r="O49" s="55">
        <v>43576</v>
      </c>
      <c r="P49" s="58"/>
      <c r="Q49" s="52" t="s">
        <v>82</v>
      </c>
      <c r="R49" s="57" t="s">
        <v>5043</v>
      </c>
      <c r="S49" s="47"/>
    </row>
    <row r="50" spans="2:19" s="96" customFormat="1" ht="33" customHeight="1">
      <c r="B50" s="47" t="s">
        <v>17</v>
      </c>
      <c r="C50" s="48" t="s">
        <v>581</v>
      </c>
      <c r="D50" s="49" t="s">
        <v>582</v>
      </c>
      <c r="E50" s="50">
        <v>43519</v>
      </c>
      <c r="F50" s="52" t="s">
        <v>84</v>
      </c>
      <c r="G50" s="51">
        <v>9200</v>
      </c>
      <c r="H50" s="52">
        <f t="shared" si="3"/>
        <v>40</v>
      </c>
      <c r="I50" s="52">
        <f t="shared" si="2"/>
        <v>10</v>
      </c>
      <c r="J50" s="49"/>
      <c r="K50" s="53">
        <v>43632</v>
      </c>
      <c r="L50" s="54" t="s">
        <v>5022</v>
      </c>
      <c r="M50" s="55">
        <v>43620</v>
      </c>
      <c r="N50" s="56" t="s">
        <v>5021</v>
      </c>
      <c r="O50" s="55">
        <v>43625</v>
      </c>
      <c r="P50" s="58"/>
      <c r="Q50" s="52" t="s">
        <v>82</v>
      </c>
      <c r="R50" s="57" t="s">
        <v>5042</v>
      </c>
      <c r="S50" s="47"/>
    </row>
    <row r="51" spans="2:19" s="96" customFormat="1" ht="33" customHeight="1">
      <c r="B51" s="47" t="s">
        <v>17</v>
      </c>
      <c r="C51" s="48" t="s">
        <v>694</v>
      </c>
      <c r="D51" s="49" t="s">
        <v>695</v>
      </c>
      <c r="E51" s="50">
        <v>43532</v>
      </c>
      <c r="F51" s="52" t="s">
        <v>4967</v>
      </c>
      <c r="G51" s="51">
        <v>9200</v>
      </c>
      <c r="H51" s="52">
        <f t="shared" si="3"/>
        <v>40</v>
      </c>
      <c r="I51" s="52">
        <f t="shared" si="2"/>
        <v>10</v>
      </c>
      <c r="J51" s="49"/>
      <c r="K51" s="53">
        <v>43653</v>
      </c>
      <c r="L51" s="54" t="s">
        <v>1326</v>
      </c>
      <c r="M51" s="55">
        <v>43648</v>
      </c>
      <c r="N51" s="56" t="s">
        <v>2540</v>
      </c>
      <c r="O51" s="55">
        <v>43653</v>
      </c>
      <c r="P51" s="58"/>
      <c r="Q51" s="52" t="s">
        <v>82</v>
      </c>
      <c r="R51" s="57" t="s">
        <v>5041</v>
      </c>
      <c r="S51" s="47"/>
    </row>
    <row r="52" spans="2:19" s="96" customFormat="1" ht="33" customHeight="1">
      <c r="B52" s="47" t="s">
        <v>17</v>
      </c>
      <c r="C52" s="48" t="s">
        <v>2299</v>
      </c>
      <c r="D52" s="49" t="s">
        <v>2641</v>
      </c>
      <c r="E52" s="50">
        <v>43609</v>
      </c>
      <c r="F52" s="52" t="s">
        <v>4967</v>
      </c>
      <c r="G52" s="51">
        <v>2760</v>
      </c>
      <c r="H52" s="52">
        <f t="shared" si="3"/>
        <v>12</v>
      </c>
      <c r="I52" s="52">
        <f t="shared" si="2"/>
        <v>3</v>
      </c>
      <c r="J52" s="49"/>
      <c r="K52" s="53">
        <v>43653</v>
      </c>
      <c r="L52" s="54" t="s">
        <v>1326</v>
      </c>
      <c r="M52" s="55">
        <v>43648</v>
      </c>
      <c r="N52" s="56" t="s">
        <v>2540</v>
      </c>
      <c r="O52" s="55">
        <v>43653</v>
      </c>
      <c r="P52" s="58"/>
      <c r="Q52" s="52" t="s">
        <v>82</v>
      </c>
      <c r="R52" s="57" t="s">
        <v>5041</v>
      </c>
      <c r="S52" s="47"/>
    </row>
    <row r="53" spans="2:19" s="96" customFormat="1" ht="33" customHeight="1">
      <c r="B53" s="47" t="s">
        <v>17</v>
      </c>
      <c r="C53" s="48" t="s">
        <v>5040</v>
      </c>
      <c r="D53" s="49" t="s">
        <v>2300</v>
      </c>
      <c r="E53" s="50">
        <v>43602</v>
      </c>
      <c r="F53" s="52" t="s">
        <v>4967</v>
      </c>
      <c r="G53" s="51">
        <v>9200</v>
      </c>
      <c r="H53" s="52">
        <f t="shared" si="3"/>
        <v>40</v>
      </c>
      <c r="I53" s="52">
        <f t="shared" si="2"/>
        <v>10</v>
      </c>
      <c r="J53" s="49"/>
      <c r="K53" s="53">
        <v>43695</v>
      </c>
      <c r="L53" s="54" t="s">
        <v>5038</v>
      </c>
      <c r="M53" s="55">
        <v>43683</v>
      </c>
      <c r="N53" s="56" t="s">
        <v>4913</v>
      </c>
      <c r="O53" s="55">
        <v>43688</v>
      </c>
      <c r="P53" s="58"/>
      <c r="Q53" s="52" t="s">
        <v>82</v>
      </c>
      <c r="R53" s="57" t="s">
        <v>5039</v>
      </c>
      <c r="S53" s="47" t="s">
        <v>2764</v>
      </c>
    </row>
    <row r="54" spans="2:19" s="96" customFormat="1" ht="33" customHeight="1">
      <c r="B54" s="47" t="s">
        <v>17</v>
      </c>
      <c r="C54" s="48" t="s">
        <v>3702</v>
      </c>
      <c r="D54" s="49" t="s">
        <v>3703</v>
      </c>
      <c r="E54" s="50">
        <v>43643</v>
      </c>
      <c r="F54" s="52" t="s">
        <v>4967</v>
      </c>
      <c r="G54" s="51">
        <v>4600</v>
      </c>
      <c r="H54" s="52">
        <f t="shared" si="3"/>
        <v>20</v>
      </c>
      <c r="I54" s="52">
        <f t="shared" si="2"/>
        <v>5</v>
      </c>
      <c r="J54" s="49"/>
      <c r="K54" s="53">
        <v>43688</v>
      </c>
      <c r="L54" s="54" t="s">
        <v>5038</v>
      </c>
      <c r="M54" s="55">
        <v>43683</v>
      </c>
      <c r="N54" s="56" t="s">
        <v>4913</v>
      </c>
      <c r="O54" s="55">
        <v>43688</v>
      </c>
      <c r="P54" s="58"/>
      <c r="Q54" s="52" t="s">
        <v>82</v>
      </c>
      <c r="R54" s="57"/>
      <c r="S54" s="47"/>
    </row>
    <row r="55" spans="2:19" s="67" customFormat="1" ht="33" customHeight="1">
      <c r="B55" s="46" t="s">
        <v>17</v>
      </c>
      <c r="C55" s="35" t="s">
        <v>5037</v>
      </c>
      <c r="D55" s="36" t="s">
        <v>3377</v>
      </c>
      <c r="E55" s="37">
        <v>43637</v>
      </c>
      <c r="F55" s="38" t="s">
        <v>4967</v>
      </c>
      <c r="G55" s="39">
        <v>9200</v>
      </c>
      <c r="H55" s="38">
        <f t="shared" si="3"/>
        <v>40</v>
      </c>
      <c r="I55" s="38">
        <f t="shared" si="2"/>
        <v>10</v>
      </c>
      <c r="J55" s="36"/>
      <c r="K55" s="40">
        <v>43716</v>
      </c>
      <c r="L55" s="41" t="s">
        <v>4891</v>
      </c>
      <c r="M55" s="42">
        <v>43711</v>
      </c>
      <c r="N55" s="43" t="s">
        <v>4890</v>
      </c>
      <c r="O55" s="42">
        <v>43716</v>
      </c>
      <c r="P55" s="45"/>
      <c r="Q55" s="38"/>
      <c r="R55" s="44" t="s">
        <v>5036</v>
      </c>
      <c r="S55" s="46"/>
    </row>
    <row r="56" spans="2:19" s="67" customFormat="1" ht="33" customHeight="1">
      <c r="B56" s="46" t="s">
        <v>17</v>
      </c>
      <c r="C56" s="35" t="s">
        <v>5035</v>
      </c>
      <c r="D56" s="36" t="s">
        <v>3380</v>
      </c>
      <c r="E56" s="37">
        <v>43637</v>
      </c>
      <c r="F56" s="38" t="s">
        <v>4967</v>
      </c>
      <c r="G56" s="39">
        <v>9200</v>
      </c>
      <c r="H56" s="38">
        <f>SUM(G55/230)</f>
        <v>40</v>
      </c>
      <c r="I56" s="38">
        <f t="shared" si="2"/>
        <v>10</v>
      </c>
      <c r="J56" s="36"/>
      <c r="K56" s="40">
        <v>43744</v>
      </c>
      <c r="L56" s="41" t="s">
        <v>4887</v>
      </c>
      <c r="M56" s="42">
        <v>43739</v>
      </c>
      <c r="N56" s="43" t="s">
        <v>4886</v>
      </c>
      <c r="O56" s="42">
        <v>43744</v>
      </c>
      <c r="P56" s="45"/>
      <c r="Q56" s="38"/>
      <c r="R56" s="44" t="s">
        <v>5034</v>
      </c>
      <c r="S56" s="46"/>
    </row>
    <row r="57" spans="2:19" s="67" customFormat="1" ht="33" customHeight="1">
      <c r="B57" s="122" t="s">
        <v>17</v>
      </c>
      <c r="C57" s="126" t="s">
        <v>5033</v>
      </c>
      <c r="D57" s="127" t="s">
        <v>5032</v>
      </c>
      <c r="E57" s="128">
        <v>43689</v>
      </c>
      <c r="F57" s="124" t="s">
        <v>4967</v>
      </c>
      <c r="G57" s="129">
        <v>9200</v>
      </c>
      <c r="H57" s="124">
        <f>SUM(G56/230)</f>
        <v>40</v>
      </c>
      <c r="I57" s="124">
        <f t="shared" si="2"/>
        <v>10</v>
      </c>
      <c r="J57" s="127"/>
      <c r="K57" s="130">
        <v>43786</v>
      </c>
      <c r="L57" s="119" t="s">
        <v>5210</v>
      </c>
      <c r="M57" s="120">
        <v>43781</v>
      </c>
      <c r="N57" s="121" t="s">
        <v>5173</v>
      </c>
      <c r="O57" s="120">
        <v>43786</v>
      </c>
      <c r="P57" s="123"/>
      <c r="Q57" s="124" t="s">
        <v>82</v>
      </c>
      <c r="R57" s="125" t="s">
        <v>5031</v>
      </c>
      <c r="S57" s="122"/>
    </row>
    <row r="58" spans="2:19" s="96" customFormat="1" ht="33" customHeight="1">
      <c r="B58" s="47" t="s">
        <v>81</v>
      </c>
      <c r="C58" s="48" t="s">
        <v>279</v>
      </c>
      <c r="D58" s="49" t="s">
        <v>5028</v>
      </c>
      <c r="E58" s="50">
        <v>43392</v>
      </c>
      <c r="F58" s="52" t="s">
        <v>84</v>
      </c>
      <c r="G58" s="51">
        <v>11960</v>
      </c>
      <c r="H58" s="52">
        <f t="shared" ref="H58:H78" si="4">SUM(G58/230)</f>
        <v>52</v>
      </c>
      <c r="I58" s="52">
        <f t="shared" si="2"/>
        <v>13</v>
      </c>
      <c r="J58" s="52"/>
      <c r="K58" s="53">
        <v>43597</v>
      </c>
      <c r="L58" s="54" t="s">
        <v>5030</v>
      </c>
      <c r="M58" s="55">
        <v>43594</v>
      </c>
      <c r="N58" s="56" t="s">
        <v>4922</v>
      </c>
      <c r="O58" s="55">
        <v>43598</v>
      </c>
      <c r="P58" s="58" t="s">
        <v>5027</v>
      </c>
      <c r="Q58" s="47"/>
      <c r="R58" s="57" t="s">
        <v>4965</v>
      </c>
      <c r="S58" s="47"/>
    </row>
    <row r="59" spans="2:19" s="96" customFormat="1" ht="33" customHeight="1">
      <c r="B59" s="47" t="s">
        <v>81</v>
      </c>
      <c r="C59" s="48" t="s">
        <v>5029</v>
      </c>
      <c r="D59" s="49" t="s">
        <v>5028</v>
      </c>
      <c r="E59" s="50">
        <v>43392</v>
      </c>
      <c r="F59" s="52" t="s">
        <v>84</v>
      </c>
      <c r="G59" s="51">
        <v>1840</v>
      </c>
      <c r="H59" s="52">
        <f t="shared" si="4"/>
        <v>8</v>
      </c>
      <c r="I59" s="52">
        <f t="shared" si="2"/>
        <v>2</v>
      </c>
      <c r="J59" s="52"/>
      <c r="K59" s="53">
        <v>43597</v>
      </c>
      <c r="L59" s="54" t="s">
        <v>773</v>
      </c>
      <c r="M59" s="55">
        <v>43601</v>
      </c>
      <c r="N59" s="56" t="s">
        <v>4942</v>
      </c>
      <c r="O59" s="55">
        <v>43605</v>
      </c>
      <c r="P59" s="58" t="s">
        <v>5027</v>
      </c>
      <c r="Q59" s="47"/>
      <c r="R59" s="57" t="s">
        <v>4965</v>
      </c>
      <c r="S59" s="47" t="s">
        <v>1329</v>
      </c>
    </row>
    <row r="60" spans="2:19" s="96" customFormat="1" ht="33" customHeight="1">
      <c r="B60" s="47" t="s">
        <v>81</v>
      </c>
      <c r="C60" s="48" t="s">
        <v>318</v>
      </c>
      <c r="D60" s="49" t="s">
        <v>319</v>
      </c>
      <c r="E60" s="50">
        <v>43420</v>
      </c>
      <c r="F60" s="52" t="s">
        <v>4967</v>
      </c>
      <c r="G60" s="51">
        <v>17940</v>
      </c>
      <c r="H60" s="52">
        <f t="shared" si="4"/>
        <v>78</v>
      </c>
      <c r="I60" s="52">
        <f t="shared" si="2"/>
        <v>19.5</v>
      </c>
      <c r="J60" s="52"/>
      <c r="K60" s="53">
        <v>43576</v>
      </c>
      <c r="L60" s="54" t="s">
        <v>480</v>
      </c>
      <c r="M60" s="55">
        <v>43564</v>
      </c>
      <c r="N60" s="56" t="s">
        <v>4879</v>
      </c>
      <c r="O60" s="55">
        <v>43569</v>
      </c>
      <c r="P60" s="58"/>
      <c r="Q60" s="47"/>
      <c r="R60" s="57" t="s">
        <v>4996</v>
      </c>
      <c r="S60" s="47" t="s">
        <v>5026</v>
      </c>
    </row>
    <row r="61" spans="2:19" s="96" customFormat="1" ht="33" customHeight="1">
      <c r="B61" s="47" t="s">
        <v>81</v>
      </c>
      <c r="C61" s="48" t="s">
        <v>5025</v>
      </c>
      <c r="D61" s="49" t="s">
        <v>701</v>
      </c>
      <c r="E61" s="50">
        <v>43532</v>
      </c>
      <c r="F61" s="52" t="s">
        <v>4967</v>
      </c>
      <c r="G61" s="51">
        <v>13800</v>
      </c>
      <c r="H61" s="52">
        <f t="shared" si="4"/>
        <v>60</v>
      </c>
      <c r="I61" s="52">
        <f t="shared" si="2"/>
        <v>15</v>
      </c>
      <c r="J61" s="52"/>
      <c r="K61" s="53">
        <v>43615</v>
      </c>
      <c r="L61" s="54" t="s">
        <v>4918</v>
      </c>
      <c r="M61" s="55">
        <v>43613</v>
      </c>
      <c r="N61" s="56" t="s">
        <v>4917</v>
      </c>
      <c r="O61" s="55">
        <v>43618</v>
      </c>
      <c r="P61" s="58"/>
      <c r="Q61" s="47"/>
      <c r="R61" s="57" t="s">
        <v>5020</v>
      </c>
      <c r="S61" s="47"/>
    </row>
    <row r="62" spans="2:19" s="96" customFormat="1" ht="33" customHeight="1">
      <c r="B62" s="47" t="s">
        <v>81</v>
      </c>
      <c r="C62" s="48" t="s">
        <v>5024</v>
      </c>
      <c r="D62" s="49" t="s">
        <v>5023</v>
      </c>
      <c r="E62" s="50">
        <v>43532</v>
      </c>
      <c r="F62" s="52" t="s">
        <v>4967</v>
      </c>
      <c r="G62" s="51">
        <v>4600</v>
      </c>
      <c r="H62" s="52">
        <f t="shared" si="4"/>
        <v>20</v>
      </c>
      <c r="I62" s="52">
        <f t="shared" si="2"/>
        <v>5</v>
      </c>
      <c r="J62" s="52"/>
      <c r="K62" s="53">
        <v>43615</v>
      </c>
      <c r="L62" s="54" t="s">
        <v>5022</v>
      </c>
      <c r="M62" s="55">
        <v>43620</v>
      </c>
      <c r="N62" s="56" t="s">
        <v>5021</v>
      </c>
      <c r="O62" s="55">
        <v>43625</v>
      </c>
      <c r="P62" s="58"/>
      <c r="Q62" s="47"/>
      <c r="R62" s="57" t="s">
        <v>5020</v>
      </c>
      <c r="S62" s="47"/>
    </row>
    <row r="63" spans="2:19" s="96" customFormat="1" ht="33" customHeight="1">
      <c r="B63" s="47" t="s">
        <v>81</v>
      </c>
      <c r="C63" s="48" t="s">
        <v>702</v>
      </c>
      <c r="D63" s="49" t="s">
        <v>703</v>
      </c>
      <c r="E63" s="50">
        <v>43532</v>
      </c>
      <c r="F63" s="52" t="s">
        <v>4967</v>
      </c>
      <c r="G63" s="51">
        <v>9200</v>
      </c>
      <c r="H63" s="52">
        <f t="shared" si="4"/>
        <v>40</v>
      </c>
      <c r="I63" s="52">
        <f t="shared" si="2"/>
        <v>10</v>
      </c>
      <c r="J63" s="52"/>
      <c r="K63" s="53">
        <v>43632</v>
      </c>
      <c r="L63" s="54" t="s">
        <v>807</v>
      </c>
      <c r="M63" s="55">
        <v>43627</v>
      </c>
      <c r="N63" s="56" t="s">
        <v>808</v>
      </c>
      <c r="O63" s="55">
        <v>43632</v>
      </c>
      <c r="P63" s="58"/>
      <c r="Q63" s="47"/>
      <c r="R63" s="57" t="s">
        <v>5019</v>
      </c>
      <c r="S63" s="47"/>
    </row>
    <row r="64" spans="2:19" s="96" customFormat="1" ht="33" customHeight="1">
      <c r="B64" s="47" t="s">
        <v>81</v>
      </c>
      <c r="C64" s="48" t="s">
        <v>852</v>
      </c>
      <c r="D64" s="49" t="s">
        <v>1990</v>
      </c>
      <c r="E64" s="50">
        <v>43558</v>
      </c>
      <c r="F64" s="52" t="s">
        <v>4967</v>
      </c>
      <c r="G64" s="51">
        <v>9200</v>
      </c>
      <c r="H64" s="52">
        <f t="shared" si="4"/>
        <v>40</v>
      </c>
      <c r="I64" s="52">
        <f t="shared" si="2"/>
        <v>10</v>
      </c>
      <c r="J64" s="52"/>
      <c r="K64" s="53">
        <v>43639</v>
      </c>
      <c r="L64" s="54" t="s">
        <v>1083</v>
      </c>
      <c r="M64" s="55">
        <v>43634</v>
      </c>
      <c r="N64" s="56" t="s">
        <v>1084</v>
      </c>
      <c r="O64" s="55">
        <v>43639</v>
      </c>
      <c r="P64" s="58"/>
      <c r="Q64" s="47"/>
      <c r="R64" s="57" t="s">
        <v>5019</v>
      </c>
      <c r="S64" s="47"/>
    </row>
    <row r="65" spans="2:19" s="96" customFormat="1" ht="33" customHeight="1">
      <c r="B65" s="47" t="s">
        <v>81</v>
      </c>
      <c r="C65" s="48" t="s">
        <v>1435</v>
      </c>
      <c r="D65" s="49" t="s">
        <v>1436</v>
      </c>
      <c r="E65" s="50">
        <v>43574</v>
      </c>
      <c r="F65" s="52" t="s">
        <v>4967</v>
      </c>
      <c r="G65" s="51">
        <v>18400</v>
      </c>
      <c r="H65" s="52">
        <f t="shared" si="4"/>
        <v>80</v>
      </c>
      <c r="I65" s="52">
        <f t="shared" si="2"/>
        <v>20</v>
      </c>
      <c r="J65" s="52"/>
      <c r="K65" s="53">
        <v>43646</v>
      </c>
      <c r="L65" s="54" t="s">
        <v>5018</v>
      </c>
      <c r="M65" s="55">
        <v>43641</v>
      </c>
      <c r="N65" s="56" t="s">
        <v>5017</v>
      </c>
      <c r="O65" s="55">
        <v>43646</v>
      </c>
      <c r="P65" s="58"/>
      <c r="Q65" s="47"/>
      <c r="R65" s="57" t="s">
        <v>5016</v>
      </c>
      <c r="S65" s="47" t="s">
        <v>3251</v>
      </c>
    </row>
    <row r="66" spans="2:19" s="96" customFormat="1" ht="33" customHeight="1">
      <c r="B66" s="47" t="s">
        <v>81</v>
      </c>
      <c r="C66" s="48" t="s">
        <v>2322</v>
      </c>
      <c r="D66" s="49" t="s">
        <v>2323</v>
      </c>
      <c r="E66" s="50">
        <v>43602</v>
      </c>
      <c r="F66" s="52" t="s">
        <v>4967</v>
      </c>
      <c r="G66" s="51">
        <v>18400</v>
      </c>
      <c r="H66" s="52">
        <f t="shared" si="4"/>
        <v>80</v>
      </c>
      <c r="I66" s="52">
        <f t="shared" si="2"/>
        <v>20</v>
      </c>
      <c r="J66" s="52"/>
      <c r="K66" s="53">
        <v>43674</v>
      </c>
      <c r="L66" s="54" t="s">
        <v>2146</v>
      </c>
      <c r="M66" s="55">
        <v>43669</v>
      </c>
      <c r="N66" s="56" t="s">
        <v>2551</v>
      </c>
      <c r="O66" s="55">
        <v>43674</v>
      </c>
      <c r="P66" s="58"/>
      <c r="Q66" s="47"/>
      <c r="R66" s="57" t="s">
        <v>5015</v>
      </c>
      <c r="S66" s="47"/>
    </row>
    <row r="67" spans="2:19" s="96" customFormat="1" ht="33" customHeight="1">
      <c r="B67" s="47" t="s">
        <v>81</v>
      </c>
      <c r="C67" s="48" t="s">
        <v>2325</v>
      </c>
      <c r="D67" s="49" t="s">
        <v>2326</v>
      </c>
      <c r="E67" s="50">
        <v>43602</v>
      </c>
      <c r="F67" s="52" t="s">
        <v>4967</v>
      </c>
      <c r="G67" s="51">
        <v>10580</v>
      </c>
      <c r="H67" s="52">
        <f t="shared" si="4"/>
        <v>46</v>
      </c>
      <c r="I67" s="52">
        <f t="shared" ref="I67:I68" si="5">SUM(H67/4)</f>
        <v>11.5</v>
      </c>
      <c r="J67" s="52"/>
      <c r="K67" s="53">
        <v>43681</v>
      </c>
      <c r="L67" s="54" t="s">
        <v>4995</v>
      </c>
      <c r="M67" s="55">
        <v>43676</v>
      </c>
      <c r="N67" s="56" t="s">
        <v>4994</v>
      </c>
      <c r="O67" s="55">
        <v>43681</v>
      </c>
      <c r="P67" s="58"/>
      <c r="Q67" s="47"/>
      <c r="R67" s="57" t="s">
        <v>4993</v>
      </c>
      <c r="S67" s="47" t="s">
        <v>3549</v>
      </c>
    </row>
    <row r="68" spans="2:19" s="67" customFormat="1" ht="33" customHeight="1">
      <c r="B68" s="46" t="s">
        <v>81</v>
      </c>
      <c r="C68" s="35" t="s">
        <v>3406</v>
      </c>
      <c r="D68" s="36" t="s">
        <v>3407</v>
      </c>
      <c r="E68" s="37">
        <v>43637</v>
      </c>
      <c r="F68" s="38" t="s">
        <v>4967</v>
      </c>
      <c r="G68" s="39">
        <v>12880</v>
      </c>
      <c r="H68" s="38">
        <f t="shared" si="4"/>
        <v>56</v>
      </c>
      <c r="I68" s="38">
        <f t="shared" si="5"/>
        <v>14</v>
      </c>
      <c r="J68" s="38"/>
      <c r="K68" s="40">
        <v>43723</v>
      </c>
      <c r="L68" s="41" t="s">
        <v>4905</v>
      </c>
      <c r="M68" s="42">
        <v>43718</v>
      </c>
      <c r="N68" s="43" t="s">
        <v>4904</v>
      </c>
      <c r="O68" s="42">
        <v>43723</v>
      </c>
      <c r="P68" s="45"/>
      <c r="Q68" s="46"/>
      <c r="R68" s="44" t="s">
        <v>5013</v>
      </c>
      <c r="S68" s="46"/>
    </row>
    <row r="69" spans="2:19" s="67" customFormat="1" ht="33" customHeight="1">
      <c r="B69" s="46" t="s">
        <v>81</v>
      </c>
      <c r="C69" s="35" t="s">
        <v>5014</v>
      </c>
      <c r="D69" s="36" t="s">
        <v>3407</v>
      </c>
      <c r="E69" s="37">
        <v>43637</v>
      </c>
      <c r="F69" s="38" t="s">
        <v>4967</v>
      </c>
      <c r="G69" s="39">
        <v>920</v>
      </c>
      <c r="H69" s="38">
        <f t="shared" si="4"/>
        <v>4</v>
      </c>
      <c r="I69" s="38">
        <v>1</v>
      </c>
      <c r="J69" s="38"/>
      <c r="K69" s="40">
        <v>43723</v>
      </c>
      <c r="L69" s="41" t="s">
        <v>4891</v>
      </c>
      <c r="M69" s="42">
        <v>43711</v>
      </c>
      <c r="N69" s="43" t="s">
        <v>4890</v>
      </c>
      <c r="O69" s="42">
        <v>43716</v>
      </c>
      <c r="P69" s="45"/>
      <c r="Q69" s="46"/>
      <c r="R69" s="44" t="s">
        <v>5013</v>
      </c>
      <c r="S69" s="46"/>
    </row>
    <row r="70" spans="2:19" s="96" customFormat="1" ht="33" customHeight="1">
      <c r="B70" s="47" t="s">
        <v>81</v>
      </c>
      <c r="C70" s="48" t="s">
        <v>3409</v>
      </c>
      <c r="D70" s="49" t="s">
        <v>3743</v>
      </c>
      <c r="E70" s="50">
        <v>43665</v>
      </c>
      <c r="F70" s="52" t="s">
        <v>4967</v>
      </c>
      <c r="G70" s="51">
        <v>9200</v>
      </c>
      <c r="H70" s="52">
        <f t="shared" si="4"/>
        <v>40</v>
      </c>
      <c r="I70" s="52">
        <f t="shared" ref="I70:I78" si="6">SUM(H70/4)</f>
        <v>10</v>
      </c>
      <c r="J70" s="52"/>
      <c r="K70" s="53">
        <v>43667</v>
      </c>
      <c r="L70" s="54" t="s">
        <v>5012</v>
      </c>
      <c r="M70" s="55">
        <v>43662</v>
      </c>
      <c r="N70" s="56" t="s">
        <v>5011</v>
      </c>
      <c r="O70" s="55">
        <v>43667</v>
      </c>
      <c r="P70" s="58"/>
      <c r="Q70" s="47"/>
      <c r="R70" s="57"/>
      <c r="S70" s="47"/>
    </row>
    <row r="71" spans="2:19" s="67" customFormat="1" ht="33" customHeight="1">
      <c r="B71" s="46" t="s">
        <v>81</v>
      </c>
      <c r="C71" s="35" t="s">
        <v>4318</v>
      </c>
      <c r="D71" s="36" t="s">
        <v>4319</v>
      </c>
      <c r="E71" s="37">
        <v>43665</v>
      </c>
      <c r="F71" s="38" t="s">
        <v>4967</v>
      </c>
      <c r="G71" s="39">
        <v>9200</v>
      </c>
      <c r="H71" s="38">
        <f t="shared" si="4"/>
        <v>40</v>
      </c>
      <c r="I71" s="38">
        <f t="shared" si="6"/>
        <v>10</v>
      </c>
      <c r="J71" s="38"/>
      <c r="K71" s="40">
        <v>43751</v>
      </c>
      <c r="L71" s="41" t="s">
        <v>5010</v>
      </c>
      <c r="M71" s="42">
        <v>43746</v>
      </c>
      <c r="N71" s="43" t="s">
        <v>4902</v>
      </c>
      <c r="O71" s="42">
        <v>43751</v>
      </c>
      <c r="P71" s="45"/>
      <c r="Q71" s="46"/>
      <c r="R71" s="44" t="s">
        <v>5009</v>
      </c>
      <c r="S71" s="46"/>
    </row>
    <row r="72" spans="2:19" s="67" customFormat="1" ht="33" customHeight="1">
      <c r="B72" s="46" t="s">
        <v>81</v>
      </c>
      <c r="C72" s="35" t="s">
        <v>4321</v>
      </c>
      <c r="D72" s="36" t="s">
        <v>4322</v>
      </c>
      <c r="E72" s="37">
        <v>43665</v>
      </c>
      <c r="F72" s="38" t="s">
        <v>4967</v>
      </c>
      <c r="G72" s="39">
        <v>8740</v>
      </c>
      <c r="H72" s="38">
        <f t="shared" si="4"/>
        <v>38</v>
      </c>
      <c r="I72" s="38">
        <f t="shared" si="6"/>
        <v>9.5</v>
      </c>
      <c r="J72" s="38"/>
      <c r="K72" s="40">
        <v>43765</v>
      </c>
      <c r="L72" s="41" t="s">
        <v>5008</v>
      </c>
      <c r="M72" s="42">
        <v>43760</v>
      </c>
      <c r="N72" s="43" t="s">
        <v>4901</v>
      </c>
      <c r="O72" s="42">
        <v>43765</v>
      </c>
      <c r="P72" s="45"/>
      <c r="Q72" s="46"/>
      <c r="R72" s="44" t="s">
        <v>5007</v>
      </c>
      <c r="S72" s="46"/>
    </row>
    <row r="73" spans="2:19" s="67" customFormat="1" ht="33" customHeight="1">
      <c r="B73" s="122" t="s">
        <v>81</v>
      </c>
      <c r="C73" s="126" t="s">
        <v>5006</v>
      </c>
      <c r="D73" s="127" t="s">
        <v>5005</v>
      </c>
      <c r="E73" s="128">
        <v>43689</v>
      </c>
      <c r="F73" s="124" t="s">
        <v>4967</v>
      </c>
      <c r="G73" s="129">
        <v>9200</v>
      </c>
      <c r="H73" s="124">
        <f t="shared" si="4"/>
        <v>40</v>
      </c>
      <c r="I73" s="124">
        <f t="shared" si="6"/>
        <v>10</v>
      </c>
      <c r="J73" s="124"/>
      <c r="K73" s="130">
        <v>43786</v>
      </c>
      <c r="L73" s="119" t="s">
        <v>5187</v>
      </c>
      <c r="M73" s="120">
        <v>43781</v>
      </c>
      <c r="N73" s="121" t="s">
        <v>5173</v>
      </c>
      <c r="O73" s="120">
        <v>43786</v>
      </c>
      <c r="P73" s="123"/>
      <c r="Q73" s="122"/>
      <c r="R73" s="125" t="s">
        <v>5004</v>
      </c>
      <c r="S73" s="122"/>
    </row>
    <row r="74" spans="2:19" s="67" customFormat="1" ht="33" customHeight="1">
      <c r="B74" s="122" t="s">
        <v>81</v>
      </c>
      <c r="C74" s="126" t="s">
        <v>5003</v>
      </c>
      <c r="D74" s="127" t="s">
        <v>5002</v>
      </c>
      <c r="E74" s="128">
        <v>43689</v>
      </c>
      <c r="F74" s="124" t="s">
        <v>4967</v>
      </c>
      <c r="G74" s="129">
        <v>9200</v>
      </c>
      <c r="H74" s="124">
        <f t="shared" si="4"/>
        <v>40</v>
      </c>
      <c r="I74" s="124">
        <f t="shared" si="6"/>
        <v>10</v>
      </c>
      <c r="J74" s="124"/>
      <c r="K74" s="130">
        <v>43800</v>
      </c>
      <c r="L74" s="119" t="s">
        <v>5189</v>
      </c>
      <c r="M74" s="120">
        <v>43795</v>
      </c>
      <c r="N74" s="121" t="s">
        <v>5179</v>
      </c>
      <c r="O74" s="120">
        <v>43800</v>
      </c>
      <c r="P74" s="123"/>
      <c r="Q74" s="122"/>
      <c r="R74" s="125" t="s">
        <v>5001</v>
      </c>
      <c r="S74" s="122"/>
    </row>
    <row r="75" spans="2:19" s="96" customFormat="1" ht="33" customHeight="1">
      <c r="B75" s="47" t="s">
        <v>5000</v>
      </c>
      <c r="C75" s="48" t="s">
        <v>4998</v>
      </c>
      <c r="D75" s="49" t="s">
        <v>705</v>
      </c>
      <c r="E75" s="50">
        <v>43532</v>
      </c>
      <c r="F75" s="52" t="s">
        <v>4967</v>
      </c>
      <c r="G75" s="51">
        <v>920</v>
      </c>
      <c r="H75" s="52">
        <f t="shared" si="4"/>
        <v>4</v>
      </c>
      <c r="I75" s="52">
        <f t="shared" si="6"/>
        <v>1</v>
      </c>
      <c r="J75" s="52"/>
      <c r="K75" s="53">
        <v>43609</v>
      </c>
      <c r="L75" s="54" t="s">
        <v>773</v>
      </c>
      <c r="M75" s="55">
        <v>43601</v>
      </c>
      <c r="N75" s="56" t="s">
        <v>774</v>
      </c>
      <c r="O75" s="55">
        <v>43605</v>
      </c>
      <c r="P75" s="58"/>
      <c r="Q75" s="47"/>
      <c r="R75" s="57"/>
      <c r="S75" s="47" t="s">
        <v>4999</v>
      </c>
    </row>
    <row r="76" spans="2:19" s="96" customFormat="1" ht="33" customHeight="1">
      <c r="B76" s="47" t="s">
        <v>4992</v>
      </c>
      <c r="C76" s="48" t="s">
        <v>4998</v>
      </c>
      <c r="D76" s="49" t="s">
        <v>4997</v>
      </c>
      <c r="E76" s="50">
        <v>43511</v>
      </c>
      <c r="F76" s="52" t="s">
        <v>4967</v>
      </c>
      <c r="G76" s="51">
        <v>460</v>
      </c>
      <c r="H76" s="52">
        <f t="shared" si="4"/>
        <v>2</v>
      </c>
      <c r="I76" s="52">
        <f t="shared" si="6"/>
        <v>0.5</v>
      </c>
      <c r="J76" s="52"/>
      <c r="K76" s="53">
        <v>43576</v>
      </c>
      <c r="L76" s="54" t="s">
        <v>480</v>
      </c>
      <c r="M76" s="55">
        <v>43564</v>
      </c>
      <c r="N76" s="56" t="s">
        <v>646</v>
      </c>
      <c r="O76" s="55">
        <v>43569</v>
      </c>
      <c r="P76" s="58"/>
      <c r="Q76" s="47"/>
      <c r="R76" s="57" t="s">
        <v>4996</v>
      </c>
      <c r="S76" s="47"/>
    </row>
    <row r="77" spans="2:19" s="96" customFormat="1" ht="33" customHeight="1">
      <c r="B77" s="47" t="s">
        <v>4992</v>
      </c>
      <c r="C77" s="48" t="s">
        <v>2333</v>
      </c>
      <c r="D77" s="49" t="s">
        <v>2334</v>
      </c>
      <c r="E77" s="50">
        <v>43602</v>
      </c>
      <c r="F77" s="52" t="s">
        <v>4967</v>
      </c>
      <c r="G77" s="51">
        <v>460</v>
      </c>
      <c r="H77" s="52">
        <f t="shared" si="4"/>
        <v>2</v>
      </c>
      <c r="I77" s="52">
        <f t="shared" si="6"/>
        <v>0.5</v>
      </c>
      <c r="J77" s="52"/>
      <c r="K77" s="53">
        <v>43681</v>
      </c>
      <c r="L77" s="54" t="s">
        <v>4995</v>
      </c>
      <c r="M77" s="55">
        <v>43676</v>
      </c>
      <c r="N77" s="56" t="s">
        <v>4994</v>
      </c>
      <c r="O77" s="55">
        <v>43681</v>
      </c>
      <c r="P77" s="58"/>
      <c r="Q77" s="47"/>
      <c r="R77" s="57" t="s">
        <v>4993</v>
      </c>
      <c r="S77" s="47" t="s">
        <v>3549</v>
      </c>
    </row>
    <row r="78" spans="2:19" s="67" customFormat="1" ht="33" customHeight="1">
      <c r="B78" s="46" t="s">
        <v>4992</v>
      </c>
      <c r="C78" s="35" t="s">
        <v>4329</v>
      </c>
      <c r="D78" s="36" t="s">
        <v>4330</v>
      </c>
      <c r="E78" s="37">
        <v>43665</v>
      </c>
      <c r="F78" s="38" t="s">
        <v>4967</v>
      </c>
      <c r="G78" s="39">
        <v>460</v>
      </c>
      <c r="H78" s="38">
        <f t="shared" si="4"/>
        <v>2</v>
      </c>
      <c r="I78" s="38">
        <f t="shared" si="6"/>
        <v>0.5</v>
      </c>
      <c r="J78" s="38"/>
      <c r="K78" s="40">
        <v>43765</v>
      </c>
      <c r="L78" s="41" t="s">
        <v>4477</v>
      </c>
      <c r="M78" s="42">
        <v>43760</v>
      </c>
      <c r="N78" s="43" t="s">
        <v>4901</v>
      </c>
      <c r="O78" s="42">
        <v>43765</v>
      </c>
      <c r="P78" s="45"/>
      <c r="Q78" s="46"/>
      <c r="R78" s="44" t="s">
        <v>4991</v>
      </c>
      <c r="S78" s="46"/>
    </row>
    <row r="79" spans="2:19" s="33" customFormat="1" ht="33" customHeight="1">
      <c r="B79" s="47" t="s">
        <v>4974</v>
      </c>
      <c r="C79" s="48" t="s">
        <v>430</v>
      </c>
      <c r="D79" s="49" t="s">
        <v>470</v>
      </c>
      <c r="E79" s="50">
        <v>43473</v>
      </c>
      <c r="F79" s="52" t="s">
        <v>4973</v>
      </c>
      <c r="G79" s="51">
        <v>1920</v>
      </c>
      <c r="H79" s="52">
        <f t="shared" ref="H79:H90" si="7">SUM(G79/20)</f>
        <v>96</v>
      </c>
      <c r="I79" s="52">
        <f t="shared" ref="I79:I90" si="8">SUM(H79/32)</f>
        <v>3</v>
      </c>
      <c r="J79" s="59"/>
      <c r="K79" s="53">
        <v>43555</v>
      </c>
      <c r="L79" s="54" t="s">
        <v>480</v>
      </c>
      <c r="M79" s="55">
        <v>43564</v>
      </c>
      <c r="N79" s="56" t="s">
        <v>4990</v>
      </c>
      <c r="O79" s="55">
        <v>43569</v>
      </c>
      <c r="P79" s="58"/>
      <c r="Q79" s="60" t="s">
        <v>89</v>
      </c>
      <c r="R79" s="57" t="s">
        <v>4988</v>
      </c>
      <c r="S79" s="47"/>
    </row>
    <row r="80" spans="2:19" s="33" customFormat="1" ht="33" customHeight="1">
      <c r="B80" s="47" t="s">
        <v>4974</v>
      </c>
      <c r="C80" s="48" t="s">
        <v>519</v>
      </c>
      <c r="D80" s="49" t="s">
        <v>710</v>
      </c>
      <c r="E80" s="50">
        <v>43511</v>
      </c>
      <c r="F80" s="52" t="s">
        <v>4973</v>
      </c>
      <c r="G80" s="51">
        <v>640</v>
      </c>
      <c r="H80" s="52">
        <f t="shared" si="7"/>
        <v>32</v>
      </c>
      <c r="I80" s="52">
        <f t="shared" si="8"/>
        <v>1</v>
      </c>
      <c r="J80" s="59"/>
      <c r="K80" s="53">
        <v>43555</v>
      </c>
      <c r="L80" s="54" t="s">
        <v>608</v>
      </c>
      <c r="M80" s="55">
        <v>43557</v>
      </c>
      <c r="N80" s="56" t="s">
        <v>4989</v>
      </c>
      <c r="O80" s="55">
        <v>43562</v>
      </c>
      <c r="P80" s="58"/>
      <c r="Q80" s="60" t="s">
        <v>89</v>
      </c>
      <c r="R80" s="57" t="s">
        <v>4988</v>
      </c>
      <c r="S80" s="47"/>
    </row>
    <row r="81" spans="2:19" s="33" customFormat="1" ht="33" customHeight="1">
      <c r="B81" s="47" t="s">
        <v>4974</v>
      </c>
      <c r="C81" s="48" t="s">
        <v>520</v>
      </c>
      <c r="D81" s="49" t="s">
        <v>584</v>
      </c>
      <c r="E81" s="50">
        <v>43511</v>
      </c>
      <c r="F81" s="52" t="s">
        <v>4973</v>
      </c>
      <c r="G81" s="51">
        <v>1920</v>
      </c>
      <c r="H81" s="52">
        <f t="shared" si="7"/>
        <v>96</v>
      </c>
      <c r="I81" s="52">
        <f t="shared" si="8"/>
        <v>3</v>
      </c>
      <c r="J81" s="59"/>
      <c r="K81" s="53">
        <v>43576</v>
      </c>
      <c r="L81" s="54" t="s">
        <v>503</v>
      </c>
      <c r="M81" s="55">
        <v>43571</v>
      </c>
      <c r="N81" s="56" t="s">
        <v>4987</v>
      </c>
      <c r="O81" s="55">
        <v>43576</v>
      </c>
      <c r="P81" s="58"/>
      <c r="Q81" s="60" t="s">
        <v>89</v>
      </c>
      <c r="R81" s="57" t="s">
        <v>4986</v>
      </c>
      <c r="S81" s="47"/>
    </row>
    <row r="82" spans="2:19" s="33" customFormat="1" ht="33" customHeight="1">
      <c r="B82" s="47" t="s">
        <v>4974</v>
      </c>
      <c r="C82" s="48" t="s">
        <v>586</v>
      </c>
      <c r="D82" s="49" t="s">
        <v>640</v>
      </c>
      <c r="E82" s="50">
        <v>43519</v>
      </c>
      <c r="F82" s="52" t="s">
        <v>4973</v>
      </c>
      <c r="G82" s="51">
        <v>2560</v>
      </c>
      <c r="H82" s="52">
        <f t="shared" si="7"/>
        <v>128</v>
      </c>
      <c r="I82" s="52">
        <f t="shared" si="8"/>
        <v>4</v>
      </c>
      <c r="J82" s="59"/>
      <c r="K82" s="53">
        <v>43611</v>
      </c>
      <c r="L82" s="54" t="s">
        <v>773</v>
      </c>
      <c r="M82" s="55">
        <v>43601</v>
      </c>
      <c r="N82" s="56" t="s">
        <v>3120</v>
      </c>
      <c r="O82" s="55">
        <v>43605</v>
      </c>
      <c r="P82" s="58"/>
      <c r="Q82" s="60" t="s">
        <v>89</v>
      </c>
      <c r="R82" s="57" t="s">
        <v>4985</v>
      </c>
      <c r="S82" s="47" t="s">
        <v>980</v>
      </c>
    </row>
    <row r="83" spans="2:19" s="33" customFormat="1" ht="33" customHeight="1">
      <c r="B83" s="47" t="s">
        <v>4974</v>
      </c>
      <c r="C83" s="48" t="s">
        <v>713</v>
      </c>
      <c r="D83" s="49" t="s">
        <v>714</v>
      </c>
      <c r="E83" s="50">
        <v>43532</v>
      </c>
      <c r="F83" s="52" t="s">
        <v>4973</v>
      </c>
      <c r="G83" s="51">
        <v>1920</v>
      </c>
      <c r="H83" s="52">
        <f t="shared" si="7"/>
        <v>96</v>
      </c>
      <c r="I83" s="52">
        <f t="shared" si="8"/>
        <v>3</v>
      </c>
      <c r="J83" s="59"/>
      <c r="K83" s="53">
        <v>43639</v>
      </c>
      <c r="L83" s="54" t="s">
        <v>1083</v>
      </c>
      <c r="M83" s="55">
        <v>43634</v>
      </c>
      <c r="N83" s="56" t="s">
        <v>1084</v>
      </c>
      <c r="O83" s="55">
        <v>43639</v>
      </c>
      <c r="P83" s="58"/>
      <c r="Q83" s="60" t="s">
        <v>89</v>
      </c>
      <c r="R83" s="57" t="s">
        <v>4984</v>
      </c>
      <c r="S83" s="47"/>
    </row>
    <row r="84" spans="2:19" s="33" customFormat="1" ht="33" customHeight="1">
      <c r="B84" s="47" t="s">
        <v>4974</v>
      </c>
      <c r="C84" s="48" t="s">
        <v>1184</v>
      </c>
      <c r="D84" s="49" t="s">
        <v>1185</v>
      </c>
      <c r="E84" s="50">
        <v>43567</v>
      </c>
      <c r="F84" s="52" t="s">
        <v>4973</v>
      </c>
      <c r="G84" s="51">
        <v>2560</v>
      </c>
      <c r="H84" s="52">
        <f t="shared" si="7"/>
        <v>128</v>
      </c>
      <c r="I84" s="52">
        <f t="shared" si="8"/>
        <v>4</v>
      </c>
      <c r="J84" s="59"/>
      <c r="K84" s="53">
        <v>43653</v>
      </c>
      <c r="L84" s="54" t="s">
        <v>1326</v>
      </c>
      <c r="M84" s="55">
        <v>43648</v>
      </c>
      <c r="N84" s="56" t="s">
        <v>2540</v>
      </c>
      <c r="O84" s="55">
        <v>43653</v>
      </c>
      <c r="P84" s="58"/>
      <c r="Q84" s="60" t="s">
        <v>89</v>
      </c>
      <c r="R84" s="57" t="s">
        <v>4982</v>
      </c>
      <c r="S84" s="47"/>
    </row>
    <row r="85" spans="2:19" s="33" customFormat="1" ht="33" customHeight="1">
      <c r="B85" s="47" t="s">
        <v>4974</v>
      </c>
      <c r="C85" s="48" t="s">
        <v>4983</v>
      </c>
      <c r="D85" s="49" t="s">
        <v>2685</v>
      </c>
      <c r="E85" s="50">
        <v>43609</v>
      </c>
      <c r="F85" s="52" t="s">
        <v>4973</v>
      </c>
      <c r="G85" s="51">
        <v>1280</v>
      </c>
      <c r="H85" s="52">
        <f t="shared" si="7"/>
        <v>64</v>
      </c>
      <c r="I85" s="52">
        <f t="shared" si="8"/>
        <v>2</v>
      </c>
      <c r="J85" s="59"/>
      <c r="K85" s="53">
        <v>43653</v>
      </c>
      <c r="L85" s="54" t="s">
        <v>1326</v>
      </c>
      <c r="M85" s="55">
        <v>43648</v>
      </c>
      <c r="N85" s="56" t="s">
        <v>2540</v>
      </c>
      <c r="O85" s="55">
        <v>43653</v>
      </c>
      <c r="P85" s="58"/>
      <c r="Q85" s="60" t="s">
        <v>89</v>
      </c>
      <c r="R85" s="57" t="s">
        <v>4982</v>
      </c>
      <c r="S85" s="47"/>
    </row>
    <row r="86" spans="2:19" s="33" customFormat="1" ht="33" customHeight="1">
      <c r="B86" s="47" t="s">
        <v>4974</v>
      </c>
      <c r="C86" s="48" t="s">
        <v>2357</v>
      </c>
      <c r="D86" s="49" t="s">
        <v>2358</v>
      </c>
      <c r="E86" s="50">
        <v>43602</v>
      </c>
      <c r="F86" s="52" t="s">
        <v>4973</v>
      </c>
      <c r="G86" s="51">
        <v>2560</v>
      </c>
      <c r="H86" s="52">
        <f t="shared" si="7"/>
        <v>128</v>
      </c>
      <c r="I86" s="52">
        <f t="shared" si="8"/>
        <v>4</v>
      </c>
      <c r="J86" s="59"/>
      <c r="K86" s="53">
        <v>43674</v>
      </c>
      <c r="L86" s="54" t="s">
        <v>2146</v>
      </c>
      <c r="M86" s="55">
        <v>43669</v>
      </c>
      <c r="N86" s="56" t="s">
        <v>2551</v>
      </c>
      <c r="O86" s="55">
        <v>43674</v>
      </c>
      <c r="P86" s="58"/>
      <c r="Q86" s="60" t="s">
        <v>89</v>
      </c>
      <c r="R86" s="57" t="s">
        <v>4981</v>
      </c>
      <c r="S86" s="47"/>
    </row>
    <row r="87" spans="2:19" s="33" customFormat="1" ht="33" customHeight="1">
      <c r="B87" s="47" t="s">
        <v>4974</v>
      </c>
      <c r="C87" s="48" t="s">
        <v>2360</v>
      </c>
      <c r="D87" s="49" t="s">
        <v>4980</v>
      </c>
      <c r="E87" s="50">
        <v>43602</v>
      </c>
      <c r="F87" s="52" t="s">
        <v>4973</v>
      </c>
      <c r="G87" s="51">
        <v>2560</v>
      </c>
      <c r="H87" s="52">
        <f t="shared" si="7"/>
        <v>128</v>
      </c>
      <c r="I87" s="52">
        <f t="shared" si="8"/>
        <v>4</v>
      </c>
      <c r="J87" s="59"/>
      <c r="K87" s="53">
        <v>43695</v>
      </c>
      <c r="L87" s="54" t="s">
        <v>2505</v>
      </c>
      <c r="M87" s="55">
        <v>43683</v>
      </c>
      <c r="N87" s="56" t="s">
        <v>4979</v>
      </c>
      <c r="O87" s="55">
        <v>43688</v>
      </c>
      <c r="P87" s="58"/>
      <c r="Q87" s="60" t="s">
        <v>89</v>
      </c>
      <c r="R87" s="57" t="s">
        <v>4978</v>
      </c>
      <c r="S87" s="47"/>
    </row>
    <row r="88" spans="2:19" s="30" customFormat="1" ht="33" customHeight="1">
      <c r="B88" s="46" t="s">
        <v>4974</v>
      </c>
      <c r="C88" s="35" t="s">
        <v>3429</v>
      </c>
      <c r="D88" s="36" t="s">
        <v>3430</v>
      </c>
      <c r="E88" s="37">
        <v>43637</v>
      </c>
      <c r="F88" s="38" t="s">
        <v>4973</v>
      </c>
      <c r="G88" s="39">
        <v>3840</v>
      </c>
      <c r="H88" s="38">
        <f t="shared" si="7"/>
        <v>192</v>
      </c>
      <c r="I88" s="38">
        <f t="shared" si="8"/>
        <v>6</v>
      </c>
      <c r="J88" s="61"/>
      <c r="K88" s="40">
        <v>43723</v>
      </c>
      <c r="L88" s="41" t="s">
        <v>4977</v>
      </c>
      <c r="M88" s="42">
        <v>43718</v>
      </c>
      <c r="N88" s="43" t="s">
        <v>4976</v>
      </c>
      <c r="O88" s="42">
        <v>43723</v>
      </c>
      <c r="P88" s="45"/>
      <c r="Q88" s="62" t="s">
        <v>89</v>
      </c>
      <c r="R88" s="44" t="s">
        <v>4975</v>
      </c>
      <c r="S88" s="46"/>
    </row>
    <row r="89" spans="2:19" s="30" customFormat="1" ht="33" customHeight="1">
      <c r="B89" s="46" t="s">
        <v>4974</v>
      </c>
      <c r="C89" s="35" t="s">
        <v>4344</v>
      </c>
      <c r="D89" s="36" t="s">
        <v>4345</v>
      </c>
      <c r="E89" s="37">
        <v>43665</v>
      </c>
      <c r="F89" s="38" t="s">
        <v>4973</v>
      </c>
      <c r="G89" s="39">
        <v>3200</v>
      </c>
      <c r="H89" s="38">
        <f t="shared" si="7"/>
        <v>160</v>
      </c>
      <c r="I89" s="38">
        <f t="shared" si="8"/>
        <v>5</v>
      </c>
      <c r="J89" s="61"/>
      <c r="K89" s="40">
        <v>43758</v>
      </c>
      <c r="L89" s="41" t="s">
        <v>4972</v>
      </c>
      <c r="M89" s="42">
        <v>43753</v>
      </c>
      <c r="N89" s="43" t="s">
        <v>4866</v>
      </c>
      <c r="O89" s="42">
        <v>43758</v>
      </c>
      <c r="P89" s="45"/>
      <c r="Q89" s="62" t="s">
        <v>89</v>
      </c>
      <c r="R89" s="44" t="s">
        <v>4971</v>
      </c>
      <c r="S89" s="46"/>
    </row>
    <row r="90" spans="2:19" s="30" customFormat="1" ht="33" customHeight="1">
      <c r="B90" s="122" t="s">
        <v>4970</v>
      </c>
      <c r="C90" s="126" t="s">
        <v>4969</v>
      </c>
      <c r="D90" s="127" t="s">
        <v>4968</v>
      </c>
      <c r="E90" s="128">
        <v>43689</v>
      </c>
      <c r="F90" s="124" t="s">
        <v>4967</v>
      </c>
      <c r="G90" s="129">
        <v>3840</v>
      </c>
      <c r="H90" s="124">
        <f t="shared" si="7"/>
        <v>192</v>
      </c>
      <c r="I90" s="124">
        <f t="shared" si="8"/>
        <v>6</v>
      </c>
      <c r="J90" s="131"/>
      <c r="K90" s="130">
        <v>43786</v>
      </c>
      <c r="L90" s="119" t="s">
        <v>5187</v>
      </c>
      <c r="M90" s="120">
        <v>43781</v>
      </c>
      <c r="N90" s="121" t="s">
        <v>5173</v>
      </c>
      <c r="O90" s="120">
        <v>43786</v>
      </c>
      <c r="P90" s="123"/>
      <c r="Q90" s="132" t="s">
        <v>89</v>
      </c>
      <c r="R90" s="125" t="s">
        <v>4966</v>
      </c>
      <c r="S90" s="122"/>
    </row>
    <row r="91" spans="2:19" s="33" customFormat="1" ht="33" customHeight="1">
      <c r="B91" s="47" t="s">
        <v>38</v>
      </c>
      <c r="C91" s="48" t="s">
        <v>225</v>
      </c>
      <c r="D91" s="49" t="s">
        <v>587</v>
      </c>
      <c r="E91" s="50">
        <v>43519</v>
      </c>
      <c r="F91" s="52" t="s">
        <v>4949</v>
      </c>
      <c r="G91" s="64">
        <v>640</v>
      </c>
      <c r="H91" s="52">
        <f>SUBTOTAL(9,G91)/20</f>
        <v>32</v>
      </c>
      <c r="I91" s="52">
        <f>H91/32</f>
        <v>1</v>
      </c>
      <c r="J91" s="52"/>
      <c r="K91" s="53">
        <v>43583</v>
      </c>
      <c r="L91" s="54" t="s">
        <v>565</v>
      </c>
      <c r="M91" s="55">
        <v>43578</v>
      </c>
      <c r="N91" s="56" t="s">
        <v>4927</v>
      </c>
      <c r="O91" s="55">
        <v>43583</v>
      </c>
      <c r="P91" s="58"/>
      <c r="Q91" s="52"/>
      <c r="R91" s="63" t="s">
        <v>4965</v>
      </c>
      <c r="S91" s="47"/>
    </row>
    <row r="92" spans="2:19" s="30" customFormat="1" ht="33" customHeight="1">
      <c r="B92" s="46" t="s">
        <v>4964</v>
      </c>
      <c r="C92" s="35" t="s">
        <v>226</v>
      </c>
      <c r="D92" s="36" t="s">
        <v>1194</v>
      </c>
      <c r="E92" s="37">
        <v>43567</v>
      </c>
      <c r="F92" s="38" t="s">
        <v>4949</v>
      </c>
      <c r="G92" s="65">
        <v>640</v>
      </c>
      <c r="H92" s="38">
        <f>SUBTOTAL(9,G92)/20</f>
        <v>32</v>
      </c>
      <c r="I92" s="38">
        <f>H92/32</f>
        <v>1</v>
      </c>
      <c r="J92" s="38"/>
      <c r="K92" s="40">
        <v>43758</v>
      </c>
      <c r="L92" s="41" t="s">
        <v>4867</v>
      </c>
      <c r="M92" s="42">
        <v>43753</v>
      </c>
      <c r="N92" s="43" t="s">
        <v>4813</v>
      </c>
      <c r="O92" s="42">
        <v>43758</v>
      </c>
      <c r="P92" s="45"/>
      <c r="Q92" s="38"/>
      <c r="R92" s="66" t="s">
        <v>4963</v>
      </c>
      <c r="S92" s="46"/>
    </row>
    <row r="93" spans="2:19" s="33" customFormat="1" ht="33" customHeight="1">
      <c r="B93" s="47" t="s">
        <v>88</v>
      </c>
      <c r="C93" s="48" t="s">
        <v>431</v>
      </c>
      <c r="D93" s="49" t="s">
        <v>471</v>
      </c>
      <c r="E93" s="50">
        <v>43483</v>
      </c>
      <c r="F93" s="52" t="s">
        <v>4949</v>
      </c>
      <c r="G93" s="64">
        <v>760</v>
      </c>
      <c r="H93" s="52">
        <f t="shared" ref="H93:H100" si="9">SUBTOTAL(9,G93)/190</f>
        <v>4</v>
      </c>
      <c r="I93" s="52">
        <f t="shared" ref="I93:I100" si="10">H93/4</f>
        <v>1</v>
      </c>
      <c r="J93" s="52"/>
      <c r="K93" s="53">
        <v>43569</v>
      </c>
      <c r="L93" s="54" t="s">
        <v>417</v>
      </c>
      <c r="M93" s="55">
        <v>43564</v>
      </c>
      <c r="N93" s="56" t="s">
        <v>4879</v>
      </c>
      <c r="O93" s="55">
        <v>43569</v>
      </c>
      <c r="P93" s="58"/>
      <c r="Q93" s="52"/>
      <c r="R93" s="63" t="s">
        <v>4962</v>
      </c>
      <c r="S93" s="47"/>
    </row>
    <row r="94" spans="2:19" s="33" customFormat="1" ht="33" customHeight="1">
      <c r="B94" s="47" t="s">
        <v>88</v>
      </c>
      <c r="C94" s="48" t="s">
        <v>523</v>
      </c>
      <c r="D94" s="49" t="s">
        <v>588</v>
      </c>
      <c r="E94" s="50">
        <v>43511</v>
      </c>
      <c r="F94" s="52" t="s">
        <v>4949</v>
      </c>
      <c r="G94" s="64">
        <v>760</v>
      </c>
      <c r="H94" s="52">
        <f t="shared" si="9"/>
        <v>4</v>
      </c>
      <c r="I94" s="52">
        <f t="shared" si="10"/>
        <v>1</v>
      </c>
      <c r="J94" s="52"/>
      <c r="K94" s="53">
        <v>43583</v>
      </c>
      <c r="L94" s="54" t="s">
        <v>565</v>
      </c>
      <c r="M94" s="55">
        <v>43578</v>
      </c>
      <c r="N94" s="56" t="s">
        <v>4927</v>
      </c>
      <c r="O94" s="55">
        <v>43583</v>
      </c>
      <c r="P94" s="58"/>
      <c r="Q94" s="52"/>
      <c r="R94" s="63" t="s">
        <v>4961</v>
      </c>
      <c r="S94" s="47"/>
    </row>
    <row r="95" spans="2:19" s="33" customFormat="1" ht="33" customHeight="1">
      <c r="B95" s="47" t="s">
        <v>88</v>
      </c>
      <c r="C95" s="48" t="s">
        <v>589</v>
      </c>
      <c r="D95" s="49" t="s">
        <v>590</v>
      </c>
      <c r="E95" s="50">
        <v>43519</v>
      </c>
      <c r="F95" s="52" t="s">
        <v>4949</v>
      </c>
      <c r="G95" s="64">
        <v>760</v>
      </c>
      <c r="H95" s="52">
        <f t="shared" si="9"/>
        <v>4</v>
      </c>
      <c r="I95" s="52">
        <f t="shared" si="10"/>
        <v>1</v>
      </c>
      <c r="J95" s="52"/>
      <c r="K95" s="53">
        <v>43597</v>
      </c>
      <c r="L95" s="54" t="s">
        <v>4960</v>
      </c>
      <c r="M95" s="55">
        <v>43592</v>
      </c>
      <c r="N95" s="56" t="s">
        <v>4959</v>
      </c>
      <c r="O95" s="55">
        <v>43597</v>
      </c>
      <c r="P95" s="58"/>
      <c r="Q95" s="52"/>
      <c r="R95" s="63" t="s">
        <v>4958</v>
      </c>
      <c r="S95" s="47"/>
    </row>
    <row r="96" spans="2:19" s="33" customFormat="1" ht="33" customHeight="1">
      <c r="B96" s="47" t="s">
        <v>88</v>
      </c>
      <c r="C96" s="48" t="s">
        <v>4957</v>
      </c>
      <c r="D96" s="49" t="s">
        <v>1207</v>
      </c>
      <c r="E96" s="50">
        <v>43567</v>
      </c>
      <c r="F96" s="52" t="s">
        <v>4949</v>
      </c>
      <c r="G96" s="64">
        <v>760</v>
      </c>
      <c r="H96" s="52">
        <f t="shared" si="9"/>
        <v>4</v>
      </c>
      <c r="I96" s="52">
        <f t="shared" si="10"/>
        <v>1</v>
      </c>
      <c r="J96" s="52"/>
      <c r="K96" s="53">
        <v>43667</v>
      </c>
      <c r="L96" s="54" t="s">
        <v>4955</v>
      </c>
      <c r="M96" s="55">
        <v>43655</v>
      </c>
      <c r="N96" s="56" t="s">
        <v>4954</v>
      </c>
      <c r="O96" s="55">
        <v>43660</v>
      </c>
      <c r="P96" s="58"/>
      <c r="Q96" s="52"/>
      <c r="R96" s="63" t="s">
        <v>4953</v>
      </c>
      <c r="S96" s="47" t="s">
        <v>980</v>
      </c>
    </row>
    <row r="97" spans="2:19" s="33" customFormat="1" ht="33" customHeight="1">
      <c r="B97" s="47" t="s">
        <v>88</v>
      </c>
      <c r="C97" s="48" t="s">
        <v>2079</v>
      </c>
      <c r="D97" s="49" t="s">
        <v>4956</v>
      </c>
      <c r="E97" s="50">
        <v>43602</v>
      </c>
      <c r="F97" s="52" t="s">
        <v>4949</v>
      </c>
      <c r="G97" s="64">
        <v>760</v>
      </c>
      <c r="H97" s="52">
        <f t="shared" si="9"/>
        <v>4</v>
      </c>
      <c r="I97" s="52">
        <f t="shared" si="10"/>
        <v>1</v>
      </c>
      <c r="J97" s="52"/>
      <c r="K97" s="53">
        <v>43667</v>
      </c>
      <c r="L97" s="54" t="s">
        <v>4955</v>
      </c>
      <c r="M97" s="55">
        <v>43655</v>
      </c>
      <c r="N97" s="56" t="s">
        <v>4954</v>
      </c>
      <c r="O97" s="55">
        <v>43660</v>
      </c>
      <c r="P97" s="58"/>
      <c r="Q97" s="52"/>
      <c r="R97" s="63" t="s">
        <v>4953</v>
      </c>
      <c r="S97" s="47" t="s">
        <v>980</v>
      </c>
    </row>
    <row r="98" spans="2:19" s="30" customFormat="1" ht="33" customHeight="1">
      <c r="B98" s="46" t="s">
        <v>88</v>
      </c>
      <c r="C98" s="35" t="s">
        <v>2378</v>
      </c>
      <c r="D98" s="36" t="s">
        <v>2379</v>
      </c>
      <c r="E98" s="37">
        <v>43602</v>
      </c>
      <c r="F98" s="38" t="s">
        <v>4949</v>
      </c>
      <c r="G98" s="65">
        <v>760</v>
      </c>
      <c r="H98" s="38">
        <f t="shared" si="9"/>
        <v>4</v>
      </c>
      <c r="I98" s="38">
        <f t="shared" si="10"/>
        <v>1</v>
      </c>
      <c r="J98" s="38"/>
      <c r="K98" s="40">
        <v>43702</v>
      </c>
      <c r="L98" s="41" t="s">
        <v>4870</v>
      </c>
      <c r="M98" s="42">
        <v>43697</v>
      </c>
      <c r="N98" s="43" t="s">
        <v>4869</v>
      </c>
      <c r="O98" s="42">
        <v>43702</v>
      </c>
      <c r="P98" s="45"/>
      <c r="Q98" s="38"/>
      <c r="R98" s="66" t="s">
        <v>4952</v>
      </c>
      <c r="S98" s="46"/>
    </row>
    <row r="99" spans="2:19" s="30" customFormat="1" ht="33" customHeight="1">
      <c r="B99" s="46" t="s">
        <v>88</v>
      </c>
      <c r="C99" s="35" t="s">
        <v>2430</v>
      </c>
      <c r="D99" s="36" t="s">
        <v>3457</v>
      </c>
      <c r="E99" s="37">
        <v>43637</v>
      </c>
      <c r="F99" s="38" t="s">
        <v>4949</v>
      </c>
      <c r="G99" s="65">
        <v>760</v>
      </c>
      <c r="H99" s="38">
        <f t="shared" si="9"/>
        <v>4</v>
      </c>
      <c r="I99" s="38">
        <f t="shared" si="10"/>
        <v>1</v>
      </c>
      <c r="J99" s="38"/>
      <c r="K99" s="40">
        <v>43731</v>
      </c>
      <c r="L99" s="41" t="s">
        <v>4951</v>
      </c>
      <c r="M99" s="42">
        <v>43725</v>
      </c>
      <c r="N99" s="43" t="s">
        <v>4909</v>
      </c>
      <c r="O99" s="42">
        <v>43730</v>
      </c>
      <c r="P99" s="45"/>
      <c r="Q99" s="38"/>
      <c r="R99" s="66" t="s">
        <v>4950</v>
      </c>
      <c r="S99" s="46"/>
    </row>
    <row r="100" spans="2:19" s="30" customFormat="1" ht="33" customHeight="1">
      <c r="B100" s="46" t="s">
        <v>88</v>
      </c>
      <c r="C100" s="35" t="s">
        <v>2527</v>
      </c>
      <c r="D100" s="36" t="s">
        <v>4369</v>
      </c>
      <c r="E100" s="37">
        <v>43657</v>
      </c>
      <c r="F100" s="38" t="s">
        <v>4949</v>
      </c>
      <c r="G100" s="65">
        <v>760</v>
      </c>
      <c r="H100" s="38">
        <f t="shared" si="9"/>
        <v>4</v>
      </c>
      <c r="I100" s="38">
        <f t="shared" si="10"/>
        <v>1</v>
      </c>
      <c r="J100" s="38"/>
      <c r="K100" s="40">
        <v>43758</v>
      </c>
      <c r="L100" s="41" t="s">
        <v>4867</v>
      </c>
      <c r="M100" s="42">
        <v>43753</v>
      </c>
      <c r="N100" s="43" t="s">
        <v>4813</v>
      </c>
      <c r="O100" s="42">
        <v>43758</v>
      </c>
      <c r="P100" s="45"/>
      <c r="Q100" s="38"/>
      <c r="R100" s="66" t="s">
        <v>4948</v>
      </c>
      <c r="S100" s="46"/>
    </row>
    <row r="101" spans="2:19" s="33" customFormat="1" ht="33" customHeight="1">
      <c r="B101" s="47" t="s">
        <v>5200</v>
      </c>
      <c r="C101" s="48" t="s">
        <v>244</v>
      </c>
      <c r="D101" s="49" t="s">
        <v>722</v>
      </c>
      <c r="E101" s="50">
        <v>43483</v>
      </c>
      <c r="F101" s="52" t="s">
        <v>77</v>
      </c>
      <c r="G101" s="51">
        <v>6720</v>
      </c>
      <c r="H101" s="52">
        <f t="shared" ref="H101:H109" si="11">SUM(G101/240)</f>
        <v>28</v>
      </c>
      <c r="I101" s="52">
        <f t="shared" ref="I101:I109" si="12">SUM(H101/4)</f>
        <v>7</v>
      </c>
      <c r="J101" s="52"/>
      <c r="K101" s="53">
        <v>43569</v>
      </c>
      <c r="L101" s="54" t="s">
        <v>480</v>
      </c>
      <c r="M101" s="55">
        <v>43564</v>
      </c>
      <c r="N101" s="56" t="s">
        <v>646</v>
      </c>
      <c r="O101" s="55">
        <v>43569</v>
      </c>
      <c r="P101" s="58" t="s">
        <v>4947</v>
      </c>
      <c r="Q101" s="52"/>
      <c r="R101" s="118" t="s">
        <v>4944</v>
      </c>
      <c r="S101" s="47"/>
    </row>
    <row r="102" spans="2:19" s="33" customFormat="1" ht="33" customHeight="1">
      <c r="B102" s="47" t="s">
        <v>5200</v>
      </c>
      <c r="C102" s="48" t="s">
        <v>4946</v>
      </c>
      <c r="D102" s="49" t="s">
        <v>472</v>
      </c>
      <c r="E102" s="50">
        <v>43483</v>
      </c>
      <c r="F102" s="52" t="s">
        <v>77</v>
      </c>
      <c r="G102" s="51">
        <v>5760</v>
      </c>
      <c r="H102" s="52">
        <f t="shared" si="11"/>
        <v>24</v>
      </c>
      <c r="I102" s="52">
        <f t="shared" si="12"/>
        <v>6</v>
      </c>
      <c r="J102" s="52"/>
      <c r="K102" s="53">
        <v>43583</v>
      </c>
      <c r="L102" s="54" t="s">
        <v>448</v>
      </c>
      <c r="M102" s="55">
        <v>43578</v>
      </c>
      <c r="N102" s="56" t="s">
        <v>4927</v>
      </c>
      <c r="O102" s="55">
        <v>43583</v>
      </c>
      <c r="P102" s="58" t="s">
        <v>4945</v>
      </c>
      <c r="Q102" s="52"/>
      <c r="R102" s="118" t="s">
        <v>4944</v>
      </c>
      <c r="S102" s="47"/>
    </row>
    <row r="103" spans="2:19" s="33" customFormat="1" ht="33" customHeight="1">
      <c r="B103" s="47" t="s">
        <v>5200</v>
      </c>
      <c r="C103" s="48" t="s">
        <v>258</v>
      </c>
      <c r="D103" s="49" t="s">
        <v>591</v>
      </c>
      <c r="E103" s="50">
        <v>43519</v>
      </c>
      <c r="F103" s="52" t="s">
        <v>77</v>
      </c>
      <c r="G103" s="51">
        <v>5760</v>
      </c>
      <c r="H103" s="52">
        <f t="shared" si="11"/>
        <v>24</v>
      </c>
      <c r="I103" s="52">
        <f t="shared" si="12"/>
        <v>6</v>
      </c>
      <c r="J103" s="52"/>
      <c r="K103" s="53">
        <v>43605</v>
      </c>
      <c r="L103" s="54" t="s">
        <v>4943</v>
      </c>
      <c r="M103" s="55">
        <v>43601</v>
      </c>
      <c r="N103" s="56" t="s">
        <v>4942</v>
      </c>
      <c r="O103" s="55">
        <v>43605</v>
      </c>
      <c r="P103" s="58" t="s">
        <v>4941</v>
      </c>
      <c r="Q103" s="52"/>
      <c r="R103" s="118" t="s">
        <v>4940</v>
      </c>
      <c r="S103" s="47"/>
    </row>
    <row r="104" spans="2:19" s="33" customFormat="1" ht="33" customHeight="1">
      <c r="B104" s="47" t="s">
        <v>5200</v>
      </c>
      <c r="C104" s="48" t="s">
        <v>321</v>
      </c>
      <c r="D104" s="49" t="s">
        <v>727</v>
      </c>
      <c r="E104" s="50">
        <v>43532</v>
      </c>
      <c r="F104" s="52" t="s">
        <v>77</v>
      </c>
      <c r="G104" s="51">
        <v>6720</v>
      </c>
      <c r="H104" s="52">
        <f t="shared" si="11"/>
        <v>28</v>
      </c>
      <c r="I104" s="52">
        <f t="shared" si="12"/>
        <v>7</v>
      </c>
      <c r="J104" s="52"/>
      <c r="K104" s="53">
        <v>43633</v>
      </c>
      <c r="L104" s="54" t="s">
        <v>807</v>
      </c>
      <c r="M104" s="55">
        <v>43627</v>
      </c>
      <c r="N104" s="56" t="s">
        <v>808</v>
      </c>
      <c r="O104" s="55">
        <v>43632</v>
      </c>
      <c r="P104" s="58"/>
      <c r="Q104" s="52"/>
      <c r="R104" s="118" t="s">
        <v>4939</v>
      </c>
      <c r="S104" s="47"/>
    </row>
    <row r="105" spans="2:19" s="33" customFormat="1" ht="33" customHeight="1">
      <c r="B105" s="47" t="s">
        <v>5200</v>
      </c>
      <c r="C105" s="48" t="s">
        <v>324</v>
      </c>
      <c r="D105" s="49" t="s">
        <v>1234</v>
      </c>
      <c r="E105" s="50">
        <v>43567</v>
      </c>
      <c r="F105" s="52" t="s">
        <v>77</v>
      </c>
      <c r="G105" s="51">
        <v>5760</v>
      </c>
      <c r="H105" s="52">
        <f t="shared" si="11"/>
        <v>24</v>
      </c>
      <c r="I105" s="52">
        <f t="shared" si="12"/>
        <v>6</v>
      </c>
      <c r="J105" s="52"/>
      <c r="K105" s="53">
        <v>43674</v>
      </c>
      <c r="L105" s="54" t="s">
        <v>4938</v>
      </c>
      <c r="M105" s="55">
        <v>43669</v>
      </c>
      <c r="N105" s="56" t="s">
        <v>4937</v>
      </c>
      <c r="O105" s="55">
        <v>43674</v>
      </c>
      <c r="P105" s="58"/>
      <c r="Q105" s="52"/>
      <c r="R105" s="118" t="s">
        <v>4936</v>
      </c>
      <c r="S105" s="47"/>
    </row>
    <row r="106" spans="2:19" s="30" customFormat="1" ht="33" customHeight="1">
      <c r="B106" s="46" t="s">
        <v>5200</v>
      </c>
      <c r="C106" s="35" t="s">
        <v>430</v>
      </c>
      <c r="D106" s="36" t="s">
        <v>2696</v>
      </c>
      <c r="E106" s="37">
        <v>43609</v>
      </c>
      <c r="F106" s="38" t="s">
        <v>77</v>
      </c>
      <c r="G106" s="39">
        <v>7680</v>
      </c>
      <c r="H106" s="38">
        <f t="shared" si="11"/>
        <v>32</v>
      </c>
      <c r="I106" s="38">
        <f t="shared" si="12"/>
        <v>8</v>
      </c>
      <c r="J106" s="38"/>
      <c r="K106" s="40">
        <v>43702</v>
      </c>
      <c r="L106" s="41" t="s">
        <v>2509</v>
      </c>
      <c r="M106" s="42">
        <v>43697</v>
      </c>
      <c r="N106" s="43" t="s">
        <v>2498</v>
      </c>
      <c r="O106" s="42">
        <v>43702</v>
      </c>
      <c r="P106" s="45"/>
      <c r="Q106" s="38"/>
      <c r="R106" s="115" t="s">
        <v>4935</v>
      </c>
      <c r="S106" s="46"/>
    </row>
    <row r="107" spans="2:19" s="30" customFormat="1" ht="33" customHeight="1">
      <c r="B107" s="46" t="s">
        <v>5198</v>
      </c>
      <c r="C107" s="35" t="s">
        <v>519</v>
      </c>
      <c r="D107" s="36" t="s">
        <v>3473</v>
      </c>
      <c r="E107" s="37">
        <v>43637</v>
      </c>
      <c r="F107" s="38" t="s">
        <v>77</v>
      </c>
      <c r="G107" s="39">
        <v>9600</v>
      </c>
      <c r="H107" s="38">
        <f t="shared" si="11"/>
        <v>40</v>
      </c>
      <c r="I107" s="38">
        <f t="shared" si="12"/>
        <v>10</v>
      </c>
      <c r="J107" s="38"/>
      <c r="K107" s="40">
        <v>43716</v>
      </c>
      <c r="L107" s="41" t="s">
        <v>4891</v>
      </c>
      <c r="M107" s="42">
        <v>43711</v>
      </c>
      <c r="N107" s="43" t="s">
        <v>4890</v>
      </c>
      <c r="O107" s="42">
        <v>43716</v>
      </c>
      <c r="P107" s="45"/>
      <c r="Q107" s="38"/>
      <c r="R107" s="115" t="s">
        <v>4934</v>
      </c>
      <c r="S107" s="46"/>
    </row>
    <row r="108" spans="2:19" s="30" customFormat="1" ht="33" customHeight="1">
      <c r="B108" s="46" t="s">
        <v>5199</v>
      </c>
      <c r="C108" s="35" t="s">
        <v>520</v>
      </c>
      <c r="D108" s="36" t="s">
        <v>4386</v>
      </c>
      <c r="E108" s="37">
        <v>43665</v>
      </c>
      <c r="F108" s="38" t="s">
        <v>77</v>
      </c>
      <c r="G108" s="39">
        <v>5760</v>
      </c>
      <c r="H108" s="38">
        <f t="shared" si="11"/>
        <v>24</v>
      </c>
      <c r="I108" s="38">
        <f t="shared" si="12"/>
        <v>6</v>
      </c>
      <c r="J108" s="38"/>
      <c r="K108" s="40">
        <v>43765</v>
      </c>
      <c r="L108" s="41" t="s">
        <v>4477</v>
      </c>
      <c r="M108" s="42">
        <v>43760</v>
      </c>
      <c r="N108" s="43" t="s">
        <v>4901</v>
      </c>
      <c r="O108" s="42">
        <v>43765</v>
      </c>
      <c r="P108" s="45"/>
      <c r="Q108" s="38"/>
      <c r="R108" s="115" t="s">
        <v>4933</v>
      </c>
      <c r="S108" s="46"/>
    </row>
    <row r="109" spans="2:19" s="30" customFormat="1" ht="33" customHeight="1">
      <c r="B109" s="122" t="s">
        <v>5199</v>
      </c>
      <c r="C109" s="126" t="s">
        <v>586</v>
      </c>
      <c r="D109" s="127" t="s">
        <v>4932</v>
      </c>
      <c r="E109" s="128">
        <v>43689</v>
      </c>
      <c r="F109" s="124" t="s">
        <v>77</v>
      </c>
      <c r="G109" s="129">
        <v>5760</v>
      </c>
      <c r="H109" s="124">
        <f t="shared" si="11"/>
        <v>24</v>
      </c>
      <c r="I109" s="124">
        <f t="shared" si="12"/>
        <v>6</v>
      </c>
      <c r="J109" s="124"/>
      <c r="K109" s="130">
        <v>43793</v>
      </c>
      <c r="L109" s="119" t="s">
        <v>5188</v>
      </c>
      <c r="M109" s="120">
        <v>43788</v>
      </c>
      <c r="N109" s="121" t="s">
        <v>5174</v>
      </c>
      <c r="O109" s="120">
        <v>43793</v>
      </c>
      <c r="P109" s="123"/>
      <c r="Q109" s="124"/>
      <c r="R109" s="133" t="s">
        <v>4931</v>
      </c>
      <c r="S109" s="122"/>
    </row>
    <row r="110" spans="2:19" s="34" customFormat="1" ht="33" customHeight="1">
      <c r="B110" s="47" t="s">
        <v>5204</v>
      </c>
      <c r="C110" s="48" t="s">
        <v>226</v>
      </c>
      <c r="D110" s="49" t="s">
        <v>593</v>
      </c>
      <c r="E110" s="50">
        <v>43483</v>
      </c>
      <c r="F110" s="52" t="s">
        <v>218</v>
      </c>
      <c r="G110" s="51">
        <v>640</v>
      </c>
      <c r="H110" s="52">
        <f t="shared" ref="H110:H144" si="13">SUM(G110/20)</f>
        <v>32</v>
      </c>
      <c r="I110" s="52">
        <f t="shared" ref="I110:I144" si="14">SUM(H110/32)</f>
        <v>1</v>
      </c>
      <c r="J110" s="52"/>
      <c r="K110" s="53">
        <v>43534</v>
      </c>
      <c r="L110" s="54" t="s">
        <v>4930</v>
      </c>
      <c r="M110" s="55"/>
      <c r="N110" s="56"/>
      <c r="O110" s="55">
        <v>43520</v>
      </c>
      <c r="P110" s="58" t="s">
        <v>651</v>
      </c>
      <c r="Q110" s="52"/>
      <c r="R110" s="63" t="s">
        <v>211</v>
      </c>
      <c r="S110" s="52"/>
    </row>
    <row r="111" spans="2:19" s="34" customFormat="1" ht="33" customHeight="1">
      <c r="B111" s="47" t="s">
        <v>5202</v>
      </c>
      <c r="C111" s="48" t="s">
        <v>285</v>
      </c>
      <c r="D111" s="49" t="s">
        <v>526</v>
      </c>
      <c r="E111" s="50">
        <v>43507</v>
      </c>
      <c r="F111" s="52" t="s">
        <v>218</v>
      </c>
      <c r="G111" s="51">
        <v>3200</v>
      </c>
      <c r="H111" s="52">
        <f t="shared" si="13"/>
        <v>160</v>
      </c>
      <c r="I111" s="52">
        <f t="shared" si="14"/>
        <v>5</v>
      </c>
      <c r="J111" s="52"/>
      <c r="K111" s="53">
        <v>43576</v>
      </c>
      <c r="L111" s="54" t="s">
        <v>503</v>
      </c>
      <c r="M111" s="55">
        <v>43571</v>
      </c>
      <c r="N111" s="56" t="s">
        <v>4929</v>
      </c>
      <c r="O111" s="55">
        <v>43576</v>
      </c>
      <c r="P111" s="58"/>
      <c r="Q111" s="52" t="s">
        <v>643</v>
      </c>
      <c r="R111" s="63" t="s">
        <v>211</v>
      </c>
      <c r="S111" s="52"/>
    </row>
    <row r="112" spans="2:19" s="34" customFormat="1" ht="33" customHeight="1">
      <c r="B112" s="47" t="s">
        <v>5202</v>
      </c>
      <c r="C112" s="48" t="s">
        <v>4928</v>
      </c>
      <c r="D112" s="49" t="s">
        <v>526</v>
      </c>
      <c r="E112" s="50">
        <v>43507</v>
      </c>
      <c r="F112" s="52" t="s">
        <v>218</v>
      </c>
      <c r="G112" s="51">
        <v>640</v>
      </c>
      <c r="H112" s="52">
        <f t="shared" si="13"/>
        <v>32</v>
      </c>
      <c r="I112" s="52">
        <f t="shared" si="14"/>
        <v>1</v>
      </c>
      <c r="J112" s="52"/>
      <c r="K112" s="53">
        <v>43576</v>
      </c>
      <c r="L112" s="54" t="s">
        <v>448</v>
      </c>
      <c r="M112" s="55">
        <v>43578</v>
      </c>
      <c r="N112" s="56" t="s">
        <v>4927</v>
      </c>
      <c r="O112" s="55">
        <v>43583</v>
      </c>
      <c r="P112" s="58"/>
      <c r="Q112" s="52" t="s">
        <v>643</v>
      </c>
      <c r="R112" s="63" t="s">
        <v>211</v>
      </c>
      <c r="S112" s="52"/>
    </row>
    <row r="113" spans="2:19" s="34" customFormat="1" ht="33" customHeight="1">
      <c r="B113" s="47" t="s">
        <v>5202</v>
      </c>
      <c r="C113" s="48" t="s">
        <v>331</v>
      </c>
      <c r="D113" s="49" t="s">
        <v>4924</v>
      </c>
      <c r="E113" s="50">
        <v>43519</v>
      </c>
      <c r="F113" s="52" t="s">
        <v>218</v>
      </c>
      <c r="G113" s="51">
        <v>3200</v>
      </c>
      <c r="H113" s="52">
        <f t="shared" si="13"/>
        <v>160</v>
      </c>
      <c r="I113" s="52">
        <f t="shared" si="14"/>
        <v>5</v>
      </c>
      <c r="J113" s="52"/>
      <c r="K113" s="53">
        <v>43562</v>
      </c>
      <c r="L113" s="54" t="s">
        <v>608</v>
      </c>
      <c r="M113" s="55">
        <v>43557</v>
      </c>
      <c r="N113" s="56" t="s">
        <v>4926</v>
      </c>
      <c r="O113" s="55">
        <v>43562</v>
      </c>
      <c r="P113" s="58"/>
      <c r="Q113" s="52" t="s">
        <v>642</v>
      </c>
      <c r="R113" s="63" t="s">
        <v>211</v>
      </c>
      <c r="S113" s="52"/>
    </row>
    <row r="114" spans="2:19" s="34" customFormat="1" ht="33" customHeight="1">
      <c r="B114" s="47" t="s">
        <v>5202</v>
      </c>
      <c r="C114" s="48" t="s">
        <v>4925</v>
      </c>
      <c r="D114" s="49" t="s">
        <v>4924</v>
      </c>
      <c r="E114" s="50">
        <v>43519</v>
      </c>
      <c r="F114" s="52" t="s">
        <v>218</v>
      </c>
      <c r="G114" s="51">
        <v>640</v>
      </c>
      <c r="H114" s="52">
        <f t="shared" si="13"/>
        <v>32</v>
      </c>
      <c r="I114" s="52">
        <f t="shared" si="14"/>
        <v>1</v>
      </c>
      <c r="J114" s="52"/>
      <c r="K114" s="53">
        <v>43562</v>
      </c>
      <c r="L114" s="54" t="s">
        <v>480</v>
      </c>
      <c r="M114" s="55">
        <v>43564</v>
      </c>
      <c r="N114" s="56" t="s">
        <v>646</v>
      </c>
      <c r="O114" s="55">
        <v>43569</v>
      </c>
      <c r="P114" s="58"/>
      <c r="Q114" s="52" t="s">
        <v>642</v>
      </c>
      <c r="R114" s="63" t="s">
        <v>211</v>
      </c>
      <c r="S114" s="52"/>
    </row>
    <row r="115" spans="2:19" s="34" customFormat="1" ht="33" customHeight="1">
      <c r="B115" s="47" t="s">
        <v>5202</v>
      </c>
      <c r="C115" s="48" t="s">
        <v>2527</v>
      </c>
      <c r="D115" s="199" t="s">
        <v>4923</v>
      </c>
      <c r="E115" s="50">
        <v>43609</v>
      </c>
      <c r="F115" s="52" t="s">
        <v>218</v>
      </c>
      <c r="G115" s="51">
        <v>120</v>
      </c>
      <c r="H115" s="52">
        <f t="shared" si="13"/>
        <v>6</v>
      </c>
      <c r="I115" s="52">
        <f t="shared" si="14"/>
        <v>0.1875</v>
      </c>
      <c r="J115" s="52"/>
      <c r="K115" s="53">
        <v>43646</v>
      </c>
      <c r="L115" s="54" t="s">
        <v>1083</v>
      </c>
      <c r="M115" s="55">
        <v>43634</v>
      </c>
      <c r="N115" s="56" t="s">
        <v>1084</v>
      </c>
      <c r="O115" s="55">
        <v>43639</v>
      </c>
      <c r="P115" s="58"/>
      <c r="Q115" s="63" t="s">
        <v>2543</v>
      </c>
      <c r="R115" s="63" t="s">
        <v>4900</v>
      </c>
      <c r="S115" s="52"/>
    </row>
    <row r="116" spans="2:19" s="34" customFormat="1" ht="33" customHeight="1">
      <c r="B116" s="47" t="s">
        <v>5203</v>
      </c>
      <c r="C116" s="48" t="s">
        <v>2531</v>
      </c>
      <c r="D116" s="199" t="s">
        <v>4923</v>
      </c>
      <c r="E116" s="50">
        <v>43609</v>
      </c>
      <c r="F116" s="52" t="s">
        <v>4881</v>
      </c>
      <c r="G116" s="51">
        <v>120</v>
      </c>
      <c r="H116" s="52">
        <f t="shared" si="13"/>
        <v>6</v>
      </c>
      <c r="I116" s="52">
        <f t="shared" si="14"/>
        <v>0.1875</v>
      </c>
      <c r="J116" s="52"/>
      <c r="K116" s="53">
        <v>43646</v>
      </c>
      <c r="L116" s="54" t="s">
        <v>1083</v>
      </c>
      <c r="M116" s="55">
        <v>43634</v>
      </c>
      <c r="N116" s="56" t="s">
        <v>1084</v>
      </c>
      <c r="O116" s="55">
        <v>43639</v>
      </c>
      <c r="P116" s="58"/>
      <c r="Q116" s="63" t="s">
        <v>2544</v>
      </c>
      <c r="R116" s="63" t="s">
        <v>4900</v>
      </c>
      <c r="S116" s="52"/>
    </row>
    <row r="117" spans="2:19" s="34" customFormat="1" ht="33" customHeight="1">
      <c r="B117" s="47" t="s">
        <v>5202</v>
      </c>
      <c r="C117" s="48" t="s">
        <v>431</v>
      </c>
      <c r="D117" s="49" t="s">
        <v>4920</v>
      </c>
      <c r="E117" s="50">
        <v>43523</v>
      </c>
      <c r="F117" s="52" t="s">
        <v>218</v>
      </c>
      <c r="G117" s="51">
        <v>3200</v>
      </c>
      <c r="H117" s="52">
        <f t="shared" si="13"/>
        <v>160</v>
      </c>
      <c r="I117" s="52">
        <f t="shared" si="14"/>
        <v>5</v>
      </c>
      <c r="J117" s="52"/>
      <c r="K117" s="53">
        <v>43597</v>
      </c>
      <c r="L117" s="54" t="s">
        <v>605</v>
      </c>
      <c r="M117" s="55">
        <v>43594</v>
      </c>
      <c r="N117" s="56" t="s">
        <v>4922</v>
      </c>
      <c r="O117" s="55">
        <v>43598</v>
      </c>
      <c r="P117" s="58"/>
      <c r="Q117" s="52" t="s">
        <v>641</v>
      </c>
      <c r="R117" s="63" t="s">
        <v>211</v>
      </c>
      <c r="S117" s="52"/>
    </row>
    <row r="118" spans="2:19" s="34" customFormat="1" ht="33" customHeight="1">
      <c r="B118" s="47" t="s">
        <v>5202</v>
      </c>
      <c r="C118" s="48" t="s">
        <v>4921</v>
      </c>
      <c r="D118" s="49" t="s">
        <v>4920</v>
      </c>
      <c r="E118" s="50">
        <v>43523</v>
      </c>
      <c r="F118" s="52" t="s">
        <v>218</v>
      </c>
      <c r="G118" s="51">
        <v>640</v>
      </c>
      <c r="H118" s="52">
        <f t="shared" si="13"/>
        <v>32</v>
      </c>
      <c r="I118" s="52">
        <f t="shared" si="14"/>
        <v>1</v>
      </c>
      <c r="J118" s="52"/>
      <c r="K118" s="53">
        <v>43618</v>
      </c>
      <c r="L118" s="54" t="s">
        <v>4918</v>
      </c>
      <c r="M118" s="55">
        <v>43613</v>
      </c>
      <c r="N118" s="56" t="s">
        <v>4917</v>
      </c>
      <c r="O118" s="55">
        <v>43618</v>
      </c>
      <c r="P118" s="58"/>
      <c r="Q118" s="52" t="s">
        <v>641</v>
      </c>
      <c r="R118" s="63" t="s">
        <v>211</v>
      </c>
      <c r="S118" s="52"/>
    </row>
    <row r="119" spans="2:19" s="34" customFormat="1" ht="33" customHeight="1">
      <c r="B119" s="47" t="s">
        <v>5202</v>
      </c>
      <c r="C119" s="48" t="s">
        <v>4919</v>
      </c>
      <c r="D119" s="49" t="s">
        <v>739</v>
      </c>
      <c r="E119" s="50">
        <v>43532</v>
      </c>
      <c r="F119" s="52" t="s">
        <v>218</v>
      </c>
      <c r="G119" s="51">
        <v>2560</v>
      </c>
      <c r="H119" s="52">
        <f t="shared" si="13"/>
        <v>128</v>
      </c>
      <c r="I119" s="52">
        <f t="shared" si="14"/>
        <v>4</v>
      </c>
      <c r="J119" s="52"/>
      <c r="K119" s="53">
        <v>43618</v>
      </c>
      <c r="L119" s="54" t="s">
        <v>4918</v>
      </c>
      <c r="M119" s="55">
        <v>43613</v>
      </c>
      <c r="N119" s="56" t="s">
        <v>4917</v>
      </c>
      <c r="O119" s="55">
        <v>43618</v>
      </c>
      <c r="P119" s="58"/>
      <c r="Q119" s="52" t="s">
        <v>970</v>
      </c>
      <c r="R119" s="63" t="s">
        <v>211</v>
      </c>
      <c r="S119" s="52"/>
    </row>
    <row r="120" spans="2:19" s="34" customFormat="1" ht="33" customHeight="1">
      <c r="B120" s="47" t="s">
        <v>5202</v>
      </c>
      <c r="C120" s="48" t="s">
        <v>589</v>
      </c>
      <c r="D120" s="49" t="s">
        <v>1260</v>
      </c>
      <c r="E120" s="50">
        <v>43558</v>
      </c>
      <c r="F120" s="52" t="s">
        <v>218</v>
      </c>
      <c r="G120" s="51">
        <v>3200</v>
      </c>
      <c r="H120" s="52">
        <f t="shared" si="13"/>
        <v>160</v>
      </c>
      <c r="I120" s="52">
        <f t="shared" si="14"/>
        <v>5</v>
      </c>
      <c r="J120" s="52"/>
      <c r="K120" s="53">
        <v>43639</v>
      </c>
      <c r="L120" s="54" t="s">
        <v>4916</v>
      </c>
      <c r="M120" s="55">
        <v>43634</v>
      </c>
      <c r="N120" s="56" t="s">
        <v>4915</v>
      </c>
      <c r="O120" s="55">
        <v>43639</v>
      </c>
      <c r="P120" s="58"/>
      <c r="Q120" s="52" t="s">
        <v>973</v>
      </c>
      <c r="R120" s="63" t="s">
        <v>211</v>
      </c>
      <c r="S120" s="52"/>
    </row>
    <row r="121" spans="2:19" s="34" customFormat="1" ht="33" customHeight="1">
      <c r="B121" s="47" t="s">
        <v>5202</v>
      </c>
      <c r="C121" s="48" t="s">
        <v>2078</v>
      </c>
      <c r="D121" s="49" t="s">
        <v>2426</v>
      </c>
      <c r="E121" s="50">
        <v>43602</v>
      </c>
      <c r="F121" s="52" t="s">
        <v>218</v>
      </c>
      <c r="G121" s="51">
        <v>3200</v>
      </c>
      <c r="H121" s="52">
        <f t="shared" si="13"/>
        <v>160</v>
      </c>
      <c r="I121" s="52">
        <f t="shared" si="14"/>
        <v>5</v>
      </c>
      <c r="J121" s="52"/>
      <c r="K121" s="53">
        <v>43653</v>
      </c>
      <c r="L121" s="54" t="s">
        <v>1326</v>
      </c>
      <c r="M121" s="55">
        <v>43648</v>
      </c>
      <c r="N121" s="56" t="s">
        <v>4893</v>
      </c>
      <c r="O121" s="55">
        <v>43653</v>
      </c>
      <c r="P121" s="58"/>
      <c r="Q121" s="52" t="s">
        <v>2148</v>
      </c>
      <c r="R121" s="63" t="s">
        <v>211</v>
      </c>
      <c r="S121" s="52"/>
    </row>
    <row r="122" spans="2:19" s="34" customFormat="1" ht="33" customHeight="1">
      <c r="B122" s="47" t="s">
        <v>5202</v>
      </c>
      <c r="C122" s="48" t="s">
        <v>2079</v>
      </c>
      <c r="D122" s="49" t="s">
        <v>2428</v>
      </c>
      <c r="E122" s="50">
        <v>43602</v>
      </c>
      <c r="F122" s="52" t="s">
        <v>218</v>
      </c>
      <c r="G122" s="51">
        <v>3200</v>
      </c>
      <c r="H122" s="52">
        <f t="shared" si="13"/>
        <v>160</v>
      </c>
      <c r="I122" s="52">
        <f t="shared" si="14"/>
        <v>5</v>
      </c>
      <c r="J122" s="52"/>
      <c r="K122" s="53">
        <v>43667</v>
      </c>
      <c r="L122" s="54" t="s">
        <v>2146</v>
      </c>
      <c r="M122" s="55">
        <v>43669</v>
      </c>
      <c r="N122" s="56" t="s">
        <v>2551</v>
      </c>
      <c r="O122" s="55">
        <v>43674</v>
      </c>
      <c r="P122" s="58"/>
      <c r="Q122" s="52" t="s">
        <v>2150</v>
      </c>
      <c r="R122" s="63" t="s">
        <v>211</v>
      </c>
      <c r="S122" s="52"/>
    </row>
    <row r="123" spans="2:19" s="32" customFormat="1" ht="33" customHeight="1">
      <c r="B123" s="46" t="s">
        <v>5202</v>
      </c>
      <c r="C123" s="35" t="s">
        <v>2378</v>
      </c>
      <c r="D123" s="36" t="s">
        <v>4914</v>
      </c>
      <c r="E123" s="37">
        <v>43602</v>
      </c>
      <c r="F123" s="38" t="s">
        <v>218</v>
      </c>
      <c r="G123" s="39">
        <v>3200</v>
      </c>
      <c r="H123" s="38">
        <f t="shared" si="13"/>
        <v>160</v>
      </c>
      <c r="I123" s="38">
        <f t="shared" si="14"/>
        <v>5</v>
      </c>
      <c r="J123" s="38"/>
      <c r="K123" s="40">
        <v>43688</v>
      </c>
      <c r="L123" s="41" t="s">
        <v>2505</v>
      </c>
      <c r="M123" s="42">
        <v>43683</v>
      </c>
      <c r="N123" s="43" t="s">
        <v>4913</v>
      </c>
      <c r="O123" s="42">
        <v>43688</v>
      </c>
      <c r="P123" s="45"/>
      <c r="Q123" s="38" t="s">
        <v>2762</v>
      </c>
      <c r="R123" s="66" t="s">
        <v>211</v>
      </c>
      <c r="S123" s="46" t="s">
        <v>2764</v>
      </c>
    </row>
    <row r="124" spans="2:19" s="32" customFormat="1" ht="33" customHeight="1">
      <c r="B124" s="46" t="s">
        <v>5202</v>
      </c>
      <c r="C124" s="35" t="s">
        <v>2430</v>
      </c>
      <c r="D124" s="190" t="s">
        <v>4912</v>
      </c>
      <c r="E124" s="37">
        <v>43602</v>
      </c>
      <c r="F124" s="38" t="s">
        <v>218</v>
      </c>
      <c r="G124" s="39">
        <v>3200</v>
      </c>
      <c r="H124" s="38">
        <f t="shared" si="13"/>
        <v>160</v>
      </c>
      <c r="I124" s="38">
        <f t="shared" si="14"/>
        <v>5</v>
      </c>
      <c r="J124" s="38"/>
      <c r="K124" s="40">
        <v>43702</v>
      </c>
      <c r="L124" s="41" t="s">
        <v>2509</v>
      </c>
      <c r="M124" s="42">
        <v>43697</v>
      </c>
      <c r="N124" s="43" t="s">
        <v>4869</v>
      </c>
      <c r="O124" s="42">
        <v>43702</v>
      </c>
      <c r="P124" s="45"/>
      <c r="Q124" s="38" t="s">
        <v>2517</v>
      </c>
      <c r="R124" s="66" t="s">
        <v>211</v>
      </c>
      <c r="S124" s="38"/>
    </row>
    <row r="125" spans="2:19" s="34" customFormat="1" ht="33" customHeight="1">
      <c r="B125" s="47" t="s">
        <v>5202</v>
      </c>
      <c r="C125" s="48" t="s">
        <v>2528</v>
      </c>
      <c r="D125" s="199" t="s">
        <v>2704</v>
      </c>
      <c r="E125" s="50">
        <v>43609</v>
      </c>
      <c r="F125" s="52" t="s">
        <v>218</v>
      </c>
      <c r="G125" s="51">
        <v>3200</v>
      </c>
      <c r="H125" s="52">
        <f t="shared" si="13"/>
        <v>160</v>
      </c>
      <c r="I125" s="52">
        <f t="shared" si="14"/>
        <v>5</v>
      </c>
      <c r="J125" s="52"/>
      <c r="K125" s="53">
        <v>43660</v>
      </c>
      <c r="L125" s="54" t="s">
        <v>1326</v>
      </c>
      <c r="M125" s="55">
        <v>43648</v>
      </c>
      <c r="N125" s="56" t="s">
        <v>2540</v>
      </c>
      <c r="O125" s="55">
        <v>43653</v>
      </c>
      <c r="P125" s="58"/>
      <c r="Q125" s="52" t="s">
        <v>2148</v>
      </c>
      <c r="R125" s="63" t="s">
        <v>211</v>
      </c>
      <c r="S125" s="52"/>
    </row>
    <row r="126" spans="2:19" s="34" customFormat="1" ht="33" customHeight="1">
      <c r="B126" s="47" t="s">
        <v>5202</v>
      </c>
      <c r="C126" s="48" t="s">
        <v>2529</v>
      </c>
      <c r="D126" s="199" t="s">
        <v>2705</v>
      </c>
      <c r="E126" s="50">
        <v>43609</v>
      </c>
      <c r="F126" s="52" t="s">
        <v>218</v>
      </c>
      <c r="G126" s="51">
        <v>3200</v>
      </c>
      <c r="H126" s="52">
        <f t="shared" si="13"/>
        <v>160</v>
      </c>
      <c r="I126" s="52">
        <f t="shared" si="14"/>
        <v>5</v>
      </c>
      <c r="J126" s="52"/>
      <c r="K126" s="53">
        <v>43675</v>
      </c>
      <c r="L126" s="54" t="s">
        <v>2146</v>
      </c>
      <c r="M126" s="55">
        <v>43669</v>
      </c>
      <c r="N126" s="56" t="s">
        <v>2551</v>
      </c>
      <c r="O126" s="55">
        <v>43674</v>
      </c>
      <c r="P126" s="58"/>
      <c r="Q126" s="52" t="s">
        <v>2150</v>
      </c>
      <c r="R126" s="63" t="s">
        <v>211</v>
      </c>
      <c r="S126" s="52"/>
    </row>
    <row r="127" spans="2:19" s="32" customFormat="1" ht="33" customHeight="1">
      <c r="B127" s="46" t="s">
        <v>5201</v>
      </c>
      <c r="C127" s="35" t="s">
        <v>3497</v>
      </c>
      <c r="D127" s="190" t="s">
        <v>3498</v>
      </c>
      <c r="E127" s="37">
        <v>43637</v>
      </c>
      <c r="F127" s="38" t="s">
        <v>218</v>
      </c>
      <c r="G127" s="39">
        <v>3200</v>
      </c>
      <c r="H127" s="38">
        <f t="shared" si="13"/>
        <v>160</v>
      </c>
      <c r="I127" s="38">
        <f t="shared" si="14"/>
        <v>5</v>
      </c>
      <c r="J127" s="38"/>
      <c r="K127" s="40">
        <v>43716</v>
      </c>
      <c r="L127" s="41" t="s">
        <v>4891</v>
      </c>
      <c r="M127" s="42">
        <v>43711</v>
      </c>
      <c r="N127" s="43" t="s">
        <v>4890</v>
      </c>
      <c r="O127" s="42">
        <v>43716</v>
      </c>
      <c r="P127" s="45"/>
      <c r="Q127" s="38" t="s">
        <v>4911</v>
      </c>
      <c r="R127" s="66" t="s">
        <v>211</v>
      </c>
      <c r="S127" s="38"/>
    </row>
    <row r="128" spans="2:19" s="32" customFormat="1" ht="33" customHeight="1">
      <c r="B128" s="46" t="s">
        <v>4906</v>
      </c>
      <c r="C128" s="35" t="s">
        <v>3499</v>
      </c>
      <c r="D128" s="190" t="s">
        <v>3500</v>
      </c>
      <c r="E128" s="37">
        <v>43637</v>
      </c>
      <c r="F128" s="38" t="s">
        <v>218</v>
      </c>
      <c r="G128" s="39">
        <v>3200</v>
      </c>
      <c r="H128" s="38">
        <f t="shared" si="13"/>
        <v>160</v>
      </c>
      <c r="I128" s="38">
        <f t="shared" si="14"/>
        <v>5</v>
      </c>
      <c r="J128" s="38"/>
      <c r="K128" s="40">
        <v>43730</v>
      </c>
      <c r="L128" s="41" t="s">
        <v>4910</v>
      </c>
      <c r="M128" s="42">
        <v>43725</v>
      </c>
      <c r="N128" s="43" t="s">
        <v>4909</v>
      </c>
      <c r="O128" s="42">
        <v>43730</v>
      </c>
      <c r="P128" s="45"/>
      <c r="Q128" s="38"/>
      <c r="R128" s="66" t="s">
        <v>211</v>
      </c>
      <c r="S128" s="38"/>
    </row>
    <row r="129" spans="2:19" s="32" customFormat="1" ht="33" customHeight="1">
      <c r="B129" s="46" t="s">
        <v>4906</v>
      </c>
      <c r="C129" s="35" t="s">
        <v>3501</v>
      </c>
      <c r="D129" s="190" t="s">
        <v>3502</v>
      </c>
      <c r="E129" s="37">
        <v>43637</v>
      </c>
      <c r="F129" s="38" t="s">
        <v>218</v>
      </c>
      <c r="G129" s="39">
        <v>3200</v>
      </c>
      <c r="H129" s="38">
        <f t="shared" si="13"/>
        <v>160</v>
      </c>
      <c r="I129" s="38">
        <f t="shared" si="14"/>
        <v>5</v>
      </c>
      <c r="J129" s="38"/>
      <c r="K129" s="40">
        <v>43737</v>
      </c>
      <c r="L129" s="41" t="s">
        <v>4908</v>
      </c>
      <c r="M129" s="42">
        <v>43732</v>
      </c>
      <c r="N129" s="43" t="s">
        <v>4907</v>
      </c>
      <c r="O129" s="42">
        <v>43737</v>
      </c>
      <c r="P129" s="45"/>
      <c r="Q129" s="38" t="s">
        <v>5209</v>
      </c>
      <c r="R129" s="66" t="s">
        <v>211</v>
      </c>
      <c r="S129" s="38"/>
    </row>
    <row r="130" spans="2:19" s="32" customFormat="1" ht="33" customHeight="1">
      <c r="B130" s="46" t="s">
        <v>4906</v>
      </c>
      <c r="C130" s="35" t="s">
        <v>4103</v>
      </c>
      <c r="D130" s="190" t="s">
        <v>4408</v>
      </c>
      <c r="E130" s="37">
        <v>43657</v>
      </c>
      <c r="F130" s="38" t="s">
        <v>218</v>
      </c>
      <c r="G130" s="39">
        <v>3200</v>
      </c>
      <c r="H130" s="38">
        <f t="shared" si="13"/>
        <v>160</v>
      </c>
      <c r="I130" s="38">
        <f t="shared" si="14"/>
        <v>5</v>
      </c>
      <c r="J130" s="38"/>
      <c r="K130" s="40">
        <v>43723</v>
      </c>
      <c r="L130" s="41" t="s">
        <v>4905</v>
      </c>
      <c r="M130" s="42">
        <v>43718</v>
      </c>
      <c r="N130" s="43" t="s">
        <v>4904</v>
      </c>
      <c r="O130" s="42">
        <v>43723</v>
      </c>
      <c r="P130" s="45"/>
      <c r="Q130" s="38" t="s">
        <v>4903</v>
      </c>
      <c r="R130" s="66" t="s">
        <v>211</v>
      </c>
      <c r="S130" s="38"/>
    </row>
    <row r="131" spans="2:19" s="32" customFormat="1" ht="33" customHeight="1">
      <c r="B131" s="46" t="s">
        <v>5202</v>
      </c>
      <c r="C131" s="35" t="s">
        <v>4410</v>
      </c>
      <c r="D131" s="190" t="s">
        <v>4411</v>
      </c>
      <c r="E131" s="37">
        <v>43665</v>
      </c>
      <c r="F131" s="38" t="s">
        <v>218</v>
      </c>
      <c r="G131" s="39">
        <v>3200</v>
      </c>
      <c r="H131" s="38">
        <f t="shared" si="13"/>
        <v>160</v>
      </c>
      <c r="I131" s="38">
        <f t="shared" si="14"/>
        <v>5</v>
      </c>
      <c r="J131" s="38"/>
      <c r="K131" s="40">
        <v>43751</v>
      </c>
      <c r="L131" s="41" t="s">
        <v>4475</v>
      </c>
      <c r="M131" s="42">
        <v>43746</v>
      </c>
      <c r="N131" s="43" t="s">
        <v>4902</v>
      </c>
      <c r="O131" s="42">
        <v>43751</v>
      </c>
      <c r="P131" s="45"/>
      <c r="Q131" s="66"/>
      <c r="R131" s="66" t="s">
        <v>4900</v>
      </c>
      <c r="S131" s="38"/>
    </row>
    <row r="132" spans="2:19" s="32" customFormat="1" ht="33" customHeight="1">
      <c r="B132" s="46" t="s">
        <v>5202</v>
      </c>
      <c r="C132" s="35" t="s">
        <v>4412</v>
      </c>
      <c r="D132" s="190" t="s">
        <v>4413</v>
      </c>
      <c r="E132" s="37">
        <v>43665</v>
      </c>
      <c r="F132" s="38" t="s">
        <v>218</v>
      </c>
      <c r="G132" s="39">
        <v>3200</v>
      </c>
      <c r="H132" s="38">
        <f t="shared" si="13"/>
        <v>160</v>
      </c>
      <c r="I132" s="38">
        <f t="shared" si="14"/>
        <v>5</v>
      </c>
      <c r="J132" s="38"/>
      <c r="K132" s="40">
        <v>43758</v>
      </c>
      <c r="L132" s="41" t="s">
        <v>4479</v>
      </c>
      <c r="M132" s="42">
        <v>43753</v>
      </c>
      <c r="N132" s="43" t="s">
        <v>4866</v>
      </c>
      <c r="O132" s="42">
        <v>43758</v>
      </c>
      <c r="P132" s="45"/>
      <c r="Q132" s="66" t="s">
        <v>4818</v>
      </c>
      <c r="R132" s="66" t="s">
        <v>4900</v>
      </c>
      <c r="S132" s="38"/>
    </row>
    <row r="133" spans="2:19" s="32" customFormat="1" ht="33" customHeight="1">
      <c r="B133" s="46" t="s">
        <v>5202</v>
      </c>
      <c r="C133" s="35" t="s">
        <v>4414</v>
      </c>
      <c r="D133" s="190" t="s">
        <v>4415</v>
      </c>
      <c r="E133" s="37">
        <v>43665</v>
      </c>
      <c r="F133" s="38" t="s">
        <v>218</v>
      </c>
      <c r="G133" s="39">
        <v>3200</v>
      </c>
      <c r="H133" s="38">
        <f t="shared" si="13"/>
        <v>160</v>
      </c>
      <c r="I133" s="38">
        <f t="shared" si="14"/>
        <v>5</v>
      </c>
      <c r="J133" s="38"/>
      <c r="K133" s="40">
        <v>43765</v>
      </c>
      <c r="L133" s="41" t="s">
        <v>4477</v>
      </c>
      <c r="M133" s="42">
        <v>43760</v>
      </c>
      <c r="N133" s="43" t="s">
        <v>4901</v>
      </c>
      <c r="O133" s="42">
        <v>43765</v>
      </c>
      <c r="P133" s="45"/>
      <c r="Q133" s="66" t="s">
        <v>4817</v>
      </c>
      <c r="R133" s="66" t="s">
        <v>4900</v>
      </c>
      <c r="S133" s="38"/>
    </row>
    <row r="134" spans="2:19" s="32" customFormat="1" ht="33" customHeight="1">
      <c r="B134" s="46" t="s">
        <v>5202</v>
      </c>
      <c r="C134" s="35" t="s">
        <v>4550</v>
      </c>
      <c r="D134" s="190" t="s">
        <v>5434</v>
      </c>
      <c r="E134" s="37">
        <v>43679</v>
      </c>
      <c r="F134" s="38" t="s">
        <v>218</v>
      </c>
      <c r="G134" s="39">
        <v>3200</v>
      </c>
      <c r="H134" s="38">
        <f t="shared" si="13"/>
        <v>160</v>
      </c>
      <c r="I134" s="38">
        <f t="shared" si="14"/>
        <v>5</v>
      </c>
      <c r="J134" s="38"/>
      <c r="K134" s="40">
        <v>43765</v>
      </c>
      <c r="L134" s="41" t="s">
        <v>4477</v>
      </c>
      <c r="M134" s="42">
        <v>43760</v>
      </c>
      <c r="N134" s="43" t="s">
        <v>4549</v>
      </c>
      <c r="O134" s="42">
        <v>43765</v>
      </c>
      <c r="P134" s="45"/>
      <c r="Q134" s="66" t="s">
        <v>4817</v>
      </c>
      <c r="R134" s="66" t="s">
        <v>4900</v>
      </c>
      <c r="S134" s="38"/>
    </row>
    <row r="135" spans="2:19" s="32" customFormat="1" ht="33" customHeight="1">
      <c r="B135" s="122" t="s">
        <v>5202</v>
      </c>
      <c r="C135" s="126" t="s">
        <v>4899</v>
      </c>
      <c r="D135" s="187" t="s">
        <v>4898</v>
      </c>
      <c r="E135" s="128">
        <v>43689</v>
      </c>
      <c r="F135" s="124" t="s">
        <v>218</v>
      </c>
      <c r="G135" s="129">
        <v>3200</v>
      </c>
      <c r="H135" s="124">
        <f t="shared" si="13"/>
        <v>160</v>
      </c>
      <c r="I135" s="124">
        <f t="shared" si="14"/>
        <v>5</v>
      </c>
      <c r="J135" s="124"/>
      <c r="K135" s="130">
        <v>43779</v>
      </c>
      <c r="L135" s="119" t="s">
        <v>5181</v>
      </c>
      <c r="M135" s="120">
        <v>43774</v>
      </c>
      <c r="N135" s="121" t="s">
        <v>5172</v>
      </c>
      <c r="O135" s="120">
        <v>43779</v>
      </c>
      <c r="P135" s="123"/>
      <c r="Q135" s="134"/>
      <c r="R135" s="134" t="s">
        <v>211</v>
      </c>
      <c r="S135" s="124"/>
    </row>
    <row r="136" spans="2:19" s="32" customFormat="1" ht="33" customHeight="1">
      <c r="B136" s="122" t="s">
        <v>5202</v>
      </c>
      <c r="C136" s="126" t="s">
        <v>4897</v>
      </c>
      <c r="D136" s="187" t="s">
        <v>4896</v>
      </c>
      <c r="E136" s="128">
        <v>43689</v>
      </c>
      <c r="F136" s="124" t="s">
        <v>218</v>
      </c>
      <c r="G136" s="129">
        <v>3200</v>
      </c>
      <c r="H136" s="124">
        <f t="shared" si="13"/>
        <v>160</v>
      </c>
      <c r="I136" s="124">
        <f t="shared" si="14"/>
        <v>5</v>
      </c>
      <c r="J136" s="124"/>
      <c r="K136" s="130">
        <v>43793</v>
      </c>
      <c r="L136" s="119" t="s">
        <v>5188</v>
      </c>
      <c r="M136" s="120">
        <v>43788</v>
      </c>
      <c r="N136" s="121" t="s">
        <v>5174</v>
      </c>
      <c r="O136" s="120">
        <v>43793</v>
      </c>
      <c r="P136" s="123"/>
      <c r="Q136" s="134"/>
      <c r="R136" s="134" t="s">
        <v>211</v>
      </c>
      <c r="S136" s="124"/>
    </row>
    <row r="137" spans="2:19" s="34" customFormat="1" ht="33" customHeight="1">
      <c r="B137" s="47" t="s">
        <v>4882</v>
      </c>
      <c r="C137" s="48" t="s">
        <v>235</v>
      </c>
      <c r="D137" s="49" t="s">
        <v>744</v>
      </c>
      <c r="E137" s="50">
        <v>43532</v>
      </c>
      <c r="F137" s="52" t="s">
        <v>4881</v>
      </c>
      <c r="G137" s="51">
        <v>1280</v>
      </c>
      <c r="H137" s="52">
        <f t="shared" si="13"/>
        <v>64</v>
      </c>
      <c r="I137" s="52">
        <f t="shared" si="14"/>
        <v>2</v>
      </c>
      <c r="J137" s="52"/>
      <c r="K137" s="53">
        <v>43597</v>
      </c>
      <c r="L137" s="54" t="s">
        <v>605</v>
      </c>
      <c r="M137" s="55">
        <v>43594</v>
      </c>
      <c r="N137" s="56" t="s">
        <v>772</v>
      </c>
      <c r="O137" s="55">
        <v>43598</v>
      </c>
      <c r="P137" s="58"/>
      <c r="Q137" s="52" t="s">
        <v>641</v>
      </c>
      <c r="R137" s="63" t="s">
        <v>211</v>
      </c>
      <c r="S137" s="52"/>
    </row>
    <row r="138" spans="2:19" s="34" customFormat="1" ht="33" customHeight="1">
      <c r="B138" s="47" t="s">
        <v>4882</v>
      </c>
      <c r="C138" s="48" t="s">
        <v>1569</v>
      </c>
      <c r="D138" s="49" t="s">
        <v>4895</v>
      </c>
      <c r="E138" s="50">
        <v>43581</v>
      </c>
      <c r="F138" s="52" t="s">
        <v>4881</v>
      </c>
      <c r="G138" s="51">
        <v>1280</v>
      </c>
      <c r="H138" s="52">
        <f t="shared" si="13"/>
        <v>64</v>
      </c>
      <c r="I138" s="52">
        <f t="shared" si="14"/>
        <v>2</v>
      </c>
      <c r="J138" s="52"/>
      <c r="K138" s="53">
        <v>43632</v>
      </c>
      <c r="L138" s="54" t="s">
        <v>807</v>
      </c>
      <c r="M138" s="55">
        <v>43627</v>
      </c>
      <c r="N138" s="56" t="s">
        <v>4874</v>
      </c>
      <c r="O138" s="55">
        <v>43632</v>
      </c>
      <c r="P138" s="58"/>
      <c r="Q138" s="52" t="s">
        <v>1810</v>
      </c>
      <c r="R138" s="63" t="s">
        <v>211</v>
      </c>
      <c r="S138" s="52"/>
    </row>
    <row r="139" spans="2:19" s="34" customFormat="1" ht="33" customHeight="1">
      <c r="B139" s="47" t="s">
        <v>4882</v>
      </c>
      <c r="C139" s="48" t="s">
        <v>90</v>
      </c>
      <c r="D139" s="49" t="s">
        <v>4894</v>
      </c>
      <c r="E139" s="50">
        <v>43595</v>
      </c>
      <c r="F139" s="52" t="s">
        <v>4881</v>
      </c>
      <c r="G139" s="51">
        <v>1280</v>
      </c>
      <c r="H139" s="52">
        <f t="shared" si="13"/>
        <v>64</v>
      </c>
      <c r="I139" s="52">
        <f t="shared" si="14"/>
        <v>2</v>
      </c>
      <c r="J139" s="52"/>
      <c r="K139" s="53">
        <v>43646</v>
      </c>
      <c r="L139" s="54" t="s">
        <v>1326</v>
      </c>
      <c r="M139" s="55">
        <v>43648</v>
      </c>
      <c r="N139" s="56" t="s">
        <v>4893</v>
      </c>
      <c r="O139" s="55">
        <v>43653</v>
      </c>
      <c r="P139" s="58"/>
      <c r="Q139" s="52" t="s">
        <v>2148</v>
      </c>
      <c r="R139" s="63" t="s">
        <v>211</v>
      </c>
      <c r="S139" s="52"/>
    </row>
    <row r="140" spans="2:19" s="32" customFormat="1" ht="33" customHeight="1">
      <c r="B140" s="122" t="s">
        <v>4882</v>
      </c>
      <c r="C140" s="126" t="s">
        <v>2088</v>
      </c>
      <c r="D140" s="127" t="s">
        <v>4892</v>
      </c>
      <c r="E140" s="128">
        <v>43595</v>
      </c>
      <c r="F140" s="124" t="s">
        <v>4881</v>
      </c>
      <c r="G140" s="129">
        <v>640</v>
      </c>
      <c r="H140" s="124">
        <f t="shared" si="13"/>
        <v>32</v>
      </c>
      <c r="I140" s="124">
        <f t="shared" si="14"/>
        <v>1</v>
      </c>
      <c r="J140" s="124"/>
      <c r="K140" s="130">
        <v>43709</v>
      </c>
      <c r="L140" s="119" t="s">
        <v>4891</v>
      </c>
      <c r="M140" s="120">
        <v>43711</v>
      </c>
      <c r="N140" s="121" t="s">
        <v>4890</v>
      </c>
      <c r="O140" s="120">
        <v>43716</v>
      </c>
      <c r="P140" s="123"/>
      <c r="Q140" s="134" t="s">
        <v>2548</v>
      </c>
      <c r="R140" s="134" t="s">
        <v>211</v>
      </c>
      <c r="S140" s="122" t="s">
        <v>4889</v>
      </c>
    </row>
    <row r="141" spans="2:19" s="32" customFormat="1" ht="33" customHeight="1">
      <c r="B141" s="122" t="s">
        <v>4888</v>
      </c>
      <c r="C141" s="126" t="s">
        <v>208</v>
      </c>
      <c r="D141" s="187" t="s">
        <v>2443</v>
      </c>
      <c r="E141" s="128">
        <v>43602</v>
      </c>
      <c r="F141" s="124" t="s">
        <v>4881</v>
      </c>
      <c r="G141" s="129">
        <v>640</v>
      </c>
      <c r="H141" s="124">
        <f t="shared" si="13"/>
        <v>32</v>
      </c>
      <c r="I141" s="124">
        <f t="shared" si="14"/>
        <v>1</v>
      </c>
      <c r="J141" s="124"/>
      <c r="K141" s="195">
        <v>43737</v>
      </c>
      <c r="L141" s="119" t="s">
        <v>5205</v>
      </c>
      <c r="M141" s="120">
        <v>43732</v>
      </c>
      <c r="N141" s="121" t="s">
        <v>5206</v>
      </c>
      <c r="O141" s="120">
        <v>43737</v>
      </c>
      <c r="P141" s="123"/>
      <c r="Q141" s="134" t="s">
        <v>5208</v>
      </c>
      <c r="R141" s="134" t="s">
        <v>211</v>
      </c>
      <c r="S141" s="124"/>
    </row>
    <row r="142" spans="2:19" s="32" customFormat="1" ht="33" customHeight="1">
      <c r="B142" s="122" t="s">
        <v>4882</v>
      </c>
      <c r="C142" s="126" t="s">
        <v>4885</v>
      </c>
      <c r="D142" s="187"/>
      <c r="E142" s="128">
        <v>43693</v>
      </c>
      <c r="F142" s="124" t="s">
        <v>4881</v>
      </c>
      <c r="G142" s="129">
        <v>640</v>
      </c>
      <c r="H142" s="124">
        <f t="shared" si="13"/>
        <v>32</v>
      </c>
      <c r="I142" s="124">
        <f t="shared" si="14"/>
        <v>1</v>
      </c>
      <c r="J142" s="124"/>
      <c r="K142" s="195">
        <v>43737</v>
      </c>
      <c r="L142" s="119" t="s">
        <v>5205</v>
      </c>
      <c r="M142" s="120">
        <v>43732</v>
      </c>
      <c r="N142" s="121" t="s">
        <v>5206</v>
      </c>
      <c r="O142" s="120">
        <v>43737</v>
      </c>
      <c r="P142" s="123"/>
      <c r="Q142" s="134" t="s">
        <v>5207</v>
      </c>
      <c r="R142" s="134" t="s">
        <v>211</v>
      </c>
      <c r="S142" s="124"/>
    </row>
    <row r="143" spans="2:19" s="32" customFormat="1" ht="33" customHeight="1">
      <c r="B143" s="46" t="s">
        <v>4882</v>
      </c>
      <c r="C143" s="35" t="s">
        <v>212</v>
      </c>
      <c r="D143" s="190" t="s">
        <v>4884</v>
      </c>
      <c r="E143" s="37">
        <v>43602</v>
      </c>
      <c r="F143" s="38" t="s">
        <v>4881</v>
      </c>
      <c r="G143" s="39">
        <v>640</v>
      </c>
      <c r="H143" s="38">
        <f t="shared" si="13"/>
        <v>32</v>
      </c>
      <c r="I143" s="38">
        <f t="shared" si="14"/>
        <v>1</v>
      </c>
      <c r="J143" s="38"/>
      <c r="K143" s="40">
        <v>43779</v>
      </c>
      <c r="L143" s="41" t="s">
        <v>5180</v>
      </c>
      <c r="M143" s="42">
        <v>43774</v>
      </c>
      <c r="N143" s="43" t="s">
        <v>4883</v>
      </c>
      <c r="O143" s="42">
        <v>43779</v>
      </c>
      <c r="P143" s="45"/>
      <c r="Q143" s="38" t="s">
        <v>4823</v>
      </c>
      <c r="R143" s="66" t="s">
        <v>211</v>
      </c>
      <c r="S143" s="38"/>
    </row>
    <row r="144" spans="2:19" s="32" customFormat="1" ht="33" customHeight="1">
      <c r="B144" s="46" t="s">
        <v>4882</v>
      </c>
      <c r="C144" s="35" t="s">
        <v>2531</v>
      </c>
      <c r="D144" s="190" t="s">
        <v>4426</v>
      </c>
      <c r="E144" s="37">
        <v>43665</v>
      </c>
      <c r="F144" s="38" t="s">
        <v>4881</v>
      </c>
      <c r="G144" s="39">
        <v>1920</v>
      </c>
      <c r="H144" s="38">
        <f t="shared" si="13"/>
        <v>96</v>
      </c>
      <c r="I144" s="38">
        <f t="shared" si="14"/>
        <v>3</v>
      </c>
      <c r="J144" s="38"/>
      <c r="K144" s="40">
        <v>43758</v>
      </c>
      <c r="L144" s="41" t="s">
        <v>4479</v>
      </c>
      <c r="M144" s="42">
        <v>43753</v>
      </c>
      <c r="N144" s="43" t="s">
        <v>4866</v>
      </c>
      <c r="O144" s="42">
        <v>43758</v>
      </c>
      <c r="P144" s="45"/>
      <c r="Q144" s="38" t="s">
        <v>4818</v>
      </c>
      <c r="R144" s="66" t="s">
        <v>211</v>
      </c>
      <c r="S144" s="38"/>
    </row>
    <row r="145" spans="1:19" s="33" customFormat="1" ht="33" customHeight="1">
      <c r="A145" s="33" t="s">
        <v>4880</v>
      </c>
      <c r="B145" s="47" t="s">
        <v>4877</v>
      </c>
      <c r="C145" s="48" t="s">
        <v>225</v>
      </c>
      <c r="D145" s="49" t="s">
        <v>487</v>
      </c>
      <c r="E145" s="50">
        <v>43490</v>
      </c>
      <c r="F145" s="52" t="s">
        <v>4876</v>
      </c>
      <c r="G145" s="51">
        <v>1520</v>
      </c>
      <c r="H145" s="52">
        <f>SUM(G145/190)</f>
        <v>8</v>
      </c>
      <c r="I145" s="52">
        <f>SUM(H145/4)</f>
        <v>2</v>
      </c>
      <c r="J145" s="52"/>
      <c r="K145" s="53">
        <v>43569</v>
      </c>
      <c r="L145" s="54" t="s">
        <v>417</v>
      </c>
      <c r="M145" s="55">
        <v>43564</v>
      </c>
      <c r="N145" s="56" t="s">
        <v>4879</v>
      </c>
      <c r="O145" s="55">
        <v>43569</v>
      </c>
      <c r="P145" s="58"/>
      <c r="Q145" s="52"/>
      <c r="R145" s="63" t="s">
        <v>4878</v>
      </c>
      <c r="S145" s="47"/>
    </row>
    <row r="146" spans="1:19" s="33" customFormat="1" ht="33" customHeight="1">
      <c r="B146" s="47" t="s">
        <v>4877</v>
      </c>
      <c r="C146" s="48" t="s">
        <v>226</v>
      </c>
      <c r="D146" s="49" t="s">
        <v>833</v>
      </c>
      <c r="E146" s="50">
        <v>43546</v>
      </c>
      <c r="F146" s="52" t="s">
        <v>4876</v>
      </c>
      <c r="G146" s="51">
        <v>1520</v>
      </c>
      <c r="H146" s="52">
        <f>SUM(G146/190)</f>
        <v>8</v>
      </c>
      <c r="I146" s="52">
        <f>SUM(H146/4)</f>
        <v>2</v>
      </c>
      <c r="J146" s="52"/>
      <c r="K146" s="53">
        <v>43632</v>
      </c>
      <c r="L146" s="54" t="s">
        <v>4875</v>
      </c>
      <c r="M146" s="55">
        <v>43627</v>
      </c>
      <c r="N146" s="56" t="s">
        <v>4874</v>
      </c>
      <c r="O146" s="55">
        <v>43632</v>
      </c>
      <c r="P146" s="58"/>
      <c r="Q146" s="52"/>
      <c r="R146" s="63" t="s">
        <v>4873</v>
      </c>
      <c r="S146" s="47"/>
    </row>
    <row r="147" spans="1:19" s="30" customFormat="1" ht="33" customHeight="1">
      <c r="B147" s="46" t="s">
        <v>2514</v>
      </c>
      <c r="C147" s="35" t="s">
        <v>4872</v>
      </c>
      <c r="D147" s="36" t="s">
        <v>4871</v>
      </c>
      <c r="E147" s="37">
        <v>43602</v>
      </c>
      <c r="F147" s="38" t="s">
        <v>2516</v>
      </c>
      <c r="G147" s="39">
        <v>1520</v>
      </c>
      <c r="H147" s="38">
        <v>8</v>
      </c>
      <c r="I147" s="38">
        <v>2</v>
      </c>
      <c r="J147" s="38"/>
      <c r="K147" s="40">
        <v>43702</v>
      </c>
      <c r="L147" s="41" t="s">
        <v>4870</v>
      </c>
      <c r="M147" s="42">
        <v>43697</v>
      </c>
      <c r="N147" s="43" t="s">
        <v>4869</v>
      </c>
      <c r="O147" s="42">
        <v>43702</v>
      </c>
      <c r="P147" s="45"/>
      <c r="Q147" s="38"/>
      <c r="R147" s="66" t="s">
        <v>4868</v>
      </c>
      <c r="S147" s="46"/>
    </row>
    <row r="148" spans="1:19" s="30" customFormat="1" ht="33" customHeight="1">
      <c r="B148" s="46" t="s">
        <v>2514</v>
      </c>
      <c r="C148" s="35" t="s">
        <v>285</v>
      </c>
      <c r="D148" s="36" t="s">
        <v>4436</v>
      </c>
      <c r="E148" s="37">
        <v>43665</v>
      </c>
      <c r="F148" s="38" t="s">
        <v>2516</v>
      </c>
      <c r="G148" s="39">
        <v>1520</v>
      </c>
      <c r="H148" s="38">
        <v>8</v>
      </c>
      <c r="I148" s="38">
        <v>2</v>
      </c>
      <c r="J148" s="38"/>
      <c r="K148" s="40">
        <v>43758</v>
      </c>
      <c r="L148" s="41" t="s">
        <v>4867</v>
      </c>
      <c r="M148" s="42">
        <v>43753</v>
      </c>
      <c r="N148" s="43" t="s">
        <v>4866</v>
      </c>
      <c r="O148" s="42">
        <v>43758</v>
      </c>
      <c r="P148" s="45"/>
      <c r="Q148" s="38"/>
      <c r="R148" s="66" t="s">
        <v>4865</v>
      </c>
      <c r="S148" s="46"/>
    </row>
    <row r="149" spans="1:19" s="30" customFormat="1" ht="33" customHeight="1">
      <c r="B149" s="122" t="s">
        <v>2514</v>
      </c>
      <c r="C149" s="126" t="s">
        <v>331</v>
      </c>
      <c r="D149" s="127" t="s">
        <v>4864</v>
      </c>
      <c r="E149" s="128">
        <v>43689</v>
      </c>
      <c r="F149" s="124" t="s">
        <v>2516</v>
      </c>
      <c r="G149" s="129">
        <v>1520</v>
      </c>
      <c r="H149" s="124">
        <v>8</v>
      </c>
      <c r="I149" s="124">
        <v>2</v>
      </c>
      <c r="J149" s="124"/>
      <c r="K149" s="130">
        <v>43793</v>
      </c>
      <c r="L149" s="119" t="s">
        <v>5191</v>
      </c>
      <c r="M149" s="120">
        <v>43788</v>
      </c>
      <c r="N149" s="121" t="s">
        <v>5174</v>
      </c>
      <c r="O149" s="120">
        <v>43793</v>
      </c>
      <c r="P149" s="123"/>
      <c r="Q149" s="124"/>
      <c r="R149" s="134" t="s">
        <v>4863</v>
      </c>
      <c r="S149" s="122"/>
    </row>
    <row r="150" spans="1:19" s="33" customFormat="1" ht="33" customHeight="1">
      <c r="B150" s="47" t="s">
        <v>238</v>
      </c>
      <c r="C150" s="48" t="s">
        <v>4862</v>
      </c>
      <c r="D150" s="49" t="s">
        <v>474</v>
      </c>
      <c r="E150" s="50"/>
      <c r="F150" s="52" t="s">
        <v>236</v>
      </c>
      <c r="G150" s="51">
        <v>3200</v>
      </c>
      <c r="H150" s="52">
        <f t="shared" ref="H150:H161" si="15">SUM(G150/200)</f>
        <v>16</v>
      </c>
      <c r="I150" s="52">
        <f t="shared" ref="I150:I161" si="16">SUM(H150/4)</f>
        <v>4</v>
      </c>
      <c r="J150" s="52"/>
      <c r="K150" s="53">
        <v>43562</v>
      </c>
      <c r="L150" s="54" t="s">
        <v>4861</v>
      </c>
      <c r="M150" s="55">
        <v>43557</v>
      </c>
      <c r="N150" s="56" t="s">
        <v>4860</v>
      </c>
      <c r="O150" s="55">
        <v>43562</v>
      </c>
      <c r="P150" s="58"/>
      <c r="Q150" s="52"/>
      <c r="R150" s="63"/>
      <c r="S150" s="47"/>
    </row>
    <row r="151" spans="1:19" s="33" customFormat="1" ht="33" customHeight="1">
      <c r="B151" s="47" t="s">
        <v>238</v>
      </c>
      <c r="C151" s="48" t="s">
        <v>4859</v>
      </c>
      <c r="D151" s="49" t="s">
        <v>475</v>
      </c>
      <c r="E151" s="50"/>
      <c r="F151" s="52" t="s">
        <v>236</v>
      </c>
      <c r="G151" s="51">
        <v>1600</v>
      </c>
      <c r="H151" s="52">
        <f t="shared" si="15"/>
        <v>8</v>
      </c>
      <c r="I151" s="52">
        <f t="shared" si="16"/>
        <v>2</v>
      </c>
      <c r="J151" s="52"/>
      <c r="K151" s="53">
        <v>43562</v>
      </c>
      <c r="L151" s="54" t="s">
        <v>4858</v>
      </c>
      <c r="M151" s="55">
        <v>43564</v>
      </c>
      <c r="N151" s="56" t="s">
        <v>4857</v>
      </c>
      <c r="O151" s="55">
        <v>43569</v>
      </c>
      <c r="P151" s="58"/>
      <c r="Q151" s="52"/>
      <c r="R151" s="63"/>
      <c r="S151" s="47"/>
    </row>
    <row r="152" spans="1:19" s="33" customFormat="1" ht="33" customHeight="1">
      <c r="B152" s="47" t="s">
        <v>238</v>
      </c>
      <c r="C152" s="48" t="s">
        <v>4856</v>
      </c>
      <c r="D152" s="49" t="s">
        <v>488</v>
      </c>
      <c r="E152" s="50">
        <v>43495</v>
      </c>
      <c r="F152" s="52" t="s">
        <v>236</v>
      </c>
      <c r="G152" s="51">
        <v>1600</v>
      </c>
      <c r="H152" s="52">
        <f t="shared" si="15"/>
        <v>8</v>
      </c>
      <c r="I152" s="52">
        <f t="shared" si="16"/>
        <v>2</v>
      </c>
      <c r="J152" s="52"/>
      <c r="K152" s="53">
        <v>43583</v>
      </c>
      <c r="L152" s="54" t="s">
        <v>4855</v>
      </c>
      <c r="M152" s="55">
        <v>43578</v>
      </c>
      <c r="N152" s="56" t="s">
        <v>4854</v>
      </c>
      <c r="O152" s="55">
        <v>43583</v>
      </c>
      <c r="P152" s="58"/>
      <c r="Q152" s="52"/>
      <c r="R152" s="63"/>
      <c r="S152" s="47"/>
    </row>
    <row r="153" spans="1:19" s="33" customFormat="1" ht="33" customHeight="1">
      <c r="B153" s="47" t="s">
        <v>238</v>
      </c>
      <c r="C153" s="48" t="s">
        <v>4853</v>
      </c>
      <c r="D153" s="49" t="s">
        <v>598</v>
      </c>
      <c r="E153" s="50">
        <v>43519</v>
      </c>
      <c r="F153" s="52" t="s">
        <v>236</v>
      </c>
      <c r="G153" s="51">
        <v>1600</v>
      </c>
      <c r="H153" s="52">
        <f t="shared" si="15"/>
        <v>8</v>
      </c>
      <c r="I153" s="52">
        <f t="shared" si="16"/>
        <v>2</v>
      </c>
      <c r="J153" s="52"/>
      <c r="K153" s="53">
        <v>43597</v>
      </c>
      <c r="L153" s="54" t="s">
        <v>4852</v>
      </c>
      <c r="M153" s="55">
        <v>43592</v>
      </c>
      <c r="N153" s="56" t="s">
        <v>4851</v>
      </c>
      <c r="O153" s="55">
        <v>43597</v>
      </c>
      <c r="P153" s="58"/>
      <c r="Q153" s="52"/>
      <c r="R153" s="63"/>
      <c r="S153" s="47"/>
    </row>
    <row r="154" spans="1:19" s="33" customFormat="1" ht="33" customHeight="1">
      <c r="B154" s="47" t="s">
        <v>238</v>
      </c>
      <c r="C154" s="48" t="s">
        <v>4850</v>
      </c>
      <c r="D154" s="49" t="s">
        <v>598</v>
      </c>
      <c r="E154" s="50">
        <v>43519</v>
      </c>
      <c r="F154" s="52" t="s">
        <v>236</v>
      </c>
      <c r="G154" s="51">
        <v>1600</v>
      </c>
      <c r="H154" s="52">
        <f t="shared" si="15"/>
        <v>8</v>
      </c>
      <c r="I154" s="52">
        <f t="shared" si="16"/>
        <v>2</v>
      </c>
      <c r="J154" s="52"/>
      <c r="K154" s="53">
        <v>43597</v>
      </c>
      <c r="L154" s="54" t="s">
        <v>4849</v>
      </c>
      <c r="M154" s="55">
        <v>43606</v>
      </c>
      <c r="N154" s="56" t="s">
        <v>4848</v>
      </c>
      <c r="O154" s="55">
        <v>43613</v>
      </c>
      <c r="P154" s="58"/>
      <c r="Q154" s="52"/>
      <c r="R154" s="63"/>
      <c r="S154" s="47"/>
    </row>
    <row r="155" spans="1:19" s="33" customFormat="1" ht="33" customHeight="1">
      <c r="B155" s="47" t="s">
        <v>238</v>
      </c>
      <c r="C155" s="48" t="s">
        <v>226</v>
      </c>
      <c r="D155" s="49" t="s">
        <v>749</v>
      </c>
      <c r="E155" s="50">
        <v>43532</v>
      </c>
      <c r="F155" s="52" t="s">
        <v>236</v>
      </c>
      <c r="G155" s="51">
        <v>3200</v>
      </c>
      <c r="H155" s="52">
        <f t="shared" si="15"/>
        <v>16</v>
      </c>
      <c r="I155" s="52">
        <f t="shared" si="16"/>
        <v>4</v>
      </c>
      <c r="J155" s="52"/>
      <c r="K155" s="53">
        <v>43625</v>
      </c>
      <c r="L155" s="54" t="s">
        <v>2538</v>
      </c>
      <c r="M155" s="55">
        <v>43627</v>
      </c>
      <c r="N155" s="56" t="s">
        <v>808</v>
      </c>
      <c r="O155" s="55">
        <v>43632</v>
      </c>
      <c r="P155" s="58"/>
      <c r="Q155" s="52"/>
      <c r="R155" s="63"/>
      <c r="S155" s="47" t="s">
        <v>2539</v>
      </c>
    </row>
    <row r="156" spans="1:19" s="33" customFormat="1" ht="33" customHeight="1">
      <c r="B156" s="47" t="s">
        <v>238</v>
      </c>
      <c r="C156" s="48" t="s">
        <v>233</v>
      </c>
      <c r="D156" s="49" t="s">
        <v>750</v>
      </c>
      <c r="E156" s="50">
        <v>43532</v>
      </c>
      <c r="F156" s="52" t="s">
        <v>236</v>
      </c>
      <c r="G156" s="51">
        <v>3200</v>
      </c>
      <c r="H156" s="52">
        <f t="shared" si="15"/>
        <v>16</v>
      </c>
      <c r="I156" s="52">
        <f t="shared" si="16"/>
        <v>4</v>
      </c>
      <c r="J156" s="52"/>
      <c r="K156" s="53">
        <v>43646</v>
      </c>
      <c r="L156" s="54" t="s">
        <v>4847</v>
      </c>
      <c r="M156" s="55">
        <v>43641</v>
      </c>
      <c r="N156" s="56" t="s">
        <v>4846</v>
      </c>
      <c r="O156" s="55">
        <v>43646</v>
      </c>
      <c r="P156" s="58"/>
      <c r="Q156" s="52"/>
      <c r="R156" s="63"/>
      <c r="S156" s="47"/>
    </row>
    <row r="157" spans="1:19" s="33" customFormat="1" ht="33" customHeight="1">
      <c r="B157" s="47" t="s">
        <v>238</v>
      </c>
      <c r="C157" s="48" t="s">
        <v>285</v>
      </c>
      <c r="D157" s="49" t="s">
        <v>1305</v>
      </c>
      <c r="E157" s="50">
        <v>43567</v>
      </c>
      <c r="F157" s="52" t="s">
        <v>236</v>
      </c>
      <c r="G157" s="51">
        <v>3200</v>
      </c>
      <c r="H157" s="52">
        <f t="shared" si="15"/>
        <v>16</v>
      </c>
      <c r="I157" s="52">
        <f t="shared" si="16"/>
        <v>4</v>
      </c>
      <c r="J157" s="52"/>
      <c r="K157" s="53">
        <v>43660</v>
      </c>
      <c r="L157" s="54" t="s">
        <v>4845</v>
      </c>
      <c r="M157" s="55">
        <v>43655</v>
      </c>
      <c r="N157" s="56" t="s">
        <v>4844</v>
      </c>
      <c r="O157" s="55">
        <v>43660</v>
      </c>
      <c r="P157" s="58"/>
      <c r="Q157" s="52"/>
      <c r="R157" s="63"/>
      <c r="S157" s="47"/>
    </row>
    <row r="158" spans="1:19" s="33" customFormat="1" ht="33" customHeight="1">
      <c r="B158" s="47" t="s">
        <v>238</v>
      </c>
      <c r="C158" s="48" t="s">
        <v>331</v>
      </c>
      <c r="D158" s="49" t="s">
        <v>1306</v>
      </c>
      <c r="E158" s="50">
        <v>43567</v>
      </c>
      <c r="F158" s="52" t="s">
        <v>236</v>
      </c>
      <c r="G158" s="51">
        <v>3200</v>
      </c>
      <c r="H158" s="52">
        <f t="shared" si="15"/>
        <v>16</v>
      </c>
      <c r="I158" s="52">
        <f t="shared" si="16"/>
        <v>4</v>
      </c>
      <c r="J158" s="52"/>
      <c r="K158" s="53">
        <v>43674</v>
      </c>
      <c r="L158" s="54" t="s">
        <v>4843</v>
      </c>
      <c r="M158" s="55">
        <v>43669</v>
      </c>
      <c r="N158" s="56" t="s">
        <v>4842</v>
      </c>
      <c r="O158" s="55">
        <v>43674</v>
      </c>
      <c r="P158" s="58"/>
      <c r="Q158" s="52"/>
      <c r="R158" s="63"/>
      <c r="S158" s="47"/>
    </row>
    <row r="159" spans="1:19" s="30" customFormat="1" ht="33" customHeight="1">
      <c r="B159" s="46" t="s">
        <v>4836</v>
      </c>
      <c r="C159" s="35" t="s">
        <v>431</v>
      </c>
      <c r="D159" s="36" t="s">
        <v>4841</v>
      </c>
      <c r="E159" s="37">
        <v>43637</v>
      </c>
      <c r="F159" s="38" t="s">
        <v>236</v>
      </c>
      <c r="G159" s="39">
        <v>3200</v>
      </c>
      <c r="H159" s="38">
        <f t="shared" si="15"/>
        <v>16</v>
      </c>
      <c r="I159" s="38">
        <f t="shared" si="16"/>
        <v>4</v>
      </c>
      <c r="J159" s="38"/>
      <c r="K159" s="40">
        <v>43730</v>
      </c>
      <c r="L159" s="41" t="s">
        <v>4840</v>
      </c>
      <c r="M159" s="42">
        <v>43725</v>
      </c>
      <c r="N159" s="43" t="s">
        <v>4839</v>
      </c>
      <c r="O159" s="42">
        <v>43730</v>
      </c>
      <c r="P159" s="45"/>
      <c r="Q159" s="38"/>
      <c r="R159" s="66"/>
      <c r="S159" s="46"/>
    </row>
    <row r="160" spans="1:19" s="30" customFormat="1" ht="33" customHeight="1">
      <c r="B160" s="46" t="s">
        <v>4836</v>
      </c>
      <c r="C160" s="35" t="s">
        <v>523</v>
      </c>
      <c r="D160" s="36" t="s">
        <v>4452</v>
      </c>
      <c r="E160" s="37">
        <v>43665</v>
      </c>
      <c r="F160" s="38" t="s">
        <v>236</v>
      </c>
      <c r="G160" s="39">
        <v>3200</v>
      </c>
      <c r="H160" s="38">
        <f t="shared" si="15"/>
        <v>16</v>
      </c>
      <c r="I160" s="38">
        <f t="shared" si="16"/>
        <v>4</v>
      </c>
      <c r="J160" s="38"/>
      <c r="K160" s="40">
        <v>43751</v>
      </c>
      <c r="L160" s="41" t="s">
        <v>4838</v>
      </c>
      <c r="M160" s="42">
        <v>43746</v>
      </c>
      <c r="N160" s="43" t="s">
        <v>4837</v>
      </c>
      <c r="O160" s="42">
        <v>43751</v>
      </c>
      <c r="P160" s="45"/>
      <c r="Q160" s="38"/>
      <c r="R160" s="66"/>
      <c r="S160" s="46"/>
    </row>
    <row r="161" spans="2:19" s="30" customFormat="1" ht="33" customHeight="1">
      <c r="B161" s="122" t="s">
        <v>4836</v>
      </c>
      <c r="C161" s="126" t="s">
        <v>589</v>
      </c>
      <c r="D161" s="127" t="s">
        <v>4835</v>
      </c>
      <c r="E161" s="128">
        <v>43689</v>
      </c>
      <c r="F161" s="124" t="s">
        <v>236</v>
      </c>
      <c r="G161" s="129">
        <v>2400</v>
      </c>
      <c r="H161" s="124">
        <f t="shared" si="15"/>
        <v>12</v>
      </c>
      <c r="I161" s="124">
        <f t="shared" si="16"/>
        <v>3</v>
      </c>
      <c r="J161" s="124"/>
      <c r="K161" s="130">
        <v>43779</v>
      </c>
      <c r="L161" s="119" t="s">
        <v>5190</v>
      </c>
      <c r="M161" s="120">
        <v>43774</v>
      </c>
      <c r="N161" s="121" t="s">
        <v>5172</v>
      </c>
      <c r="O161" s="120">
        <v>43779</v>
      </c>
      <c r="P161" s="123"/>
      <c r="Q161" s="124"/>
      <c r="R161" s="134"/>
      <c r="S161" s="122"/>
    </row>
    <row r="162" spans="2:19" ht="22.2">
      <c r="F162" s="177"/>
      <c r="L162" s="176"/>
      <c r="M162" s="177"/>
      <c r="N162" s="177"/>
      <c r="O162"/>
      <c r="P162" s="13"/>
      <c r="R162" s="19"/>
      <c r="S162" s="28"/>
    </row>
    <row r="163" spans="2:19" ht="22.2">
      <c r="F163" s="177"/>
      <c r="L163" s="176"/>
      <c r="M163" s="177"/>
      <c r="N163" s="177"/>
      <c r="O163"/>
      <c r="P163" s="13"/>
      <c r="R163" s="19"/>
      <c r="S163" s="28"/>
    </row>
    <row r="164" spans="2:19" hidden="1">
      <c r="E164" s="175"/>
      <c r="L164" s="11"/>
      <c r="M164"/>
      <c r="N164"/>
      <c r="O164"/>
      <c r="P164" s="13"/>
      <c r="R164" s="19"/>
      <c r="S164" s="28"/>
    </row>
    <row r="165" spans="2:19" s="19" customFormat="1" hidden="1">
      <c r="B165"/>
      <c r="C165" s="15"/>
      <c r="D165" s="1"/>
      <c r="L165" s="178" t="s">
        <v>1825</v>
      </c>
      <c r="M165" s="178" t="s">
        <v>1826</v>
      </c>
      <c r="N165" s="178" t="s">
        <v>1827</v>
      </c>
      <c r="O165" s="178" t="s">
        <v>1828</v>
      </c>
      <c r="P165" s="179" t="s">
        <v>4834</v>
      </c>
      <c r="Q165" s="179" t="s">
        <v>4833</v>
      </c>
      <c r="R165" s="179" t="s">
        <v>1831</v>
      </c>
      <c r="S165" s="179"/>
    </row>
    <row r="166" spans="2:19" s="19" customFormat="1" hidden="1">
      <c r="B166"/>
      <c r="C166" s="15"/>
      <c r="D166" s="1"/>
      <c r="L166" s="180" t="s">
        <v>4831</v>
      </c>
      <c r="M166" s="181" t="s">
        <v>1833</v>
      </c>
      <c r="N166" s="181" t="s">
        <v>1834</v>
      </c>
      <c r="O166" s="182" t="s">
        <v>1835</v>
      </c>
      <c r="P166" s="183">
        <v>1000</v>
      </c>
      <c r="Q166" s="183">
        <v>4</v>
      </c>
      <c r="R166" s="184">
        <v>43598</v>
      </c>
      <c r="S166" s="181" t="s">
        <v>99</v>
      </c>
    </row>
    <row r="167" spans="2:19" s="19" customFormat="1" hidden="1">
      <c r="B167"/>
      <c r="C167" s="15"/>
      <c r="D167" s="1"/>
      <c r="L167" s="180" t="s">
        <v>4831</v>
      </c>
      <c r="M167" s="181" t="s">
        <v>1836</v>
      </c>
      <c r="N167" s="181" t="s">
        <v>1834</v>
      </c>
      <c r="O167" s="182" t="s">
        <v>1835</v>
      </c>
      <c r="P167" s="183">
        <v>6000</v>
      </c>
      <c r="Q167" s="183">
        <v>24</v>
      </c>
      <c r="R167" s="184">
        <v>43598</v>
      </c>
      <c r="S167" s="181" t="s">
        <v>99</v>
      </c>
    </row>
    <row r="168" spans="2:19" s="19" customFormat="1" hidden="1">
      <c r="B168"/>
      <c r="C168" s="15"/>
      <c r="D168" s="1"/>
      <c r="L168" s="180" t="s">
        <v>4831</v>
      </c>
      <c r="M168" s="181" t="s">
        <v>1837</v>
      </c>
      <c r="N168" s="181" t="s">
        <v>1834</v>
      </c>
      <c r="O168" s="182" t="s">
        <v>1835</v>
      </c>
      <c r="P168" s="183">
        <v>5000</v>
      </c>
      <c r="Q168" s="183">
        <v>20</v>
      </c>
      <c r="R168" s="185" t="s">
        <v>4832</v>
      </c>
      <c r="S168" s="180" t="s">
        <v>4829</v>
      </c>
    </row>
    <row r="169" spans="2:19" s="19" customFormat="1" hidden="1">
      <c r="B169"/>
      <c r="C169" s="15"/>
      <c r="D169" s="1"/>
      <c r="L169" s="180" t="s">
        <v>4831</v>
      </c>
      <c r="M169" s="181" t="s">
        <v>1840</v>
      </c>
      <c r="N169" s="181" t="s">
        <v>1834</v>
      </c>
      <c r="O169" s="182" t="s">
        <v>1835</v>
      </c>
      <c r="P169" s="183">
        <v>5000</v>
      </c>
      <c r="Q169" s="183">
        <v>20</v>
      </c>
      <c r="R169" s="184">
        <v>43605</v>
      </c>
      <c r="S169" s="181" t="s">
        <v>99</v>
      </c>
    </row>
    <row r="170" spans="2:19" s="19" customFormat="1" hidden="1">
      <c r="B170"/>
      <c r="C170" s="15"/>
      <c r="D170" s="1"/>
      <c r="L170" s="180" t="s">
        <v>4831</v>
      </c>
      <c r="M170" s="181" t="s">
        <v>1841</v>
      </c>
      <c r="N170" s="181" t="s">
        <v>1834</v>
      </c>
      <c r="O170" s="182" t="s">
        <v>1835</v>
      </c>
      <c r="P170" s="183">
        <v>7000</v>
      </c>
      <c r="Q170" s="183">
        <v>28</v>
      </c>
      <c r="R170" s="184">
        <v>43605</v>
      </c>
      <c r="S170" s="181" t="s">
        <v>99</v>
      </c>
    </row>
    <row r="171" spans="2:19" hidden="1">
      <c r="L171" s="180" t="s">
        <v>4828</v>
      </c>
      <c r="M171" s="181" t="s">
        <v>1843</v>
      </c>
      <c r="N171" s="181" t="s">
        <v>1844</v>
      </c>
      <c r="O171" s="182" t="s">
        <v>1835</v>
      </c>
      <c r="P171" s="183">
        <v>2000</v>
      </c>
      <c r="Q171" s="183">
        <v>8</v>
      </c>
      <c r="R171" s="184">
        <v>43598</v>
      </c>
      <c r="S171" s="181" t="s">
        <v>99</v>
      </c>
    </row>
    <row r="172" spans="2:19" hidden="1">
      <c r="L172" s="180" t="s">
        <v>4828</v>
      </c>
      <c r="M172" s="181" t="s">
        <v>1845</v>
      </c>
      <c r="N172" s="181" t="s">
        <v>1844</v>
      </c>
      <c r="O172" s="182" t="s">
        <v>1835</v>
      </c>
      <c r="P172" s="183">
        <v>2000</v>
      </c>
      <c r="Q172" s="183">
        <v>8</v>
      </c>
      <c r="R172" s="184">
        <v>43598</v>
      </c>
      <c r="S172" s="181" t="s">
        <v>99</v>
      </c>
    </row>
    <row r="173" spans="2:19" hidden="1">
      <c r="L173" s="180" t="s">
        <v>4828</v>
      </c>
      <c r="M173" s="181" t="s">
        <v>1846</v>
      </c>
      <c r="N173" s="181" t="s">
        <v>1844</v>
      </c>
      <c r="O173" s="182" t="s">
        <v>1835</v>
      </c>
      <c r="P173" s="183">
        <v>10000</v>
      </c>
      <c r="Q173" s="183">
        <v>40</v>
      </c>
      <c r="R173" s="184">
        <v>43598</v>
      </c>
      <c r="S173" s="181" t="s">
        <v>99</v>
      </c>
    </row>
    <row r="174" spans="2:19" hidden="1">
      <c r="L174" s="180" t="s">
        <v>4828</v>
      </c>
      <c r="M174" s="181" t="s">
        <v>1847</v>
      </c>
      <c r="N174" s="181" t="s">
        <v>1844</v>
      </c>
      <c r="O174" s="182" t="s">
        <v>1835</v>
      </c>
      <c r="P174" s="183">
        <v>8000</v>
      </c>
      <c r="Q174" s="183">
        <v>32</v>
      </c>
      <c r="R174" s="184">
        <v>43598</v>
      </c>
      <c r="S174" s="180"/>
    </row>
    <row r="175" spans="2:19" hidden="1">
      <c r="L175" s="180" t="s">
        <v>4828</v>
      </c>
      <c r="M175" s="181" t="s">
        <v>1848</v>
      </c>
      <c r="N175" s="181" t="s">
        <v>1844</v>
      </c>
      <c r="O175" s="182" t="s">
        <v>1835</v>
      </c>
      <c r="P175" s="183">
        <v>10000</v>
      </c>
      <c r="Q175" s="183">
        <v>40</v>
      </c>
      <c r="R175" s="185" t="s">
        <v>4830</v>
      </c>
      <c r="S175" s="180" t="s">
        <v>4829</v>
      </c>
    </row>
    <row r="176" spans="2:19" hidden="1">
      <c r="L176" s="182" t="s">
        <v>4827</v>
      </c>
      <c r="M176" s="181" t="s">
        <v>1851</v>
      </c>
      <c r="N176" s="181" t="s">
        <v>1834</v>
      </c>
      <c r="O176" s="182" t="s">
        <v>1852</v>
      </c>
      <c r="P176" s="183">
        <v>5000</v>
      </c>
      <c r="Q176" s="183">
        <v>20</v>
      </c>
      <c r="R176" s="184">
        <v>43605</v>
      </c>
      <c r="S176" s="181" t="s">
        <v>99</v>
      </c>
    </row>
    <row r="177" spans="12:19" hidden="1">
      <c r="L177" s="180" t="s">
        <v>4828</v>
      </c>
      <c r="M177" s="181" t="s">
        <v>1851</v>
      </c>
      <c r="N177" s="181" t="s">
        <v>1844</v>
      </c>
      <c r="O177" s="182" t="s">
        <v>1835</v>
      </c>
      <c r="P177" s="183">
        <v>2000</v>
      </c>
      <c r="Q177" s="183">
        <v>8</v>
      </c>
      <c r="R177" s="184">
        <v>43605</v>
      </c>
      <c r="S177" s="181" t="s">
        <v>99</v>
      </c>
    </row>
    <row r="178" spans="12:19" hidden="1">
      <c r="L178" s="182" t="s">
        <v>4827</v>
      </c>
      <c r="M178" s="181" t="s">
        <v>1855</v>
      </c>
      <c r="N178" s="181" t="s">
        <v>1834</v>
      </c>
      <c r="O178" s="182" t="s">
        <v>1852</v>
      </c>
      <c r="P178" s="183">
        <v>6000</v>
      </c>
      <c r="Q178" s="183">
        <v>24</v>
      </c>
      <c r="R178" s="184">
        <v>43605</v>
      </c>
      <c r="S178" s="181" t="s">
        <v>99</v>
      </c>
    </row>
    <row r="179" spans="12:19" hidden="1">
      <c r="L179" s="182" t="s">
        <v>4827</v>
      </c>
      <c r="M179" s="181" t="s">
        <v>1856</v>
      </c>
      <c r="N179" s="181" t="s">
        <v>1834</v>
      </c>
      <c r="O179" s="182" t="s">
        <v>1852</v>
      </c>
      <c r="P179" s="183">
        <v>6000</v>
      </c>
      <c r="Q179" s="183">
        <v>24</v>
      </c>
      <c r="R179" s="185">
        <v>43605</v>
      </c>
      <c r="S179" s="180"/>
    </row>
    <row r="180" spans="12:19" hidden="1">
      <c r="L180" s="182" t="s">
        <v>4827</v>
      </c>
      <c r="M180" s="181" t="s">
        <v>1857</v>
      </c>
      <c r="N180" s="181" t="s">
        <v>1834</v>
      </c>
      <c r="O180" s="182" t="s">
        <v>1852</v>
      </c>
      <c r="P180" s="183">
        <v>6000</v>
      </c>
      <c r="Q180" s="183">
        <v>24</v>
      </c>
      <c r="R180" s="184" t="s">
        <v>4826</v>
      </c>
      <c r="S180" s="181" t="s">
        <v>4825</v>
      </c>
    </row>
    <row r="183" spans="12:19" ht="16.2">
      <c r="L183" s="186"/>
    </row>
    <row r="184" spans="12:19" ht="16.2">
      <c r="L184" s="186"/>
    </row>
    <row r="185" spans="12:19" ht="16.2">
      <c r="L185" s="186"/>
    </row>
    <row r="186" spans="12:19">
      <c r="Q186" t="s">
        <v>4824</v>
      </c>
    </row>
  </sheetData>
  <autoFilter ref="B2:R163" xr:uid="{00000000-0009-0000-0000-00000B000000}">
    <sortState ref="B89:R144">
      <sortCondition descending="1" ref="L2:L148"/>
    </sortState>
  </autoFilter>
  <phoneticPr fontId="1"/>
  <pageMargins left="0.23622047244094491" right="0.23622047244094491" top="0.35433070866141736" bottom="0.35433070866141736" header="0.31496062992125984" footer="0.31496062992125984"/>
  <pageSetup paperSize="9" scale="44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72">
    <pageSetUpPr fitToPage="1"/>
  </sheetPr>
  <dimension ref="A1:S171"/>
  <sheetViews>
    <sheetView zoomScale="77" zoomScaleNormal="77" workbookViewId="0">
      <pane xSplit="1" ySplit="2" topLeftCell="B121" activePane="bottomRight" state="frozen"/>
      <selection pane="topRight" activeCell="B1" sqref="B1"/>
      <selection pane="bottomLeft" activeCell="A3" sqref="A3"/>
      <selection pane="bottomRight" activeCell="G78" sqref="G78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7.12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B2" s="194"/>
      <c r="C2" s="14" t="s">
        <v>4811</v>
      </c>
      <c r="D2" s="5" t="s">
        <v>0</v>
      </c>
      <c r="E2" s="6" t="s">
        <v>4810</v>
      </c>
      <c r="F2" s="6" t="s">
        <v>4809</v>
      </c>
      <c r="G2" s="10" t="s">
        <v>1</v>
      </c>
      <c r="H2" s="6" t="s">
        <v>15</v>
      </c>
      <c r="I2" s="6" t="s">
        <v>16</v>
      </c>
      <c r="J2" s="6" t="s">
        <v>4808</v>
      </c>
      <c r="K2" s="12" t="s">
        <v>4807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4806</v>
      </c>
      <c r="Q2" s="6" t="s">
        <v>4805</v>
      </c>
      <c r="R2" s="16" t="s">
        <v>6</v>
      </c>
      <c r="S2" s="16" t="s">
        <v>4804</v>
      </c>
    </row>
    <row r="3" spans="2:19" s="33" customFormat="1" ht="33" customHeight="1">
      <c r="B3" s="47" t="s">
        <v>220</v>
      </c>
      <c r="C3" s="48" t="s">
        <v>377</v>
      </c>
      <c r="D3" s="49" t="s">
        <v>378</v>
      </c>
      <c r="E3" s="50">
        <v>43455</v>
      </c>
      <c r="F3" s="49" t="s">
        <v>4771</v>
      </c>
      <c r="G3" s="51">
        <v>14000</v>
      </c>
      <c r="H3" s="52">
        <f t="shared" ref="H3:H42" si="0">SUM(G3/250)</f>
        <v>56</v>
      </c>
      <c r="I3" s="52">
        <f t="shared" ref="I3:I34" si="1">SUM(H3/4)</f>
        <v>14</v>
      </c>
      <c r="J3" s="49"/>
      <c r="K3" s="53">
        <v>43548</v>
      </c>
      <c r="L3" s="54" t="s">
        <v>4803</v>
      </c>
      <c r="M3" s="55">
        <v>43563</v>
      </c>
      <c r="N3" s="56" t="s">
        <v>4802</v>
      </c>
      <c r="O3" s="55">
        <v>43569</v>
      </c>
      <c r="P3" s="54" t="s">
        <v>4801</v>
      </c>
      <c r="Q3" s="49"/>
      <c r="R3" s="57" t="s">
        <v>4800</v>
      </c>
      <c r="S3" s="47"/>
    </row>
    <row r="4" spans="2:19" s="33" customFormat="1" ht="33" customHeight="1">
      <c r="B4" s="47" t="s">
        <v>220</v>
      </c>
      <c r="C4" s="48" t="s">
        <v>421</v>
      </c>
      <c r="D4" s="49" t="s">
        <v>453</v>
      </c>
      <c r="E4" s="50">
        <v>43483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43576</v>
      </c>
      <c r="L4" s="54" t="s">
        <v>4788</v>
      </c>
      <c r="M4" s="55">
        <v>43570</v>
      </c>
      <c r="N4" s="56" t="s">
        <v>4787</v>
      </c>
      <c r="O4" s="55">
        <v>43576</v>
      </c>
      <c r="P4" s="54" t="s">
        <v>4799</v>
      </c>
      <c r="Q4" s="49"/>
      <c r="R4" s="57" t="s">
        <v>4798</v>
      </c>
      <c r="S4" s="47"/>
    </row>
    <row r="5" spans="2:19" s="33" customFormat="1" ht="33" customHeight="1">
      <c r="B5" s="47" t="s">
        <v>78</v>
      </c>
      <c r="C5" s="48" t="s">
        <v>422</v>
      </c>
      <c r="D5" s="49" t="s">
        <v>455</v>
      </c>
      <c r="E5" s="50">
        <v>43483</v>
      </c>
      <c r="F5" s="49" t="s">
        <v>4771</v>
      </c>
      <c r="G5" s="51">
        <v>10000</v>
      </c>
      <c r="H5" s="52">
        <f t="shared" si="0"/>
        <v>40</v>
      </c>
      <c r="I5" s="52">
        <f t="shared" si="1"/>
        <v>10</v>
      </c>
      <c r="J5" s="49"/>
      <c r="K5" s="53">
        <v>43618</v>
      </c>
      <c r="L5" s="54" t="s">
        <v>4792</v>
      </c>
      <c r="M5" s="55">
        <v>43612</v>
      </c>
      <c r="N5" s="56" t="s">
        <v>4791</v>
      </c>
      <c r="O5" s="55">
        <v>43618</v>
      </c>
      <c r="P5" s="54" t="s">
        <v>4797</v>
      </c>
      <c r="Q5" s="49" t="s">
        <v>82</v>
      </c>
      <c r="R5" s="57" t="s">
        <v>4789</v>
      </c>
      <c r="S5" s="47"/>
    </row>
    <row r="6" spans="2:19" s="33" customFormat="1" ht="33" customHeight="1">
      <c r="B6" s="47" t="s">
        <v>78</v>
      </c>
      <c r="C6" s="48" t="s">
        <v>4796</v>
      </c>
      <c r="D6" s="49" t="s">
        <v>455</v>
      </c>
      <c r="E6" s="50">
        <v>43523</v>
      </c>
      <c r="F6" s="49" t="s">
        <v>4771</v>
      </c>
      <c r="G6" s="51">
        <v>10000</v>
      </c>
      <c r="H6" s="52">
        <f t="shared" si="0"/>
        <v>40</v>
      </c>
      <c r="I6" s="52">
        <f t="shared" si="1"/>
        <v>10</v>
      </c>
      <c r="J6" s="49"/>
      <c r="K6" s="53">
        <v>43618</v>
      </c>
      <c r="L6" s="54" t="s">
        <v>638</v>
      </c>
      <c r="M6" s="55">
        <v>43612</v>
      </c>
      <c r="N6" s="56" t="s">
        <v>636</v>
      </c>
      <c r="O6" s="55">
        <v>43618</v>
      </c>
      <c r="P6" s="54" t="s">
        <v>4795</v>
      </c>
      <c r="Q6" s="49" t="s">
        <v>82</v>
      </c>
      <c r="R6" s="57" t="s">
        <v>4794</v>
      </c>
      <c r="S6" s="47"/>
    </row>
    <row r="7" spans="2:19" s="33" customFormat="1" ht="33" customHeight="1">
      <c r="B7" s="47" t="s">
        <v>78</v>
      </c>
      <c r="C7" s="48" t="s">
        <v>4793</v>
      </c>
      <c r="D7" s="49" t="s">
        <v>1337</v>
      </c>
      <c r="E7" s="50">
        <v>43483</v>
      </c>
      <c r="F7" s="49" t="s">
        <v>4771</v>
      </c>
      <c r="G7" s="51">
        <v>20000</v>
      </c>
      <c r="H7" s="52">
        <f t="shared" si="0"/>
        <v>80</v>
      </c>
      <c r="I7" s="52">
        <f t="shared" si="1"/>
        <v>20</v>
      </c>
      <c r="J7" s="49"/>
      <c r="K7" s="53">
        <v>43618</v>
      </c>
      <c r="L7" s="54" t="s">
        <v>4792</v>
      </c>
      <c r="M7" s="55">
        <v>43612</v>
      </c>
      <c r="N7" s="56" t="s">
        <v>4791</v>
      </c>
      <c r="O7" s="55">
        <v>43618</v>
      </c>
      <c r="P7" s="54" t="s">
        <v>4790</v>
      </c>
      <c r="Q7" s="49" t="s">
        <v>82</v>
      </c>
      <c r="R7" s="57" t="s">
        <v>4789</v>
      </c>
      <c r="S7" s="47" t="s">
        <v>479</v>
      </c>
    </row>
    <row r="8" spans="2:19" s="33" customFormat="1" ht="33" customHeight="1">
      <c r="B8" s="47" t="s">
        <v>78</v>
      </c>
      <c r="C8" s="48" t="s">
        <v>423</v>
      </c>
      <c r="D8" s="49" t="s">
        <v>457</v>
      </c>
      <c r="E8" s="50">
        <v>43483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43576</v>
      </c>
      <c r="L8" s="54" t="s">
        <v>4788</v>
      </c>
      <c r="M8" s="55">
        <v>43570</v>
      </c>
      <c r="N8" s="56" t="s">
        <v>4787</v>
      </c>
      <c r="O8" s="55">
        <v>43576</v>
      </c>
      <c r="P8" s="54" t="s">
        <v>4786</v>
      </c>
      <c r="Q8" s="49" t="s">
        <v>82</v>
      </c>
      <c r="R8" s="57" t="s">
        <v>4785</v>
      </c>
      <c r="S8" s="47"/>
    </row>
    <row r="9" spans="2:19" s="33" customFormat="1" ht="33" customHeight="1">
      <c r="B9" s="47" t="s">
        <v>220</v>
      </c>
      <c r="C9" s="48" t="s">
        <v>425</v>
      </c>
      <c r="D9" s="49" t="s">
        <v>459</v>
      </c>
      <c r="E9" s="50">
        <v>43483</v>
      </c>
      <c r="F9" s="49" t="s">
        <v>79</v>
      </c>
      <c r="G9" s="51">
        <v>20000</v>
      </c>
      <c r="H9" s="52">
        <f t="shared" si="0"/>
        <v>80</v>
      </c>
      <c r="I9" s="52">
        <f t="shared" si="1"/>
        <v>20</v>
      </c>
      <c r="J9" s="49"/>
      <c r="K9" s="53">
        <v>43583</v>
      </c>
      <c r="L9" s="54" t="s">
        <v>4782</v>
      </c>
      <c r="M9" s="55">
        <v>43577</v>
      </c>
      <c r="N9" s="56" t="s">
        <v>4779</v>
      </c>
      <c r="O9" s="55">
        <v>43583</v>
      </c>
      <c r="P9" s="54" t="s">
        <v>4784</v>
      </c>
      <c r="Q9" s="49"/>
      <c r="R9" s="57" t="s">
        <v>4783</v>
      </c>
      <c r="S9" s="47"/>
    </row>
    <row r="10" spans="2:19" s="33" customFormat="1" ht="33" customHeight="1">
      <c r="B10" s="47" t="s">
        <v>78</v>
      </c>
      <c r="C10" s="48" t="s">
        <v>462</v>
      </c>
      <c r="D10" s="49" t="s">
        <v>483</v>
      </c>
      <c r="E10" s="50">
        <v>43490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43583</v>
      </c>
      <c r="L10" s="54" t="s">
        <v>4782</v>
      </c>
      <c r="M10" s="55">
        <v>43577</v>
      </c>
      <c r="N10" s="56" t="s">
        <v>4779</v>
      </c>
      <c r="O10" s="55">
        <v>43583</v>
      </c>
      <c r="P10" s="54" t="s">
        <v>4781</v>
      </c>
      <c r="Q10" s="49" t="s">
        <v>82</v>
      </c>
      <c r="R10" s="57" t="s">
        <v>4780</v>
      </c>
      <c r="S10" s="47"/>
    </row>
    <row r="11" spans="2:19" s="33" customFormat="1" ht="33" customHeight="1">
      <c r="B11" s="47" t="s">
        <v>78</v>
      </c>
      <c r="C11" s="48" t="s">
        <v>570</v>
      </c>
      <c r="D11" s="49" t="s">
        <v>571</v>
      </c>
      <c r="E11" s="50">
        <v>43519</v>
      </c>
      <c r="F11" s="49" t="s">
        <v>79</v>
      </c>
      <c r="G11" s="51">
        <v>20000</v>
      </c>
      <c r="H11" s="52">
        <f t="shared" si="0"/>
        <v>80</v>
      </c>
      <c r="I11" s="52">
        <f t="shared" si="1"/>
        <v>20</v>
      </c>
      <c r="J11" s="49"/>
      <c r="K11" s="53">
        <v>43590</v>
      </c>
      <c r="L11" s="54" t="s">
        <v>602</v>
      </c>
      <c r="M11" s="55">
        <v>43577</v>
      </c>
      <c r="N11" s="56" t="s">
        <v>4779</v>
      </c>
      <c r="O11" s="55">
        <v>43583</v>
      </c>
      <c r="P11" s="54" t="s">
        <v>4778</v>
      </c>
      <c r="Q11" s="49" t="s">
        <v>82</v>
      </c>
      <c r="R11" s="57" t="s">
        <v>4777</v>
      </c>
      <c r="S11" s="47"/>
    </row>
    <row r="12" spans="2:19" s="33" customFormat="1" ht="33" customHeight="1">
      <c r="B12" s="47" t="s">
        <v>78</v>
      </c>
      <c r="C12" s="48" t="s">
        <v>573</v>
      </c>
      <c r="D12" s="49" t="s">
        <v>574</v>
      </c>
      <c r="E12" s="50">
        <v>43519</v>
      </c>
      <c r="F12" s="49" t="s">
        <v>79</v>
      </c>
      <c r="G12" s="51">
        <v>20000</v>
      </c>
      <c r="H12" s="52">
        <f t="shared" si="0"/>
        <v>80</v>
      </c>
      <c r="I12" s="52">
        <f t="shared" si="1"/>
        <v>20</v>
      </c>
      <c r="J12" s="49"/>
      <c r="K12" s="53">
        <v>43604</v>
      </c>
      <c r="L12" s="54" t="s">
        <v>4776</v>
      </c>
      <c r="M12" s="55">
        <v>43598</v>
      </c>
      <c r="N12" s="56" t="s">
        <v>4775</v>
      </c>
      <c r="O12" s="55">
        <v>43604</v>
      </c>
      <c r="P12" s="54" t="s">
        <v>4774</v>
      </c>
      <c r="Q12" s="49" t="s">
        <v>82</v>
      </c>
      <c r="R12" s="57" t="s">
        <v>4773</v>
      </c>
      <c r="S12" s="47"/>
    </row>
    <row r="13" spans="2:19" s="33" customFormat="1" ht="33" customHeight="1">
      <c r="B13" s="47" t="s">
        <v>78</v>
      </c>
      <c r="C13" s="48" t="s">
        <v>4772</v>
      </c>
      <c r="D13" s="49" t="s">
        <v>577</v>
      </c>
      <c r="E13" s="50">
        <v>43519</v>
      </c>
      <c r="F13" s="49" t="s">
        <v>4771</v>
      </c>
      <c r="G13" s="51">
        <v>10000</v>
      </c>
      <c r="H13" s="52">
        <f t="shared" si="0"/>
        <v>40</v>
      </c>
      <c r="I13" s="52">
        <f t="shared" si="1"/>
        <v>10</v>
      </c>
      <c r="J13" s="49"/>
      <c r="K13" s="53">
        <v>43598</v>
      </c>
      <c r="L13" s="54" t="s">
        <v>803</v>
      </c>
      <c r="M13" s="55">
        <v>43598</v>
      </c>
      <c r="N13" s="56" t="s">
        <v>804</v>
      </c>
      <c r="O13" s="55">
        <v>43604</v>
      </c>
      <c r="P13" s="54" t="s">
        <v>4770</v>
      </c>
      <c r="Q13" s="49" t="s">
        <v>82</v>
      </c>
      <c r="R13" s="57" t="s">
        <v>4769</v>
      </c>
      <c r="S13" s="47"/>
    </row>
    <row r="14" spans="2:19" s="33" customFormat="1" ht="33" customHeight="1">
      <c r="B14" s="47" t="s">
        <v>220</v>
      </c>
      <c r="C14" s="48" t="s">
        <v>579</v>
      </c>
      <c r="D14" s="49" t="s">
        <v>580</v>
      </c>
      <c r="E14" s="50">
        <v>43519</v>
      </c>
      <c r="F14" s="49" t="s">
        <v>79</v>
      </c>
      <c r="G14" s="51">
        <v>10000</v>
      </c>
      <c r="H14" s="52">
        <f t="shared" si="0"/>
        <v>40</v>
      </c>
      <c r="I14" s="52">
        <f t="shared" si="1"/>
        <v>10</v>
      </c>
      <c r="J14" s="49"/>
      <c r="K14" s="53">
        <v>43598</v>
      </c>
      <c r="L14" s="54" t="s">
        <v>803</v>
      </c>
      <c r="M14" s="55">
        <v>43598</v>
      </c>
      <c r="N14" s="56" t="s">
        <v>804</v>
      </c>
      <c r="O14" s="55">
        <v>43604</v>
      </c>
      <c r="P14" s="54" t="s">
        <v>4768</v>
      </c>
      <c r="Q14" s="49"/>
      <c r="R14" s="57" t="s">
        <v>4767</v>
      </c>
      <c r="S14" s="47"/>
    </row>
    <row r="15" spans="2:19" s="33" customFormat="1" ht="33" customHeight="1">
      <c r="B15" s="47" t="s">
        <v>78</v>
      </c>
      <c r="C15" s="48" t="s">
        <v>576</v>
      </c>
      <c r="D15" s="49" t="s">
        <v>577</v>
      </c>
      <c r="E15" s="50">
        <v>43519</v>
      </c>
      <c r="F15" s="49" t="s">
        <v>79</v>
      </c>
      <c r="G15" s="51">
        <v>20000</v>
      </c>
      <c r="H15" s="52">
        <f t="shared" si="0"/>
        <v>80</v>
      </c>
      <c r="I15" s="52">
        <f t="shared" si="1"/>
        <v>20</v>
      </c>
      <c r="J15" s="49"/>
      <c r="K15" s="53">
        <v>43611</v>
      </c>
      <c r="L15" s="54" t="s">
        <v>4766</v>
      </c>
      <c r="M15" s="55">
        <v>43605</v>
      </c>
      <c r="N15" s="56" t="s">
        <v>4765</v>
      </c>
      <c r="O15" s="55">
        <v>43611</v>
      </c>
      <c r="P15" s="54" t="s">
        <v>4764</v>
      </c>
      <c r="Q15" s="49" t="s">
        <v>82</v>
      </c>
      <c r="R15" s="57" t="s">
        <v>4763</v>
      </c>
      <c r="S15" s="47"/>
    </row>
    <row r="16" spans="2:19" s="30" customFormat="1" ht="33" customHeight="1">
      <c r="B16" s="46" t="s">
        <v>78</v>
      </c>
      <c r="C16" s="35" t="s">
        <v>685</v>
      </c>
      <c r="D16" s="36" t="s">
        <v>686</v>
      </c>
      <c r="E16" s="37">
        <v>43532</v>
      </c>
      <c r="F16" s="36" t="s">
        <v>79</v>
      </c>
      <c r="G16" s="39">
        <v>20000</v>
      </c>
      <c r="H16" s="38">
        <f t="shared" si="0"/>
        <v>80</v>
      </c>
      <c r="I16" s="38">
        <f t="shared" si="1"/>
        <v>20</v>
      </c>
      <c r="J16" s="36"/>
      <c r="K16" s="40">
        <v>43625</v>
      </c>
      <c r="L16" s="41" t="s">
        <v>4761</v>
      </c>
      <c r="M16" s="42">
        <v>43619</v>
      </c>
      <c r="N16" s="43" t="s">
        <v>4760</v>
      </c>
      <c r="O16" s="42">
        <v>43625</v>
      </c>
      <c r="P16" s="41"/>
      <c r="Q16" s="36" t="s">
        <v>82</v>
      </c>
      <c r="R16" s="44" t="s">
        <v>4759</v>
      </c>
      <c r="S16" s="46"/>
    </row>
    <row r="17" spans="2:19" s="30" customFormat="1" ht="33" customHeight="1">
      <c r="B17" s="46" t="s">
        <v>78</v>
      </c>
      <c r="C17" s="35" t="s">
        <v>4762</v>
      </c>
      <c r="D17" s="36" t="s">
        <v>1366</v>
      </c>
      <c r="E17" s="37">
        <v>43532</v>
      </c>
      <c r="F17" s="36" t="s">
        <v>79</v>
      </c>
      <c r="G17" s="39">
        <v>20000</v>
      </c>
      <c r="H17" s="38">
        <f t="shared" si="0"/>
        <v>80</v>
      </c>
      <c r="I17" s="38">
        <f t="shared" si="1"/>
        <v>20</v>
      </c>
      <c r="J17" s="36"/>
      <c r="K17" s="40">
        <v>43625</v>
      </c>
      <c r="L17" s="41" t="s">
        <v>4761</v>
      </c>
      <c r="M17" s="42">
        <v>43619</v>
      </c>
      <c r="N17" s="43" t="s">
        <v>4760</v>
      </c>
      <c r="O17" s="42">
        <v>43625</v>
      </c>
      <c r="P17" s="41"/>
      <c r="Q17" s="36" t="s">
        <v>82</v>
      </c>
      <c r="R17" s="44" t="s">
        <v>4759</v>
      </c>
      <c r="S17" s="46" t="s">
        <v>479</v>
      </c>
    </row>
    <row r="18" spans="2:19" s="30" customFormat="1" ht="33" customHeight="1">
      <c r="B18" s="46" t="s">
        <v>220</v>
      </c>
      <c r="C18" s="35" t="s">
        <v>688</v>
      </c>
      <c r="D18" s="36" t="s">
        <v>689</v>
      </c>
      <c r="E18" s="37">
        <v>43532</v>
      </c>
      <c r="F18" s="36" t="s">
        <v>79</v>
      </c>
      <c r="G18" s="39">
        <v>20000</v>
      </c>
      <c r="H18" s="38">
        <f t="shared" si="0"/>
        <v>80</v>
      </c>
      <c r="I18" s="38">
        <f t="shared" si="1"/>
        <v>20</v>
      </c>
      <c r="J18" s="36"/>
      <c r="K18" s="40">
        <v>43632</v>
      </c>
      <c r="L18" s="41" t="s">
        <v>4758</v>
      </c>
      <c r="M18" s="42">
        <v>43626</v>
      </c>
      <c r="N18" s="43" t="s">
        <v>4757</v>
      </c>
      <c r="O18" s="42">
        <v>43632</v>
      </c>
      <c r="P18" s="41" t="s">
        <v>4756</v>
      </c>
      <c r="Q18" s="36"/>
      <c r="R18" s="44" t="s">
        <v>4755</v>
      </c>
      <c r="S18" s="46"/>
    </row>
    <row r="19" spans="2:19" s="30" customFormat="1" ht="33" customHeight="1">
      <c r="B19" s="46" t="s">
        <v>78</v>
      </c>
      <c r="C19" s="35" t="s">
        <v>691</v>
      </c>
      <c r="D19" s="36" t="s">
        <v>692</v>
      </c>
      <c r="E19" s="37">
        <v>43532</v>
      </c>
      <c r="F19" s="36" t="s">
        <v>79</v>
      </c>
      <c r="G19" s="39">
        <v>20000</v>
      </c>
      <c r="H19" s="38">
        <f t="shared" si="0"/>
        <v>80</v>
      </c>
      <c r="I19" s="38">
        <f t="shared" si="1"/>
        <v>20</v>
      </c>
      <c r="J19" s="36"/>
      <c r="K19" s="40">
        <v>43639</v>
      </c>
      <c r="L19" s="41" t="s">
        <v>4754</v>
      </c>
      <c r="M19" s="42">
        <v>43633</v>
      </c>
      <c r="N19" s="43" t="s">
        <v>4753</v>
      </c>
      <c r="O19" s="42">
        <v>43639</v>
      </c>
      <c r="P19" s="41"/>
      <c r="Q19" s="36" t="s">
        <v>82</v>
      </c>
      <c r="R19" s="44" t="s">
        <v>4752</v>
      </c>
      <c r="S19" s="46"/>
    </row>
    <row r="20" spans="2:19" s="33" customFormat="1" ht="33" customHeight="1">
      <c r="B20" s="47" t="s">
        <v>78</v>
      </c>
      <c r="C20" s="48" t="s">
        <v>4751</v>
      </c>
      <c r="D20" s="49" t="s">
        <v>4748</v>
      </c>
      <c r="E20" s="50">
        <v>43566</v>
      </c>
      <c r="F20" s="49" t="s">
        <v>79</v>
      </c>
      <c r="G20" s="51">
        <v>6000</v>
      </c>
      <c r="H20" s="52">
        <f t="shared" si="0"/>
        <v>24</v>
      </c>
      <c r="I20" s="52">
        <f t="shared" si="1"/>
        <v>6</v>
      </c>
      <c r="J20" s="49"/>
      <c r="K20" s="53">
        <v>43611</v>
      </c>
      <c r="L20" s="54" t="s">
        <v>603</v>
      </c>
      <c r="M20" s="55">
        <v>43605</v>
      </c>
      <c r="N20" s="56" t="s">
        <v>1080</v>
      </c>
      <c r="O20" s="55">
        <v>43611</v>
      </c>
      <c r="P20" s="54" t="s">
        <v>4750</v>
      </c>
      <c r="Q20" s="49" t="s">
        <v>82</v>
      </c>
      <c r="R20" s="57" t="s">
        <v>4746</v>
      </c>
      <c r="S20" s="47"/>
    </row>
    <row r="21" spans="2:19" s="33" customFormat="1" ht="33" customHeight="1">
      <c r="B21" s="47" t="s">
        <v>4749</v>
      </c>
      <c r="C21" s="48" t="s">
        <v>986</v>
      </c>
      <c r="D21" s="49" t="s">
        <v>4748</v>
      </c>
      <c r="E21" s="50">
        <v>43566</v>
      </c>
      <c r="F21" s="49" t="s">
        <v>79</v>
      </c>
      <c r="G21" s="51">
        <v>14000</v>
      </c>
      <c r="H21" s="52">
        <f t="shared" si="0"/>
        <v>56</v>
      </c>
      <c r="I21" s="52">
        <f t="shared" si="1"/>
        <v>14</v>
      </c>
      <c r="J21" s="49"/>
      <c r="K21" s="53">
        <v>43611</v>
      </c>
      <c r="L21" s="54" t="s">
        <v>603</v>
      </c>
      <c r="M21" s="55">
        <v>43605</v>
      </c>
      <c r="N21" s="56" t="s">
        <v>1080</v>
      </c>
      <c r="O21" s="55">
        <v>43611</v>
      </c>
      <c r="P21" s="54" t="s">
        <v>4747</v>
      </c>
      <c r="Q21" s="49"/>
      <c r="R21" s="57" t="s">
        <v>4746</v>
      </c>
      <c r="S21" s="47"/>
    </row>
    <row r="22" spans="2:19" s="30" customFormat="1" ht="33" customHeight="1">
      <c r="B22" s="46" t="s">
        <v>78</v>
      </c>
      <c r="C22" s="35" t="s">
        <v>988</v>
      </c>
      <c r="D22" s="36" t="s">
        <v>4745</v>
      </c>
      <c r="E22" s="37">
        <v>43566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43632</v>
      </c>
      <c r="L22" s="41" t="s">
        <v>1081</v>
      </c>
      <c r="M22" s="42">
        <v>43626</v>
      </c>
      <c r="N22" s="43" t="s">
        <v>1082</v>
      </c>
      <c r="O22" s="42">
        <v>43632</v>
      </c>
      <c r="P22" s="41"/>
      <c r="Q22" s="36" t="s">
        <v>82</v>
      </c>
      <c r="R22" s="44" t="s">
        <v>4744</v>
      </c>
      <c r="S22" s="46"/>
    </row>
    <row r="23" spans="2:19" s="30" customFormat="1" ht="33" customHeight="1">
      <c r="B23" s="46" t="s">
        <v>78</v>
      </c>
      <c r="C23" s="35" t="s">
        <v>1160</v>
      </c>
      <c r="D23" s="36" t="s">
        <v>1161</v>
      </c>
      <c r="E23" s="37">
        <v>43567</v>
      </c>
      <c r="F23" s="36" t="s">
        <v>4743</v>
      </c>
      <c r="G23" s="39">
        <v>40000</v>
      </c>
      <c r="H23" s="38">
        <f t="shared" si="0"/>
        <v>160</v>
      </c>
      <c r="I23" s="38">
        <f t="shared" si="1"/>
        <v>40</v>
      </c>
      <c r="J23" s="36"/>
      <c r="K23" s="40">
        <v>43646</v>
      </c>
      <c r="L23" s="41" t="s">
        <v>4741</v>
      </c>
      <c r="M23" s="42">
        <v>43640</v>
      </c>
      <c r="N23" s="43" t="s">
        <v>4740</v>
      </c>
      <c r="O23" s="42">
        <v>43646</v>
      </c>
      <c r="P23" s="41"/>
      <c r="Q23" s="36" t="s">
        <v>82</v>
      </c>
      <c r="R23" s="44" t="s">
        <v>4742</v>
      </c>
      <c r="S23" s="46" t="s">
        <v>2140</v>
      </c>
    </row>
    <row r="24" spans="2:19" s="30" customFormat="1" ht="33" customHeight="1">
      <c r="B24" s="46" t="s">
        <v>220</v>
      </c>
      <c r="C24" s="35" t="s">
        <v>1163</v>
      </c>
      <c r="D24" s="36" t="s">
        <v>1164</v>
      </c>
      <c r="E24" s="37">
        <v>43567</v>
      </c>
      <c r="F24" s="36" t="s">
        <v>79</v>
      </c>
      <c r="G24" s="39">
        <v>20000</v>
      </c>
      <c r="H24" s="38">
        <f t="shared" si="0"/>
        <v>80</v>
      </c>
      <c r="I24" s="38">
        <f t="shared" si="1"/>
        <v>20</v>
      </c>
      <c r="J24" s="36"/>
      <c r="K24" s="40">
        <v>43646</v>
      </c>
      <c r="L24" s="41" t="s">
        <v>4741</v>
      </c>
      <c r="M24" s="42">
        <v>43640</v>
      </c>
      <c r="N24" s="43" t="s">
        <v>4740</v>
      </c>
      <c r="O24" s="42">
        <v>43646</v>
      </c>
      <c r="P24" s="41"/>
      <c r="Q24" s="36"/>
      <c r="R24" s="44" t="s">
        <v>4739</v>
      </c>
      <c r="S24" s="46" t="s">
        <v>2140</v>
      </c>
    </row>
    <row r="25" spans="2:19" s="30" customFormat="1" ht="33" customHeight="1">
      <c r="B25" s="46" t="s">
        <v>78</v>
      </c>
      <c r="C25" s="35" t="s">
        <v>1166</v>
      </c>
      <c r="D25" s="36" t="s">
        <v>1167</v>
      </c>
      <c r="E25" s="37">
        <v>43567</v>
      </c>
      <c r="F25" s="36" t="s">
        <v>79</v>
      </c>
      <c r="G25" s="39">
        <v>20000</v>
      </c>
      <c r="H25" s="38">
        <f t="shared" si="0"/>
        <v>80</v>
      </c>
      <c r="I25" s="38">
        <f t="shared" si="1"/>
        <v>20</v>
      </c>
      <c r="J25" s="36"/>
      <c r="K25" s="40">
        <v>43653</v>
      </c>
      <c r="L25" s="41" t="s">
        <v>4738</v>
      </c>
      <c r="M25" s="42">
        <v>43647</v>
      </c>
      <c r="N25" s="43" t="s">
        <v>4737</v>
      </c>
      <c r="O25" s="42">
        <v>43653</v>
      </c>
      <c r="P25" s="41"/>
      <c r="Q25" s="36" t="s">
        <v>82</v>
      </c>
      <c r="R25" s="44" t="s">
        <v>4736</v>
      </c>
      <c r="S25" s="46" t="s">
        <v>2140</v>
      </c>
    </row>
    <row r="26" spans="2:19" s="30" customFormat="1" ht="33" customHeight="1">
      <c r="B26" s="46" t="s">
        <v>78</v>
      </c>
      <c r="C26" s="35" t="s">
        <v>1169</v>
      </c>
      <c r="D26" s="36" t="s">
        <v>1170</v>
      </c>
      <c r="E26" s="37">
        <v>43567</v>
      </c>
      <c r="F26" s="36" t="s">
        <v>79</v>
      </c>
      <c r="G26" s="39">
        <v>20000</v>
      </c>
      <c r="H26" s="38">
        <f t="shared" si="0"/>
        <v>80</v>
      </c>
      <c r="I26" s="38">
        <f t="shared" si="1"/>
        <v>20</v>
      </c>
      <c r="J26" s="36"/>
      <c r="K26" s="40">
        <v>43660</v>
      </c>
      <c r="L26" s="41" t="s">
        <v>4735</v>
      </c>
      <c r="M26" s="42">
        <v>43654</v>
      </c>
      <c r="N26" s="43" t="s">
        <v>4734</v>
      </c>
      <c r="O26" s="42">
        <v>43660</v>
      </c>
      <c r="P26" s="41"/>
      <c r="Q26" s="36" t="s">
        <v>82</v>
      </c>
      <c r="R26" s="44" t="s">
        <v>4733</v>
      </c>
      <c r="S26" s="46" t="s">
        <v>2140</v>
      </c>
    </row>
    <row r="27" spans="2:19" s="30" customFormat="1" ht="33" customHeight="1">
      <c r="B27" s="46" t="s">
        <v>78</v>
      </c>
      <c r="C27" s="35" t="s">
        <v>1172</v>
      </c>
      <c r="D27" s="36" t="s">
        <v>1173</v>
      </c>
      <c r="E27" s="37">
        <v>43567</v>
      </c>
      <c r="F27" s="36" t="s">
        <v>79</v>
      </c>
      <c r="G27" s="39">
        <v>20000</v>
      </c>
      <c r="H27" s="38">
        <f t="shared" si="0"/>
        <v>80</v>
      </c>
      <c r="I27" s="38">
        <f t="shared" si="1"/>
        <v>20</v>
      </c>
      <c r="J27" s="36"/>
      <c r="K27" s="40">
        <v>43667</v>
      </c>
      <c r="L27" s="41" t="s">
        <v>4732</v>
      </c>
      <c r="M27" s="42">
        <v>43658</v>
      </c>
      <c r="N27" s="43" t="s">
        <v>4731</v>
      </c>
      <c r="O27" s="42">
        <v>43667</v>
      </c>
      <c r="P27" s="41"/>
      <c r="Q27" s="36" t="s">
        <v>82</v>
      </c>
      <c r="R27" s="44" t="s">
        <v>4730</v>
      </c>
      <c r="S27" s="46" t="s">
        <v>2140</v>
      </c>
    </row>
    <row r="28" spans="2:19" s="30" customFormat="1" ht="33" customHeight="1">
      <c r="B28" s="46" t="s">
        <v>220</v>
      </c>
      <c r="C28" s="35" t="s">
        <v>1175</v>
      </c>
      <c r="D28" s="36" t="s">
        <v>1176</v>
      </c>
      <c r="E28" s="37">
        <v>43567</v>
      </c>
      <c r="F28" s="36" t="s">
        <v>79</v>
      </c>
      <c r="G28" s="39">
        <v>20000</v>
      </c>
      <c r="H28" s="38">
        <f t="shared" si="0"/>
        <v>80</v>
      </c>
      <c r="I28" s="38">
        <f t="shared" si="1"/>
        <v>20</v>
      </c>
      <c r="J28" s="36"/>
      <c r="K28" s="40">
        <v>43667</v>
      </c>
      <c r="L28" s="41" t="s">
        <v>4729</v>
      </c>
      <c r="M28" s="42">
        <v>43675</v>
      </c>
      <c r="N28" s="43" t="s">
        <v>4728</v>
      </c>
      <c r="O28" s="42">
        <v>43681</v>
      </c>
      <c r="P28" s="41"/>
      <c r="Q28" s="36"/>
      <c r="R28" s="44" t="s">
        <v>4727</v>
      </c>
      <c r="S28" s="46" t="s">
        <v>2539</v>
      </c>
    </row>
    <row r="29" spans="2:19" s="30" customFormat="1" ht="33" customHeight="1">
      <c r="B29" s="46" t="s">
        <v>78</v>
      </c>
      <c r="C29" s="35" t="s">
        <v>1178</v>
      </c>
      <c r="D29" s="36" t="s">
        <v>1179</v>
      </c>
      <c r="E29" s="37">
        <v>43567</v>
      </c>
      <c r="F29" s="36" t="s">
        <v>4725</v>
      </c>
      <c r="G29" s="39">
        <v>10000</v>
      </c>
      <c r="H29" s="38">
        <f t="shared" si="0"/>
        <v>40</v>
      </c>
      <c r="I29" s="38">
        <f t="shared" si="1"/>
        <v>10</v>
      </c>
      <c r="J29" s="36"/>
      <c r="K29" s="40">
        <v>43674</v>
      </c>
      <c r="L29" s="41" t="s">
        <v>4721</v>
      </c>
      <c r="M29" s="42">
        <v>43682</v>
      </c>
      <c r="N29" s="43" t="s">
        <v>4720</v>
      </c>
      <c r="O29" s="42">
        <v>43688</v>
      </c>
      <c r="P29" s="41"/>
      <c r="Q29" s="36" t="s">
        <v>82</v>
      </c>
      <c r="R29" s="44" t="s">
        <v>4726</v>
      </c>
      <c r="S29" s="46" t="s">
        <v>2539</v>
      </c>
    </row>
    <row r="30" spans="2:19" s="30" customFormat="1" ht="33" customHeight="1">
      <c r="B30" s="46" t="s">
        <v>220</v>
      </c>
      <c r="C30" s="35" t="s">
        <v>1181</v>
      </c>
      <c r="D30" s="36" t="s">
        <v>1182</v>
      </c>
      <c r="E30" s="37">
        <v>43567</v>
      </c>
      <c r="F30" s="36" t="s">
        <v>4725</v>
      </c>
      <c r="G30" s="39">
        <v>10000</v>
      </c>
      <c r="H30" s="38">
        <f t="shared" si="0"/>
        <v>40</v>
      </c>
      <c r="I30" s="38">
        <f t="shared" si="1"/>
        <v>10</v>
      </c>
      <c r="J30" s="36"/>
      <c r="K30" s="40">
        <v>43674</v>
      </c>
      <c r="L30" s="41" t="s">
        <v>4721</v>
      </c>
      <c r="M30" s="42">
        <v>43682</v>
      </c>
      <c r="N30" s="43" t="s">
        <v>4720</v>
      </c>
      <c r="O30" s="42">
        <v>43688</v>
      </c>
      <c r="P30" s="41"/>
      <c r="Q30" s="36"/>
      <c r="R30" s="44" t="s">
        <v>4724</v>
      </c>
      <c r="S30" s="46" t="s">
        <v>2539</v>
      </c>
    </row>
    <row r="31" spans="2:19" s="30" customFormat="1" ht="33" customHeight="1">
      <c r="B31" s="46" t="s">
        <v>78</v>
      </c>
      <c r="C31" s="35" t="s">
        <v>2273</v>
      </c>
      <c r="D31" s="36" t="s">
        <v>2274</v>
      </c>
      <c r="E31" s="37">
        <v>43602</v>
      </c>
      <c r="F31" s="36" t="s">
        <v>79</v>
      </c>
      <c r="G31" s="39">
        <v>20000</v>
      </c>
      <c r="H31" s="38">
        <f t="shared" si="0"/>
        <v>80</v>
      </c>
      <c r="I31" s="38">
        <f t="shared" si="1"/>
        <v>20</v>
      </c>
      <c r="J31" s="36"/>
      <c r="K31" s="40">
        <v>43688</v>
      </c>
      <c r="L31" s="41" t="s">
        <v>4721</v>
      </c>
      <c r="M31" s="42">
        <v>43682</v>
      </c>
      <c r="N31" s="43" t="s">
        <v>4720</v>
      </c>
      <c r="O31" s="42">
        <v>43688</v>
      </c>
      <c r="P31" s="41"/>
      <c r="Q31" s="36" t="s">
        <v>82</v>
      </c>
      <c r="R31" s="44" t="s">
        <v>4723</v>
      </c>
      <c r="S31" s="46"/>
    </row>
    <row r="32" spans="2:19" s="30" customFormat="1" ht="33" customHeight="1">
      <c r="B32" s="46" t="s">
        <v>78</v>
      </c>
      <c r="C32" s="35" t="s">
        <v>2276</v>
      </c>
      <c r="D32" s="36" t="s">
        <v>2277</v>
      </c>
      <c r="E32" s="37">
        <v>43602</v>
      </c>
      <c r="F32" s="36" t="s">
        <v>79</v>
      </c>
      <c r="G32" s="39">
        <v>20000</v>
      </c>
      <c r="H32" s="38">
        <f t="shared" si="0"/>
        <v>80</v>
      </c>
      <c r="I32" s="38">
        <f t="shared" si="1"/>
        <v>20</v>
      </c>
      <c r="J32" s="36"/>
      <c r="K32" s="40">
        <v>43695</v>
      </c>
      <c r="L32" s="41" t="s">
        <v>4721</v>
      </c>
      <c r="M32" s="42">
        <v>43682</v>
      </c>
      <c r="N32" s="43" t="s">
        <v>4720</v>
      </c>
      <c r="O32" s="42">
        <v>43688</v>
      </c>
      <c r="P32" s="41"/>
      <c r="Q32" s="36" t="s">
        <v>82</v>
      </c>
      <c r="R32" s="44" t="s">
        <v>4722</v>
      </c>
      <c r="S32" s="46"/>
    </row>
    <row r="33" spans="2:19" s="30" customFormat="1" ht="33" customHeight="1">
      <c r="B33" s="46" t="s">
        <v>220</v>
      </c>
      <c r="C33" s="35" t="s">
        <v>2279</v>
      </c>
      <c r="D33" s="36" t="s">
        <v>2280</v>
      </c>
      <c r="E33" s="37">
        <v>43602</v>
      </c>
      <c r="F33" s="36" t="s">
        <v>79</v>
      </c>
      <c r="G33" s="39">
        <v>20000</v>
      </c>
      <c r="H33" s="38">
        <f t="shared" si="0"/>
        <v>80</v>
      </c>
      <c r="I33" s="38">
        <f t="shared" si="1"/>
        <v>20</v>
      </c>
      <c r="J33" s="36"/>
      <c r="K33" s="40">
        <v>43695</v>
      </c>
      <c r="L33" s="41" t="s">
        <v>4721</v>
      </c>
      <c r="M33" s="42">
        <v>43682</v>
      </c>
      <c r="N33" s="43" t="s">
        <v>4720</v>
      </c>
      <c r="O33" s="42">
        <v>43688</v>
      </c>
      <c r="P33" s="41"/>
      <c r="Q33" s="36"/>
      <c r="R33" s="44" t="s">
        <v>4719</v>
      </c>
      <c r="S33" s="46"/>
    </row>
    <row r="34" spans="2:19" s="30" customFormat="1" ht="33" customHeight="1">
      <c r="B34" s="46" t="s">
        <v>78</v>
      </c>
      <c r="C34" s="35" t="s">
        <v>2282</v>
      </c>
      <c r="D34" s="36" t="s">
        <v>2283</v>
      </c>
      <c r="E34" s="37">
        <v>43602</v>
      </c>
      <c r="F34" s="36" t="s">
        <v>79</v>
      </c>
      <c r="G34" s="39">
        <v>20000</v>
      </c>
      <c r="H34" s="38">
        <f t="shared" si="0"/>
        <v>80</v>
      </c>
      <c r="I34" s="38">
        <f t="shared" si="1"/>
        <v>20</v>
      </c>
      <c r="J34" s="36"/>
      <c r="K34" s="40">
        <v>43709</v>
      </c>
      <c r="L34" s="41" t="s">
        <v>4718</v>
      </c>
      <c r="M34" s="42">
        <v>43703</v>
      </c>
      <c r="N34" s="43" t="s">
        <v>4717</v>
      </c>
      <c r="O34" s="42">
        <v>43709</v>
      </c>
      <c r="P34" s="41"/>
      <c r="Q34" s="36" t="s">
        <v>82</v>
      </c>
      <c r="R34" s="44" t="s">
        <v>4716</v>
      </c>
      <c r="S34" s="46"/>
    </row>
    <row r="35" spans="2:19" s="30" customFormat="1" ht="33" customHeight="1">
      <c r="B35" s="46" t="s">
        <v>220</v>
      </c>
      <c r="C35" s="35" t="s">
        <v>4821</v>
      </c>
      <c r="D35" s="36" t="s">
        <v>3354</v>
      </c>
      <c r="E35" s="37">
        <v>43637</v>
      </c>
      <c r="F35" s="36" t="s">
        <v>79</v>
      </c>
      <c r="G35" s="39">
        <v>20000</v>
      </c>
      <c r="H35" s="38">
        <f t="shared" si="0"/>
        <v>80</v>
      </c>
      <c r="I35" s="38">
        <f t="shared" ref="I35:I61" si="2">SUM(H35/4)</f>
        <v>20</v>
      </c>
      <c r="J35" s="36"/>
      <c r="K35" s="40">
        <v>43716</v>
      </c>
      <c r="L35" s="41" t="s">
        <v>4715</v>
      </c>
      <c r="M35" s="42">
        <v>43710</v>
      </c>
      <c r="N35" s="43" t="s">
        <v>4714</v>
      </c>
      <c r="O35" s="42">
        <v>43716</v>
      </c>
      <c r="P35" s="41"/>
      <c r="Q35" s="36"/>
      <c r="R35" s="44" t="s">
        <v>4713</v>
      </c>
      <c r="S35" s="46"/>
    </row>
    <row r="36" spans="2:19" s="30" customFormat="1" ht="33" customHeight="1">
      <c r="B36" s="46" t="s">
        <v>78</v>
      </c>
      <c r="C36" s="35" t="s">
        <v>3356</v>
      </c>
      <c r="D36" s="36" t="s">
        <v>3357</v>
      </c>
      <c r="E36" s="37">
        <v>43637</v>
      </c>
      <c r="F36" s="36" t="s">
        <v>79</v>
      </c>
      <c r="G36" s="39">
        <v>20000</v>
      </c>
      <c r="H36" s="38">
        <f t="shared" si="0"/>
        <v>80</v>
      </c>
      <c r="I36" s="38">
        <f t="shared" si="2"/>
        <v>20</v>
      </c>
      <c r="J36" s="36"/>
      <c r="K36" s="40">
        <v>43723</v>
      </c>
      <c r="L36" s="41" t="s">
        <v>3555</v>
      </c>
      <c r="M36" s="42">
        <v>43717</v>
      </c>
      <c r="N36" s="43" t="s">
        <v>4712</v>
      </c>
      <c r="O36" s="42">
        <v>43723</v>
      </c>
      <c r="P36" s="41"/>
      <c r="Q36" s="36" t="s">
        <v>82</v>
      </c>
      <c r="R36" s="44" t="s">
        <v>4711</v>
      </c>
      <c r="S36" s="46"/>
    </row>
    <row r="37" spans="2:19" s="30" customFormat="1" ht="33" customHeight="1">
      <c r="B37" s="46" t="s">
        <v>78</v>
      </c>
      <c r="C37" s="35" t="s">
        <v>3359</v>
      </c>
      <c r="D37" s="36" t="s">
        <v>3360</v>
      </c>
      <c r="E37" s="37">
        <v>43637</v>
      </c>
      <c r="F37" s="36" t="s">
        <v>79</v>
      </c>
      <c r="G37" s="39">
        <v>20000</v>
      </c>
      <c r="H37" s="38">
        <f t="shared" si="0"/>
        <v>80</v>
      </c>
      <c r="I37" s="38">
        <f t="shared" si="2"/>
        <v>20</v>
      </c>
      <c r="J37" s="36"/>
      <c r="K37" s="40">
        <v>43737</v>
      </c>
      <c r="L37" s="41" t="s">
        <v>3556</v>
      </c>
      <c r="M37" s="42">
        <v>43728</v>
      </c>
      <c r="N37" s="43" t="s">
        <v>4710</v>
      </c>
      <c r="O37" s="42">
        <v>43737</v>
      </c>
      <c r="P37" s="41"/>
      <c r="Q37" s="36" t="s">
        <v>82</v>
      </c>
      <c r="R37" s="44" t="s">
        <v>4709</v>
      </c>
      <c r="S37" s="46"/>
    </row>
    <row r="38" spans="2:19" s="30" customFormat="1" ht="33" customHeight="1">
      <c r="B38" s="46" t="s">
        <v>220</v>
      </c>
      <c r="C38" s="35" t="s">
        <v>4252</v>
      </c>
      <c r="D38" s="36" t="s">
        <v>4253</v>
      </c>
      <c r="E38" s="37">
        <v>43665</v>
      </c>
      <c r="F38" s="36" t="s">
        <v>79</v>
      </c>
      <c r="G38" s="39">
        <v>20000</v>
      </c>
      <c r="H38" s="38">
        <f t="shared" si="0"/>
        <v>80</v>
      </c>
      <c r="I38" s="38">
        <f t="shared" si="2"/>
        <v>20</v>
      </c>
      <c r="J38" s="36"/>
      <c r="K38" s="40">
        <v>43744</v>
      </c>
      <c r="L38" s="41" t="s">
        <v>4707</v>
      </c>
      <c r="M38" s="42">
        <v>43738</v>
      </c>
      <c r="N38" s="43" t="s">
        <v>4706</v>
      </c>
      <c r="O38" s="42">
        <v>43744</v>
      </c>
      <c r="P38" s="41"/>
      <c r="Q38" s="36"/>
      <c r="R38" s="44" t="s">
        <v>4708</v>
      </c>
      <c r="S38" s="46"/>
    </row>
    <row r="39" spans="2:19" s="30" customFormat="1" ht="33" customHeight="1">
      <c r="B39" s="46" t="s">
        <v>78</v>
      </c>
      <c r="C39" s="35" t="s">
        <v>4255</v>
      </c>
      <c r="D39" s="36" t="s">
        <v>4256</v>
      </c>
      <c r="E39" s="37">
        <v>43665</v>
      </c>
      <c r="F39" s="36" t="s">
        <v>79</v>
      </c>
      <c r="G39" s="39">
        <v>20000</v>
      </c>
      <c r="H39" s="38">
        <f t="shared" si="0"/>
        <v>80</v>
      </c>
      <c r="I39" s="38">
        <f t="shared" si="2"/>
        <v>20</v>
      </c>
      <c r="J39" s="36"/>
      <c r="K39" s="40">
        <v>43744</v>
      </c>
      <c r="L39" s="41" t="s">
        <v>4707</v>
      </c>
      <c r="M39" s="42">
        <v>43738</v>
      </c>
      <c r="N39" s="43" t="s">
        <v>4706</v>
      </c>
      <c r="O39" s="42">
        <v>43744</v>
      </c>
      <c r="P39" s="41"/>
      <c r="Q39" s="36" t="s">
        <v>82</v>
      </c>
      <c r="R39" s="44" t="s">
        <v>4705</v>
      </c>
      <c r="S39" s="46"/>
    </row>
    <row r="40" spans="2:19" s="30" customFormat="1" ht="33" customHeight="1">
      <c r="B40" s="46" t="s">
        <v>78</v>
      </c>
      <c r="C40" s="35" t="s">
        <v>4258</v>
      </c>
      <c r="D40" s="36" t="s">
        <v>4259</v>
      </c>
      <c r="E40" s="37">
        <v>43665</v>
      </c>
      <c r="F40" s="36" t="s">
        <v>79</v>
      </c>
      <c r="G40" s="39">
        <v>20000</v>
      </c>
      <c r="H40" s="38">
        <f t="shared" si="0"/>
        <v>80</v>
      </c>
      <c r="I40" s="38">
        <f t="shared" si="2"/>
        <v>20</v>
      </c>
      <c r="J40" s="36"/>
      <c r="K40" s="40">
        <v>43758</v>
      </c>
      <c r="L40" s="41" t="s">
        <v>4704</v>
      </c>
      <c r="M40" s="42">
        <v>43749</v>
      </c>
      <c r="N40" s="43" t="s">
        <v>4703</v>
      </c>
      <c r="O40" s="42">
        <v>43758</v>
      </c>
      <c r="P40" s="41"/>
      <c r="Q40" s="36" t="s">
        <v>82</v>
      </c>
      <c r="R40" s="44" t="s">
        <v>4702</v>
      </c>
      <c r="S40" s="46"/>
    </row>
    <row r="41" spans="2:19" s="30" customFormat="1" ht="33" customHeight="1">
      <c r="B41" s="46" t="s">
        <v>78</v>
      </c>
      <c r="C41" s="35" t="s">
        <v>4261</v>
      </c>
      <c r="D41" s="36" t="s">
        <v>4262</v>
      </c>
      <c r="E41" s="37">
        <v>43665</v>
      </c>
      <c r="F41" s="36" t="s">
        <v>79</v>
      </c>
      <c r="G41" s="39">
        <v>20000</v>
      </c>
      <c r="H41" s="38">
        <f t="shared" si="0"/>
        <v>80</v>
      </c>
      <c r="I41" s="38">
        <f t="shared" si="2"/>
        <v>20</v>
      </c>
      <c r="J41" s="36"/>
      <c r="K41" s="40">
        <v>43765</v>
      </c>
      <c r="L41" s="41" t="s">
        <v>4700</v>
      </c>
      <c r="M41" s="42">
        <v>43759</v>
      </c>
      <c r="N41" s="43" t="s">
        <v>4699</v>
      </c>
      <c r="O41" s="42">
        <v>43765</v>
      </c>
      <c r="P41" s="41"/>
      <c r="Q41" s="36" t="s">
        <v>82</v>
      </c>
      <c r="R41" s="44" t="s">
        <v>4701</v>
      </c>
      <c r="S41" s="46"/>
    </row>
    <row r="42" spans="2:19" s="30" customFormat="1" ht="33" customHeight="1">
      <c r="B42" s="46" t="s">
        <v>220</v>
      </c>
      <c r="C42" s="35" t="s">
        <v>4264</v>
      </c>
      <c r="D42" s="36" t="s">
        <v>4265</v>
      </c>
      <c r="E42" s="37">
        <v>43665</v>
      </c>
      <c r="F42" s="36" t="s">
        <v>79</v>
      </c>
      <c r="G42" s="39">
        <v>20000</v>
      </c>
      <c r="H42" s="38">
        <f t="shared" si="0"/>
        <v>80</v>
      </c>
      <c r="I42" s="38">
        <f t="shared" si="2"/>
        <v>20</v>
      </c>
      <c r="J42" s="36"/>
      <c r="K42" s="40">
        <v>43765</v>
      </c>
      <c r="L42" s="41" t="s">
        <v>4700</v>
      </c>
      <c r="M42" s="42">
        <v>43759</v>
      </c>
      <c r="N42" s="43" t="s">
        <v>4699</v>
      </c>
      <c r="O42" s="42">
        <v>43765</v>
      </c>
      <c r="P42" s="41"/>
      <c r="Q42" s="36"/>
      <c r="R42" s="44" t="s">
        <v>4698</v>
      </c>
      <c r="S42" s="46"/>
    </row>
    <row r="43" spans="2:19" s="96" customFormat="1" ht="33" customHeight="1">
      <c r="B43" s="47" t="s">
        <v>17</v>
      </c>
      <c r="C43" s="48" t="s">
        <v>427</v>
      </c>
      <c r="D43" s="49" t="s">
        <v>4697</v>
      </c>
      <c r="E43" s="50">
        <v>43483</v>
      </c>
      <c r="F43" s="52" t="s">
        <v>84</v>
      </c>
      <c r="G43" s="51">
        <v>9200</v>
      </c>
      <c r="H43" s="52">
        <f t="shared" ref="H43:H69" si="3">SUM(G43/230)</f>
        <v>40</v>
      </c>
      <c r="I43" s="52">
        <f t="shared" si="2"/>
        <v>10</v>
      </c>
      <c r="J43" s="49"/>
      <c r="K43" s="53">
        <v>43576</v>
      </c>
      <c r="L43" s="54" t="s">
        <v>4696</v>
      </c>
      <c r="M43" s="55">
        <v>43571</v>
      </c>
      <c r="N43" s="56" t="s">
        <v>4695</v>
      </c>
      <c r="O43" s="55">
        <v>43576</v>
      </c>
      <c r="P43" s="58"/>
      <c r="Q43" s="52" t="s">
        <v>82</v>
      </c>
      <c r="R43" s="57" t="s">
        <v>4694</v>
      </c>
      <c r="S43" s="47"/>
    </row>
    <row r="44" spans="2:19" s="67" customFormat="1" ht="33" customHeight="1">
      <c r="B44" s="46" t="s">
        <v>17</v>
      </c>
      <c r="C44" s="35" t="s">
        <v>581</v>
      </c>
      <c r="D44" s="36" t="s">
        <v>582</v>
      </c>
      <c r="E44" s="37">
        <v>43519</v>
      </c>
      <c r="F44" s="38" t="s">
        <v>84</v>
      </c>
      <c r="G44" s="39">
        <v>9200</v>
      </c>
      <c r="H44" s="38">
        <f t="shared" si="3"/>
        <v>40</v>
      </c>
      <c r="I44" s="38">
        <f t="shared" si="2"/>
        <v>10</v>
      </c>
      <c r="J44" s="36"/>
      <c r="K44" s="40">
        <v>43632</v>
      </c>
      <c r="L44" s="41" t="s">
        <v>4667</v>
      </c>
      <c r="M44" s="42">
        <v>43620</v>
      </c>
      <c r="N44" s="43" t="s">
        <v>4666</v>
      </c>
      <c r="O44" s="42">
        <v>43625</v>
      </c>
      <c r="P44" s="45"/>
      <c r="Q44" s="38" t="s">
        <v>82</v>
      </c>
      <c r="R44" s="44" t="s">
        <v>4693</v>
      </c>
      <c r="S44" s="46"/>
    </row>
    <row r="45" spans="2:19" s="67" customFormat="1" ht="33" customHeight="1">
      <c r="B45" s="46" t="s">
        <v>17</v>
      </c>
      <c r="C45" s="35" t="s">
        <v>694</v>
      </c>
      <c r="D45" s="36" t="s">
        <v>695</v>
      </c>
      <c r="E45" s="37">
        <v>43532</v>
      </c>
      <c r="F45" s="38" t="s">
        <v>4638</v>
      </c>
      <c r="G45" s="39">
        <v>9200</v>
      </c>
      <c r="H45" s="38">
        <f t="shared" si="3"/>
        <v>40</v>
      </c>
      <c r="I45" s="38">
        <f t="shared" si="2"/>
        <v>10</v>
      </c>
      <c r="J45" s="36"/>
      <c r="K45" s="40">
        <v>43653</v>
      </c>
      <c r="L45" s="41" t="s">
        <v>1326</v>
      </c>
      <c r="M45" s="42">
        <v>43648</v>
      </c>
      <c r="N45" s="43" t="s">
        <v>2540</v>
      </c>
      <c r="O45" s="42">
        <v>43653</v>
      </c>
      <c r="P45" s="45"/>
      <c r="Q45" s="38" t="s">
        <v>82</v>
      </c>
      <c r="R45" s="44" t="s">
        <v>4692</v>
      </c>
      <c r="S45" s="46"/>
    </row>
    <row r="46" spans="2:19" s="67" customFormat="1" ht="33" customHeight="1">
      <c r="B46" s="46" t="s">
        <v>17</v>
      </c>
      <c r="C46" s="35" t="s">
        <v>2299</v>
      </c>
      <c r="D46" s="36" t="s">
        <v>2641</v>
      </c>
      <c r="E46" s="37">
        <v>43609</v>
      </c>
      <c r="F46" s="38" t="s">
        <v>4638</v>
      </c>
      <c r="G46" s="39">
        <v>2760</v>
      </c>
      <c r="H46" s="38">
        <f t="shared" si="3"/>
        <v>12</v>
      </c>
      <c r="I46" s="38">
        <f t="shared" si="2"/>
        <v>3</v>
      </c>
      <c r="J46" s="36"/>
      <c r="K46" s="40">
        <v>43653</v>
      </c>
      <c r="L46" s="41" t="s">
        <v>1326</v>
      </c>
      <c r="M46" s="42">
        <v>43648</v>
      </c>
      <c r="N46" s="43" t="s">
        <v>2540</v>
      </c>
      <c r="O46" s="42">
        <v>43653</v>
      </c>
      <c r="P46" s="45"/>
      <c r="Q46" s="38" t="s">
        <v>82</v>
      </c>
      <c r="R46" s="44" t="s">
        <v>4692</v>
      </c>
      <c r="S46" s="46"/>
    </row>
    <row r="47" spans="2:19" s="67" customFormat="1" ht="33" customHeight="1">
      <c r="B47" s="46" t="s">
        <v>17</v>
      </c>
      <c r="C47" s="35" t="s">
        <v>4691</v>
      </c>
      <c r="D47" s="36" t="s">
        <v>2300</v>
      </c>
      <c r="E47" s="37">
        <v>43602</v>
      </c>
      <c r="F47" s="38" t="s">
        <v>4638</v>
      </c>
      <c r="G47" s="39">
        <v>9200</v>
      </c>
      <c r="H47" s="38">
        <f t="shared" si="3"/>
        <v>40</v>
      </c>
      <c r="I47" s="38">
        <f t="shared" si="2"/>
        <v>10</v>
      </c>
      <c r="J47" s="36"/>
      <c r="K47" s="40">
        <v>43695</v>
      </c>
      <c r="L47" s="41" t="s">
        <v>4689</v>
      </c>
      <c r="M47" s="42">
        <v>43683</v>
      </c>
      <c r="N47" s="43" t="s">
        <v>4688</v>
      </c>
      <c r="O47" s="42">
        <v>43688</v>
      </c>
      <c r="P47" s="45"/>
      <c r="Q47" s="38" t="s">
        <v>82</v>
      </c>
      <c r="R47" s="44" t="s">
        <v>4690</v>
      </c>
      <c r="S47" s="46" t="s">
        <v>2764</v>
      </c>
    </row>
    <row r="48" spans="2:19" s="67" customFormat="1" ht="33" customHeight="1">
      <c r="B48" s="46" t="s">
        <v>17</v>
      </c>
      <c r="C48" s="35" t="s">
        <v>3702</v>
      </c>
      <c r="D48" s="36" t="s">
        <v>3703</v>
      </c>
      <c r="E48" s="37">
        <v>43643</v>
      </c>
      <c r="F48" s="38" t="s">
        <v>4638</v>
      </c>
      <c r="G48" s="39">
        <v>4600</v>
      </c>
      <c r="H48" s="38">
        <f t="shared" si="3"/>
        <v>20</v>
      </c>
      <c r="I48" s="38">
        <f t="shared" si="2"/>
        <v>5</v>
      </c>
      <c r="J48" s="36"/>
      <c r="K48" s="40">
        <v>43688</v>
      </c>
      <c r="L48" s="41" t="s">
        <v>4689</v>
      </c>
      <c r="M48" s="42">
        <v>43683</v>
      </c>
      <c r="N48" s="43" t="s">
        <v>4688</v>
      </c>
      <c r="O48" s="42">
        <v>43688</v>
      </c>
      <c r="P48" s="45"/>
      <c r="Q48" s="38" t="s">
        <v>82</v>
      </c>
      <c r="R48" s="44"/>
      <c r="S48" s="46"/>
    </row>
    <row r="49" spans="2:19" s="67" customFormat="1" ht="33" customHeight="1">
      <c r="B49" s="46" t="s">
        <v>17</v>
      </c>
      <c r="C49" s="35" t="s">
        <v>4687</v>
      </c>
      <c r="D49" s="36" t="s">
        <v>3377</v>
      </c>
      <c r="E49" s="37">
        <v>43637</v>
      </c>
      <c r="F49" s="38" t="s">
        <v>4638</v>
      </c>
      <c r="G49" s="39">
        <v>9200</v>
      </c>
      <c r="H49" s="38">
        <f t="shared" si="3"/>
        <v>40</v>
      </c>
      <c r="I49" s="38">
        <f t="shared" si="2"/>
        <v>10</v>
      </c>
      <c r="J49" s="36"/>
      <c r="K49" s="40">
        <v>43716</v>
      </c>
      <c r="L49" s="41" t="s">
        <v>4655</v>
      </c>
      <c r="M49" s="42">
        <v>43711</v>
      </c>
      <c r="N49" s="43" t="s">
        <v>4654</v>
      </c>
      <c r="O49" s="42">
        <v>43716</v>
      </c>
      <c r="P49" s="45"/>
      <c r="Q49" s="38"/>
      <c r="R49" s="44" t="s">
        <v>4686</v>
      </c>
      <c r="S49" s="46"/>
    </row>
    <row r="50" spans="2:19" s="67" customFormat="1" ht="33" customHeight="1">
      <c r="B50" s="46" t="s">
        <v>17</v>
      </c>
      <c r="C50" s="35" t="s">
        <v>4685</v>
      </c>
      <c r="D50" s="36" t="s">
        <v>3380</v>
      </c>
      <c r="E50" s="37">
        <v>43637</v>
      </c>
      <c r="F50" s="38" t="s">
        <v>4638</v>
      </c>
      <c r="G50" s="39">
        <v>9200</v>
      </c>
      <c r="H50" s="38">
        <f t="shared" si="3"/>
        <v>40</v>
      </c>
      <c r="I50" s="38">
        <f t="shared" si="2"/>
        <v>10</v>
      </c>
      <c r="J50" s="36"/>
      <c r="K50" s="40">
        <v>43744</v>
      </c>
      <c r="L50" s="41" t="s">
        <v>4684</v>
      </c>
      <c r="M50" s="42">
        <v>43739</v>
      </c>
      <c r="N50" s="43" t="s">
        <v>4683</v>
      </c>
      <c r="O50" s="42">
        <v>43744</v>
      </c>
      <c r="P50" s="45"/>
      <c r="Q50" s="38"/>
      <c r="R50" s="44" t="s">
        <v>4682</v>
      </c>
      <c r="S50" s="46"/>
    </row>
    <row r="51" spans="2:19" s="96" customFormat="1" ht="33" customHeight="1">
      <c r="B51" s="47" t="s">
        <v>81</v>
      </c>
      <c r="C51" s="48" t="s">
        <v>279</v>
      </c>
      <c r="D51" s="49" t="s">
        <v>4678</v>
      </c>
      <c r="E51" s="50">
        <v>43392</v>
      </c>
      <c r="F51" s="52" t="s">
        <v>84</v>
      </c>
      <c r="G51" s="51">
        <v>11960</v>
      </c>
      <c r="H51" s="52">
        <f t="shared" si="3"/>
        <v>52</v>
      </c>
      <c r="I51" s="52">
        <f t="shared" si="2"/>
        <v>13</v>
      </c>
      <c r="J51" s="52"/>
      <c r="K51" s="53">
        <v>43597</v>
      </c>
      <c r="L51" s="54" t="s">
        <v>4681</v>
      </c>
      <c r="M51" s="55">
        <v>43594</v>
      </c>
      <c r="N51" s="56" t="s">
        <v>4680</v>
      </c>
      <c r="O51" s="55">
        <v>43598</v>
      </c>
      <c r="P51" s="58" t="s">
        <v>4676</v>
      </c>
      <c r="Q51" s="47"/>
      <c r="R51" s="57" t="s">
        <v>4675</v>
      </c>
      <c r="S51" s="47"/>
    </row>
    <row r="52" spans="2:19" s="96" customFormat="1" ht="33" customHeight="1">
      <c r="B52" s="47" t="s">
        <v>81</v>
      </c>
      <c r="C52" s="48" t="s">
        <v>4679</v>
      </c>
      <c r="D52" s="49" t="s">
        <v>4678</v>
      </c>
      <c r="E52" s="50">
        <v>43392</v>
      </c>
      <c r="F52" s="52" t="s">
        <v>84</v>
      </c>
      <c r="G52" s="51">
        <v>1840</v>
      </c>
      <c r="H52" s="52">
        <f t="shared" si="3"/>
        <v>8</v>
      </c>
      <c r="I52" s="52">
        <f t="shared" si="2"/>
        <v>2</v>
      </c>
      <c r="J52" s="52"/>
      <c r="K52" s="53">
        <v>43597</v>
      </c>
      <c r="L52" s="54" t="s">
        <v>773</v>
      </c>
      <c r="M52" s="55">
        <v>43601</v>
      </c>
      <c r="N52" s="56" t="s">
        <v>4677</v>
      </c>
      <c r="O52" s="55">
        <v>43605</v>
      </c>
      <c r="P52" s="58" t="s">
        <v>4676</v>
      </c>
      <c r="Q52" s="47"/>
      <c r="R52" s="57" t="s">
        <v>4675</v>
      </c>
      <c r="S52" s="47" t="s">
        <v>1329</v>
      </c>
    </row>
    <row r="53" spans="2:19" s="96" customFormat="1" ht="33" customHeight="1">
      <c r="B53" s="47" t="s">
        <v>81</v>
      </c>
      <c r="C53" s="48" t="s">
        <v>318</v>
      </c>
      <c r="D53" s="49" t="s">
        <v>319</v>
      </c>
      <c r="E53" s="50">
        <v>43420</v>
      </c>
      <c r="F53" s="52" t="s">
        <v>4638</v>
      </c>
      <c r="G53" s="51">
        <v>17940</v>
      </c>
      <c r="H53" s="52">
        <f t="shared" si="3"/>
        <v>78</v>
      </c>
      <c r="I53" s="52">
        <f t="shared" si="2"/>
        <v>19.5</v>
      </c>
      <c r="J53" s="52"/>
      <c r="K53" s="53">
        <v>43576</v>
      </c>
      <c r="L53" s="54" t="s">
        <v>480</v>
      </c>
      <c r="M53" s="55">
        <v>43564</v>
      </c>
      <c r="N53" s="56" t="s">
        <v>4674</v>
      </c>
      <c r="O53" s="55">
        <v>43569</v>
      </c>
      <c r="P53" s="58"/>
      <c r="Q53" s="47"/>
      <c r="R53" s="57" t="s">
        <v>4640</v>
      </c>
      <c r="S53" s="47" t="s">
        <v>4673</v>
      </c>
    </row>
    <row r="54" spans="2:19" s="96" customFormat="1" ht="33" customHeight="1">
      <c r="B54" s="47" t="s">
        <v>81</v>
      </c>
      <c r="C54" s="48" t="s">
        <v>4672</v>
      </c>
      <c r="D54" s="49" t="s">
        <v>701</v>
      </c>
      <c r="E54" s="50">
        <v>43532</v>
      </c>
      <c r="F54" s="52" t="s">
        <v>4638</v>
      </c>
      <c r="G54" s="51">
        <v>13800</v>
      </c>
      <c r="H54" s="52">
        <f t="shared" si="3"/>
        <v>60</v>
      </c>
      <c r="I54" s="52">
        <f t="shared" si="2"/>
        <v>15</v>
      </c>
      <c r="J54" s="52"/>
      <c r="K54" s="53">
        <v>43615</v>
      </c>
      <c r="L54" s="54" t="s">
        <v>4671</v>
      </c>
      <c r="M54" s="55">
        <v>43613</v>
      </c>
      <c r="N54" s="56" t="s">
        <v>4670</v>
      </c>
      <c r="O54" s="55">
        <v>43618</v>
      </c>
      <c r="P54" s="58"/>
      <c r="Q54" s="47"/>
      <c r="R54" s="57" t="s">
        <v>4665</v>
      </c>
      <c r="S54" s="47"/>
    </row>
    <row r="55" spans="2:19" s="67" customFormat="1" ht="33" customHeight="1">
      <c r="B55" s="46" t="s">
        <v>81</v>
      </c>
      <c r="C55" s="35" t="s">
        <v>4669</v>
      </c>
      <c r="D55" s="36" t="s">
        <v>4668</v>
      </c>
      <c r="E55" s="37">
        <v>43532</v>
      </c>
      <c r="F55" s="38" t="s">
        <v>4638</v>
      </c>
      <c r="G55" s="39">
        <v>4600</v>
      </c>
      <c r="H55" s="38">
        <f t="shared" si="3"/>
        <v>20</v>
      </c>
      <c r="I55" s="38">
        <f t="shared" si="2"/>
        <v>5</v>
      </c>
      <c r="J55" s="38"/>
      <c r="K55" s="40">
        <v>43615</v>
      </c>
      <c r="L55" s="41" t="s">
        <v>4667</v>
      </c>
      <c r="M55" s="42">
        <v>43620</v>
      </c>
      <c r="N55" s="43" t="s">
        <v>4666</v>
      </c>
      <c r="O55" s="42">
        <v>43625</v>
      </c>
      <c r="P55" s="45"/>
      <c r="Q55" s="46"/>
      <c r="R55" s="44" t="s">
        <v>4665</v>
      </c>
      <c r="S55" s="46"/>
    </row>
    <row r="56" spans="2:19" s="67" customFormat="1" ht="33" customHeight="1">
      <c r="B56" s="46" t="s">
        <v>81</v>
      </c>
      <c r="C56" s="35" t="s">
        <v>702</v>
      </c>
      <c r="D56" s="36" t="s">
        <v>703</v>
      </c>
      <c r="E56" s="37">
        <v>43532</v>
      </c>
      <c r="F56" s="38" t="s">
        <v>4638</v>
      </c>
      <c r="G56" s="39">
        <v>9200</v>
      </c>
      <c r="H56" s="38">
        <f t="shared" si="3"/>
        <v>40</v>
      </c>
      <c r="I56" s="38">
        <f t="shared" si="2"/>
        <v>10</v>
      </c>
      <c r="J56" s="38"/>
      <c r="K56" s="40">
        <v>43632</v>
      </c>
      <c r="L56" s="41" t="s">
        <v>807</v>
      </c>
      <c r="M56" s="42">
        <v>43627</v>
      </c>
      <c r="N56" s="43" t="s">
        <v>808</v>
      </c>
      <c r="O56" s="42">
        <v>43632</v>
      </c>
      <c r="P56" s="45"/>
      <c r="Q56" s="46"/>
      <c r="R56" s="44" t="s">
        <v>4664</v>
      </c>
      <c r="S56" s="46"/>
    </row>
    <row r="57" spans="2:19" s="67" customFormat="1" ht="33" customHeight="1">
      <c r="B57" s="46" t="s">
        <v>81</v>
      </c>
      <c r="C57" s="35" t="s">
        <v>852</v>
      </c>
      <c r="D57" s="36" t="s">
        <v>1990</v>
      </c>
      <c r="E57" s="37">
        <v>43558</v>
      </c>
      <c r="F57" s="38" t="s">
        <v>4638</v>
      </c>
      <c r="G57" s="39">
        <v>9200</v>
      </c>
      <c r="H57" s="38">
        <f t="shared" si="3"/>
        <v>40</v>
      </c>
      <c r="I57" s="38">
        <f t="shared" si="2"/>
        <v>10</v>
      </c>
      <c r="J57" s="38"/>
      <c r="K57" s="40">
        <v>43639</v>
      </c>
      <c r="L57" s="41" t="s">
        <v>1083</v>
      </c>
      <c r="M57" s="42">
        <v>43634</v>
      </c>
      <c r="N57" s="43" t="s">
        <v>1084</v>
      </c>
      <c r="O57" s="42">
        <v>43639</v>
      </c>
      <c r="P57" s="45"/>
      <c r="Q57" s="46"/>
      <c r="R57" s="44" t="s">
        <v>4664</v>
      </c>
      <c r="S57" s="46"/>
    </row>
    <row r="58" spans="2:19" s="67" customFormat="1" ht="33" customHeight="1">
      <c r="B58" s="46" t="s">
        <v>81</v>
      </c>
      <c r="C58" s="35" t="s">
        <v>1435</v>
      </c>
      <c r="D58" s="36" t="s">
        <v>1436</v>
      </c>
      <c r="E58" s="37">
        <v>43574</v>
      </c>
      <c r="F58" s="38" t="s">
        <v>4638</v>
      </c>
      <c r="G58" s="39">
        <v>18400</v>
      </c>
      <c r="H58" s="38">
        <f t="shared" si="3"/>
        <v>80</v>
      </c>
      <c r="I58" s="38">
        <f t="shared" si="2"/>
        <v>20</v>
      </c>
      <c r="J58" s="38"/>
      <c r="K58" s="40">
        <v>43646</v>
      </c>
      <c r="L58" s="41" t="s">
        <v>4663</v>
      </c>
      <c r="M58" s="42">
        <v>43641</v>
      </c>
      <c r="N58" s="43" t="s">
        <v>4662</v>
      </c>
      <c r="O58" s="42">
        <v>43646</v>
      </c>
      <c r="P58" s="45"/>
      <c r="Q58" s="46"/>
      <c r="R58" s="44" t="s">
        <v>4661</v>
      </c>
      <c r="S58" s="46" t="s">
        <v>3251</v>
      </c>
    </row>
    <row r="59" spans="2:19" s="67" customFormat="1" ht="33" customHeight="1">
      <c r="B59" s="46" t="s">
        <v>81</v>
      </c>
      <c r="C59" s="35" t="s">
        <v>2322</v>
      </c>
      <c r="D59" s="36" t="s">
        <v>2323</v>
      </c>
      <c r="E59" s="37">
        <v>43602</v>
      </c>
      <c r="F59" s="38" t="s">
        <v>4638</v>
      </c>
      <c r="G59" s="39">
        <v>18400</v>
      </c>
      <c r="H59" s="38">
        <f t="shared" si="3"/>
        <v>80</v>
      </c>
      <c r="I59" s="38">
        <f t="shared" si="2"/>
        <v>20</v>
      </c>
      <c r="J59" s="38"/>
      <c r="K59" s="40">
        <v>43674</v>
      </c>
      <c r="L59" s="41" t="s">
        <v>2146</v>
      </c>
      <c r="M59" s="42">
        <v>43669</v>
      </c>
      <c r="N59" s="43" t="s">
        <v>2551</v>
      </c>
      <c r="O59" s="42">
        <v>43674</v>
      </c>
      <c r="P59" s="45"/>
      <c r="Q59" s="46"/>
      <c r="R59" s="44" t="s">
        <v>4660</v>
      </c>
      <c r="S59" s="46"/>
    </row>
    <row r="60" spans="2:19" s="67" customFormat="1" ht="33" customHeight="1">
      <c r="B60" s="46" t="s">
        <v>81</v>
      </c>
      <c r="C60" s="35" t="s">
        <v>2325</v>
      </c>
      <c r="D60" s="36" t="s">
        <v>2326</v>
      </c>
      <c r="E60" s="37">
        <v>43602</v>
      </c>
      <c r="F60" s="38" t="s">
        <v>4638</v>
      </c>
      <c r="G60" s="39">
        <v>10580</v>
      </c>
      <c r="H60" s="38">
        <f t="shared" si="3"/>
        <v>46</v>
      </c>
      <c r="I60" s="38">
        <f t="shared" si="2"/>
        <v>11.5</v>
      </c>
      <c r="J60" s="38"/>
      <c r="K60" s="40">
        <v>43681</v>
      </c>
      <c r="L60" s="41" t="s">
        <v>4637</v>
      </c>
      <c r="M60" s="42">
        <v>43676</v>
      </c>
      <c r="N60" s="43" t="s">
        <v>4636</v>
      </c>
      <c r="O60" s="42">
        <v>43681</v>
      </c>
      <c r="P60" s="45"/>
      <c r="Q60" s="46"/>
      <c r="R60" s="44" t="s">
        <v>4659</v>
      </c>
      <c r="S60" s="46" t="s">
        <v>3549</v>
      </c>
    </row>
    <row r="61" spans="2:19" s="67" customFormat="1" ht="33" customHeight="1">
      <c r="B61" s="46" t="s">
        <v>81</v>
      </c>
      <c r="C61" s="35" t="s">
        <v>3406</v>
      </c>
      <c r="D61" s="36" t="s">
        <v>3407</v>
      </c>
      <c r="E61" s="37">
        <v>43637</v>
      </c>
      <c r="F61" s="38" t="s">
        <v>4638</v>
      </c>
      <c r="G61" s="39">
        <v>12880</v>
      </c>
      <c r="H61" s="38">
        <f t="shared" si="3"/>
        <v>56</v>
      </c>
      <c r="I61" s="38">
        <f t="shared" si="2"/>
        <v>14</v>
      </c>
      <c r="J61" s="38"/>
      <c r="K61" s="40">
        <v>43723</v>
      </c>
      <c r="L61" s="41" t="s">
        <v>4658</v>
      </c>
      <c r="M61" s="42">
        <v>43718</v>
      </c>
      <c r="N61" s="43" t="s">
        <v>4657</v>
      </c>
      <c r="O61" s="42">
        <v>43723</v>
      </c>
      <c r="P61" s="45"/>
      <c r="Q61" s="46"/>
      <c r="R61" s="44" t="s">
        <v>4653</v>
      </c>
      <c r="S61" s="46"/>
    </row>
    <row r="62" spans="2:19" s="67" customFormat="1" ht="33" customHeight="1">
      <c r="B62" s="46" t="s">
        <v>81</v>
      </c>
      <c r="C62" s="35" t="s">
        <v>4656</v>
      </c>
      <c r="D62" s="36" t="s">
        <v>3407</v>
      </c>
      <c r="E62" s="37">
        <v>43637</v>
      </c>
      <c r="F62" s="38" t="s">
        <v>4638</v>
      </c>
      <c r="G62" s="39">
        <v>920</v>
      </c>
      <c r="H62" s="38">
        <f t="shared" si="3"/>
        <v>4</v>
      </c>
      <c r="I62" s="38">
        <v>1</v>
      </c>
      <c r="J62" s="38"/>
      <c r="K62" s="40">
        <v>43723</v>
      </c>
      <c r="L62" s="41" t="s">
        <v>4655</v>
      </c>
      <c r="M62" s="42">
        <v>43711</v>
      </c>
      <c r="N62" s="43" t="s">
        <v>4654</v>
      </c>
      <c r="O62" s="42">
        <v>43716</v>
      </c>
      <c r="P62" s="45"/>
      <c r="Q62" s="46"/>
      <c r="R62" s="44" t="s">
        <v>4653</v>
      </c>
      <c r="S62" s="46"/>
    </row>
    <row r="63" spans="2:19" s="67" customFormat="1" ht="33" customHeight="1">
      <c r="B63" s="46" t="s">
        <v>81</v>
      </c>
      <c r="C63" s="35" t="s">
        <v>3409</v>
      </c>
      <c r="D63" s="36" t="s">
        <v>3743</v>
      </c>
      <c r="E63" s="37">
        <v>43665</v>
      </c>
      <c r="F63" s="38" t="s">
        <v>4638</v>
      </c>
      <c r="G63" s="39">
        <v>9200</v>
      </c>
      <c r="H63" s="38">
        <f t="shared" si="3"/>
        <v>40</v>
      </c>
      <c r="I63" s="38">
        <f t="shared" ref="I63:I69" si="4">SUM(H63/4)</f>
        <v>10</v>
      </c>
      <c r="J63" s="38"/>
      <c r="K63" s="40">
        <v>43667</v>
      </c>
      <c r="L63" s="41" t="s">
        <v>4652</v>
      </c>
      <c r="M63" s="42">
        <v>43662</v>
      </c>
      <c r="N63" s="43" t="s">
        <v>4651</v>
      </c>
      <c r="O63" s="42">
        <v>43667</v>
      </c>
      <c r="P63" s="45"/>
      <c r="Q63" s="46"/>
      <c r="R63" s="44"/>
      <c r="S63" s="46"/>
    </row>
    <row r="64" spans="2:19" s="67" customFormat="1" ht="33" customHeight="1">
      <c r="B64" s="46" t="s">
        <v>81</v>
      </c>
      <c r="C64" s="35" t="s">
        <v>4318</v>
      </c>
      <c r="D64" s="36" t="s">
        <v>4319</v>
      </c>
      <c r="E64" s="37">
        <v>43665</v>
      </c>
      <c r="F64" s="38" t="s">
        <v>4638</v>
      </c>
      <c r="G64" s="39">
        <v>9200</v>
      </c>
      <c r="H64" s="38">
        <f t="shared" si="3"/>
        <v>40</v>
      </c>
      <c r="I64" s="38">
        <f t="shared" si="4"/>
        <v>10</v>
      </c>
      <c r="J64" s="38"/>
      <c r="K64" s="40">
        <v>43751</v>
      </c>
      <c r="L64" s="41" t="s">
        <v>4650</v>
      </c>
      <c r="M64" s="42">
        <v>43746</v>
      </c>
      <c r="N64" s="43" t="s">
        <v>4649</v>
      </c>
      <c r="O64" s="42">
        <v>43751</v>
      </c>
      <c r="P64" s="45"/>
      <c r="Q64" s="46"/>
      <c r="R64" s="44" t="s">
        <v>4648</v>
      </c>
      <c r="S64" s="46"/>
    </row>
    <row r="65" spans="2:19" s="67" customFormat="1" ht="33" customHeight="1">
      <c r="B65" s="46" t="s">
        <v>81</v>
      </c>
      <c r="C65" s="35" t="s">
        <v>4321</v>
      </c>
      <c r="D65" s="36" t="s">
        <v>4322</v>
      </c>
      <c r="E65" s="37">
        <v>43665</v>
      </c>
      <c r="F65" s="38" t="s">
        <v>4638</v>
      </c>
      <c r="G65" s="39">
        <v>8740</v>
      </c>
      <c r="H65" s="38">
        <f t="shared" si="3"/>
        <v>38</v>
      </c>
      <c r="I65" s="38">
        <f t="shared" si="4"/>
        <v>9.5</v>
      </c>
      <c r="J65" s="38"/>
      <c r="K65" s="40">
        <v>43765</v>
      </c>
      <c r="L65" s="41" t="s">
        <v>4647</v>
      </c>
      <c r="M65" s="42">
        <v>43760</v>
      </c>
      <c r="N65" s="43" t="s">
        <v>4646</v>
      </c>
      <c r="O65" s="42">
        <v>43765</v>
      </c>
      <c r="P65" s="45"/>
      <c r="Q65" s="46"/>
      <c r="R65" s="44" t="s">
        <v>4645</v>
      </c>
      <c r="S65" s="46"/>
    </row>
    <row r="66" spans="2:19" s="96" customFormat="1" ht="33" customHeight="1">
      <c r="B66" s="47" t="s">
        <v>4644</v>
      </c>
      <c r="C66" s="48" t="s">
        <v>4642</v>
      </c>
      <c r="D66" s="49" t="s">
        <v>705</v>
      </c>
      <c r="E66" s="50">
        <v>43532</v>
      </c>
      <c r="F66" s="52" t="s">
        <v>4638</v>
      </c>
      <c r="G66" s="51">
        <v>920</v>
      </c>
      <c r="H66" s="52">
        <f t="shared" si="3"/>
        <v>4</v>
      </c>
      <c r="I66" s="52">
        <f t="shared" si="4"/>
        <v>1</v>
      </c>
      <c r="J66" s="52"/>
      <c r="K66" s="53">
        <v>43609</v>
      </c>
      <c r="L66" s="54" t="s">
        <v>773</v>
      </c>
      <c r="M66" s="55">
        <v>43601</v>
      </c>
      <c r="N66" s="56" t="s">
        <v>774</v>
      </c>
      <c r="O66" s="55">
        <v>43605</v>
      </c>
      <c r="P66" s="58"/>
      <c r="Q66" s="47"/>
      <c r="R66" s="57"/>
      <c r="S66" s="47" t="s">
        <v>4643</v>
      </c>
    </row>
    <row r="67" spans="2:19" s="96" customFormat="1" ht="33" customHeight="1">
      <c r="B67" s="47" t="s">
        <v>4639</v>
      </c>
      <c r="C67" s="48" t="s">
        <v>4642</v>
      </c>
      <c r="D67" s="49" t="s">
        <v>4641</v>
      </c>
      <c r="E67" s="50">
        <v>43511</v>
      </c>
      <c r="F67" s="52" t="s">
        <v>4638</v>
      </c>
      <c r="G67" s="51">
        <v>460</v>
      </c>
      <c r="H67" s="52">
        <f t="shared" si="3"/>
        <v>2</v>
      </c>
      <c r="I67" s="52">
        <f t="shared" si="4"/>
        <v>0.5</v>
      </c>
      <c r="J67" s="52"/>
      <c r="K67" s="53">
        <v>43576</v>
      </c>
      <c r="L67" s="54" t="s">
        <v>480</v>
      </c>
      <c r="M67" s="55">
        <v>43564</v>
      </c>
      <c r="N67" s="56" t="s">
        <v>646</v>
      </c>
      <c r="O67" s="55">
        <v>43569</v>
      </c>
      <c r="P67" s="58"/>
      <c r="Q67" s="47"/>
      <c r="R67" s="57" t="s">
        <v>4640</v>
      </c>
      <c r="S67" s="47"/>
    </row>
    <row r="68" spans="2:19" s="67" customFormat="1" ht="33" customHeight="1">
      <c r="B68" s="46" t="s">
        <v>4639</v>
      </c>
      <c r="C68" s="35" t="s">
        <v>2333</v>
      </c>
      <c r="D68" s="36" t="s">
        <v>2334</v>
      </c>
      <c r="E68" s="37">
        <v>43602</v>
      </c>
      <c r="F68" s="38" t="s">
        <v>4638</v>
      </c>
      <c r="G68" s="39">
        <v>460</v>
      </c>
      <c r="H68" s="38">
        <f t="shared" si="3"/>
        <v>2</v>
      </c>
      <c r="I68" s="38">
        <f t="shared" si="4"/>
        <v>0.5</v>
      </c>
      <c r="J68" s="38"/>
      <c r="K68" s="40">
        <v>43681</v>
      </c>
      <c r="L68" s="41" t="s">
        <v>4637</v>
      </c>
      <c r="M68" s="42">
        <v>43676</v>
      </c>
      <c r="N68" s="43" t="s">
        <v>4636</v>
      </c>
      <c r="O68" s="42">
        <v>43681</v>
      </c>
      <c r="P68" s="45"/>
      <c r="Q68" s="46"/>
      <c r="R68" s="44" t="s">
        <v>4635</v>
      </c>
      <c r="S68" s="46" t="s">
        <v>3549</v>
      </c>
    </row>
    <row r="69" spans="2:19" s="67" customFormat="1" ht="33" customHeight="1">
      <c r="B69" s="46" t="s">
        <v>4634</v>
      </c>
      <c r="C69" s="35" t="s">
        <v>4329</v>
      </c>
      <c r="D69" s="36" t="s">
        <v>4330</v>
      </c>
      <c r="E69" s="37">
        <v>43665</v>
      </c>
      <c r="F69" s="38" t="s">
        <v>4616</v>
      </c>
      <c r="G69" s="39">
        <v>460</v>
      </c>
      <c r="H69" s="38">
        <f t="shared" si="3"/>
        <v>2</v>
      </c>
      <c r="I69" s="38">
        <f t="shared" si="4"/>
        <v>0.5</v>
      </c>
      <c r="J69" s="38"/>
      <c r="K69" s="40">
        <v>43765</v>
      </c>
      <c r="L69" s="41" t="s">
        <v>4477</v>
      </c>
      <c r="M69" s="42">
        <v>43760</v>
      </c>
      <c r="N69" s="43" t="s">
        <v>4633</v>
      </c>
      <c r="O69" s="42">
        <v>43765</v>
      </c>
      <c r="P69" s="45"/>
      <c r="Q69" s="46"/>
      <c r="R69" s="44" t="s">
        <v>4632</v>
      </c>
      <c r="S69" s="46"/>
    </row>
    <row r="70" spans="2:19" s="33" customFormat="1" ht="33" customHeight="1">
      <c r="B70" s="47" t="s">
        <v>4617</v>
      </c>
      <c r="C70" s="48" t="s">
        <v>430</v>
      </c>
      <c r="D70" s="49" t="s">
        <v>470</v>
      </c>
      <c r="E70" s="50">
        <v>43473</v>
      </c>
      <c r="F70" s="52" t="s">
        <v>4616</v>
      </c>
      <c r="G70" s="51">
        <v>1920</v>
      </c>
      <c r="H70" s="52">
        <f t="shared" ref="H70:H80" si="5">SUM(G70/20)</f>
        <v>96</v>
      </c>
      <c r="I70" s="52">
        <f t="shared" ref="I70:I80" si="6">SUM(H70/32)</f>
        <v>3</v>
      </c>
      <c r="J70" s="59"/>
      <c r="K70" s="53">
        <v>43555</v>
      </c>
      <c r="L70" s="54" t="s">
        <v>480</v>
      </c>
      <c r="M70" s="55">
        <v>43564</v>
      </c>
      <c r="N70" s="56" t="s">
        <v>4631</v>
      </c>
      <c r="O70" s="55">
        <v>43569</v>
      </c>
      <c r="P70" s="58"/>
      <c r="Q70" s="60" t="s">
        <v>89</v>
      </c>
      <c r="R70" s="57" t="s">
        <v>4629</v>
      </c>
      <c r="S70" s="47"/>
    </row>
    <row r="71" spans="2:19" s="33" customFormat="1" ht="33" customHeight="1">
      <c r="B71" s="47" t="s">
        <v>4617</v>
      </c>
      <c r="C71" s="48" t="s">
        <v>519</v>
      </c>
      <c r="D71" s="49" t="s">
        <v>710</v>
      </c>
      <c r="E71" s="50">
        <v>43511</v>
      </c>
      <c r="F71" s="52" t="s">
        <v>4616</v>
      </c>
      <c r="G71" s="51">
        <v>640</v>
      </c>
      <c r="H71" s="52">
        <f t="shared" si="5"/>
        <v>32</v>
      </c>
      <c r="I71" s="52">
        <f t="shared" si="6"/>
        <v>1</v>
      </c>
      <c r="J71" s="59"/>
      <c r="K71" s="53">
        <v>43555</v>
      </c>
      <c r="L71" s="54" t="s">
        <v>608</v>
      </c>
      <c r="M71" s="55">
        <v>43557</v>
      </c>
      <c r="N71" s="56" t="s">
        <v>4630</v>
      </c>
      <c r="O71" s="55">
        <v>43562</v>
      </c>
      <c r="P71" s="58"/>
      <c r="Q71" s="60" t="s">
        <v>89</v>
      </c>
      <c r="R71" s="57" t="s">
        <v>4629</v>
      </c>
      <c r="S71" s="47"/>
    </row>
    <row r="72" spans="2:19" s="33" customFormat="1" ht="33" customHeight="1">
      <c r="B72" s="47" t="s">
        <v>4617</v>
      </c>
      <c r="C72" s="48" t="s">
        <v>520</v>
      </c>
      <c r="D72" s="49" t="s">
        <v>584</v>
      </c>
      <c r="E72" s="50">
        <v>43511</v>
      </c>
      <c r="F72" s="52" t="s">
        <v>4616</v>
      </c>
      <c r="G72" s="51">
        <v>1920</v>
      </c>
      <c r="H72" s="52">
        <f t="shared" si="5"/>
        <v>96</v>
      </c>
      <c r="I72" s="52">
        <f t="shared" si="6"/>
        <v>3</v>
      </c>
      <c r="J72" s="59"/>
      <c r="K72" s="53">
        <v>43576</v>
      </c>
      <c r="L72" s="54" t="s">
        <v>503</v>
      </c>
      <c r="M72" s="55">
        <v>43571</v>
      </c>
      <c r="N72" s="56" t="s">
        <v>4628</v>
      </c>
      <c r="O72" s="55">
        <v>43576</v>
      </c>
      <c r="P72" s="58"/>
      <c r="Q72" s="60" t="s">
        <v>89</v>
      </c>
      <c r="R72" s="57" t="s">
        <v>4627</v>
      </c>
      <c r="S72" s="47"/>
    </row>
    <row r="73" spans="2:19" s="33" customFormat="1" ht="33" customHeight="1">
      <c r="B73" s="47" t="s">
        <v>4617</v>
      </c>
      <c r="C73" s="48" t="s">
        <v>586</v>
      </c>
      <c r="D73" s="49" t="s">
        <v>640</v>
      </c>
      <c r="E73" s="50">
        <v>43519</v>
      </c>
      <c r="F73" s="52" t="s">
        <v>4616</v>
      </c>
      <c r="G73" s="51">
        <v>2560</v>
      </c>
      <c r="H73" s="52">
        <f t="shared" si="5"/>
        <v>128</v>
      </c>
      <c r="I73" s="52">
        <f t="shared" si="6"/>
        <v>4</v>
      </c>
      <c r="J73" s="59"/>
      <c r="K73" s="53">
        <v>43611</v>
      </c>
      <c r="L73" s="54" t="s">
        <v>773</v>
      </c>
      <c r="M73" s="55">
        <v>43601</v>
      </c>
      <c r="N73" s="56" t="s">
        <v>4626</v>
      </c>
      <c r="O73" s="55">
        <v>43605</v>
      </c>
      <c r="P73" s="58"/>
      <c r="Q73" s="60" t="s">
        <v>89</v>
      </c>
      <c r="R73" s="57" t="s">
        <v>4625</v>
      </c>
      <c r="S73" s="47" t="s">
        <v>980</v>
      </c>
    </row>
    <row r="74" spans="2:19" s="30" customFormat="1" ht="33" customHeight="1">
      <c r="B74" s="46" t="s">
        <v>4617</v>
      </c>
      <c r="C74" s="35" t="s">
        <v>713</v>
      </c>
      <c r="D74" s="36" t="s">
        <v>714</v>
      </c>
      <c r="E74" s="37">
        <v>43532</v>
      </c>
      <c r="F74" s="38" t="s">
        <v>4616</v>
      </c>
      <c r="G74" s="39">
        <v>1920</v>
      </c>
      <c r="H74" s="38">
        <f t="shared" si="5"/>
        <v>96</v>
      </c>
      <c r="I74" s="38">
        <f t="shared" si="6"/>
        <v>3</v>
      </c>
      <c r="J74" s="61"/>
      <c r="K74" s="40">
        <v>43639</v>
      </c>
      <c r="L74" s="41" t="s">
        <v>1083</v>
      </c>
      <c r="M74" s="42">
        <v>43634</v>
      </c>
      <c r="N74" s="43" t="s">
        <v>1084</v>
      </c>
      <c r="O74" s="42">
        <v>43639</v>
      </c>
      <c r="P74" s="45"/>
      <c r="Q74" s="62" t="s">
        <v>89</v>
      </c>
      <c r="R74" s="44" t="s">
        <v>4624</v>
      </c>
      <c r="S74" s="46"/>
    </row>
    <row r="75" spans="2:19" s="30" customFormat="1" ht="33" customHeight="1">
      <c r="B75" s="46" t="s">
        <v>4617</v>
      </c>
      <c r="C75" s="35" t="s">
        <v>1184</v>
      </c>
      <c r="D75" s="36" t="s">
        <v>1185</v>
      </c>
      <c r="E75" s="37">
        <v>43567</v>
      </c>
      <c r="F75" s="38" t="s">
        <v>4616</v>
      </c>
      <c r="G75" s="39">
        <v>2560</v>
      </c>
      <c r="H75" s="38">
        <f t="shared" si="5"/>
        <v>128</v>
      </c>
      <c r="I75" s="38">
        <f t="shared" si="6"/>
        <v>4</v>
      </c>
      <c r="J75" s="61"/>
      <c r="K75" s="40">
        <v>43653</v>
      </c>
      <c r="L75" s="41" t="s">
        <v>1326</v>
      </c>
      <c r="M75" s="42">
        <v>43648</v>
      </c>
      <c r="N75" s="43" t="s">
        <v>2540</v>
      </c>
      <c r="O75" s="42">
        <v>43653</v>
      </c>
      <c r="P75" s="45"/>
      <c r="Q75" s="62" t="s">
        <v>89</v>
      </c>
      <c r="R75" s="44" t="s">
        <v>4622</v>
      </c>
      <c r="S75" s="46"/>
    </row>
    <row r="76" spans="2:19" s="30" customFormat="1" ht="33" customHeight="1">
      <c r="B76" s="46" t="s">
        <v>4617</v>
      </c>
      <c r="C76" s="35" t="s">
        <v>4623</v>
      </c>
      <c r="D76" s="36" t="s">
        <v>2685</v>
      </c>
      <c r="E76" s="37">
        <v>43609</v>
      </c>
      <c r="F76" s="38" t="s">
        <v>4616</v>
      </c>
      <c r="G76" s="39">
        <v>1280</v>
      </c>
      <c r="H76" s="38">
        <f t="shared" si="5"/>
        <v>64</v>
      </c>
      <c r="I76" s="38">
        <f t="shared" si="6"/>
        <v>2</v>
      </c>
      <c r="J76" s="61"/>
      <c r="K76" s="40">
        <v>43653</v>
      </c>
      <c r="L76" s="41" t="s">
        <v>1326</v>
      </c>
      <c r="M76" s="42">
        <v>43648</v>
      </c>
      <c r="N76" s="43" t="s">
        <v>2540</v>
      </c>
      <c r="O76" s="42">
        <v>43653</v>
      </c>
      <c r="P76" s="45"/>
      <c r="Q76" s="62" t="s">
        <v>89</v>
      </c>
      <c r="R76" s="44" t="s">
        <v>4622</v>
      </c>
      <c r="S76" s="46"/>
    </row>
    <row r="77" spans="2:19" s="30" customFormat="1" ht="33" customHeight="1">
      <c r="B77" s="46" t="s">
        <v>4617</v>
      </c>
      <c r="C77" s="35" t="s">
        <v>2357</v>
      </c>
      <c r="D77" s="36" t="s">
        <v>2358</v>
      </c>
      <c r="E77" s="37">
        <v>43602</v>
      </c>
      <c r="F77" s="38" t="s">
        <v>4616</v>
      </c>
      <c r="G77" s="39">
        <v>2560</v>
      </c>
      <c r="H77" s="38">
        <f t="shared" si="5"/>
        <v>128</v>
      </c>
      <c r="I77" s="38">
        <f t="shared" si="6"/>
        <v>4</v>
      </c>
      <c r="J77" s="61"/>
      <c r="K77" s="40">
        <v>43674</v>
      </c>
      <c r="L77" s="41" t="s">
        <v>2146</v>
      </c>
      <c r="M77" s="42">
        <v>43669</v>
      </c>
      <c r="N77" s="43" t="s">
        <v>2551</v>
      </c>
      <c r="O77" s="42">
        <v>43674</v>
      </c>
      <c r="P77" s="45"/>
      <c r="Q77" s="62" t="s">
        <v>89</v>
      </c>
      <c r="R77" s="44" t="s">
        <v>4621</v>
      </c>
      <c r="S77" s="46"/>
    </row>
    <row r="78" spans="2:19" s="30" customFormat="1" ht="33" customHeight="1">
      <c r="B78" s="46" t="s">
        <v>4617</v>
      </c>
      <c r="C78" s="35" t="s">
        <v>2360</v>
      </c>
      <c r="D78" s="36" t="s">
        <v>4620</v>
      </c>
      <c r="E78" s="37">
        <v>43602</v>
      </c>
      <c r="F78" s="38" t="s">
        <v>4616</v>
      </c>
      <c r="G78" s="39">
        <v>2560</v>
      </c>
      <c r="H78" s="38">
        <f t="shared" si="5"/>
        <v>128</v>
      </c>
      <c r="I78" s="38">
        <f t="shared" si="6"/>
        <v>4</v>
      </c>
      <c r="J78" s="61"/>
      <c r="K78" s="40">
        <v>43695</v>
      </c>
      <c r="L78" s="41" t="s">
        <v>2505</v>
      </c>
      <c r="M78" s="42">
        <v>43683</v>
      </c>
      <c r="N78" s="43" t="s">
        <v>4619</v>
      </c>
      <c r="O78" s="42">
        <v>43688</v>
      </c>
      <c r="P78" s="45"/>
      <c r="Q78" s="62" t="s">
        <v>89</v>
      </c>
      <c r="R78" s="44" t="s">
        <v>4618</v>
      </c>
      <c r="S78" s="46"/>
    </row>
    <row r="79" spans="2:19" s="30" customFormat="1" ht="33" customHeight="1">
      <c r="B79" s="46" t="s">
        <v>4617</v>
      </c>
      <c r="C79" s="35" t="s">
        <v>3429</v>
      </c>
      <c r="D79" s="36" t="s">
        <v>3430</v>
      </c>
      <c r="E79" s="37">
        <v>43637</v>
      </c>
      <c r="F79" s="38" t="s">
        <v>4616</v>
      </c>
      <c r="G79" s="39">
        <v>3840</v>
      </c>
      <c r="H79" s="38">
        <f t="shared" si="5"/>
        <v>192</v>
      </c>
      <c r="I79" s="38">
        <f t="shared" si="6"/>
        <v>6</v>
      </c>
      <c r="J79" s="61"/>
      <c r="K79" s="40">
        <v>43723</v>
      </c>
      <c r="L79" s="41" t="s">
        <v>4615</v>
      </c>
      <c r="M79" s="42">
        <v>43718</v>
      </c>
      <c r="N79" s="43" t="s">
        <v>4614</v>
      </c>
      <c r="O79" s="42">
        <v>43723</v>
      </c>
      <c r="P79" s="45"/>
      <c r="Q79" s="62" t="s">
        <v>89</v>
      </c>
      <c r="R79" s="44" t="s">
        <v>4613</v>
      </c>
      <c r="S79" s="46"/>
    </row>
    <row r="80" spans="2:19" s="30" customFormat="1" ht="33" customHeight="1">
      <c r="B80" s="46" t="s">
        <v>4612</v>
      </c>
      <c r="C80" s="35" t="s">
        <v>4344</v>
      </c>
      <c r="D80" s="36" t="s">
        <v>4345</v>
      </c>
      <c r="E80" s="37">
        <v>43665</v>
      </c>
      <c r="F80" s="38" t="s">
        <v>4611</v>
      </c>
      <c r="G80" s="39">
        <v>3200</v>
      </c>
      <c r="H80" s="38">
        <f t="shared" si="5"/>
        <v>160</v>
      </c>
      <c r="I80" s="38">
        <f t="shared" si="6"/>
        <v>5</v>
      </c>
      <c r="J80" s="61"/>
      <c r="K80" s="40">
        <v>43758</v>
      </c>
      <c r="L80" s="41" t="s">
        <v>4610</v>
      </c>
      <c r="M80" s="42">
        <v>43753</v>
      </c>
      <c r="N80" s="43" t="s">
        <v>4523</v>
      </c>
      <c r="O80" s="42">
        <v>43758</v>
      </c>
      <c r="P80" s="45"/>
      <c r="Q80" s="62" t="s">
        <v>89</v>
      </c>
      <c r="R80" s="44" t="s">
        <v>4609</v>
      </c>
      <c r="S80" s="46"/>
    </row>
    <row r="81" spans="2:19" s="33" customFormat="1" ht="33" customHeight="1">
      <c r="B81" s="47" t="s">
        <v>38</v>
      </c>
      <c r="C81" s="48" t="s">
        <v>225</v>
      </c>
      <c r="D81" s="49" t="s">
        <v>587</v>
      </c>
      <c r="E81" s="50">
        <v>43519</v>
      </c>
      <c r="F81" s="52" t="s">
        <v>4597</v>
      </c>
      <c r="G81" s="64">
        <v>640</v>
      </c>
      <c r="H81" s="52">
        <f>SUBTOTAL(9,G81)/20</f>
        <v>32</v>
      </c>
      <c r="I81" s="52">
        <f>H81/32</f>
        <v>1</v>
      </c>
      <c r="J81" s="52"/>
      <c r="K81" s="53">
        <v>43583</v>
      </c>
      <c r="L81" s="54" t="s">
        <v>565</v>
      </c>
      <c r="M81" s="55">
        <v>43578</v>
      </c>
      <c r="N81" s="56" t="s">
        <v>4514</v>
      </c>
      <c r="O81" s="55">
        <v>43583</v>
      </c>
      <c r="P81" s="58"/>
      <c r="Q81" s="52"/>
      <c r="R81" s="63" t="s">
        <v>4608</v>
      </c>
      <c r="S81" s="47"/>
    </row>
    <row r="82" spans="2:19" s="30" customFormat="1" ht="33" customHeight="1">
      <c r="B82" s="122" t="s">
        <v>4814</v>
      </c>
      <c r="C82" s="126" t="s">
        <v>226</v>
      </c>
      <c r="D82" s="127" t="s">
        <v>1194</v>
      </c>
      <c r="E82" s="128">
        <v>43567</v>
      </c>
      <c r="F82" s="124" t="s">
        <v>4597</v>
      </c>
      <c r="G82" s="152">
        <v>640</v>
      </c>
      <c r="H82" s="124">
        <f>SUBTOTAL(9,G82)/20</f>
        <v>32</v>
      </c>
      <c r="I82" s="124">
        <f>H82/32</f>
        <v>1</v>
      </c>
      <c r="J82" s="124"/>
      <c r="K82" s="130">
        <v>43758</v>
      </c>
      <c r="L82" s="119" t="s">
        <v>4812</v>
      </c>
      <c r="M82" s="120">
        <v>43753</v>
      </c>
      <c r="N82" s="121" t="s">
        <v>4813</v>
      </c>
      <c r="O82" s="120">
        <v>43758</v>
      </c>
      <c r="P82" s="123"/>
      <c r="Q82" s="124"/>
      <c r="R82" s="134" t="s">
        <v>4607</v>
      </c>
      <c r="S82" s="122"/>
    </row>
    <row r="83" spans="2:19" s="33" customFormat="1" ht="33" customHeight="1">
      <c r="B83" s="47" t="s">
        <v>88</v>
      </c>
      <c r="C83" s="48" t="s">
        <v>431</v>
      </c>
      <c r="D83" s="49" t="s">
        <v>471</v>
      </c>
      <c r="E83" s="50">
        <v>43483</v>
      </c>
      <c r="F83" s="52" t="s">
        <v>4597</v>
      </c>
      <c r="G83" s="64">
        <v>760</v>
      </c>
      <c r="H83" s="52">
        <f t="shared" ref="H83:H88" si="7">SUBTOTAL(9,G83)/190</f>
        <v>4</v>
      </c>
      <c r="I83" s="52">
        <f t="shared" ref="I83:I88" si="8">H83/4</f>
        <v>1</v>
      </c>
      <c r="J83" s="52"/>
      <c r="K83" s="53">
        <v>43569</v>
      </c>
      <c r="L83" s="54" t="s">
        <v>417</v>
      </c>
      <c r="M83" s="55">
        <v>43564</v>
      </c>
      <c r="N83" s="56" t="s">
        <v>4517</v>
      </c>
      <c r="O83" s="55">
        <v>43569</v>
      </c>
      <c r="P83" s="58"/>
      <c r="Q83" s="52"/>
      <c r="R83" s="63" t="s">
        <v>4606</v>
      </c>
      <c r="S83" s="47"/>
    </row>
    <row r="84" spans="2:19" s="33" customFormat="1" ht="33" customHeight="1">
      <c r="B84" s="47" t="s">
        <v>88</v>
      </c>
      <c r="C84" s="48" t="s">
        <v>523</v>
      </c>
      <c r="D84" s="49" t="s">
        <v>588</v>
      </c>
      <c r="E84" s="50">
        <v>43511</v>
      </c>
      <c r="F84" s="52" t="s">
        <v>4597</v>
      </c>
      <c r="G84" s="64">
        <v>760</v>
      </c>
      <c r="H84" s="52">
        <f t="shared" si="7"/>
        <v>4</v>
      </c>
      <c r="I84" s="52">
        <f t="shared" si="8"/>
        <v>1</v>
      </c>
      <c r="J84" s="52"/>
      <c r="K84" s="53">
        <v>43583</v>
      </c>
      <c r="L84" s="54" t="s">
        <v>565</v>
      </c>
      <c r="M84" s="55">
        <v>43578</v>
      </c>
      <c r="N84" s="56" t="s">
        <v>4514</v>
      </c>
      <c r="O84" s="55">
        <v>43583</v>
      </c>
      <c r="P84" s="58"/>
      <c r="Q84" s="52"/>
      <c r="R84" s="63" t="s">
        <v>4605</v>
      </c>
      <c r="S84" s="47"/>
    </row>
    <row r="85" spans="2:19" s="33" customFormat="1" ht="33" customHeight="1">
      <c r="B85" s="47" t="s">
        <v>88</v>
      </c>
      <c r="C85" s="48" t="s">
        <v>589</v>
      </c>
      <c r="D85" s="49" t="s">
        <v>590</v>
      </c>
      <c r="E85" s="50">
        <v>43519</v>
      </c>
      <c r="F85" s="52" t="s">
        <v>4597</v>
      </c>
      <c r="G85" s="64">
        <v>760</v>
      </c>
      <c r="H85" s="52">
        <f t="shared" si="7"/>
        <v>4</v>
      </c>
      <c r="I85" s="52">
        <f t="shared" si="8"/>
        <v>1</v>
      </c>
      <c r="J85" s="52"/>
      <c r="K85" s="53">
        <v>43597</v>
      </c>
      <c r="L85" s="54" t="s">
        <v>4512</v>
      </c>
      <c r="M85" s="55">
        <v>43592</v>
      </c>
      <c r="N85" s="56" t="s">
        <v>4511</v>
      </c>
      <c r="O85" s="55">
        <v>43597</v>
      </c>
      <c r="P85" s="58"/>
      <c r="Q85" s="52"/>
      <c r="R85" s="63" t="s">
        <v>4604</v>
      </c>
      <c r="S85" s="47"/>
    </row>
    <row r="86" spans="2:19" s="30" customFormat="1" ht="33" customHeight="1">
      <c r="B86" s="46" t="s">
        <v>88</v>
      </c>
      <c r="C86" s="35" t="s">
        <v>4603</v>
      </c>
      <c r="D86" s="36" t="s">
        <v>1207</v>
      </c>
      <c r="E86" s="37">
        <v>43567</v>
      </c>
      <c r="F86" s="38" t="s">
        <v>4597</v>
      </c>
      <c r="G86" s="65">
        <v>760</v>
      </c>
      <c r="H86" s="38">
        <f t="shared" si="7"/>
        <v>4</v>
      </c>
      <c r="I86" s="38">
        <f t="shared" si="8"/>
        <v>1</v>
      </c>
      <c r="J86" s="38"/>
      <c r="K86" s="40">
        <v>43667</v>
      </c>
      <c r="L86" s="41" t="s">
        <v>4505</v>
      </c>
      <c r="M86" s="42">
        <v>43655</v>
      </c>
      <c r="N86" s="43" t="s">
        <v>4504</v>
      </c>
      <c r="O86" s="42">
        <v>43660</v>
      </c>
      <c r="P86" s="45"/>
      <c r="Q86" s="38"/>
      <c r="R86" s="66" t="s">
        <v>4601</v>
      </c>
      <c r="S86" s="46" t="s">
        <v>980</v>
      </c>
    </row>
    <row r="87" spans="2:19" s="30" customFormat="1" ht="33" customHeight="1">
      <c r="B87" s="46" t="s">
        <v>88</v>
      </c>
      <c r="C87" s="35" t="s">
        <v>2079</v>
      </c>
      <c r="D87" s="36" t="s">
        <v>4602</v>
      </c>
      <c r="E87" s="37">
        <v>43602</v>
      </c>
      <c r="F87" s="38" t="s">
        <v>4597</v>
      </c>
      <c r="G87" s="65">
        <v>760</v>
      </c>
      <c r="H87" s="38">
        <f t="shared" si="7"/>
        <v>4</v>
      </c>
      <c r="I87" s="38">
        <f t="shared" si="8"/>
        <v>1</v>
      </c>
      <c r="J87" s="38"/>
      <c r="K87" s="40">
        <v>43667</v>
      </c>
      <c r="L87" s="41" t="s">
        <v>4505</v>
      </c>
      <c r="M87" s="42">
        <v>43655</v>
      </c>
      <c r="N87" s="43" t="s">
        <v>4504</v>
      </c>
      <c r="O87" s="42">
        <v>43660</v>
      </c>
      <c r="P87" s="45"/>
      <c r="Q87" s="38"/>
      <c r="R87" s="66" t="s">
        <v>4601</v>
      </c>
      <c r="S87" s="46" t="s">
        <v>980</v>
      </c>
    </row>
    <row r="88" spans="2:19" s="30" customFormat="1" ht="33" customHeight="1">
      <c r="B88" s="46" t="s">
        <v>88</v>
      </c>
      <c r="C88" s="35" t="s">
        <v>2378</v>
      </c>
      <c r="D88" s="36" t="s">
        <v>2379</v>
      </c>
      <c r="E88" s="37">
        <v>43602</v>
      </c>
      <c r="F88" s="38" t="s">
        <v>4597</v>
      </c>
      <c r="G88" s="65">
        <v>760</v>
      </c>
      <c r="H88" s="38">
        <f t="shared" si="7"/>
        <v>4</v>
      </c>
      <c r="I88" s="38">
        <f t="shared" si="8"/>
        <v>1</v>
      </c>
      <c r="J88" s="38"/>
      <c r="K88" s="40">
        <v>43702</v>
      </c>
      <c r="L88" s="41" t="s">
        <v>4527</v>
      </c>
      <c r="M88" s="42">
        <v>43697</v>
      </c>
      <c r="N88" s="43" t="s">
        <v>4526</v>
      </c>
      <c r="O88" s="42">
        <v>43702</v>
      </c>
      <c r="P88" s="45"/>
      <c r="Q88" s="38"/>
      <c r="R88" s="66" t="s">
        <v>4600</v>
      </c>
      <c r="S88" s="46"/>
    </row>
    <row r="89" spans="2:19" s="30" customFormat="1" ht="33" customHeight="1">
      <c r="B89" s="46" t="s">
        <v>88</v>
      </c>
      <c r="C89" s="35" t="s">
        <v>2430</v>
      </c>
      <c r="D89" s="36" t="s">
        <v>3457</v>
      </c>
      <c r="E89" s="37">
        <v>43637</v>
      </c>
      <c r="F89" s="38" t="s">
        <v>4597</v>
      </c>
      <c r="G89" s="65">
        <v>760</v>
      </c>
      <c r="H89" s="38">
        <f>SUBTOTAL(9,G89)/190</f>
        <v>4</v>
      </c>
      <c r="I89" s="38">
        <f>H89/4</f>
        <v>1</v>
      </c>
      <c r="J89" s="38"/>
      <c r="K89" s="40">
        <v>43731</v>
      </c>
      <c r="L89" s="41" t="s">
        <v>4599</v>
      </c>
      <c r="M89" s="42">
        <v>43725</v>
      </c>
      <c r="N89" s="43" t="s">
        <v>4559</v>
      </c>
      <c r="O89" s="42">
        <v>43730</v>
      </c>
      <c r="P89" s="45"/>
      <c r="Q89" s="38"/>
      <c r="R89" s="66" t="s">
        <v>4598</v>
      </c>
      <c r="S89" s="46"/>
    </row>
    <row r="90" spans="2:19" s="30" customFormat="1" ht="33" customHeight="1">
      <c r="B90" s="122" t="s">
        <v>88</v>
      </c>
      <c r="C90" s="126" t="s">
        <v>2527</v>
      </c>
      <c r="D90" s="127" t="s">
        <v>4369</v>
      </c>
      <c r="E90" s="128">
        <v>43657</v>
      </c>
      <c r="F90" s="124" t="s">
        <v>4597</v>
      </c>
      <c r="G90" s="152">
        <v>760</v>
      </c>
      <c r="H90" s="124">
        <f>SUBTOTAL(9,G90)/190</f>
        <v>4</v>
      </c>
      <c r="I90" s="124">
        <f>H90/4</f>
        <v>1</v>
      </c>
      <c r="J90" s="124"/>
      <c r="K90" s="130">
        <v>43758</v>
      </c>
      <c r="L90" s="119" t="s">
        <v>4812</v>
      </c>
      <c r="M90" s="120">
        <v>43753</v>
      </c>
      <c r="N90" s="121" t="s">
        <v>4813</v>
      </c>
      <c r="O90" s="120">
        <v>43758</v>
      </c>
      <c r="P90" s="123"/>
      <c r="Q90" s="124"/>
      <c r="R90" s="134" t="s">
        <v>4596</v>
      </c>
      <c r="S90" s="122"/>
    </row>
    <row r="91" spans="2:19" s="33" customFormat="1" ht="33" customHeight="1">
      <c r="B91" s="47" t="s">
        <v>83</v>
      </c>
      <c r="C91" s="48" t="s">
        <v>244</v>
      </c>
      <c r="D91" s="49" t="s">
        <v>722</v>
      </c>
      <c r="E91" s="50">
        <v>43483</v>
      </c>
      <c r="F91" s="52" t="s">
        <v>77</v>
      </c>
      <c r="G91" s="51">
        <v>6720</v>
      </c>
      <c r="H91" s="52">
        <f t="shared" ref="H91:H98" si="9">SUM(G91/240)</f>
        <v>28</v>
      </c>
      <c r="I91" s="52">
        <f t="shared" ref="I91:I98" si="10">SUM(H91/4)</f>
        <v>7</v>
      </c>
      <c r="J91" s="52"/>
      <c r="K91" s="53">
        <v>43569</v>
      </c>
      <c r="L91" s="54" t="s">
        <v>480</v>
      </c>
      <c r="M91" s="55">
        <v>43564</v>
      </c>
      <c r="N91" s="56" t="s">
        <v>646</v>
      </c>
      <c r="O91" s="55">
        <v>43569</v>
      </c>
      <c r="P91" s="58" t="s">
        <v>4595</v>
      </c>
      <c r="Q91" s="52"/>
      <c r="R91" s="118" t="s">
        <v>4592</v>
      </c>
      <c r="S91" s="47"/>
    </row>
    <row r="92" spans="2:19" s="33" customFormat="1" ht="33" customHeight="1">
      <c r="B92" s="47" t="s">
        <v>83</v>
      </c>
      <c r="C92" s="48" t="s">
        <v>4594</v>
      </c>
      <c r="D92" s="49" t="s">
        <v>472</v>
      </c>
      <c r="E92" s="50">
        <v>43483</v>
      </c>
      <c r="F92" s="52" t="s">
        <v>77</v>
      </c>
      <c r="G92" s="51">
        <v>5760</v>
      </c>
      <c r="H92" s="52">
        <f t="shared" si="9"/>
        <v>24</v>
      </c>
      <c r="I92" s="52">
        <f t="shared" si="10"/>
        <v>6</v>
      </c>
      <c r="J92" s="52"/>
      <c r="K92" s="53">
        <v>43583</v>
      </c>
      <c r="L92" s="54" t="s">
        <v>448</v>
      </c>
      <c r="M92" s="55">
        <v>43578</v>
      </c>
      <c r="N92" s="56" t="s">
        <v>4514</v>
      </c>
      <c r="O92" s="55">
        <v>43583</v>
      </c>
      <c r="P92" s="58" t="s">
        <v>4593</v>
      </c>
      <c r="Q92" s="52"/>
      <c r="R92" s="118" t="s">
        <v>4592</v>
      </c>
      <c r="S92" s="47"/>
    </row>
    <row r="93" spans="2:19" s="33" customFormat="1" ht="33" customHeight="1">
      <c r="B93" s="47" t="s">
        <v>83</v>
      </c>
      <c r="C93" s="48" t="s">
        <v>258</v>
      </c>
      <c r="D93" s="49" t="s">
        <v>591</v>
      </c>
      <c r="E93" s="50">
        <v>43519</v>
      </c>
      <c r="F93" s="52" t="s">
        <v>77</v>
      </c>
      <c r="G93" s="51">
        <v>5760</v>
      </c>
      <c r="H93" s="52">
        <f t="shared" si="9"/>
        <v>24</v>
      </c>
      <c r="I93" s="52">
        <f t="shared" si="10"/>
        <v>6</v>
      </c>
      <c r="J93" s="52"/>
      <c r="K93" s="53">
        <v>43605</v>
      </c>
      <c r="L93" s="54" t="s">
        <v>4591</v>
      </c>
      <c r="M93" s="55">
        <v>43601</v>
      </c>
      <c r="N93" s="56" t="s">
        <v>4590</v>
      </c>
      <c r="O93" s="55">
        <v>43605</v>
      </c>
      <c r="P93" s="58" t="s">
        <v>4589</v>
      </c>
      <c r="Q93" s="52"/>
      <c r="R93" s="118" t="s">
        <v>4588</v>
      </c>
      <c r="S93" s="47"/>
    </row>
    <row r="94" spans="2:19" s="30" customFormat="1" ht="33" customHeight="1">
      <c r="B94" s="46" t="s">
        <v>83</v>
      </c>
      <c r="C94" s="35" t="s">
        <v>321</v>
      </c>
      <c r="D94" s="36" t="s">
        <v>727</v>
      </c>
      <c r="E94" s="37">
        <v>43532</v>
      </c>
      <c r="F94" s="38" t="s">
        <v>77</v>
      </c>
      <c r="G94" s="39">
        <v>6720</v>
      </c>
      <c r="H94" s="38">
        <f t="shared" si="9"/>
        <v>28</v>
      </c>
      <c r="I94" s="38">
        <f t="shared" si="10"/>
        <v>7</v>
      </c>
      <c r="J94" s="38"/>
      <c r="K94" s="40">
        <v>43633</v>
      </c>
      <c r="L94" s="41" t="s">
        <v>807</v>
      </c>
      <c r="M94" s="42">
        <v>43627</v>
      </c>
      <c r="N94" s="43" t="s">
        <v>808</v>
      </c>
      <c r="O94" s="42">
        <v>43632</v>
      </c>
      <c r="P94" s="45"/>
      <c r="Q94" s="38"/>
      <c r="R94" s="115" t="s">
        <v>4587</v>
      </c>
      <c r="S94" s="46"/>
    </row>
    <row r="95" spans="2:19" s="30" customFormat="1" ht="33" customHeight="1">
      <c r="B95" s="46" t="s">
        <v>83</v>
      </c>
      <c r="C95" s="35" t="s">
        <v>324</v>
      </c>
      <c r="D95" s="36" t="s">
        <v>1234</v>
      </c>
      <c r="E95" s="37">
        <v>43567</v>
      </c>
      <c r="F95" s="38" t="s">
        <v>77</v>
      </c>
      <c r="G95" s="39">
        <v>5760</v>
      </c>
      <c r="H95" s="38">
        <f t="shared" si="9"/>
        <v>24</v>
      </c>
      <c r="I95" s="38">
        <f t="shared" si="10"/>
        <v>6</v>
      </c>
      <c r="J95" s="38"/>
      <c r="K95" s="40">
        <v>43674</v>
      </c>
      <c r="L95" s="41" t="s">
        <v>4586</v>
      </c>
      <c r="M95" s="42">
        <v>43669</v>
      </c>
      <c r="N95" s="43" t="s">
        <v>4502</v>
      </c>
      <c r="O95" s="42">
        <v>43674</v>
      </c>
      <c r="P95" s="45"/>
      <c r="Q95" s="38"/>
      <c r="R95" s="115" t="s">
        <v>4585</v>
      </c>
      <c r="S95" s="46"/>
    </row>
    <row r="96" spans="2:19" s="30" customFormat="1" ht="33" customHeight="1">
      <c r="B96" s="46" t="s">
        <v>83</v>
      </c>
      <c r="C96" s="35" t="s">
        <v>430</v>
      </c>
      <c r="D96" s="36" t="s">
        <v>2696</v>
      </c>
      <c r="E96" s="37">
        <v>43609</v>
      </c>
      <c r="F96" s="38" t="s">
        <v>77</v>
      </c>
      <c r="G96" s="39">
        <v>7680</v>
      </c>
      <c r="H96" s="38">
        <f t="shared" si="9"/>
        <v>32</v>
      </c>
      <c r="I96" s="38">
        <f t="shared" si="10"/>
        <v>8</v>
      </c>
      <c r="J96" s="38"/>
      <c r="K96" s="40">
        <v>43702</v>
      </c>
      <c r="L96" s="41" t="s">
        <v>2509</v>
      </c>
      <c r="M96" s="42">
        <v>43697</v>
      </c>
      <c r="N96" s="43" t="s">
        <v>2498</v>
      </c>
      <c r="O96" s="42">
        <v>43702</v>
      </c>
      <c r="P96" s="45"/>
      <c r="Q96" s="38"/>
      <c r="R96" s="115" t="s">
        <v>4584</v>
      </c>
      <c r="S96" s="46"/>
    </row>
    <row r="97" spans="2:19" s="30" customFormat="1" ht="33" customHeight="1">
      <c r="B97" s="46" t="s">
        <v>4583</v>
      </c>
      <c r="C97" s="35" t="s">
        <v>519</v>
      </c>
      <c r="D97" s="36" t="s">
        <v>3473</v>
      </c>
      <c r="E97" s="37">
        <v>43637</v>
      </c>
      <c r="F97" s="38" t="s">
        <v>77</v>
      </c>
      <c r="G97" s="39">
        <v>9600</v>
      </c>
      <c r="H97" s="38">
        <f t="shared" si="9"/>
        <v>40</v>
      </c>
      <c r="I97" s="38">
        <f t="shared" si="10"/>
        <v>10</v>
      </c>
      <c r="J97" s="38"/>
      <c r="K97" s="40">
        <v>43716</v>
      </c>
      <c r="L97" s="41" t="s">
        <v>4562</v>
      </c>
      <c r="M97" s="42">
        <v>43711</v>
      </c>
      <c r="N97" s="43" t="s">
        <v>4561</v>
      </c>
      <c r="O97" s="42">
        <v>43716</v>
      </c>
      <c r="P97" s="45"/>
      <c r="Q97" s="38"/>
      <c r="R97" s="115" t="s">
        <v>4582</v>
      </c>
      <c r="S97" s="46"/>
    </row>
    <row r="98" spans="2:19" s="30" customFormat="1" ht="33" customHeight="1">
      <c r="B98" s="46" t="s">
        <v>4581</v>
      </c>
      <c r="C98" s="35" t="s">
        <v>520</v>
      </c>
      <c r="D98" s="36" t="s">
        <v>4386</v>
      </c>
      <c r="E98" s="37">
        <v>43665</v>
      </c>
      <c r="F98" s="38" t="s">
        <v>77</v>
      </c>
      <c r="G98" s="39">
        <v>5760</v>
      </c>
      <c r="H98" s="38">
        <f t="shared" si="9"/>
        <v>24</v>
      </c>
      <c r="I98" s="38">
        <f t="shared" si="10"/>
        <v>6</v>
      </c>
      <c r="J98" s="38"/>
      <c r="K98" s="40">
        <v>43765</v>
      </c>
      <c r="L98" s="41" t="s">
        <v>4477</v>
      </c>
      <c r="M98" s="42">
        <v>43760</v>
      </c>
      <c r="N98" s="43" t="s">
        <v>4551</v>
      </c>
      <c r="O98" s="42">
        <v>43765</v>
      </c>
      <c r="P98" s="45"/>
      <c r="Q98" s="38"/>
      <c r="R98" s="115" t="s">
        <v>4580</v>
      </c>
      <c r="S98" s="46"/>
    </row>
    <row r="99" spans="2:19" s="34" customFormat="1" ht="33" customHeight="1">
      <c r="B99" s="47" t="s">
        <v>210</v>
      </c>
      <c r="C99" s="48" t="s">
        <v>226</v>
      </c>
      <c r="D99" s="49" t="s">
        <v>593</v>
      </c>
      <c r="E99" s="50">
        <v>43483</v>
      </c>
      <c r="F99" s="52" t="s">
        <v>218</v>
      </c>
      <c r="G99" s="51">
        <v>640</v>
      </c>
      <c r="H99" s="52">
        <f t="shared" ref="H99:H130" si="11">SUM(G99/20)</f>
        <v>32</v>
      </c>
      <c r="I99" s="52">
        <f t="shared" ref="I99:I130" si="12">SUM(H99/32)</f>
        <v>1</v>
      </c>
      <c r="J99" s="52"/>
      <c r="K99" s="53">
        <v>43534</v>
      </c>
      <c r="L99" s="54" t="s">
        <v>4579</v>
      </c>
      <c r="M99" s="55"/>
      <c r="N99" s="56"/>
      <c r="O99" s="55">
        <v>43520</v>
      </c>
      <c r="P99" s="58" t="s">
        <v>651</v>
      </c>
      <c r="Q99" s="52"/>
      <c r="R99" s="63" t="s">
        <v>211</v>
      </c>
      <c r="S99" s="52"/>
    </row>
    <row r="100" spans="2:19" s="34" customFormat="1" ht="33" customHeight="1">
      <c r="B100" s="47" t="s">
        <v>210</v>
      </c>
      <c r="C100" s="48" t="s">
        <v>285</v>
      </c>
      <c r="D100" s="49" t="s">
        <v>526</v>
      </c>
      <c r="E100" s="50">
        <v>43507</v>
      </c>
      <c r="F100" s="52" t="s">
        <v>218</v>
      </c>
      <c r="G100" s="51">
        <v>3200</v>
      </c>
      <c r="H100" s="52">
        <f t="shared" si="11"/>
        <v>160</v>
      </c>
      <c r="I100" s="52">
        <f t="shared" si="12"/>
        <v>5</v>
      </c>
      <c r="J100" s="52"/>
      <c r="K100" s="53">
        <v>43576</v>
      </c>
      <c r="L100" s="54" t="s">
        <v>503</v>
      </c>
      <c r="M100" s="55">
        <v>43571</v>
      </c>
      <c r="N100" s="56" t="s">
        <v>4578</v>
      </c>
      <c r="O100" s="55">
        <v>43576</v>
      </c>
      <c r="P100" s="58"/>
      <c r="Q100" s="52" t="s">
        <v>643</v>
      </c>
      <c r="R100" s="63" t="s">
        <v>211</v>
      </c>
      <c r="S100" s="52"/>
    </row>
    <row r="101" spans="2:19" s="34" customFormat="1" ht="33" customHeight="1">
      <c r="B101" s="47" t="s">
        <v>210</v>
      </c>
      <c r="C101" s="48" t="s">
        <v>4577</v>
      </c>
      <c r="D101" s="49" t="s">
        <v>526</v>
      </c>
      <c r="E101" s="50">
        <v>43507</v>
      </c>
      <c r="F101" s="52" t="s">
        <v>218</v>
      </c>
      <c r="G101" s="51">
        <v>640</v>
      </c>
      <c r="H101" s="52">
        <f t="shared" si="11"/>
        <v>32</v>
      </c>
      <c r="I101" s="52">
        <f t="shared" si="12"/>
        <v>1</v>
      </c>
      <c r="J101" s="52"/>
      <c r="K101" s="53">
        <v>43576</v>
      </c>
      <c r="L101" s="54" t="s">
        <v>448</v>
      </c>
      <c r="M101" s="55">
        <v>43578</v>
      </c>
      <c r="N101" s="56" t="s">
        <v>4514</v>
      </c>
      <c r="O101" s="55">
        <v>43583</v>
      </c>
      <c r="P101" s="58"/>
      <c r="Q101" s="52" t="s">
        <v>643</v>
      </c>
      <c r="R101" s="63" t="s">
        <v>211</v>
      </c>
      <c r="S101" s="52"/>
    </row>
    <row r="102" spans="2:19" s="34" customFormat="1" ht="33" customHeight="1">
      <c r="B102" s="47" t="s">
        <v>210</v>
      </c>
      <c r="C102" s="48" t="s">
        <v>331</v>
      </c>
      <c r="D102" s="49" t="s">
        <v>4575</v>
      </c>
      <c r="E102" s="50">
        <v>43519</v>
      </c>
      <c r="F102" s="52" t="s">
        <v>218</v>
      </c>
      <c r="G102" s="51">
        <v>3200</v>
      </c>
      <c r="H102" s="52">
        <f t="shared" si="11"/>
        <v>160</v>
      </c>
      <c r="I102" s="52">
        <f t="shared" si="12"/>
        <v>5</v>
      </c>
      <c r="J102" s="52"/>
      <c r="K102" s="53">
        <v>43562</v>
      </c>
      <c r="L102" s="54" t="s">
        <v>608</v>
      </c>
      <c r="M102" s="55">
        <v>43557</v>
      </c>
      <c r="N102" s="56" t="s">
        <v>4034</v>
      </c>
      <c r="O102" s="55">
        <v>43562</v>
      </c>
      <c r="P102" s="58"/>
      <c r="Q102" s="52" t="s">
        <v>642</v>
      </c>
      <c r="R102" s="63" t="s">
        <v>211</v>
      </c>
      <c r="S102" s="52"/>
    </row>
    <row r="103" spans="2:19" s="34" customFormat="1" ht="33" customHeight="1">
      <c r="B103" s="47" t="s">
        <v>210</v>
      </c>
      <c r="C103" s="48" t="s">
        <v>4576</v>
      </c>
      <c r="D103" s="49" t="s">
        <v>4575</v>
      </c>
      <c r="E103" s="50">
        <v>43519</v>
      </c>
      <c r="F103" s="52" t="s">
        <v>218</v>
      </c>
      <c r="G103" s="51">
        <v>640</v>
      </c>
      <c r="H103" s="52">
        <f t="shared" si="11"/>
        <v>32</v>
      </c>
      <c r="I103" s="52">
        <f t="shared" si="12"/>
        <v>1</v>
      </c>
      <c r="J103" s="52"/>
      <c r="K103" s="53">
        <v>43562</v>
      </c>
      <c r="L103" s="54" t="s">
        <v>480</v>
      </c>
      <c r="M103" s="55">
        <v>43564</v>
      </c>
      <c r="N103" s="56" t="s">
        <v>646</v>
      </c>
      <c r="O103" s="55">
        <v>43569</v>
      </c>
      <c r="P103" s="58"/>
      <c r="Q103" s="52" t="s">
        <v>642</v>
      </c>
      <c r="R103" s="63" t="s">
        <v>211</v>
      </c>
      <c r="S103" s="52"/>
    </row>
    <row r="104" spans="2:19" s="32" customFormat="1" ht="33" customHeight="1">
      <c r="B104" s="46" t="s">
        <v>210</v>
      </c>
      <c r="C104" s="35" t="s">
        <v>2527</v>
      </c>
      <c r="D104" s="190" t="s">
        <v>4574</v>
      </c>
      <c r="E104" s="37">
        <v>43609</v>
      </c>
      <c r="F104" s="38" t="s">
        <v>218</v>
      </c>
      <c r="G104" s="39">
        <v>120</v>
      </c>
      <c r="H104" s="38">
        <f t="shared" si="11"/>
        <v>6</v>
      </c>
      <c r="I104" s="38">
        <f t="shared" si="12"/>
        <v>0.1875</v>
      </c>
      <c r="J104" s="38"/>
      <c r="K104" s="40">
        <v>43646</v>
      </c>
      <c r="L104" s="41" t="s">
        <v>1083</v>
      </c>
      <c r="M104" s="42">
        <v>43634</v>
      </c>
      <c r="N104" s="43" t="s">
        <v>1084</v>
      </c>
      <c r="O104" s="42">
        <v>43639</v>
      </c>
      <c r="P104" s="45"/>
      <c r="Q104" s="66" t="s">
        <v>2543</v>
      </c>
      <c r="R104" s="66" t="s">
        <v>4548</v>
      </c>
      <c r="S104" s="38"/>
    </row>
    <row r="105" spans="2:19" s="32" customFormat="1" ht="33" customHeight="1">
      <c r="B105" s="46" t="s">
        <v>4538</v>
      </c>
      <c r="C105" s="35" t="s">
        <v>2531</v>
      </c>
      <c r="D105" s="190" t="s">
        <v>4574</v>
      </c>
      <c r="E105" s="37">
        <v>43609</v>
      </c>
      <c r="F105" s="38" t="s">
        <v>4537</v>
      </c>
      <c r="G105" s="39">
        <v>120</v>
      </c>
      <c r="H105" s="38">
        <f t="shared" si="11"/>
        <v>6</v>
      </c>
      <c r="I105" s="38">
        <f t="shared" si="12"/>
        <v>0.1875</v>
      </c>
      <c r="J105" s="38"/>
      <c r="K105" s="40">
        <v>43646</v>
      </c>
      <c r="L105" s="41" t="s">
        <v>1083</v>
      </c>
      <c r="M105" s="42">
        <v>43634</v>
      </c>
      <c r="N105" s="43" t="s">
        <v>1084</v>
      </c>
      <c r="O105" s="42">
        <v>43639</v>
      </c>
      <c r="P105" s="45"/>
      <c r="Q105" s="66" t="s">
        <v>2544</v>
      </c>
      <c r="R105" s="66" t="s">
        <v>4548</v>
      </c>
      <c r="S105" s="38"/>
    </row>
    <row r="106" spans="2:19" s="34" customFormat="1" ht="33" customHeight="1">
      <c r="B106" s="47" t="s">
        <v>210</v>
      </c>
      <c r="C106" s="48" t="s">
        <v>431</v>
      </c>
      <c r="D106" s="49" t="s">
        <v>4571</v>
      </c>
      <c r="E106" s="50">
        <v>43523</v>
      </c>
      <c r="F106" s="52" t="s">
        <v>218</v>
      </c>
      <c r="G106" s="51">
        <v>3200</v>
      </c>
      <c r="H106" s="52">
        <f t="shared" si="11"/>
        <v>160</v>
      </c>
      <c r="I106" s="52">
        <f t="shared" si="12"/>
        <v>5</v>
      </c>
      <c r="J106" s="52"/>
      <c r="K106" s="53">
        <v>43597</v>
      </c>
      <c r="L106" s="54" t="s">
        <v>605</v>
      </c>
      <c r="M106" s="55">
        <v>43594</v>
      </c>
      <c r="N106" s="56" t="s">
        <v>4573</v>
      </c>
      <c r="O106" s="55">
        <v>43598</v>
      </c>
      <c r="P106" s="58"/>
      <c r="Q106" s="52" t="s">
        <v>641</v>
      </c>
      <c r="R106" s="63" t="s">
        <v>211</v>
      </c>
      <c r="S106" s="52"/>
    </row>
    <row r="107" spans="2:19" s="34" customFormat="1" ht="33" customHeight="1">
      <c r="B107" s="47" t="s">
        <v>210</v>
      </c>
      <c r="C107" s="48" t="s">
        <v>4572</v>
      </c>
      <c r="D107" s="49" t="s">
        <v>4571</v>
      </c>
      <c r="E107" s="50">
        <v>43523</v>
      </c>
      <c r="F107" s="52" t="s">
        <v>218</v>
      </c>
      <c r="G107" s="51">
        <v>640</v>
      </c>
      <c r="H107" s="52">
        <f t="shared" si="11"/>
        <v>32</v>
      </c>
      <c r="I107" s="52">
        <f t="shared" si="12"/>
        <v>1</v>
      </c>
      <c r="J107" s="52"/>
      <c r="K107" s="53">
        <v>43618</v>
      </c>
      <c r="L107" s="54" t="s">
        <v>4569</v>
      </c>
      <c r="M107" s="55">
        <v>43613</v>
      </c>
      <c r="N107" s="56" t="s">
        <v>4568</v>
      </c>
      <c r="O107" s="55">
        <v>43618</v>
      </c>
      <c r="P107" s="58"/>
      <c r="Q107" s="52" t="s">
        <v>641</v>
      </c>
      <c r="R107" s="63" t="s">
        <v>211</v>
      </c>
      <c r="S107" s="52"/>
    </row>
    <row r="108" spans="2:19" s="34" customFormat="1" ht="33" customHeight="1">
      <c r="B108" s="47" t="s">
        <v>210</v>
      </c>
      <c r="C108" s="48" t="s">
        <v>4570</v>
      </c>
      <c r="D108" s="49" t="s">
        <v>739</v>
      </c>
      <c r="E108" s="50">
        <v>43532</v>
      </c>
      <c r="F108" s="52" t="s">
        <v>218</v>
      </c>
      <c r="G108" s="51">
        <v>2560</v>
      </c>
      <c r="H108" s="52">
        <f t="shared" si="11"/>
        <v>128</v>
      </c>
      <c r="I108" s="52">
        <f t="shared" si="12"/>
        <v>4</v>
      </c>
      <c r="J108" s="52"/>
      <c r="K108" s="53">
        <v>43618</v>
      </c>
      <c r="L108" s="54" t="s">
        <v>4569</v>
      </c>
      <c r="M108" s="55">
        <v>43613</v>
      </c>
      <c r="N108" s="56" t="s">
        <v>4568</v>
      </c>
      <c r="O108" s="55">
        <v>43618</v>
      </c>
      <c r="P108" s="58"/>
      <c r="Q108" s="52" t="s">
        <v>970</v>
      </c>
      <c r="R108" s="63" t="s">
        <v>211</v>
      </c>
      <c r="S108" s="52"/>
    </row>
    <row r="109" spans="2:19" s="32" customFormat="1" ht="33" customHeight="1">
      <c r="B109" s="46" t="s">
        <v>210</v>
      </c>
      <c r="C109" s="35" t="s">
        <v>589</v>
      </c>
      <c r="D109" s="36" t="s">
        <v>1260</v>
      </c>
      <c r="E109" s="37">
        <v>43558</v>
      </c>
      <c r="F109" s="38" t="s">
        <v>218</v>
      </c>
      <c r="G109" s="39">
        <v>3200</v>
      </c>
      <c r="H109" s="38">
        <f t="shared" si="11"/>
        <v>160</v>
      </c>
      <c r="I109" s="38">
        <f t="shared" si="12"/>
        <v>5</v>
      </c>
      <c r="J109" s="38"/>
      <c r="K109" s="40">
        <v>43639</v>
      </c>
      <c r="L109" s="41" t="s">
        <v>4567</v>
      </c>
      <c r="M109" s="42">
        <v>43634</v>
      </c>
      <c r="N109" s="43" t="s">
        <v>4566</v>
      </c>
      <c r="O109" s="42">
        <v>43639</v>
      </c>
      <c r="P109" s="45"/>
      <c r="Q109" s="38" t="s">
        <v>973</v>
      </c>
      <c r="R109" s="66" t="s">
        <v>211</v>
      </c>
      <c r="S109" s="38"/>
    </row>
    <row r="110" spans="2:19" s="32" customFormat="1" ht="33" customHeight="1">
      <c r="B110" s="46" t="s">
        <v>210</v>
      </c>
      <c r="C110" s="35" t="s">
        <v>2078</v>
      </c>
      <c r="D110" s="36" t="s">
        <v>2426</v>
      </c>
      <c r="E110" s="37">
        <v>43602</v>
      </c>
      <c r="F110" s="38" t="s">
        <v>218</v>
      </c>
      <c r="G110" s="39">
        <v>3200</v>
      </c>
      <c r="H110" s="38">
        <f t="shared" si="11"/>
        <v>160</v>
      </c>
      <c r="I110" s="38">
        <f t="shared" si="12"/>
        <v>5</v>
      </c>
      <c r="J110" s="38"/>
      <c r="K110" s="40">
        <v>43653</v>
      </c>
      <c r="L110" s="41" t="s">
        <v>1326</v>
      </c>
      <c r="M110" s="42">
        <v>43648</v>
      </c>
      <c r="N110" s="43" t="s">
        <v>4545</v>
      </c>
      <c r="O110" s="42">
        <v>43653</v>
      </c>
      <c r="P110" s="45"/>
      <c r="Q110" s="38" t="s">
        <v>2148</v>
      </c>
      <c r="R110" s="66" t="s">
        <v>211</v>
      </c>
      <c r="S110" s="38"/>
    </row>
    <row r="111" spans="2:19" s="32" customFormat="1" ht="33" customHeight="1">
      <c r="B111" s="46" t="s">
        <v>210</v>
      </c>
      <c r="C111" s="35" t="s">
        <v>2079</v>
      </c>
      <c r="D111" s="36" t="s">
        <v>2428</v>
      </c>
      <c r="E111" s="37">
        <v>43602</v>
      </c>
      <c r="F111" s="38" t="s">
        <v>218</v>
      </c>
      <c r="G111" s="39">
        <v>3200</v>
      </c>
      <c r="H111" s="38">
        <f t="shared" si="11"/>
        <v>160</v>
      </c>
      <c r="I111" s="38">
        <f t="shared" si="12"/>
        <v>5</v>
      </c>
      <c r="J111" s="38"/>
      <c r="K111" s="40">
        <v>43667</v>
      </c>
      <c r="L111" s="41" t="s">
        <v>2146</v>
      </c>
      <c r="M111" s="42">
        <v>43669</v>
      </c>
      <c r="N111" s="43" t="s">
        <v>2551</v>
      </c>
      <c r="O111" s="42">
        <v>43674</v>
      </c>
      <c r="P111" s="45"/>
      <c r="Q111" s="38" t="s">
        <v>2150</v>
      </c>
      <c r="R111" s="66" t="s">
        <v>211</v>
      </c>
      <c r="S111" s="38"/>
    </row>
    <row r="112" spans="2:19" s="32" customFormat="1" ht="33" customHeight="1">
      <c r="B112" s="46" t="s">
        <v>210</v>
      </c>
      <c r="C112" s="35" t="s">
        <v>2378</v>
      </c>
      <c r="D112" s="36" t="s">
        <v>4565</v>
      </c>
      <c r="E112" s="37">
        <v>43602</v>
      </c>
      <c r="F112" s="38" t="s">
        <v>218</v>
      </c>
      <c r="G112" s="39">
        <v>3200</v>
      </c>
      <c r="H112" s="38">
        <f t="shared" si="11"/>
        <v>160</v>
      </c>
      <c r="I112" s="38">
        <f t="shared" si="12"/>
        <v>5</v>
      </c>
      <c r="J112" s="38"/>
      <c r="K112" s="40">
        <v>43688</v>
      </c>
      <c r="L112" s="41" t="s">
        <v>2505</v>
      </c>
      <c r="M112" s="42">
        <v>43683</v>
      </c>
      <c r="N112" s="43" t="s">
        <v>4564</v>
      </c>
      <c r="O112" s="42">
        <v>43688</v>
      </c>
      <c r="P112" s="45"/>
      <c r="Q112" s="38" t="s">
        <v>2762</v>
      </c>
      <c r="R112" s="66" t="s">
        <v>211</v>
      </c>
      <c r="S112" s="46" t="s">
        <v>2764</v>
      </c>
    </row>
    <row r="113" spans="2:19" s="32" customFormat="1" ht="33" customHeight="1">
      <c r="B113" s="46" t="s">
        <v>210</v>
      </c>
      <c r="C113" s="35" t="s">
        <v>2430</v>
      </c>
      <c r="D113" s="190" t="s">
        <v>4563</v>
      </c>
      <c r="E113" s="37">
        <v>43602</v>
      </c>
      <c r="F113" s="38" t="s">
        <v>218</v>
      </c>
      <c r="G113" s="39">
        <v>3200</v>
      </c>
      <c r="H113" s="38">
        <f t="shared" si="11"/>
        <v>160</v>
      </c>
      <c r="I113" s="38">
        <f t="shared" si="12"/>
        <v>5</v>
      </c>
      <c r="J113" s="38"/>
      <c r="K113" s="40">
        <v>43702</v>
      </c>
      <c r="L113" s="41" t="s">
        <v>2509</v>
      </c>
      <c r="M113" s="42">
        <v>43697</v>
      </c>
      <c r="N113" s="43" t="s">
        <v>4526</v>
      </c>
      <c r="O113" s="42">
        <v>43702</v>
      </c>
      <c r="P113" s="45"/>
      <c r="Q113" s="38" t="s">
        <v>2517</v>
      </c>
      <c r="R113" s="66" t="s">
        <v>211</v>
      </c>
      <c r="S113" s="38"/>
    </row>
    <row r="114" spans="2:19" s="32" customFormat="1" ht="33" customHeight="1">
      <c r="B114" s="46" t="s">
        <v>210</v>
      </c>
      <c r="C114" s="35" t="s">
        <v>2528</v>
      </c>
      <c r="D114" s="190" t="s">
        <v>2704</v>
      </c>
      <c r="E114" s="37">
        <v>43609</v>
      </c>
      <c r="F114" s="38" t="s">
        <v>218</v>
      </c>
      <c r="G114" s="39">
        <v>3200</v>
      </c>
      <c r="H114" s="38">
        <f t="shared" si="11"/>
        <v>160</v>
      </c>
      <c r="I114" s="38">
        <f t="shared" si="12"/>
        <v>5</v>
      </c>
      <c r="J114" s="38"/>
      <c r="K114" s="40">
        <v>43660</v>
      </c>
      <c r="L114" s="41" t="s">
        <v>1326</v>
      </c>
      <c r="M114" s="42">
        <v>43648</v>
      </c>
      <c r="N114" s="43" t="s">
        <v>2540</v>
      </c>
      <c r="O114" s="42">
        <v>43653</v>
      </c>
      <c r="P114" s="45"/>
      <c r="Q114" s="38" t="s">
        <v>2148</v>
      </c>
      <c r="R114" s="66" t="s">
        <v>211</v>
      </c>
      <c r="S114" s="38"/>
    </row>
    <row r="115" spans="2:19" s="32" customFormat="1" ht="33" customHeight="1">
      <c r="B115" s="46" t="s">
        <v>210</v>
      </c>
      <c r="C115" s="35" t="s">
        <v>2529</v>
      </c>
      <c r="D115" s="190" t="s">
        <v>2705</v>
      </c>
      <c r="E115" s="37">
        <v>43609</v>
      </c>
      <c r="F115" s="38" t="s">
        <v>218</v>
      </c>
      <c r="G115" s="39">
        <v>3200</v>
      </c>
      <c r="H115" s="38">
        <f t="shared" si="11"/>
        <v>160</v>
      </c>
      <c r="I115" s="38">
        <f t="shared" si="12"/>
        <v>5</v>
      </c>
      <c r="J115" s="38"/>
      <c r="K115" s="40">
        <v>43675</v>
      </c>
      <c r="L115" s="41" t="s">
        <v>2146</v>
      </c>
      <c r="M115" s="42">
        <v>43669</v>
      </c>
      <c r="N115" s="43" t="s">
        <v>2551</v>
      </c>
      <c r="O115" s="42">
        <v>43674</v>
      </c>
      <c r="P115" s="45"/>
      <c r="Q115" s="38" t="s">
        <v>2150</v>
      </c>
      <c r="R115" s="66" t="s">
        <v>211</v>
      </c>
      <c r="S115" s="38"/>
    </row>
    <row r="116" spans="2:19" s="32" customFormat="1" ht="33" customHeight="1">
      <c r="B116" s="46" t="s">
        <v>4556</v>
      </c>
      <c r="C116" s="35" t="s">
        <v>3497</v>
      </c>
      <c r="D116" s="190" t="s">
        <v>3498</v>
      </c>
      <c r="E116" s="37">
        <v>43637</v>
      </c>
      <c r="F116" s="38" t="s">
        <v>218</v>
      </c>
      <c r="G116" s="39">
        <v>3200</v>
      </c>
      <c r="H116" s="38">
        <f t="shared" si="11"/>
        <v>160</v>
      </c>
      <c r="I116" s="38">
        <f t="shared" si="12"/>
        <v>5</v>
      </c>
      <c r="J116" s="38"/>
      <c r="K116" s="40">
        <v>43716</v>
      </c>
      <c r="L116" s="41" t="s">
        <v>4562</v>
      </c>
      <c r="M116" s="42">
        <v>43711</v>
      </c>
      <c r="N116" s="43" t="s">
        <v>4561</v>
      </c>
      <c r="O116" s="42">
        <v>43716</v>
      </c>
      <c r="P116" s="45"/>
      <c r="Q116" s="38" t="s">
        <v>4820</v>
      </c>
      <c r="R116" s="66" t="s">
        <v>211</v>
      </c>
      <c r="S116" s="38"/>
    </row>
    <row r="117" spans="2:19" s="32" customFormat="1" ht="33" customHeight="1">
      <c r="B117" s="46" t="s">
        <v>4556</v>
      </c>
      <c r="C117" s="35" t="s">
        <v>3499</v>
      </c>
      <c r="D117" s="190" t="s">
        <v>3500</v>
      </c>
      <c r="E117" s="37">
        <v>43637</v>
      </c>
      <c r="F117" s="38" t="s">
        <v>218</v>
      </c>
      <c r="G117" s="39">
        <v>3200</v>
      </c>
      <c r="H117" s="38">
        <f t="shared" si="11"/>
        <v>160</v>
      </c>
      <c r="I117" s="38">
        <f t="shared" si="12"/>
        <v>5</v>
      </c>
      <c r="J117" s="38"/>
      <c r="K117" s="40">
        <v>43730</v>
      </c>
      <c r="L117" s="41" t="s">
        <v>4560</v>
      </c>
      <c r="M117" s="42">
        <v>43725</v>
      </c>
      <c r="N117" s="43" t="s">
        <v>4559</v>
      </c>
      <c r="O117" s="42">
        <v>43730</v>
      </c>
      <c r="P117" s="45"/>
      <c r="Q117" s="38"/>
      <c r="R117" s="66" t="s">
        <v>211</v>
      </c>
      <c r="S117" s="38"/>
    </row>
    <row r="118" spans="2:19" s="32" customFormat="1" ht="33" customHeight="1">
      <c r="B118" s="46" t="s">
        <v>4556</v>
      </c>
      <c r="C118" s="35" t="s">
        <v>3501</v>
      </c>
      <c r="D118" s="190" t="s">
        <v>3502</v>
      </c>
      <c r="E118" s="37">
        <v>43637</v>
      </c>
      <c r="F118" s="38" t="s">
        <v>218</v>
      </c>
      <c r="G118" s="39">
        <v>3200</v>
      </c>
      <c r="H118" s="38">
        <f t="shared" si="11"/>
        <v>160</v>
      </c>
      <c r="I118" s="38">
        <f t="shared" si="12"/>
        <v>5</v>
      </c>
      <c r="J118" s="38"/>
      <c r="K118" s="40">
        <v>43737</v>
      </c>
      <c r="L118" s="41" t="s">
        <v>4558</v>
      </c>
      <c r="M118" s="42">
        <v>43732</v>
      </c>
      <c r="N118" s="43" t="s">
        <v>4557</v>
      </c>
      <c r="O118" s="42">
        <v>43737</v>
      </c>
      <c r="P118" s="45"/>
      <c r="Q118" s="38"/>
      <c r="R118" s="66" t="s">
        <v>211</v>
      </c>
      <c r="S118" s="38"/>
    </row>
    <row r="119" spans="2:19" s="32" customFormat="1" ht="33" customHeight="1">
      <c r="B119" s="46" t="s">
        <v>4556</v>
      </c>
      <c r="C119" s="35" t="s">
        <v>4103</v>
      </c>
      <c r="D119" s="190" t="s">
        <v>4408</v>
      </c>
      <c r="E119" s="37">
        <v>43657</v>
      </c>
      <c r="F119" s="38" t="s">
        <v>218</v>
      </c>
      <c r="G119" s="39">
        <v>3200</v>
      </c>
      <c r="H119" s="38">
        <f t="shared" si="11"/>
        <v>160</v>
      </c>
      <c r="I119" s="38">
        <f t="shared" si="12"/>
        <v>5</v>
      </c>
      <c r="J119" s="38"/>
      <c r="K119" s="40">
        <v>43723</v>
      </c>
      <c r="L119" s="41" t="s">
        <v>4555</v>
      </c>
      <c r="M119" s="42">
        <v>43718</v>
      </c>
      <c r="N119" s="43" t="s">
        <v>4554</v>
      </c>
      <c r="O119" s="42">
        <v>43723</v>
      </c>
      <c r="P119" s="45"/>
      <c r="Q119" s="38" t="s">
        <v>4553</v>
      </c>
      <c r="R119" s="66" t="s">
        <v>211</v>
      </c>
      <c r="S119" s="38"/>
    </row>
    <row r="120" spans="2:19" s="32" customFormat="1" ht="33" customHeight="1">
      <c r="B120" s="46" t="s">
        <v>210</v>
      </c>
      <c r="C120" s="35" t="s">
        <v>4410</v>
      </c>
      <c r="D120" s="190" t="s">
        <v>4411</v>
      </c>
      <c r="E120" s="37">
        <v>43665</v>
      </c>
      <c r="F120" s="38" t="s">
        <v>218</v>
      </c>
      <c r="G120" s="39">
        <v>3200</v>
      </c>
      <c r="H120" s="38">
        <f t="shared" si="11"/>
        <v>160</v>
      </c>
      <c r="I120" s="38">
        <f t="shared" si="12"/>
        <v>5</v>
      </c>
      <c r="J120" s="38"/>
      <c r="K120" s="40">
        <v>43751</v>
      </c>
      <c r="L120" s="41" t="s">
        <v>4475</v>
      </c>
      <c r="M120" s="42">
        <v>43746</v>
      </c>
      <c r="N120" s="43" t="s">
        <v>4552</v>
      </c>
      <c r="O120" s="42">
        <v>43751</v>
      </c>
      <c r="P120" s="45"/>
      <c r="Q120" s="66"/>
      <c r="R120" s="66" t="s">
        <v>4548</v>
      </c>
      <c r="S120" s="38"/>
    </row>
    <row r="121" spans="2:19" s="32" customFormat="1" ht="33" customHeight="1">
      <c r="B121" s="46" t="s">
        <v>210</v>
      </c>
      <c r="C121" s="35" t="s">
        <v>4412</v>
      </c>
      <c r="D121" s="190" t="s">
        <v>4413</v>
      </c>
      <c r="E121" s="37">
        <v>43665</v>
      </c>
      <c r="F121" s="38" t="s">
        <v>218</v>
      </c>
      <c r="G121" s="39">
        <v>3200</v>
      </c>
      <c r="H121" s="38">
        <f t="shared" si="11"/>
        <v>160</v>
      </c>
      <c r="I121" s="38">
        <f t="shared" si="12"/>
        <v>5</v>
      </c>
      <c r="J121" s="38"/>
      <c r="K121" s="40">
        <v>43758</v>
      </c>
      <c r="L121" s="41" t="s">
        <v>4479</v>
      </c>
      <c r="M121" s="42">
        <v>43753</v>
      </c>
      <c r="N121" s="43" t="s">
        <v>4523</v>
      </c>
      <c r="O121" s="42">
        <v>43758</v>
      </c>
      <c r="P121" s="45"/>
      <c r="Q121" s="66" t="s">
        <v>4818</v>
      </c>
      <c r="R121" s="66" t="s">
        <v>4548</v>
      </c>
      <c r="S121" s="38"/>
    </row>
    <row r="122" spans="2:19" s="32" customFormat="1" ht="33" customHeight="1">
      <c r="B122" s="46" t="s">
        <v>210</v>
      </c>
      <c r="C122" s="35" t="s">
        <v>4414</v>
      </c>
      <c r="D122" s="190" t="s">
        <v>4415</v>
      </c>
      <c r="E122" s="37">
        <v>43665</v>
      </c>
      <c r="F122" s="38" t="s">
        <v>218</v>
      </c>
      <c r="G122" s="39">
        <v>3200</v>
      </c>
      <c r="H122" s="38">
        <f t="shared" si="11"/>
        <v>160</v>
      </c>
      <c r="I122" s="38">
        <f t="shared" si="12"/>
        <v>5</v>
      </c>
      <c r="J122" s="38"/>
      <c r="K122" s="40">
        <v>43765</v>
      </c>
      <c r="L122" s="41" t="s">
        <v>4477</v>
      </c>
      <c r="M122" s="42">
        <v>43760</v>
      </c>
      <c r="N122" s="43" t="s">
        <v>4551</v>
      </c>
      <c r="O122" s="42">
        <v>43765</v>
      </c>
      <c r="P122" s="45"/>
      <c r="Q122" s="66" t="s">
        <v>4817</v>
      </c>
      <c r="R122" s="66" t="s">
        <v>4548</v>
      </c>
      <c r="S122" s="38"/>
    </row>
    <row r="123" spans="2:19" s="32" customFormat="1" ht="33" customHeight="1">
      <c r="B123" s="122" t="s">
        <v>210</v>
      </c>
      <c r="C123" s="126" t="s">
        <v>4550</v>
      </c>
      <c r="D123" s="187"/>
      <c r="E123" s="128">
        <v>43679</v>
      </c>
      <c r="F123" s="124" t="s">
        <v>218</v>
      </c>
      <c r="G123" s="129">
        <v>3200</v>
      </c>
      <c r="H123" s="124">
        <f t="shared" si="11"/>
        <v>160</v>
      </c>
      <c r="I123" s="124">
        <f t="shared" si="12"/>
        <v>5</v>
      </c>
      <c r="J123" s="124"/>
      <c r="K123" s="130">
        <v>43765</v>
      </c>
      <c r="L123" s="119" t="s">
        <v>4477</v>
      </c>
      <c r="M123" s="120">
        <v>43760</v>
      </c>
      <c r="N123" s="121" t="s">
        <v>4549</v>
      </c>
      <c r="O123" s="120">
        <v>43765</v>
      </c>
      <c r="P123" s="123"/>
      <c r="Q123" s="134" t="s">
        <v>4817</v>
      </c>
      <c r="R123" s="134" t="s">
        <v>4548</v>
      </c>
      <c r="S123" s="124"/>
    </row>
    <row r="124" spans="2:19" s="34" customFormat="1" ht="33" customHeight="1">
      <c r="B124" s="47" t="s">
        <v>4538</v>
      </c>
      <c r="C124" s="48" t="s">
        <v>235</v>
      </c>
      <c r="D124" s="49" t="s">
        <v>744</v>
      </c>
      <c r="E124" s="50">
        <v>43532</v>
      </c>
      <c r="F124" s="52" t="s">
        <v>4537</v>
      </c>
      <c r="G124" s="51">
        <v>1280</v>
      </c>
      <c r="H124" s="52">
        <f t="shared" si="11"/>
        <v>64</v>
      </c>
      <c r="I124" s="52">
        <f t="shared" si="12"/>
        <v>2</v>
      </c>
      <c r="J124" s="52"/>
      <c r="K124" s="53">
        <v>43597</v>
      </c>
      <c r="L124" s="54" t="s">
        <v>605</v>
      </c>
      <c r="M124" s="55">
        <v>43594</v>
      </c>
      <c r="N124" s="56" t="s">
        <v>772</v>
      </c>
      <c r="O124" s="55">
        <v>43598</v>
      </c>
      <c r="P124" s="58"/>
      <c r="Q124" s="52" t="s">
        <v>641</v>
      </c>
      <c r="R124" s="63" t="s">
        <v>211</v>
      </c>
      <c r="S124" s="52"/>
    </row>
    <row r="125" spans="2:19" s="32" customFormat="1" ht="33" customHeight="1">
      <c r="B125" s="46" t="s">
        <v>4538</v>
      </c>
      <c r="C125" s="35" t="s">
        <v>1569</v>
      </c>
      <c r="D125" s="36" t="s">
        <v>4547</v>
      </c>
      <c r="E125" s="37">
        <v>43581</v>
      </c>
      <c r="F125" s="38" t="s">
        <v>4537</v>
      </c>
      <c r="G125" s="39">
        <v>1280</v>
      </c>
      <c r="H125" s="38">
        <f t="shared" si="11"/>
        <v>64</v>
      </c>
      <c r="I125" s="38">
        <f t="shared" si="12"/>
        <v>2</v>
      </c>
      <c r="J125" s="38"/>
      <c r="K125" s="40">
        <v>43632</v>
      </c>
      <c r="L125" s="41" t="s">
        <v>807</v>
      </c>
      <c r="M125" s="42">
        <v>43627</v>
      </c>
      <c r="N125" s="43" t="s">
        <v>4531</v>
      </c>
      <c r="O125" s="42">
        <v>43632</v>
      </c>
      <c r="P125" s="45"/>
      <c r="Q125" s="38" t="s">
        <v>1810</v>
      </c>
      <c r="R125" s="66" t="s">
        <v>211</v>
      </c>
      <c r="S125" s="38"/>
    </row>
    <row r="126" spans="2:19" s="32" customFormat="1" ht="33" customHeight="1">
      <c r="B126" s="46" t="s">
        <v>4538</v>
      </c>
      <c r="C126" s="35" t="s">
        <v>90</v>
      </c>
      <c r="D126" s="36" t="s">
        <v>4546</v>
      </c>
      <c r="E126" s="37">
        <v>43595</v>
      </c>
      <c r="F126" s="38" t="s">
        <v>4537</v>
      </c>
      <c r="G126" s="39">
        <v>1280</v>
      </c>
      <c r="H126" s="38">
        <f t="shared" si="11"/>
        <v>64</v>
      </c>
      <c r="I126" s="38">
        <f t="shared" si="12"/>
        <v>2</v>
      </c>
      <c r="J126" s="38"/>
      <c r="K126" s="40">
        <v>43646</v>
      </c>
      <c r="L126" s="41" t="s">
        <v>1326</v>
      </c>
      <c r="M126" s="42">
        <v>43648</v>
      </c>
      <c r="N126" s="43" t="s">
        <v>4545</v>
      </c>
      <c r="O126" s="42">
        <v>43653</v>
      </c>
      <c r="P126" s="45"/>
      <c r="Q126" s="38" t="s">
        <v>2148</v>
      </c>
      <c r="R126" s="66" t="s">
        <v>211</v>
      </c>
      <c r="S126" s="38"/>
    </row>
    <row r="127" spans="2:19" s="32" customFormat="1" ht="33" customHeight="1">
      <c r="B127" s="46" t="s">
        <v>4538</v>
      </c>
      <c r="C127" s="35" t="s">
        <v>2088</v>
      </c>
      <c r="D127" s="36" t="s">
        <v>4544</v>
      </c>
      <c r="E127" s="37">
        <v>43595</v>
      </c>
      <c r="F127" s="38" t="s">
        <v>4537</v>
      </c>
      <c r="G127" s="39">
        <v>640</v>
      </c>
      <c r="H127" s="38">
        <f t="shared" si="11"/>
        <v>32</v>
      </c>
      <c r="I127" s="38">
        <f t="shared" si="12"/>
        <v>1</v>
      </c>
      <c r="J127" s="38"/>
      <c r="K127" s="40">
        <v>43709</v>
      </c>
      <c r="L127" s="110" t="s">
        <v>3705</v>
      </c>
      <c r="M127" s="111">
        <v>43711</v>
      </c>
      <c r="N127" s="112" t="s">
        <v>4561</v>
      </c>
      <c r="O127" s="111">
        <v>43716</v>
      </c>
      <c r="P127" s="45"/>
      <c r="Q127" s="66" t="s">
        <v>2548</v>
      </c>
      <c r="R127" s="66" t="s">
        <v>211</v>
      </c>
      <c r="S127" s="46" t="s">
        <v>4822</v>
      </c>
    </row>
    <row r="128" spans="2:19" s="32" customFormat="1" ht="33" customHeight="1">
      <c r="B128" s="46" t="s">
        <v>4543</v>
      </c>
      <c r="C128" s="35" t="s">
        <v>208</v>
      </c>
      <c r="D128" s="190" t="s">
        <v>4542</v>
      </c>
      <c r="E128" s="37">
        <v>43602</v>
      </c>
      <c r="F128" s="38" t="s">
        <v>4537</v>
      </c>
      <c r="G128" s="39">
        <v>640</v>
      </c>
      <c r="H128" s="38">
        <f t="shared" si="11"/>
        <v>32</v>
      </c>
      <c r="I128" s="38">
        <f t="shared" si="12"/>
        <v>1</v>
      </c>
      <c r="J128" s="38"/>
      <c r="K128" s="196">
        <v>43744</v>
      </c>
      <c r="L128" s="41" t="s">
        <v>4541</v>
      </c>
      <c r="M128" s="42">
        <v>43739</v>
      </c>
      <c r="N128" s="43" t="s">
        <v>4539</v>
      </c>
      <c r="O128" s="42">
        <v>43744</v>
      </c>
      <c r="P128" s="45"/>
      <c r="Q128" s="66" t="s">
        <v>4540</v>
      </c>
      <c r="R128" s="66" t="s">
        <v>211</v>
      </c>
      <c r="S128" s="38"/>
    </row>
    <row r="129" spans="1:19" s="32" customFormat="1" ht="33" customHeight="1">
      <c r="B129" s="122" t="s">
        <v>4538</v>
      </c>
      <c r="C129" s="126" t="s">
        <v>212</v>
      </c>
      <c r="D129" s="187" t="s">
        <v>4819</v>
      </c>
      <c r="E129" s="128">
        <v>43602</v>
      </c>
      <c r="F129" s="124" t="s">
        <v>4537</v>
      </c>
      <c r="G129" s="129">
        <v>640</v>
      </c>
      <c r="H129" s="124">
        <f t="shared" si="11"/>
        <v>32</v>
      </c>
      <c r="I129" s="124">
        <f t="shared" si="12"/>
        <v>1</v>
      </c>
      <c r="J129" s="124"/>
      <c r="K129" s="130">
        <v>43779</v>
      </c>
      <c r="L129" s="119" t="s">
        <v>4816</v>
      </c>
      <c r="M129" s="120">
        <v>43774</v>
      </c>
      <c r="N129" s="121" t="s">
        <v>4815</v>
      </c>
      <c r="O129" s="120">
        <v>43779</v>
      </c>
      <c r="P129" s="123"/>
      <c r="Q129" s="124" t="s">
        <v>4823</v>
      </c>
      <c r="R129" s="134" t="s">
        <v>211</v>
      </c>
      <c r="S129" s="124"/>
    </row>
    <row r="130" spans="1:19" s="32" customFormat="1" ht="33" customHeight="1">
      <c r="B130" s="46" t="s">
        <v>4538</v>
      </c>
      <c r="C130" s="35" t="s">
        <v>2531</v>
      </c>
      <c r="D130" s="190" t="s">
        <v>4426</v>
      </c>
      <c r="E130" s="37">
        <v>43665</v>
      </c>
      <c r="F130" s="38" t="s">
        <v>4537</v>
      </c>
      <c r="G130" s="39">
        <v>1920</v>
      </c>
      <c r="H130" s="38">
        <f t="shared" si="11"/>
        <v>96</v>
      </c>
      <c r="I130" s="38">
        <f t="shared" si="12"/>
        <v>3</v>
      </c>
      <c r="J130" s="38"/>
      <c r="K130" s="40">
        <v>43758</v>
      </c>
      <c r="L130" s="41" t="s">
        <v>4479</v>
      </c>
      <c r="M130" s="42">
        <v>43753</v>
      </c>
      <c r="N130" s="43" t="s">
        <v>4523</v>
      </c>
      <c r="O130" s="42">
        <v>43758</v>
      </c>
      <c r="P130" s="45"/>
      <c r="Q130" s="38" t="s">
        <v>4818</v>
      </c>
      <c r="R130" s="66" t="s">
        <v>211</v>
      </c>
      <c r="S130" s="38"/>
    </row>
    <row r="131" spans="1:19" s="33" customFormat="1" ht="33" customHeight="1">
      <c r="A131" s="33" t="s">
        <v>4536</v>
      </c>
      <c r="B131" s="47" t="s">
        <v>4534</v>
      </c>
      <c r="C131" s="48" t="s">
        <v>225</v>
      </c>
      <c r="D131" s="49" t="s">
        <v>487</v>
      </c>
      <c r="E131" s="50">
        <v>43490</v>
      </c>
      <c r="F131" s="52" t="s">
        <v>4533</v>
      </c>
      <c r="G131" s="51">
        <v>1520</v>
      </c>
      <c r="H131" s="52">
        <f>SUM(G131/190)</f>
        <v>8</v>
      </c>
      <c r="I131" s="52">
        <f>SUM(H131/4)</f>
        <v>2</v>
      </c>
      <c r="J131" s="52"/>
      <c r="K131" s="53">
        <v>43569</v>
      </c>
      <c r="L131" s="54" t="s">
        <v>417</v>
      </c>
      <c r="M131" s="55">
        <v>43564</v>
      </c>
      <c r="N131" s="56" t="s">
        <v>4517</v>
      </c>
      <c r="O131" s="55">
        <v>43569</v>
      </c>
      <c r="P131" s="58"/>
      <c r="Q131" s="52"/>
      <c r="R131" s="63" t="s">
        <v>4535</v>
      </c>
      <c r="S131" s="47"/>
    </row>
    <row r="132" spans="1:19" s="30" customFormat="1" ht="33" customHeight="1">
      <c r="B132" s="46" t="s">
        <v>4534</v>
      </c>
      <c r="C132" s="35" t="s">
        <v>226</v>
      </c>
      <c r="D132" s="36" t="s">
        <v>833</v>
      </c>
      <c r="E132" s="37">
        <v>43546</v>
      </c>
      <c r="F132" s="38" t="s">
        <v>4533</v>
      </c>
      <c r="G132" s="39">
        <v>1520</v>
      </c>
      <c r="H132" s="38">
        <f>SUM(G132/190)</f>
        <v>8</v>
      </c>
      <c r="I132" s="38">
        <f>SUM(H132/4)</f>
        <v>2</v>
      </c>
      <c r="J132" s="38"/>
      <c r="K132" s="40">
        <v>43632</v>
      </c>
      <c r="L132" s="41" t="s">
        <v>4532</v>
      </c>
      <c r="M132" s="42">
        <v>43627</v>
      </c>
      <c r="N132" s="43" t="s">
        <v>4531</v>
      </c>
      <c r="O132" s="42">
        <v>43632</v>
      </c>
      <c r="P132" s="45"/>
      <c r="Q132" s="38"/>
      <c r="R132" s="66" t="s">
        <v>4530</v>
      </c>
      <c r="S132" s="46"/>
    </row>
    <row r="133" spans="1:19" s="30" customFormat="1" ht="33" customHeight="1">
      <c r="B133" s="46" t="s">
        <v>2514</v>
      </c>
      <c r="C133" s="35" t="s">
        <v>4529</v>
      </c>
      <c r="D133" s="36" t="s">
        <v>4528</v>
      </c>
      <c r="E133" s="37">
        <v>43602</v>
      </c>
      <c r="F133" s="38" t="s">
        <v>2516</v>
      </c>
      <c r="G133" s="39">
        <v>1520</v>
      </c>
      <c r="H133" s="38">
        <v>8</v>
      </c>
      <c r="I133" s="38">
        <v>2</v>
      </c>
      <c r="J133" s="38"/>
      <c r="K133" s="40">
        <v>43702</v>
      </c>
      <c r="L133" s="41" t="s">
        <v>4527</v>
      </c>
      <c r="M133" s="42">
        <v>43697</v>
      </c>
      <c r="N133" s="43" t="s">
        <v>4526</v>
      </c>
      <c r="O133" s="42">
        <v>43702</v>
      </c>
      <c r="P133" s="45"/>
      <c r="Q133" s="38"/>
      <c r="R133" s="66" t="s">
        <v>4525</v>
      </c>
      <c r="S133" s="46"/>
    </row>
    <row r="134" spans="1:19" s="30" customFormat="1" ht="33" customHeight="1">
      <c r="B134" s="122" t="s">
        <v>2514</v>
      </c>
      <c r="C134" s="126" t="s">
        <v>285</v>
      </c>
      <c r="D134" s="127" t="s">
        <v>4436</v>
      </c>
      <c r="E134" s="128">
        <v>43665</v>
      </c>
      <c r="F134" s="124" t="s">
        <v>2516</v>
      </c>
      <c r="G134" s="129">
        <v>1520</v>
      </c>
      <c r="H134" s="124">
        <v>8</v>
      </c>
      <c r="I134" s="124">
        <v>2</v>
      </c>
      <c r="J134" s="124"/>
      <c r="K134" s="130">
        <v>43758</v>
      </c>
      <c r="L134" s="119" t="s">
        <v>4524</v>
      </c>
      <c r="M134" s="120">
        <v>43753</v>
      </c>
      <c r="N134" s="121" t="s">
        <v>4523</v>
      </c>
      <c r="O134" s="120">
        <v>43758</v>
      </c>
      <c r="P134" s="123"/>
      <c r="Q134" s="124"/>
      <c r="R134" s="134" t="s">
        <v>4522</v>
      </c>
      <c r="S134" s="122"/>
    </row>
    <row r="135" spans="1:19" s="33" customFormat="1" ht="33" customHeight="1">
      <c r="B135" s="47" t="s">
        <v>238</v>
      </c>
      <c r="C135" s="48" t="s">
        <v>4521</v>
      </c>
      <c r="D135" s="49" t="s">
        <v>474</v>
      </c>
      <c r="E135" s="50"/>
      <c r="F135" s="52" t="s">
        <v>236</v>
      </c>
      <c r="G135" s="51">
        <v>3200</v>
      </c>
      <c r="H135" s="52">
        <f t="shared" ref="H135:H144" si="13">SUM(G135/200)</f>
        <v>16</v>
      </c>
      <c r="I135" s="52">
        <f t="shared" ref="I135:I144" si="14">SUM(H135/4)</f>
        <v>4</v>
      </c>
      <c r="J135" s="52"/>
      <c r="K135" s="53">
        <v>43562</v>
      </c>
      <c r="L135" s="54" t="s">
        <v>4520</v>
      </c>
      <c r="M135" s="55">
        <v>43557</v>
      </c>
      <c r="N135" s="56" t="s">
        <v>4034</v>
      </c>
      <c r="O135" s="55">
        <v>43562</v>
      </c>
      <c r="P135" s="58"/>
      <c r="Q135" s="52"/>
      <c r="R135" s="63"/>
      <c r="S135" s="47"/>
    </row>
    <row r="136" spans="1:19" s="33" customFormat="1" ht="33" customHeight="1">
      <c r="B136" s="47" t="s">
        <v>238</v>
      </c>
      <c r="C136" s="48" t="s">
        <v>4519</v>
      </c>
      <c r="D136" s="49" t="s">
        <v>475</v>
      </c>
      <c r="E136" s="50"/>
      <c r="F136" s="52" t="s">
        <v>236</v>
      </c>
      <c r="G136" s="51">
        <v>1600</v>
      </c>
      <c r="H136" s="52">
        <f t="shared" si="13"/>
        <v>8</v>
      </c>
      <c r="I136" s="52">
        <f t="shared" si="14"/>
        <v>2</v>
      </c>
      <c r="J136" s="52"/>
      <c r="K136" s="53">
        <v>43562</v>
      </c>
      <c r="L136" s="54" t="s">
        <v>4518</v>
      </c>
      <c r="M136" s="55">
        <v>43564</v>
      </c>
      <c r="N136" s="56" t="s">
        <v>4517</v>
      </c>
      <c r="O136" s="55">
        <v>43569</v>
      </c>
      <c r="P136" s="58"/>
      <c r="Q136" s="52"/>
      <c r="R136" s="63"/>
      <c r="S136" s="47"/>
    </row>
    <row r="137" spans="1:19" s="33" customFormat="1" ht="33" customHeight="1">
      <c r="B137" s="47" t="s">
        <v>238</v>
      </c>
      <c r="C137" s="48" t="s">
        <v>4516</v>
      </c>
      <c r="D137" s="49" t="s">
        <v>488</v>
      </c>
      <c r="E137" s="50">
        <v>43495</v>
      </c>
      <c r="F137" s="52" t="s">
        <v>236</v>
      </c>
      <c r="G137" s="51">
        <v>1600</v>
      </c>
      <c r="H137" s="52">
        <f t="shared" si="13"/>
        <v>8</v>
      </c>
      <c r="I137" s="52">
        <f t="shared" si="14"/>
        <v>2</v>
      </c>
      <c r="J137" s="52"/>
      <c r="K137" s="53">
        <v>43583</v>
      </c>
      <c r="L137" s="54" t="s">
        <v>4515</v>
      </c>
      <c r="M137" s="55">
        <v>43578</v>
      </c>
      <c r="N137" s="56" t="s">
        <v>4514</v>
      </c>
      <c r="O137" s="55">
        <v>43583</v>
      </c>
      <c r="P137" s="58"/>
      <c r="Q137" s="52"/>
      <c r="R137" s="63"/>
      <c r="S137" s="47"/>
    </row>
    <row r="138" spans="1:19" s="33" customFormat="1" ht="33" customHeight="1">
      <c r="B138" s="47" t="s">
        <v>238</v>
      </c>
      <c r="C138" s="48" t="s">
        <v>4513</v>
      </c>
      <c r="D138" s="49" t="s">
        <v>598</v>
      </c>
      <c r="E138" s="50">
        <v>43519</v>
      </c>
      <c r="F138" s="52" t="s">
        <v>236</v>
      </c>
      <c r="G138" s="51">
        <v>1600</v>
      </c>
      <c r="H138" s="52">
        <f t="shared" si="13"/>
        <v>8</v>
      </c>
      <c r="I138" s="52">
        <f t="shared" si="14"/>
        <v>2</v>
      </c>
      <c r="J138" s="52"/>
      <c r="K138" s="53">
        <v>43597</v>
      </c>
      <c r="L138" s="54" t="s">
        <v>4512</v>
      </c>
      <c r="M138" s="55">
        <v>43592</v>
      </c>
      <c r="N138" s="56" t="s">
        <v>4511</v>
      </c>
      <c r="O138" s="55">
        <v>43597</v>
      </c>
      <c r="P138" s="58"/>
      <c r="Q138" s="52"/>
      <c r="R138" s="63"/>
      <c r="S138" s="47"/>
    </row>
    <row r="139" spans="1:19" s="33" customFormat="1" ht="33" customHeight="1">
      <c r="B139" s="47" t="s">
        <v>238</v>
      </c>
      <c r="C139" s="48" t="s">
        <v>4510</v>
      </c>
      <c r="D139" s="49" t="s">
        <v>598</v>
      </c>
      <c r="E139" s="50">
        <v>43519</v>
      </c>
      <c r="F139" s="52" t="s">
        <v>236</v>
      </c>
      <c r="G139" s="51">
        <v>1600</v>
      </c>
      <c r="H139" s="52">
        <f t="shared" si="13"/>
        <v>8</v>
      </c>
      <c r="I139" s="52">
        <f t="shared" si="14"/>
        <v>2</v>
      </c>
      <c r="J139" s="52"/>
      <c r="K139" s="53">
        <v>43597</v>
      </c>
      <c r="L139" s="54" t="s">
        <v>4509</v>
      </c>
      <c r="M139" s="55">
        <v>43606</v>
      </c>
      <c r="N139" s="56" t="s">
        <v>4508</v>
      </c>
      <c r="O139" s="55">
        <v>43613</v>
      </c>
      <c r="P139" s="58"/>
      <c r="Q139" s="52"/>
      <c r="R139" s="63"/>
      <c r="S139" s="47"/>
    </row>
    <row r="140" spans="1:19" s="33" customFormat="1" ht="33" customHeight="1">
      <c r="B140" s="47" t="s">
        <v>238</v>
      </c>
      <c r="C140" s="48" t="s">
        <v>226</v>
      </c>
      <c r="D140" s="49" t="s">
        <v>749</v>
      </c>
      <c r="E140" s="50">
        <v>43532</v>
      </c>
      <c r="F140" s="52" t="s">
        <v>236</v>
      </c>
      <c r="G140" s="51">
        <v>3200</v>
      </c>
      <c r="H140" s="52">
        <f t="shared" si="13"/>
        <v>16</v>
      </c>
      <c r="I140" s="52">
        <f t="shared" si="14"/>
        <v>4</v>
      </c>
      <c r="J140" s="52"/>
      <c r="K140" s="53">
        <v>43625</v>
      </c>
      <c r="L140" s="54" t="s">
        <v>2538</v>
      </c>
      <c r="M140" s="55">
        <v>43627</v>
      </c>
      <c r="N140" s="56" t="s">
        <v>808</v>
      </c>
      <c r="O140" s="55">
        <v>43632</v>
      </c>
      <c r="P140" s="58"/>
      <c r="Q140" s="52"/>
      <c r="R140" s="63"/>
      <c r="S140" s="47" t="s">
        <v>2539</v>
      </c>
    </row>
    <row r="141" spans="1:19" s="33" customFormat="1" ht="33" customHeight="1">
      <c r="B141" s="47" t="s">
        <v>238</v>
      </c>
      <c r="C141" s="48" t="s">
        <v>233</v>
      </c>
      <c r="D141" s="49" t="s">
        <v>750</v>
      </c>
      <c r="E141" s="50">
        <v>43532</v>
      </c>
      <c r="F141" s="52" t="s">
        <v>236</v>
      </c>
      <c r="G141" s="51">
        <v>3200</v>
      </c>
      <c r="H141" s="52">
        <f t="shared" si="13"/>
        <v>16</v>
      </c>
      <c r="I141" s="52">
        <f t="shared" si="14"/>
        <v>4</v>
      </c>
      <c r="J141" s="52"/>
      <c r="K141" s="53">
        <v>43646</v>
      </c>
      <c r="L141" s="54" t="s">
        <v>4507</v>
      </c>
      <c r="M141" s="55">
        <v>43641</v>
      </c>
      <c r="N141" s="56" t="s">
        <v>4506</v>
      </c>
      <c r="O141" s="55">
        <v>43646</v>
      </c>
      <c r="P141" s="58"/>
      <c r="Q141" s="52"/>
      <c r="R141" s="63"/>
      <c r="S141" s="47"/>
    </row>
    <row r="142" spans="1:19" s="33" customFormat="1" ht="33" customHeight="1">
      <c r="B142" s="47" t="s">
        <v>238</v>
      </c>
      <c r="C142" s="48" t="s">
        <v>285</v>
      </c>
      <c r="D142" s="49" t="s">
        <v>1305</v>
      </c>
      <c r="E142" s="50">
        <v>43567</v>
      </c>
      <c r="F142" s="52" t="s">
        <v>236</v>
      </c>
      <c r="G142" s="51">
        <v>3200</v>
      </c>
      <c r="H142" s="52">
        <f t="shared" si="13"/>
        <v>16</v>
      </c>
      <c r="I142" s="52">
        <f t="shared" si="14"/>
        <v>4</v>
      </c>
      <c r="J142" s="52"/>
      <c r="K142" s="53">
        <v>43660</v>
      </c>
      <c r="L142" s="54" t="s">
        <v>4505</v>
      </c>
      <c r="M142" s="55">
        <v>43655</v>
      </c>
      <c r="N142" s="56" t="s">
        <v>4504</v>
      </c>
      <c r="O142" s="55">
        <v>43660</v>
      </c>
      <c r="P142" s="58"/>
      <c r="Q142" s="52"/>
      <c r="R142" s="63"/>
      <c r="S142" s="47"/>
    </row>
    <row r="143" spans="1:19" s="33" customFormat="1" ht="33" customHeight="1">
      <c r="B143" s="47" t="s">
        <v>238</v>
      </c>
      <c r="C143" s="48" t="s">
        <v>331</v>
      </c>
      <c r="D143" s="49" t="s">
        <v>1306</v>
      </c>
      <c r="E143" s="50">
        <v>43567</v>
      </c>
      <c r="F143" s="52" t="s">
        <v>236</v>
      </c>
      <c r="G143" s="51">
        <v>3200</v>
      </c>
      <c r="H143" s="52">
        <f t="shared" si="13"/>
        <v>16</v>
      </c>
      <c r="I143" s="52">
        <f t="shared" si="14"/>
        <v>4</v>
      </c>
      <c r="J143" s="52"/>
      <c r="K143" s="53">
        <v>43674</v>
      </c>
      <c r="L143" s="54" t="s">
        <v>4503</v>
      </c>
      <c r="M143" s="55">
        <v>43669</v>
      </c>
      <c r="N143" s="56" t="s">
        <v>4502</v>
      </c>
      <c r="O143" s="55">
        <v>43674</v>
      </c>
      <c r="P143" s="58"/>
      <c r="Q143" s="52"/>
      <c r="R143" s="63"/>
      <c r="S143" s="47"/>
    </row>
    <row r="144" spans="1:19" s="30" customFormat="1" ht="33" customHeight="1">
      <c r="B144" s="46" t="s">
        <v>4501</v>
      </c>
      <c r="C144" s="35" t="s">
        <v>431</v>
      </c>
      <c r="D144" s="36" t="s">
        <v>4500</v>
      </c>
      <c r="E144" s="37">
        <v>43637</v>
      </c>
      <c r="F144" s="38" t="s">
        <v>236</v>
      </c>
      <c r="G144" s="39">
        <v>3200</v>
      </c>
      <c r="H144" s="38">
        <f t="shared" si="13"/>
        <v>16</v>
      </c>
      <c r="I144" s="38">
        <f t="shared" si="14"/>
        <v>4</v>
      </c>
      <c r="J144" s="38"/>
      <c r="K144" s="40">
        <v>43730</v>
      </c>
      <c r="L144" s="41" t="s">
        <v>4499</v>
      </c>
      <c r="M144" s="42">
        <v>43725</v>
      </c>
      <c r="N144" s="43" t="s">
        <v>4498</v>
      </c>
      <c r="O144" s="42">
        <v>43730</v>
      </c>
      <c r="P144" s="45"/>
      <c r="Q144" s="38"/>
      <c r="R144" s="66"/>
      <c r="S144" s="46"/>
    </row>
    <row r="145" spans="2:19" s="30" customFormat="1" ht="33" customHeight="1">
      <c r="B145" s="46" t="s">
        <v>4497</v>
      </c>
      <c r="C145" s="35" t="s">
        <v>523</v>
      </c>
      <c r="D145" s="36" t="s">
        <v>4452</v>
      </c>
      <c r="E145" s="37">
        <v>43665</v>
      </c>
      <c r="F145" s="38" t="s">
        <v>236</v>
      </c>
      <c r="G145" s="39">
        <v>3200</v>
      </c>
      <c r="H145" s="38">
        <f t="shared" ref="H145" si="15">SUM(G145/200)</f>
        <v>16</v>
      </c>
      <c r="I145" s="38">
        <f t="shared" ref="I145" si="16">SUM(H145/4)</f>
        <v>4</v>
      </c>
      <c r="J145" s="38"/>
      <c r="K145" s="40">
        <v>43751</v>
      </c>
      <c r="L145" s="41" t="s">
        <v>4496</v>
      </c>
      <c r="M145" s="42">
        <v>43746</v>
      </c>
      <c r="N145" s="43" t="s">
        <v>4495</v>
      </c>
      <c r="O145" s="42">
        <v>43751</v>
      </c>
      <c r="P145" s="45"/>
      <c r="Q145" s="38"/>
      <c r="R145" s="66"/>
      <c r="S145" s="46"/>
    </row>
    <row r="146" spans="2:19" s="19" customFormat="1" ht="22.2">
      <c r="B146"/>
      <c r="C146" s="15"/>
      <c r="D146" s="1"/>
      <c r="F146" s="177"/>
      <c r="L146" s="176"/>
      <c r="M146" s="177"/>
      <c r="N146" s="177"/>
      <c r="O146"/>
      <c r="P146" s="13"/>
      <c r="Q146"/>
      <c r="S146" s="28"/>
    </row>
    <row r="147" spans="2:19" ht="22.2">
      <c r="F147" s="177"/>
      <c r="L147" s="176"/>
      <c r="M147" s="177"/>
      <c r="N147" s="177"/>
      <c r="O147"/>
      <c r="P147" s="13"/>
      <c r="R147" s="19"/>
      <c r="S147" s="28"/>
    </row>
    <row r="148" spans="2:19" ht="22.2">
      <c r="F148" s="177"/>
      <c r="L148" s="176"/>
      <c r="M148" s="177"/>
      <c r="N148" s="177"/>
      <c r="O148"/>
      <c r="P148" s="13"/>
      <c r="R148" s="19"/>
      <c r="S148" s="28"/>
    </row>
    <row r="149" spans="2:19" hidden="1">
      <c r="E149" s="175"/>
      <c r="L149" s="11"/>
      <c r="M149"/>
      <c r="N149"/>
      <c r="O149"/>
      <c r="P149" s="13"/>
      <c r="R149" s="19"/>
      <c r="S149" s="28"/>
    </row>
    <row r="150" spans="2:19" s="19" customFormat="1" hidden="1">
      <c r="B150"/>
      <c r="C150" s="15"/>
      <c r="D150" s="1"/>
      <c r="L150" s="178" t="s">
        <v>1825</v>
      </c>
      <c r="M150" s="178" t="s">
        <v>1826</v>
      </c>
      <c r="N150" s="178" t="s">
        <v>1827</v>
      </c>
      <c r="O150" s="178" t="s">
        <v>1828</v>
      </c>
      <c r="P150" s="179" t="s">
        <v>4494</v>
      </c>
      <c r="Q150" s="179" t="s">
        <v>4493</v>
      </c>
      <c r="R150" s="179" t="s">
        <v>1831</v>
      </c>
      <c r="S150" s="179"/>
    </row>
    <row r="151" spans="2:19" s="19" customFormat="1" hidden="1">
      <c r="B151"/>
      <c r="C151" s="15"/>
      <c r="D151" s="1"/>
      <c r="L151" s="180" t="s">
        <v>4491</v>
      </c>
      <c r="M151" s="181" t="s">
        <v>1833</v>
      </c>
      <c r="N151" s="181" t="s">
        <v>1834</v>
      </c>
      <c r="O151" s="182" t="s">
        <v>1835</v>
      </c>
      <c r="P151" s="183">
        <v>1000</v>
      </c>
      <c r="Q151" s="183">
        <v>4</v>
      </c>
      <c r="R151" s="184">
        <v>43598</v>
      </c>
      <c r="S151" s="181" t="s">
        <v>99</v>
      </c>
    </row>
    <row r="152" spans="2:19" s="19" customFormat="1" hidden="1">
      <c r="B152"/>
      <c r="C152" s="15"/>
      <c r="D152" s="1"/>
      <c r="L152" s="180" t="s">
        <v>4491</v>
      </c>
      <c r="M152" s="181" t="s">
        <v>1836</v>
      </c>
      <c r="N152" s="181" t="s">
        <v>1834</v>
      </c>
      <c r="O152" s="182" t="s">
        <v>1835</v>
      </c>
      <c r="P152" s="183">
        <v>6000</v>
      </c>
      <c r="Q152" s="183">
        <v>24</v>
      </c>
      <c r="R152" s="184">
        <v>43598</v>
      </c>
      <c r="S152" s="181" t="s">
        <v>99</v>
      </c>
    </row>
    <row r="153" spans="2:19" s="19" customFormat="1" hidden="1">
      <c r="B153"/>
      <c r="C153" s="15"/>
      <c r="D153" s="1"/>
      <c r="L153" s="180" t="s">
        <v>4491</v>
      </c>
      <c r="M153" s="181" t="s">
        <v>1837</v>
      </c>
      <c r="N153" s="181" t="s">
        <v>1834</v>
      </c>
      <c r="O153" s="182" t="s">
        <v>1835</v>
      </c>
      <c r="P153" s="183">
        <v>5000</v>
      </c>
      <c r="Q153" s="183">
        <v>20</v>
      </c>
      <c r="R153" s="185" t="s">
        <v>4492</v>
      </c>
      <c r="S153" s="180" t="s">
        <v>4489</v>
      </c>
    </row>
    <row r="154" spans="2:19" s="19" customFormat="1" hidden="1">
      <c r="B154"/>
      <c r="C154" s="15"/>
      <c r="D154" s="1"/>
      <c r="L154" s="180" t="s">
        <v>4491</v>
      </c>
      <c r="M154" s="181" t="s">
        <v>1840</v>
      </c>
      <c r="N154" s="181" t="s">
        <v>1834</v>
      </c>
      <c r="O154" s="182" t="s">
        <v>1835</v>
      </c>
      <c r="P154" s="183">
        <v>5000</v>
      </c>
      <c r="Q154" s="183">
        <v>20</v>
      </c>
      <c r="R154" s="184">
        <v>43605</v>
      </c>
      <c r="S154" s="181" t="s">
        <v>99</v>
      </c>
    </row>
    <row r="155" spans="2:19" s="19" customFormat="1" hidden="1">
      <c r="B155"/>
      <c r="C155" s="15"/>
      <c r="D155" s="1"/>
      <c r="L155" s="180" t="s">
        <v>4491</v>
      </c>
      <c r="M155" s="181" t="s">
        <v>1841</v>
      </c>
      <c r="N155" s="181" t="s">
        <v>1834</v>
      </c>
      <c r="O155" s="182" t="s">
        <v>1835</v>
      </c>
      <c r="P155" s="183">
        <v>7000</v>
      </c>
      <c r="Q155" s="183">
        <v>28</v>
      </c>
      <c r="R155" s="184">
        <v>43605</v>
      </c>
      <c r="S155" s="181" t="s">
        <v>99</v>
      </c>
    </row>
    <row r="156" spans="2:19" hidden="1">
      <c r="L156" s="180" t="s">
        <v>4488</v>
      </c>
      <c r="M156" s="181" t="s">
        <v>1843</v>
      </c>
      <c r="N156" s="181" t="s">
        <v>1844</v>
      </c>
      <c r="O156" s="182" t="s">
        <v>1835</v>
      </c>
      <c r="P156" s="183">
        <v>2000</v>
      </c>
      <c r="Q156" s="183">
        <v>8</v>
      </c>
      <c r="R156" s="184">
        <v>43598</v>
      </c>
      <c r="S156" s="181" t="s">
        <v>99</v>
      </c>
    </row>
    <row r="157" spans="2:19" hidden="1">
      <c r="L157" s="180" t="s">
        <v>4488</v>
      </c>
      <c r="M157" s="181" t="s">
        <v>1845</v>
      </c>
      <c r="N157" s="181" t="s">
        <v>1844</v>
      </c>
      <c r="O157" s="182" t="s">
        <v>1835</v>
      </c>
      <c r="P157" s="183">
        <v>2000</v>
      </c>
      <c r="Q157" s="183">
        <v>8</v>
      </c>
      <c r="R157" s="184">
        <v>43598</v>
      </c>
      <c r="S157" s="181" t="s">
        <v>99</v>
      </c>
    </row>
    <row r="158" spans="2:19" hidden="1">
      <c r="L158" s="180" t="s">
        <v>4488</v>
      </c>
      <c r="M158" s="181" t="s">
        <v>1846</v>
      </c>
      <c r="N158" s="181" t="s">
        <v>1844</v>
      </c>
      <c r="O158" s="182" t="s">
        <v>1835</v>
      </c>
      <c r="P158" s="183">
        <v>10000</v>
      </c>
      <c r="Q158" s="183">
        <v>40</v>
      </c>
      <c r="R158" s="184">
        <v>43598</v>
      </c>
      <c r="S158" s="181" t="s">
        <v>99</v>
      </c>
    </row>
    <row r="159" spans="2:19" hidden="1">
      <c r="L159" s="180" t="s">
        <v>4488</v>
      </c>
      <c r="M159" s="181" t="s">
        <v>1847</v>
      </c>
      <c r="N159" s="181" t="s">
        <v>1844</v>
      </c>
      <c r="O159" s="182" t="s">
        <v>1835</v>
      </c>
      <c r="P159" s="183">
        <v>8000</v>
      </c>
      <c r="Q159" s="183">
        <v>32</v>
      </c>
      <c r="R159" s="184">
        <v>43598</v>
      </c>
      <c r="S159" s="180"/>
    </row>
    <row r="160" spans="2:19" hidden="1">
      <c r="L160" s="180" t="s">
        <v>4488</v>
      </c>
      <c r="M160" s="181" t="s">
        <v>1848</v>
      </c>
      <c r="N160" s="181" t="s">
        <v>1844</v>
      </c>
      <c r="O160" s="182" t="s">
        <v>1835</v>
      </c>
      <c r="P160" s="183">
        <v>10000</v>
      </c>
      <c r="Q160" s="183">
        <v>40</v>
      </c>
      <c r="R160" s="185" t="s">
        <v>4490</v>
      </c>
      <c r="S160" s="180" t="s">
        <v>4489</v>
      </c>
    </row>
    <row r="161" spans="12:19" hidden="1">
      <c r="L161" s="182" t="s">
        <v>4487</v>
      </c>
      <c r="M161" s="181" t="s">
        <v>1851</v>
      </c>
      <c r="N161" s="181" t="s">
        <v>1834</v>
      </c>
      <c r="O161" s="182" t="s">
        <v>1852</v>
      </c>
      <c r="P161" s="183">
        <v>5000</v>
      </c>
      <c r="Q161" s="183">
        <v>20</v>
      </c>
      <c r="R161" s="184">
        <v>43605</v>
      </c>
      <c r="S161" s="181" t="s">
        <v>99</v>
      </c>
    </row>
    <row r="162" spans="12:19" hidden="1">
      <c r="L162" s="180" t="s">
        <v>4488</v>
      </c>
      <c r="M162" s="181" t="s">
        <v>1851</v>
      </c>
      <c r="N162" s="181" t="s">
        <v>1844</v>
      </c>
      <c r="O162" s="182" t="s">
        <v>1835</v>
      </c>
      <c r="P162" s="183">
        <v>2000</v>
      </c>
      <c r="Q162" s="183">
        <v>8</v>
      </c>
      <c r="R162" s="184">
        <v>43605</v>
      </c>
      <c r="S162" s="181" t="s">
        <v>99</v>
      </c>
    </row>
    <row r="163" spans="12:19" hidden="1">
      <c r="L163" s="182" t="s">
        <v>4487</v>
      </c>
      <c r="M163" s="181" t="s">
        <v>1855</v>
      </c>
      <c r="N163" s="181" t="s">
        <v>1834</v>
      </c>
      <c r="O163" s="182" t="s">
        <v>1852</v>
      </c>
      <c r="P163" s="183">
        <v>6000</v>
      </c>
      <c r="Q163" s="183">
        <v>24</v>
      </c>
      <c r="R163" s="184">
        <v>43605</v>
      </c>
      <c r="S163" s="181" t="s">
        <v>99</v>
      </c>
    </row>
    <row r="164" spans="12:19" hidden="1">
      <c r="L164" s="182" t="s">
        <v>4487</v>
      </c>
      <c r="M164" s="181" t="s">
        <v>1856</v>
      </c>
      <c r="N164" s="181" t="s">
        <v>1834</v>
      </c>
      <c r="O164" s="182" t="s">
        <v>1852</v>
      </c>
      <c r="P164" s="183">
        <v>6000</v>
      </c>
      <c r="Q164" s="183">
        <v>24</v>
      </c>
      <c r="R164" s="185">
        <v>43605</v>
      </c>
      <c r="S164" s="180"/>
    </row>
    <row r="165" spans="12:19" hidden="1">
      <c r="L165" s="182" t="s">
        <v>4487</v>
      </c>
      <c r="M165" s="181" t="s">
        <v>1857</v>
      </c>
      <c r="N165" s="181" t="s">
        <v>1834</v>
      </c>
      <c r="O165" s="182" t="s">
        <v>1852</v>
      </c>
      <c r="P165" s="183">
        <v>6000</v>
      </c>
      <c r="Q165" s="183">
        <v>24</v>
      </c>
      <c r="R165" s="184" t="s">
        <v>2491</v>
      </c>
      <c r="S165" s="181" t="s">
        <v>1862</v>
      </c>
    </row>
    <row r="168" spans="12:19" ht="16.2">
      <c r="L168" s="186"/>
    </row>
    <row r="169" spans="12:19" ht="16.2">
      <c r="L169" s="186"/>
    </row>
    <row r="170" spans="12:19" ht="16.2">
      <c r="L170" s="186"/>
    </row>
    <row r="171" spans="12:19">
      <c r="Q171" t="s">
        <v>3581</v>
      </c>
    </row>
  </sheetData>
  <autoFilter ref="B2:R148" xr:uid="{00000000-0009-0000-0000-00000C000000}">
    <sortState ref="B89:R144">
      <sortCondition descending="1" ref="L2:L148"/>
    </sortState>
  </autoFilter>
  <phoneticPr fontId="1"/>
  <pageMargins left="0.23622047244094491" right="0.23622047244094491" top="0.35433070866141736" bottom="0.35433070866141736" header="0.31496062992125984" footer="0.31496062992125984"/>
  <pageSetup paperSize="9" scale="44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70">
    <pageSetUpPr fitToPage="1"/>
  </sheetPr>
  <dimension ref="A1:S170"/>
  <sheetViews>
    <sheetView zoomScale="77" zoomScaleNormal="77" workbookViewId="0">
      <pane xSplit="1" ySplit="2" topLeftCell="B114" activePane="bottomRight" state="frozen"/>
      <selection pane="topRight" activeCell="B1" sqref="B1"/>
      <selection pane="bottomLeft" activeCell="A3" sqref="A3"/>
      <selection pane="bottomRight" activeCell="Q128" sqref="Q128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7.12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B2" s="194"/>
      <c r="C2" s="14" t="s">
        <v>92</v>
      </c>
      <c r="D2" s="5" t="s">
        <v>0</v>
      </c>
      <c r="E2" s="6" t="s">
        <v>93</v>
      </c>
      <c r="F2" s="6" t="s">
        <v>94</v>
      </c>
      <c r="G2" s="10" t="s">
        <v>1</v>
      </c>
      <c r="H2" s="6" t="s">
        <v>15</v>
      </c>
      <c r="I2" s="6" t="s">
        <v>16</v>
      </c>
      <c r="J2" s="6" t="s">
        <v>95</v>
      </c>
      <c r="K2" s="12" t="s">
        <v>296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85</v>
      </c>
      <c r="Q2" s="6" t="s">
        <v>96</v>
      </c>
      <c r="R2" s="16" t="s">
        <v>6</v>
      </c>
      <c r="S2" s="16" t="s">
        <v>80</v>
      </c>
    </row>
    <row r="3" spans="2:19" s="33" customFormat="1" ht="33" customHeight="1">
      <c r="B3" s="47" t="s">
        <v>220</v>
      </c>
      <c r="C3" s="48" t="s">
        <v>377</v>
      </c>
      <c r="D3" s="49" t="s">
        <v>378</v>
      </c>
      <c r="E3" s="50">
        <v>43455</v>
      </c>
      <c r="F3" s="49" t="s">
        <v>91</v>
      </c>
      <c r="G3" s="51">
        <v>14000</v>
      </c>
      <c r="H3" s="52">
        <f t="shared" ref="H3:H42" si="0">SUM(G3/250)</f>
        <v>56</v>
      </c>
      <c r="I3" s="52">
        <f t="shared" ref="I3:I68" si="1">SUM(H3/4)</f>
        <v>14</v>
      </c>
      <c r="J3" s="49"/>
      <c r="K3" s="53">
        <v>43548</v>
      </c>
      <c r="L3" s="54" t="s">
        <v>1881</v>
      </c>
      <c r="M3" s="55">
        <v>43563</v>
      </c>
      <c r="N3" s="56" t="s">
        <v>438</v>
      </c>
      <c r="O3" s="55">
        <v>43569</v>
      </c>
      <c r="P3" s="54" t="s">
        <v>1883</v>
      </c>
      <c r="Q3" s="49"/>
      <c r="R3" s="57" t="s">
        <v>379</v>
      </c>
      <c r="S3" s="47"/>
    </row>
    <row r="4" spans="2:19" s="33" customFormat="1" ht="33" customHeight="1">
      <c r="B4" s="47" t="s">
        <v>220</v>
      </c>
      <c r="C4" s="48" t="s">
        <v>421</v>
      </c>
      <c r="D4" s="49" t="s">
        <v>453</v>
      </c>
      <c r="E4" s="50">
        <v>43483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43576</v>
      </c>
      <c r="L4" s="54" t="s">
        <v>443</v>
      </c>
      <c r="M4" s="55">
        <v>43570</v>
      </c>
      <c r="N4" s="56" t="s">
        <v>440</v>
      </c>
      <c r="O4" s="55">
        <v>43576</v>
      </c>
      <c r="P4" s="54" t="s">
        <v>1122</v>
      </c>
      <c r="Q4" s="49"/>
      <c r="R4" s="57" t="s">
        <v>454</v>
      </c>
      <c r="S4" s="47"/>
    </row>
    <row r="5" spans="2:19" s="33" customFormat="1" ht="33" customHeight="1">
      <c r="B5" s="47" t="s">
        <v>78</v>
      </c>
      <c r="C5" s="48" t="s">
        <v>422</v>
      </c>
      <c r="D5" s="49" t="s">
        <v>455</v>
      </c>
      <c r="E5" s="50">
        <v>43483</v>
      </c>
      <c r="F5" s="49" t="s">
        <v>91</v>
      </c>
      <c r="G5" s="51">
        <v>10000</v>
      </c>
      <c r="H5" s="52">
        <f t="shared" si="0"/>
        <v>40</v>
      </c>
      <c r="I5" s="52">
        <f t="shared" si="1"/>
        <v>10</v>
      </c>
      <c r="J5" s="49"/>
      <c r="K5" s="53">
        <v>43618</v>
      </c>
      <c r="L5" s="54" t="s">
        <v>442</v>
      </c>
      <c r="M5" s="55">
        <v>43612</v>
      </c>
      <c r="N5" s="56" t="s">
        <v>677</v>
      </c>
      <c r="O5" s="55">
        <v>43618</v>
      </c>
      <c r="P5" s="54" t="s">
        <v>2155</v>
      </c>
      <c r="Q5" s="49" t="s">
        <v>82</v>
      </c>
      <c r="R5" s="57" t="s">
        <v>616</v>
      </c>
      <c r="S5" s="47"/>
    </row>
    <row r="6" spans="2:19" s="33" customFormat="1" ht="33" customHeight="1">
      <c r="B6" s="47" t="s">
        <v>78</v>
      </c>
      <c r="C6" s="48" t="s">
        <v>617</v>
      </c>
      <c r="D6" s="49" t="s">
        <v>455</v>
      </c>
      <c r="E6" s="50">
        <v>43523</v>
      </c>
      <c r="F6" s="49" t="s">
        <v>91</v>
      </c>
      <c r="G6" s="51">
        <v>10000</v>
      </c>
      <c r="H6" s="52">
        <f t="shared" si="0"/>
        <v>40</v>
      </c>
      <c r="I6" s="52">
        <f t="shared" si="1"/>
        <v>10</v>
      </c>
      <c r="J6" s="49"/>
      <c r="K6" s="53">
        <v>43618</v>
      </c>
      <c r="L6" s="54" t="s">
        <v>638</v>
      </c>
      <c r="M6" s="55">
        <v>43612</v>
      </c>
      <c r="N6" s="56" t="s">
        <v>636</v>
      </c>
      <c r="O6" s="55">
        <v>43618</v>
      </c>
      <c r="P6" s="54" t="s">
        <v>3604</v>
      </c>
      <c r="Q6" s="49" t="s">
        <v>82</v>
      </c>
      <c r="R6" s="57" t="s">
        <v>618</v>
      </c>
      <c r="S6" s="47"/>
    </row>
    <row r="7" spans="2:19" s="33" customFormat="1" ht="33" customHeight="1">
      <c r="B7" s="47" t="s">
        <v>78</v>
      </c>
      <c r="C7" s="48" t="s">
        <v>1330</v>
      </c>
      <c r="D7" s="49" t="s">
        <v>1337</v>
      </c>
      <c r="E7" s="50">
        <v>43483</v>
      </c>
      <c r="F7" s="49" t="s">
        <v>91</v>
      </c>
      <c r="G7" s="51">
        <v>20000</v>
      </c>
      <c r="H7" s="52">
        <f t="shared" si="0"/>
        <v>80</v>
      </c>
      <c r="I7" s="52">
        <f t="shared" si="1"/>
        <v>20</v>
      </c>
      <c r="J7" s="49"/>
      <c r="K7" s="53">
        <v>43618</v>
      </c>
      <c r="L7" s="54" t="s">
        <v>442</v>
      </c>
      <c r="M7" s="55">
        <v>43612</v>
      </c>
      <c r="N7" s="56" t="s">
        <v>677</v>
      </c>
      <c r="O7" s="55">
        <v>43618</v>
      </c>
      <c r="P7" s="54" t="s">
        <v>2157</v>
      </c>
      <c r="Q7" s="49" t="s">
        <v>82</v>
      </c>
      <c r="R7" s="57" t="s">
        <v>616</v>
      </c>
      <c r="S7" s="47" t="s">
        <v>479</v>
      </c>
    </row>
    <row r="8" spans="2:19" s="33" customFormat="1" ht="33" customHeight="1">
      <c r="B8" s="47" t="s">
        <v>78</v>
      </c>
      <c r="C8" s="48" t="s">
        <v>423</v>
      </c>
      <c r="D8" s="49" t="s">
        <v>457</v>
      </c>
      <c r="E8" s="50">
        <v>43483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43576</v>
      </c>
      <c r="L8" s="54" t="s">
        <v>4173</v>
      </c>
      <c r="M8" s="55">
        <v>43570</v>
      </c>
      <c r="N8" s="56" t="s">
        <v>4174</v>
      </c>
      <c r="O8" s="55">
        <v>43576</v>
      </c>
      <c r="P8" s="54" t="s">
        <v>4175</v>
      </c>
      <c r="Q8" s="49" t="s">
        <v>82</v>
      </c>
      <c r="R8" s="57" t="s">
        <v>4176</v>
      </c>
      <c r="S8" s="47"/>
    </row>
    <row r="9" spans="2:19" s="33" customFormat="1" ht="33" customHeight="1">
      <c r="B9" s="47" t="s">
        <v>220</v>
      </c>
      <c r="C9" s="48" t="s">
        <v>425</v>
      </c>
      <c r="D9" s="49" t="s">
        <v>459</v>
      </c>
      <c r="E9" s="50">
        <v>43483</v>
      </c>
      <c r="F9" s="49" t="s">
        <v>79</v>
      </c>
      <c r="G9" s="51">
        <v>20000</v>
      </c>
      <c r="H9" s="52">
        <f t="shared" si="0"/>
        <v>80</v>
      </c>
      <c r="I9" s="52">
        <f t="shared" si="1"/>
        <v>20</v>
      </c>
      <c r="J9" s="49"/>
      <c r="K9" s="53">
        <v>43583</v>
      </c>
      <c r="L9" s="54" t="s">
        <v>4177</v>
      </c>
      <c r="M9" s="55">
        <v>43577</v>
      </c>
      <c r="N9" s="56" t="s">
        <v>4178</v>
      </c>
      <c r="O9" s="55">
        <v>43583</v>
      </c>
      <c r="P9" s="54" t="s">
        <v>4179</v>
      </c>
      <c r="Q9" s="49"/>
      <c r="R9" s="57" t="s">
        <v>4180</v>
      </c>
      <c r="S9" s="47"/>
    </row>
    <row r="10" spans="2:19" s="33" customFormat="1" ht="33" customHeight="1">
      <c r="B10" s="47" t="s">
        <v>78</v>
      </c>
      <c r="C10" s="48" t="s">
        <v>462</v>
      </c>
      <c r="D10" s="49" t="s">
        <v>483</v>
      </c>
      <c r="E10" s="50">
        <v>43490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43583</v>
      </c>
      <c r="L10" s="54" t="s">
        <v>4177</v>
      </c>
      <c r="M10" s="55">
        <v>43577</v>
      </c>
      <c r="N10" s="56" t="s">
        <v>4178</v>
      </c>
      <c r="O10" s="55">
        <v>43583</v>
      </c>
      <c r="P10" s="54" t="s">
        <v>4181</v>
      </c>
      <c r="Q10" s="49" t="s">
        <v>82</v>
      </c>
      <c r="R10" s="57" t="s">
        <v>4182</v>
      </c>
      <c r="S10" s="47"/>
    </row>
    <row r="11" spans="2:19" s="33" customFormat="1" ht="33" customHeight="1">
      <c r="B11" s="47" t="s">
        <v>78</v>
      </c>
      <c r="C11" s="48" t="s">
        <v>570</v>
      </c>
      <c r="D11" s="49" t="s">
        <v>571</v>
      </c>
      <c r="E11" s="50">
        <v>43519</v>
      </c>
      <c r="F11" s="49" t="s">
        <v>79</v>
      </c>
      <c r="G11" s="51">
        <v>20000</v>
      </c>
      <c r="H11" s="52">
        <f t="shared" si="0"/>
        <v>80</v>
      </c>
      <c r="I11" s="52">
        <f t="shared" si="1"/>
        <v>20</v>
      </c>
      <c r="J11" s="49"/>
      <c r="K11" s="53">
        <v>43590</v>
      </c>
      <c r="L11" s="54" t="s">
        <v>602</v>
      </c>
      <c r="M11" s="55">
        <v>43577</v>
      </c>
      <c r="N11" s="56" t="s">
        <v>4178</v>
      </c>
      <c r="O11" s="55">
        <v>43583</v>
      </c>
      <c r="P11" s="54" t="s">
        <v>4183</v>
      </c>
      <c r="Q11" s="49" t="s">
        <v>82</v>
      </c>
      <c r="R11" s="57" t="s">
        <v>4184</v>
      </c>
      <c r="S11" s="47"/>
    </row>
    <row r="12" spans="2:19" s="33" customFormat="1" ht="33" customHeight="1">
      <c r="B12" s="47" t="s">
        <v>78</v>
      </c>
      <c r="C12" s="48" t="s">
        <v>573</v>
      </c>
      <c r="D12" s="49" t="s">
        <v>574</v>
      </c>
      <c r="E12" s="50">
        <v>43519</v>
      </c>
      <c r="F12" s="49" t="s">
        <v>79</v>
      </c>
      <c r="G12" s="51">
        <v>20000</v>
      </c>
      <c r="H12" s="52">
        <f t="shared" si="0"/>
        <v>80</v>
      </c>
      <c r="I12" s="52">
        <f t="shared" si="1"/>
        <v>20</v>
      </c>
      <c r="J12" s="49"/>
      <c r="K12" s="53">
        <v>43604</v>
      </c>
      <c r="L12" s="54" t="s">
        <v>4185</v>
      </c>
      <c r="M12" s="55">
        <v>43598</v>
      </c>
      <c r="N12" s="56" t="s">
        <v>4186</v>
      </c>
      <c r="O12" s="55">
        <v>43604</v>
      </c>
      <c r="P12" s="54" t="s">
        <v>4187</v>
      </c>
      <c r="Q12" s="49" t="s">
        <v>82</v>
      </c>
      <c r="R12" s="57" t="s">
        <v>4188</v>
      </c>
      <c r="S12" s="47"/>
    </row>
    <row r="13" spans="2:19" s="33" customFormat="1" ht="33" customHeight="1">
      <c r="B13" s="47" t="s">
        <v>78</v>
      </c>
      <c r="C13" s="48" t="s">
        <v>4189</v>
      </c>
      <c r="D13" s="49" t="s">
        <v>577</v>
      </c>
      <c r="E13" s="50">
        <v>43519</v>
      </c>
      <c r="F13" s="49" t="s">
        <v>4190</v>
      </c>
      <c r="G13" s="51">
        <v>10000</v>
      </c>
      <c r="H13" s="52">
        <f t="shared" si="0"/>
        <v>40</v>
      </c>
      <c r="I13" s="52">
        <f t="shared" si="1"/>
        <v>10</v>
      </c>
      <c r="J13" s="49"/>
      <c r="K13" s="53">
        <v>43598</v>
      </c>
      <c r="L13" s="54" t="s">
        <v>803</v>
      </c>
      <c r="M13" s="55">
        <v>43598</v>
      </c>
      <c r="N13" s="56" t="s">
        <v>804</v>
      </c>
      <c r="O13" s="55">
        <v>43604</v>
      </c>
      <c r="P13" s="54" t="s">
        <v>4191</v>
      </c>
      <c r="Q13" s="49" t="s">
        <v>82</v>
      </c>
      <c r="R13" s="57" t="s">
        <v>4192</v>
      </c>
      <c r="S13" s="47"/>
    </row>
    <row r="14" spans="2:19" s="33" customFormat="1" ht="33" customHeight="1">
      <c r="B14" s="47" t="s">
        <v>220</v>
      </c>
      <c r="C14" s="48" t="s">
        <v>579</v>
      </c>
      <c r="D14" s="49" t="s">
        <v>580</v>
      </c>
      <c r="E14" s="50">
        <v>43519</v>
      </c>
      <c r="F14" s="49" t="s">
        <v>79</v>
      </c>
      <c r="G14" s="51">
        <v>10000</v>
      </c>
      <c r="H14" s="52">
        <f t="shared" si="0"/>
        <v>40</v>
      </c>
      <c r="I14" s="52">
        <f t="shared" si="1"/>
        <v>10</v>
      </c>
      <c r="J14" s="49"/>
      <c r="K14" s="53">
        <v>43598</v>
      </c>
      <c r="L14" s="54" t="s">
        <v>803</v>
      </c>
      <c r="M14" s="55">
        <v>43598</v>
      </c>
      <c r="N14" s="56" t="s">
        <v>804</v>
      </c>
      <c r="O14" s="55">
        <v>43604</v>
      </c>
      <c r="P14" s="54" t="s">
        <v>4193</v>
      </c>
      <c r="Q14" s="49"/>
      <c r="R14" s="57" t="s">
        <v>4194</v>
      </c>
      <c r="S14" s="47"/>
    </row>
    <row r="15" spans="2:19" s="33" customFormat="1" ht="33" customHeight="1">
      <c r="B15" s="47" t="s">
        <v>78</v>
      </c>
      <c r="C15" s="48" t="s">
        <v>576</v>
      </c>
      <c r="D15" s="49" t="s">
        <v>577</v>
      </c>
      <c r="E15" s="50">
        <v>43519</v>
      </c>
      <c r="F15" s="49" t="s">
        <v>79</v>
      </c>
      <c r="G15" s="51">
        <v>20000</v>
      </c>
      <c r="H15" s="52">
        <f t="shared" si="0"/>
        <v>80</v>
      </c>
      <c r="I15" s="52">
        <f t="shared" si="1"/>
        <v>20</v>
      </c>
      <c r="J15" s="49"/>
      <c r="K15" s="53">
        <v>43611</v>
      </c>
      <c r="L15" s="54" t="s">
        <v>4195</v>
      </c>
      <c r="M15" s="55">
        <v>43605</v>
      </c>
      <c r="N15" s="56" t="s">
        <v>4196</v>
      </c>
      <c r="O15" s="55">
        <v>43611</v>
      </c>
      <c r="P15" s="54" t="s">
        <v>4197</v>
      </c>
      <c r="Q15" s="49" t="s">
        <v>82</v>
      </c>
      <c r="R15" s="57" t="s">
        <v>4198</v>
      </c>
      <c r="S15" s="47"/>
    </row>
    <row r="16" spans="2:19" s="30" customFormat="1" ht="33" customHeight="1">
      <c r="B16" s="46" t="s">
        <v>78</v>
      </c>
      <c r="C16" s="35" t="s">
        <v>685</v>
      </c>
      <c r="D16" s="36" t="s">
        <v>686</v>
      </c>
      <c r="E16" s="37">
        <v>43532</v>
      </c>
      <c r="F16" s="36" t="s">
        <v>79</v>
      </c>
      <c r="G16" s="39">
        <v>20000</v>
      </c>
      <c r="H16" s="38">
        <f t="shared" si="0"/>
        <v>80</v>
      </c>
      <c r="I16" s="38">
        <f t="shared" si="1"/>
        <v>20</v>
      </c>
      <c r="J16" s="36"/>
      <c r="K16" s="40">
        <v>43625</v>
      </c>
      <c r="L16" s="41" t="s">
        <v>4199</v>
      </c>
      <c r="M16" s="42">
        <v>43619</v>
      </c>
      <c r="N16" s="43" t="s">
        <v>4200</v>
      </c>
      <c r="O16" s="42">
        <v>43625</v>
      </c>
      <c r="P16" s="41"/>
      <c r="Q16" s="36" t="s">
        <v>82</v>
      </c>
      <c r="R16" s="44" t="s">
        <v>4201</v>
      </c>
      <c r="S16" s="46"/>
    </row>
    <row r="17" spans="2:19" s="30" customFormat="1" ht="33" customHeight="1">
      <c r="B17" s="46" t="s">
        <v>78</v>
      </c>
      <c r="C17" s="35" t="s">
        <v>4202</v>
      </c>
      <c r="D17" s="36" t="s">
        <v>1366</v>
      </c>
      <c r="E17" s="37">
        <v>43532</v>
      </c>
      <c r="F17" s="36" t="s">
        <v>79</v>
      </c>
      <c r="G17" s="39">
        <v>20000</v>
      </c>
      <c r="H17" s="38">
        <f t="shared" si="0"/>
        <v>80</v>
      </c>
      <c r="I17" s="38">
        <f t="shared" si="1"/>
        <v>20</v>
      </c>
      <c r="J17" s="36"/>
      <c r="K17" s="40">
        <v>43625</v>
      </c>
      <c r="L17" s="41" t="s">
        <v>4199</v>
      </c>
      <c r="M17" s="42">
        <v>43619</v>
      </c>
      <c r="N17" s="43" t="s">
        <v>4200</v>
      </c>
      <c r="O17" s="42">
        <v>43625</v>
      </c>
      <c r="P17" s="41"/>
      <c r="Q17" s="36" t="s">
        <v>82</v>
      </c>
      <c r="R17" s="44" t="s">
        <v>4201</v>
      </c>
      <c r="S17" s="46" t="s">
        <v>479</v>
      </c>
    </row>
    <row r="18" spans="2:19" s="30" customFormat="1" ht="33" customHeight="1">
      <c r="B18" s="46" t="s">
        <v>220</v>
      </c>
      <c r="C18" s="35" t="s">
        <v>688</v>
      </c>
      <c r="D18" s="36" t="s">
        <v>689</v>
      </c>
      <c r="E18" s="37">
        <v>43532</v>
      </c>
      <c r="F18" s="36" t="s">
        <v>79</v>
      </c>
      <c r="G18" s="39">
        <v>20000</v>
      </c>
      <c r="H18" s="38">
        <f t="shared" si="0"/>
        <v>80</v>
      </c>
      <c r="I18" s="38">
        <f t="shared" si="1"/>
        <v>20</v>
      </c>
      <c r="J18" s="36"/>
      <c r="K18" s="40">
        <v>43632</v>
      </c>
      <c r="L18" s="41" t="s">
        <v>4203</v>
      </c>
      <c r="M18" s="42">
        <v>43626</v>
      </c>
      <c r="N18" s="43" t="s">
        <v>4204</v>
      </c>
      <c r="O18" s="42">
        <v>43632</v>
      </c>
      <c r="P18" s="41" t="s">
        <v>4205</v>
      </c>
      <c r="Q18" s="36"/>
      <c r="R18" s="44" t="s">
        <v>4206</v>
      </c>
      <c r="S18" s="46"/>
    </row>
    <row r="19" spans="2:19" s="30" customFormat="1" ht="33" customHeight="1">
      <c r="B19" s="46" t="s">
        <v>78</v>
      </c>
      <c r="C19" s="35" t="s">
        <v>691</v>
      </c>
      <c r="D19" s="36" t="s">
        <v>692</v>
      </c>
      <c r="E19" s="37">
        <v>43532</v>
      </c>
      <c r="F19" s="36" t="s">
        <v>79</v>
      </c>
      <c r="G19" s="39">
        <v>20000</v>
      </c>
      <c r="H19" s="38">
        <f t="shared" si="0"/>
        <v>80</v>
      </c>
      <c r="I19" s="38">
        <f t="shared" si="1"/>
        <v>20</v>
      </c>
      <c r="J19" s="36"/>
      <c r="K19" s="40">
        <v>43639</v>
      </c>
      <c r="L19" s="41" t="s">
        <v>4207</v>
      </c>
      <c r="M19" s="42">
        <v>43633</v>
      </c>
      <c r="N19" s="43" t="s">
        <v>4208</v>
      </c>
      <c r="O19" s="42">
        <v>43639</v>
      </c>
      <c r="P19" s="41"/>
      <c r="Q19" s="36" t="s">
        <v>82</v>
      </c>
      <c r="R19" s="44" t="s">
        <v>4209</v>
      </c>
      <c r="S19" s="46"/>
    </row>
    <row r="20" spans="2:19" s="33" customFormat="1" ht="33" customHeight="1">
      <c r="B20" s="47" t="s">
        <v>78</v>
      </c>
      <c r="C20" s="48" t="s">
        <v>4210</v>
      </c>
      <c r="D20" s="49" t="s">
        <v>4211</v>
      </c>
      <c r="E20" s="50">
        <v>43566</v>
      </c>
      <c r="F20" s="49" t="s">
        <v>79</v>
      </c>
      <c r="G20" s="51">
        <v>6000</v>
      </c>
      <c r="H20" s="52">
        <f t="shared" si="0"/>
        <v>24</v>
      </c>
      <c r="I20" s="52">
        <f t="shared" si="1"/>
        <v>6</v>
      </c>
      <c r="J20" s="49"/>
      <c r="K20" s="53">
        <v>43611</v>
      </c>
      <c r="L20" s="54" t="s">
        <v>603</v>
      </c>
      <c r="M20" s="55">
        <v>43605</v>
      </c>
      <c r="N20" s="56" t="s">
        <v>1080</v>
      </c>
      <c r="O20" s="55">
        <v>43611</v>
      </c>
      <c r="P20" s="54" t="s">
        <v>4212</v>
      </c>
      <c r="Q20" s="49" t="s">
        <v>82</v>
      </c>
      <c r="R20" s="57" t="s">
        <v>4213</v>
      </c>
      <c r="S20" s="47"/>
    </row>
    <row r="21" spans="2:19" s="33" customFormat="1" ht="33" customHeight="1">
      <c r="B21" s="47" t="s">
        <v>4214</v>
      </c>
      <c r="C21" s="48" t="s">
        <v>986</v>
      </c>
      <c r="D21" s="49" t="s">
        <v>4211</v>
      </c>
      <c r="E21" s="50">
        <v>43566</v>
      </c>
      <c r="F21" s="49" t="s">
        <v>79</v>
      </c>
      <c r="G21" s="51">
        <v>14000</v>
      </c>
      <c r="H21" s="52">
        <f t="shared" si="0"/>
        <v>56</v>
      </c>
      <c r="I21" s="52">
        <f t="shared" si="1"/>
        <v>14</v>
      </c>
      <c r="J21" s="49"/>
      <c r="K21" s="53">
        <v>43611</v>
      </c>
      <c r="L21" s="54" t="s">
        <v>603</v>
      </c>
      <c r="M21" s="55">
        <v>43605</v>
      </c>
      <c r="N21" s="56" t="s">
        <v>1080</v>
      </c>
      <c r="O21" s="55">
        <v>43611</v>
      </c>
      <c r="P21" s="54" t="s">
        <v>4215</v>
      </c>
      <c r="Q21" s="49"/>
      <c r="R21" s="57" t="s">
        <v>4213</v>
      </c>
      <c r="S21" s="47"/>
    </row>
    <row r="22" spans="2:19" s="30" customFormat="1" ht="33" customHeight="1">
      <c r="B22" s="46" t="s">
        <v>78</v>
      </c>
      <c r="C22" s="35" t="s">
        <v>988</v>
      </c>
      <c r="D22" s="36" t="s">
        <v>4216</v>
      </c>
      <c r="E22" s="37">
        <v>43566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43632</v>
      </c>
      <c r="L22" s="41" t="s">
        <v>1081</v>
      </c>
      <c r="M22" s="42">
        <v>43626</v>
      </c>
      <c r="N22" s="43" t="s">
        <v>1082</v>
      </c>
      <c r="O22" s="42">
        <v>43632</v>
      </c>
      <c r="P22" s="41"/>
      <c r="Q22" s="36" t="s">
        <v>82</v>
      </c>
      <c r="R22" s="44" t="s">
        <v>4217</v>
      </c>
      <c r="S22" s="46"/>
    </row>
    <row r="23" spans="2:19" s="30" customFormat="1" ht="33" customHeight="1">
      <c r="B23" s="46" t="s">
        <v>78</v>
      </c>
      <c r="C23" s="35" t="s">
        <v>1160</v>
      </c>
      <c r="D23" s="36" t="s">
        <v>1161</v>
      </c>
      <c r="E23" s="37">
        <v>43567</v>
      </c>
      <c r="F23" s="36" t="s">
        <v>4218</v>
      </c>
      <c r="G23" s="39">
        <v>40000</v>
      </c>
      <c r="H23" s="38">
        <f t="shared" si="0"/>
        <v>160</v>
      </c>
      <c r="I23" s="38">
        <f t="shared" si="1"/>
        <v>40</v>
      </c>
      <c r="J23" s="36"/>
      <c r="K23" s="40">
        <v>43646</v>
      </c>
      <c r="L23" s="41" t="s">
        <v>4219</v>
      </c>
      <c r="M23" s="42">
        <v>43640</v>
      </c>
      <c r="N23" s="43" t="s">
        <v>4220</v>
      </c>
      <c r="O23" s="42">
        <v>43646</v>
      </c>
      <c r="P23" s="41"/>
      <c r="Q23" s="36" t="s">
        <v>82</v>
      </c>
      <c r="R23" s="44" t="s">
        <v>4221</v>
      </c>
      <c r="S23" s="46" t="s">
        <v>2140</v>
      </c>
    </row>
    <row r="24" spans="2:19" s="30" customFormat="1" ht="33" customHeight="1">
      <c r="B24" s="46" t="s">
        <v>220</v>
      </c>
      <c r="C24" s="35" t="s">
        <v>1163</v>
      </c>
      <c r="D24" s="36" t="s">
        <v>1164</v>
      </c>
      <c r="E24" s="37">
        <v>43567</v>
      </c>
      <c r="F24" s="36" t="s">
        <v>79</v>
      </c>
      <c r="G24" s="39">
        <v>20000</v>
      </c>
      <c r="H24" s="38">
        <f t="shared" si="0"/>
        <v>80</v>
      </c>
      <c r="I24" s="38">
        <f t="shared" si="1"/>
        <v>20</v>
      </c>
      <c r="J24" s="36"/>
      <c r="K24" s="40">
        <v>43646</v>
      </c>
      <c r="L24" s="41" t="s">
        <v>4219</v>
      </c>
      <c r="M24" s="42">
        <v>43640</v>
      </c>
      <c r="N24" s="43" t="s">
        <v>4220</v>
      </c>
      <c r="O24" s="42">
        <v>43646</v>
      </c>
      <c r="P24" s="41"/>
      <c r="Q24" s="36"/>
      <c r="R24" s="44" t="s">
        <v>4222</v>
      </c>
      <c r="S24" s="46" t="s">
        <v>2140</v>
      </c>
    </row>
    <row r="25" spans="2:19" s="30" customFormat="1" ht="33" customHeight="1">
      <c r="B25" s="46" t="s">
        <v>78</v>
      </c>
      <c r="C25" s="35" t="s">
        <v>1166</v>
      </c>
      <c r="D25" s="36" t="s">
        <v>1167</v>
      </c>
      <c r="E25" s="37">
        <v>43567</v>
      </c>
      <c r="F25" s="36" t="s">
        <v>79</v>
      </c>
      <c r="G25" s="39">
        <v>20000</v>
      </c>
      <c r="H25" s="38">
        <f t="shared" si="0"/>
        <v>80</v>
      </c>
      <c r="I25" s="38">
        <f t="shared" si="1"/>
        <v>20</v>
      </c>
      <c r="J25" s="36"/>
      <c r="K25" s="40">
        <v>43653</v>
      </c>
      <c r="L25" s="41" t="s">
        <v>4223</v>
      </c>
      <c r="M25" s="42">
        <v>43647</v>
      </c>
      <c r="N25" s="43" t="s">
        <v>4224</v>
      </c>
      <c r="O25" s="42">
        <v>43653</v>
      </c>
      <c r="P25" s="41"/>
      <c r="Q25" s="36" t="s">
        <v>82</v>
      </c>
      <c r="R25" s="44" t="s">
        <v>4225</v>
      </c>
      <c r="S25" s="46" t="s">
        <v>2140</v>
      </c>
    </row>
    <row r="26" spans="2:19" s="30" customFormat="1" ht="33" customHeight="1">
      <c r="B26" s="46" t="s">
        <v>78</v>
      </c>
      <c r="C26" s="35" t="s">
        <v>1169</v>
      </c>
      <c r="D26" s="36" t="s">
        <v>1170</v>
      </c>
      <c r="E26" s="37">
        <v>43567</v>
      </c>
      <c r="F26" s="36" t="s">
        <v>79</v>
      </c>
      <c r="G26" s="39">
        <v>20000</v>
      </c>
      <c r="H26" s="38">
        <f t="shared" si="0"/>
        <v>80</v>
      </c>
      <c r="I26" s="38">
        <f t="shared" si="1"/>
        <v>20</v>
      </c>
      <c r="J26" s="36"/>
      <c r="K26" s="40">
        <v>43660</v>
      </c>
      <c r="L26" s="41" t="s">
        <v>4226</v>
      </c>
      <c r="M26" s="42">
        <v>43654</v>
      </c>
      <c r="N26" s="43" t="s">
        <v>4227</v>
      </c>
      <c r="O26" s="42">
        <v>43660</v>
      </c>
      <c r="P26" s="41"/>
      <c r="Q26" s="36" t="s">
        <v>82</v>
      </c>
      <c r="R26" s="44" t="s">
        <v>4228</v>
      </c>
      <c r="S26" s="46" t="s">
        <v>2140</v>
      </c>
    </row>
    <row r="27" spans="2:19" s="30" customFormat="1" ht="33" customHeight="1">
      <c r="B27" s="46" t="s">
        <v>78</v>
      </c>
      <c r="C27" s="35" t="s">
        <v>1172</v>
      </c>
      <c r="D27" s="36" t="s">
        <v>1173</v>
      </c>
      <c r="E27" s="37">
        <v>43567</v>
      </c>
      <c r="F27" s="36" t="s">
        <v>79</v>
      </c>
      <c r="G27" s="39">
        <v>20000</v>
      </c>
      <c r="H27" s="38">
        <f t="shared" si="0"/>
        <v>80</v>
      </c>
      <c r="I27" s="38">
        <f t="shared" si="1"/>
        <v>20</v>
      </c>
      <c r="J27" s="36"/>
      <c r="K27" s="40">
        <v>43667</v>
      </c>
      <c r="L27" s="41" t="s">
        <v>4229</v>
      </c>
      <c r="M27" s="42">
        <v>43658</v>
      </c>
      <c r="N27" s="43" t="s">
        <v>4230</v>
      </c>
      <c r="O27" s="42">
        <v>43667</v>
      </c>
      <c r="P27" s="41"/>
      <c r="Q27" s="36" t="s">
        <v>82</v>
      </c>
      <c r="R27" s="44" t="s">
        <v>4231</v>
      </c>
      <c r="S27" s="46" t="s">
        <v>2140</v>
      </c>
    </row>
    <row r="28" spans="2:19" s="30" customFormat="1" ht="33" customHeight="1">
      <c r="B28" s="46" t="s">
        <v>220</v>
      </c>
      <c r="C28" s="35" t="s">
        <v>1175</v>
      </c>
      <c r="D28" s="36" t="s">
        <v>1176</v>
      </c>
      <c r="E28" s="37">
        <v>43567</v>
      </c>
      <c r="F28" s="36" t="s">
        <v>79</v>
      </c>
      <c r="G28" s="39">
        <v>20000</v>
      </c>
      <c r="H28" s="38">
        <f t="shared" si="0"/>
        <v>80</v>
      </c>
      <c r="I28" s="38">
        <f t="shared" si="1"/>
        <v>20</v>
      </c>
      <c r="J28" s="36"/>
      <c r="K28" s="40">
        <v>43667</v>
      </c>
      <c r="L28" s="41" t="s">
        <v>4232</v>
      </c>
      <c r="M28" s="42">
        <v>43675</v>
      </c>
      <c r="N28" s="43" t="s">
        <v>4233</v>
      </c>
      <c r="O28" s="42">
        <v>43681</v>
      </c>
      <c r="P28" s="41"/>
      <c r="Q28" s="36"/>
      <c r="R28" s="44" t="s">
        <v>4234</v>
      </c>
      <c r="S28" s="46" t="s">
        <v>2539</v>
      </c>
    </row>
    <row r="29" spans="2:19" s="30" customFormat="1" ht="33" customHeight="1">
      <c r="B29" s="46" t="s">
        <v>78</v>
      </c>
      <c r="C29" s="35" t="s">
        <v>1178</v>
      </c>
      <c r="D29" s="36" t="s">
        <v>1179</v>
      </c>
      <c r="E29" s="37">
        <v>43567</v>
      </c>
      <c r="F29" s="36" t="s">
        <v>4190</v>
      </c>
      <c r="G29" s="39">
        <v>10000</v>
      </c>
      <c r="H29" s="38">
        <f t="shared" si="0"/>
        <v>40</v>
      </c>
      <c r="I29" s="38">
        <f t="shared" si="1"/>
        <v>10</v>
      </c>
      <c r="J29" s="36"/>
      <c r="K29" s="40">
        <v>43674</v>
      </c>
      <c r="L29" s="41" t="s">
        <v>4235</v>
      </c>
      <c r="M29" s="42">
        <v>43682</v>
      </c>
      <c r="N29" s="43" t="s">
        <v>4236</v>
      </c>
      <c r="O29" s="42">
        <v>43688</v>
      </c>
      <c r="P29" s="41"/>
      <c r="Q29" s="36" t="s">
        <v>82</v>
      </c>
      <c r="R29" s="44" t="s">
        <v>4237</v>
      </c>
      <c r="S29" s="46" t="s">
        <v>2539</v>
      </c>
    </row>
    <row r="30" spans="2:19" s="30" customFormat="1" ht="33" customHeight="1">
      <c r="B30" s="46" t="s">
        <v>220</v>
      </c>
      <c r="C30" s="35" t="s">
        <v>1181</v>
      </c>
      <c r="D30" s="36" t="s">
        <v>1182</v>
      </c>
      <c r="E30" s="37">
        <v>43567</v>
      </c>
      <c r="F30" s="36" t="s">
        <v>4190</v>
      </c>
      <c r="G30" s="39">
        <v>10000</v>
      </c>
      <c r="H30" s="38">
        <f t="shared" si="0"/>
        <v>40</v>
      </c>
      <c r="I30" s="38">
        <f t="shared" si="1"/>
        <v>10</v>
      </c>
      <c r="J30" s="36"/>
      <c r="K30" s="40">
        <v>43674</v>
      </c>
      <c r="L30" s="41" t="s">
        <v>4235</v>
      </c>
      <c r="M30" s="42">
        <v>43682</v>
      </c>
      <c r="N30" s="43" t="s">
        <v>4236</v>
      </c>
      <c r="O30" s="42">
        <v>43688</v>
      </c>
      <c r="P30" s="41"/>
      <c r="Q30" s="36"/>
      <c r="R30" s="44" t="s">
        <v>4238</v>
      </c>
      <c r="S30" s="46" t="s">
        <v>2539</v>
      </c>
    </row>
    <row r="31" spans="2:19" s="30" customFormat="1" ht="33" customHeight="1">
      <c r="B31" s="46" t="s">
        <v>78</v>
      </c>
      <c r="C31" s="35" t="s">
        <v>2273</v>
      </c>
      <c r="D31" s="36" t="s">
        <v>2274</v>
      </c>
      <c r="E31" s="37">
        <v>43602</v>
      </c>
      <c r="F31" s="36" t="s">
        <v>79</v>
      </c>
      <c r="G31" s="39">
        <v>20000</v>
      </c>
      <c r="H31" s="38">
        <f t="shared" si="0"/>
        <v>80</v>
      </c>
      <c r="I31" s="38">
        <f t="shared" si="1"/>
        <v>20</v>
      </c>
      <c r="J31" s="36"/>
      <c r="K31" s="40">
        <v>43688</v>
      </c>
      <c r="L31" s="41" t="s">
        <v>4235</v>
      </c>
      <c r="M31" s="42">
        <v>43682</v>
      </c>
      <c r="N31" s="43" t="s">
        <v>4236</v>
      </c>
      <c r="O31" s="42">
        <v>43688</v>
      </c>
      <c r="P31" s="41"/>
      <c r="Q31" s="36" t="s">
        <v>82</v>
      </c>
      <c r="R31" s="44" t="s">
        <v>4239</v>
      </c>
      <c r="S31" s="46"/>
    </row>
    <row r="32" spans="2:19" s="30" customFormat="1" ht="33" customHeight="1">
      <c r="B32" s="46" t="s">
        <v>78</v>
      </c>
      <c r="C32" s="35" t="s">
        <v>2276</v>
      </c>
      <c r="D32" s="36" t="s">
        <v>2277</v>
      </c>
      <c r="E32" s="37">
        <v>43602</v>
      </c>
      <c r="F32" s="36" t="s">
        <v>79</v>
      </c>
      <c r="G32" s="39">
        <v>20000</v>
      </c>
      <c r="H32" s="38">
        <f t="shared" si="0"/>
        <v>80</v>
      </c>
      <c r="I32" s="38">
        <f t="shared" si="1"/>
        <v>20</v>
      </c>
      <c r="J32" s="36"/>
      <c r="K32" s="40">
        <v>43695</v>
      </c>
      <c r="L32" s="41" t="s">
        <v>4235</v>
      </c>
      <c r="M32" s="42">
        <v>43682</v>
      </c>
      <c r="N32" s="43" t="s">
        <v>4236</v>
      </c>
      <c r="O32" s="42">
        <v>43688</v>
      </c>
      <c r="P32" s="41"/>
      <c r="Q32" s="36" t="s">
        <v>82</v>
      </c>
      <c r="R32" s="44" t="s">
        <v>4240</v>
      </c>
      <c r="S32" s="46"/>
    </row>
    <row r="33" spans="2:19" s="30" customFormat="1" ht="33" customHeight="1">
      <c r="B33" s="46" t="s">
        <v>220</v>
      </c>
      <c r="C33" s="35" t="s">
        <v>2279</v>
      </c>
      <c r="D33" s="36" t="s">
        <v>2280</v>
      </c>
      <c r="E33" s="37">
        <v>43602</v>
      </c>
      <c r="F33" s="36" t="s">
        <v>79</v>
      </c>
      <c r="G33" s="39">
        <v>20000</v>
      </c>
      <c r="H33" s="38">
        <f t="shared" si="0"/>
        <v>80</v>
      </c>
      <c r="I33" s="38">
        <f t="shared" si="1"/>
        <v>20</v>
      </c>
      <c r="J33" s="36"/>
      <c r="K33" s="40">
        <v>43695</v>
      </c>
      <c r="L33" s="41" t="s">
        <v>4235</v>
      </c>
      <c r="M33" s="42">
        <v>43682</v>
      </c>
      <c r="N33" s="43" t="s">
        <v>4236</v>
      </c>
      <c r="O33" s="42">
        <v>43688</v>
      </c>
      <c r="P33" s="41"/>
      <c r="Q33" s="36"/>
      <c r="R33" s="44" t="s">
        <v>4241</v>
      </c>
      <c r="S33" s="46"/>
    </row>
    <row r="34" spans="2:19" s="30" customFormat="1" ht="33" customHeight="1">
      <c r="B34" s="46" t="s">
        <v>78</v>
      </c>
      <c r="C34" s="35" t="s">
        <v>2282</v>
      </c>
      <c r="D34" s="36" t="s">
        <v>2283</v>
      </c>
      <c r="E34" s="37">
        <v>43602</v>
      </c>
      <c r="F34" s="36" t="s">
        <v>79</v>
      </c>
      <c r="G34" s="39">
        <v>20000</v>
      </c>
      <c r="H34" s="38">
        <f t="shared" si="0"/>
        <v>80</v>
      </c>
      <c r="I34" s="38">
        <f t="shared" si="1"/>
        <v>20</v>
      </c>
      <c r="J34" s="36"/>
      <c r="K34" s="40">
        <v>43709</v>
      </c>
      <c r="L34" s="41" t="s">
        <v>4242</v>
      </c>
      <c r="M34" s="42">
        <v>43703</v>
      </c>
      <c r="N34" s="43" t="s">
        <v>4243</v>
      </c>
      <c r="O34" s="42">
        <v>43709</v>
      </c>
      <c r="P34" s="41"/>
      <c r="Q34" s="36" t="s">
        <v>82</v>
      </c>
      <c r="R34" s="44" t="s">
        <v>4244</v>
      </c>
      <c r="S34" s="46"/>
    </row>
    <row r="35" spans="2:19" s="30" customFormat="1" ht="33" customHeight="1">
      <c r="B35" s="46" t="s">
        <v>220</v>
      </c>
      <c r="C35" s="35" t="s">
        <v>3353</v>
      </c>
      <c r="D35" s="36" t="s">
        <v>3354</v>
      </c>
      <c r="E35" s="37">
        <v>43637</v>
      </c>
      <c r="F35" s="36" t="s">
        <v>79</v>
      </c>
      <c r="G35" s="39">
        <v>20000</v>
      </c>
      <c r="H35" s="38">
        <f t="shared" si="0"/>
        <v>80</v>
      </c>
      <c r="I35" s="38">
        <f t="shared" si="1"/>
        <v>20</v>
      </c>
      <c r="J35" s="36"/>
      <c r="K35" s="40">
        <v>43716</v>
      </c>
      <c r="L35" s="41" t="s">
        <v>4245</v>
      </c>
      <c r="M35" s="42">
        <v>43710</v>
      </c>
      <c r="N35" s="43" t="s">
        <v>4246</v>
      </c>
      <c r="O35" s="42">
        <v>43716</v>
      </c>
      <c r="P35" s="41"/>
      <c r="Q35" s="36"/>
      <c r="R35" s="44" t="s">
        <v>4247</v>
      </c>
      <c r="S35" s="46"/>
    </row>
    <row r="36" spans="2:19" s="30" customFormat="1" ht="33" customHeight="1">
      <c r="B36" s="46" t="s">
        <v>78</v>
      </c>
      <c r="C36" s="35" t="s">
        <v>3356</v>
      </c>
      <c r="D36" s="36" t="s">
        <v>3357</v>
      </c>
      <c r="E36" s="37">
        <v>43637</v>
      </c>
      <c r="F36" s="36" t="s">
        <v>79</v>
      </c>
      <c r="G36" s="39">
        <v>20000</v>
      </c>
      <c r="H36" s="38">
        <f t="shared" si="0"/>
        <v>80</v>
      </c>
      <c r="I36" s="38">
        <f t="shared" si="1"/>
        <v>20</v>
      </c>
      <c r="J36" s="36"/>
      <c r="K36" s="40">
        <v>43723</v>
      </c>
      <c r="L36" s="41" t="s">
        <v>3555</v>
      </c>
      <c r="M36" s="42">
        <v>43717</v>
      </c>
      <c r="N36" s="43" t="s">
        <v>4248</v>
      </c>
      <c r="O36" s="42">
        <v>43723</v>
      </c>
      <c r="P36" s="41"/>
      <c r="Q36" s="36" t="s">
        <v>82</v>
      </c>
      <c r="R36" s="44" t="s">
        <v>4249</v>
      </c>
      <c r="S36" s="46"/>
    </row>
    <row r="37" spans="2:19" s="30" customFormat="1" ht="33" customHeight="1">
      <c r="B37" s="46" t="s">
        <v>78</v>
      </c>
      <c r="C37" s="35" t="s">
        <v>3359</v>
      </c>
      <c r="D37" s="36" t="s">
        <v>3360</v>
      </c>
      <c r="E37" s="37">
        <v>43637</v>
      </c>
      <c r="F37" s="36" t="s">
        <v>79</v>
      </c>
      <c r="G37" s="39">
        <v>20000</v>
      </c>
      <c r="H37" s="38">
        <f t="shared" si="0"/>
        <v>80</v>
      </c>
      <c r="I37" s="38">
        <f t="shared" si="1"/>
        <v>20</v>
      </c>
      <c r="J37" s="36"/>
      <c r="K37" s="40">
        <v>43737</v>
      </c>
      <c r="L37" s="41" t="s">
        <v>3556</v>
      </c>
      <c r="M37" s="42">
        <v>43728</v>
      </c>
      <c r="N37" s="43" t="s">
        <v>4250</v>
      </c>
      <c r="O37" s="42">
        <v>43737</v>
      </c>
      <c r="P37" s="41"/>
      <c r="Q37" s="36" t="s">
        <v>82</v>
      </c>
      <c r="R37" s="44" t="s">
        <v>4251</v>
      </c>
      <c r="S37" s="46"/>
    </row>
    <row r="38" spans="2:19" s="30" customFormat="1" ht="33" customHeight="1">
      <c r="B38" s="122" t="s">
        <v>220</v>
      </c>
      <c r="C38" s="126" t="s">
        <v>4252</v>
      </c>
      <c r="D38" s="127" t="s">
        <v>4253</v>
      </c>
      <c r="E38" s="128">
        <v>43665</v>
      </c>
      <c r="F38" s="127" t="s">
        <v>79</v>
      </c>
      <c r="G38" s="129">
        <v>20000</v>
      </c>
      <c r="H38" s="124">
        <f t="shared" si="0"/>
        <v>80</v>
      </c>
      <c r="I38" s="124">
        <f t="shared" si="1"/>
        <v>20</v>
      </c>
      <c r="J38" s="127"/>
      <c r="K38" s="130">
        <v>43744</v>
      </c>
      <c r="L38" s="119" t="s">
        <v>4473</v>
      </c>
      <c r="M38" s="120">
        <v>43738</v>
      </c>
      <c r="N38" s="121" t="s">
        <v>4466</v>
      </c>
      <c r="O38" s="120">
        <v>43744</v>
      </c>
      <c r="P38" s="119"/>
      <c r="Q38" s="127"/>
      <c r="R38" s="125" t="s">
        <v>4254</v>
      </c>
      <c r="S38" s="122"/>
    </row>
    <row r="39" spans="2:19" s="30" customFormat="1" ht="33" customHeight="1">
      <c r="B39" s="122" t="s">
        <v>78</v>
      </c>
      <c r="C39" s="126" t="s">
        <v>4255</v>
      </c>
      <c r="D39" s="127" t="s">
        <v>4256</v>
      </c>
      <c r="E39" s="128">
        <v>43665</v>
      </c>
      <c r="F39" s="127" t="s">
        <v>79</v>
      </c>
      <c r="G39" s="129">
        <v>20000</v>
      </c>
      <c r="H39" s="124">
        <f t="shared" si="0"/>
        <v>80</v>
      </c>
      <c r="I39" s="124">
        <f t="shared" si="1"/>
        <v>20</v>
      </c>
      <c r="J39" s="127"/>
      <c r="K39" s="130">
        <v>43744</v>
      </c>
      <c r="L39" s="119" t="s">
        <v>4473</v>
      </c>
      <c r="M39" s="120">
        <v>43738</v>
      </c>
      <c r="N39" s="121" t="s">
        <v>4466</v>
      </c>
      <c r="O39" s="120">
        <v>43744</v>
      </c>
      <c r="P39" s="119"/>
      <c r="Q39" s="127" t="s">
        <v>82</v>
      </c>
      <c r="R39" s="125" t="s">
        <v>4257</v>
      </c>
      <c r="S39" s="122"/>
    </row>
    <row r="40" spans="2:19" s="30" customFormat="1" ht="33" customHeight="1">
      <c r="B40" s="122" t="s">
        <v>78</v>
      </c>
      <c r="C40" s="126" t="s">
        <v>4258</v>
      </c>
      <c r="D40" s="127" t="s">
        <v>4259</v>
      </c>
      <c r="E40" s="128">
        <v>43665</v>
      </c>
      <c r="F40" s="127" t="s">
        <v>79</v>
      </c>
      <c r="G40" s="129">
        <v>20000</v>
      </c>
      <c r="H40" s="124">
        <f t="shared" si="0"/>
        <v>80</v>
      </c>
      <c r="I40" s="124">
        <f t="shared" si="1"/>
        <v>20</v>
      </c>
      <c r="J40" s="127"/>
      <c r="K40" s="130">
        <v>43758</v>
      </c>
      <c r="L40" s="119" t="s">
        <v>4484</v>
      </c>
      <c r="M40" s="120">
        <v>43749</v>
      </c>
      <c r="N40" s="121" t="s">
        <v>4467</v>
      </c>
      <c r="O40" s="120">
        <v>43758</v>
      </c>
      <c r="P40" s="119"/>
      <c r="Q40" s="127" t="s">
        <v>82</v>
      </c>
      <c r="R40" s="125" t="s">
        <v>4260</v>
      </c>
      <c r="S40" s="122"/>
    </row>
    <row r="41" spans="2:19" s="30" customFormat="1" ht="33" customHeight="1">
      <c r="B41" s="122" t="s">
        <v>78</v>
      </c>
      <c r="C41" s="126" t="s">
        <v>4261</v>
      </c>
      <c r="D41" s="127" t="s">
        <v>4262</v>
      </c>
      <c r="E41" s="128">
        <v>43665</v>
      </c>
      <c r="F41" s="127" t="s">
        <v>79</v>
      </c>
      <c r="G41" s="129">
        <v>20000</v>
      </c>
      <c r="H41" s="124">
        <f t="shared" si="0"/>
        <v>80</v>
      </c>
      <c r="I41" s="124">
        <f t="shared" si="1"/>
        <v>20</v>
      </c>
      <c r="J41" s="127"/>
      <c r="K41" s="130">
        <v>43765</v>
      </c>
      <c r="L41" s="119" t="s">
        <v>4474</v>
      </c>
      <c r="M41" s="120">
        <v>43759</v>
      </c>
      <c r="N41" s="121" t="s">
        <v>4468</v>
      </c>
      <c r="O41" s="120">
        <v>43765</v>
      </c>
      <c r="P41" s="119"/>
      <c r="Q41" s="127" t="s">
        <v>82</v>
      </c>
      <c r="R41" s="125" t="s">
        <v>4263</v>
      </c>
      <c r="S41" s="122"/>
    </row>
    <row r="42" spans="2:19" s="30" customFormat="1" ht="33" customHeight="1">
      <c r="B42" s="122" t="s">
        <v>220</v>
      </c>
      <c r="C42" s="126" t="s">
        <v>4264</v>
      </c>
      <c r="D42" s="127" t="s">
        <v>4265</v>
      </c>
      <c r="E42" s="128">
        <v>43665</v>
      </c>
      <c r="F42" s="127" t="s">
        <v>79</v>
      </c>
      <c r="G42" s="129">
        <v>20000</v>
      </c>
      <c r="H42" s="124">
        <f t="shared" si="0"/>
        <v>80</v>
      </c>
      <c r="I42" s="124">
        <f t="shared" si="1"/>
        <v>20</v>
      </c>
      <c r="J42" s="127"/>
      <c r="K42" s="130">
        <v>43765</v>
      </c>
      <c r="L42" s="119" t="s">
        <v>4474</v>
      </c>
      <c r="M42" s="120">
        <v>43759</v>
      </c>
      <c r="N42" s="121" t="s">
        <v>4468</v>
      </c>
      <c r="O42" s="120">
        <v>43765</v>
      </c>
      <c r="P42" s="119"/>
      <c r="Q42" s="127"/>
      <c r="R42" s="125" t="s">
        <v>4266</v>
      </c>
      <c r="S42" s="122"/>
    </row>
    <row r="43" spans="2:19" s="96" customFormat="1" ht="33" customHeight="1">
      <c r="B43" s="47" t="s">
        <v>17</v>
      </c>
      <c r="C43" s="48" t="s">
        <v>427</v>
      </c>
      <c r="D43" s="49" t="s">
        <v>4267</v>
      </c>
      <c r="E43" s="50">
        <v>43483</v>
      </c>
      <c r="F43" s="52" t="s">
        <v>84</v>
      </c>
      <c r="G43" s="51">
        <v>9200</v>
      </c>
      <c r="H43" s="52">
        <f t="shared" ref="H43:H69" si="2">SUM(G43/230)</f>
        <v>40</v>
      </c>
      <c r="I43" s="52">
        <f t="shared" si="1"/>
        <v>10</v>
      </c>
      <c r="J43" s="49"/>
      <c r="K43" s="53">
        <v>43576</v>
      </c>
      <c r="L43" s="54" t="s">
        <v>4268</v>
      </c>
      <c r="M43" s="55">
        <v>43571</v>
      </c>
      <c r="N43" s="56" t="s">
        <v>4269</v>
      </c>
      <c r="O43" s="55">
        <v>43576</v>
      </c>
      <c r="P43" s="58"/>
      <c r="Q43" s="52" t="s">
        <v>82</v>
      </c>
      <c r="R43" s="57" t="s">
        <v>4270</v>
      </c>
      <c r="S43" s="47"/>
    </row>
    <row r="44" spans="2:19" s="67" customFormat="1" ht="33" customHeight="1">
      <c r="B44" s="46" t="s">
        <v>17</v>
      </c>
      <c r="C44" s="35" t="s">
        <v>581</v>
      </c>
      <c r="D44" s="36" t="s">
        <v>582</v>
      </c>
      <c r="E44" s="37">
        <v>43519</v>
      </c>
      <c r="F44" s="38" t="s">
        <v>84</v>
      </c>
      <c r="G44" s="39">
        <v>9200</v>
      </c>
      <c r="H44" s="38">
        <f t="shared" si="2"/>
        <v>40</v>
      </c>
      <c r="I44" s="38">
        <f t="shared" si="1"/>
        <v>10</v>
      </c>
      <c r="J44" s="36"/>
      <c r="K44" s="40">
        <v>43632</v>
      </c>
      <c r="L44" s="41" t="s">
        <v>4271</v>
      </c>
      <c r="M44" s="42">
        <v>43620</v>
      </c>
      <c r="N44" s="43" t="s">
        <v>4272</v>
      </c>
      <c r="O44" s="42">
        <v>43625</v>
      </c>
      <c r="P44" s="45"/>
      <c r="Q44" s="38" t="s">
        <v>82</v>
      </c>
      <c r="R44" s="44" t="s">
        <v>4273</v>
      </c>
      <c r="S44" s="46"/>
    </row>
    <row r="45" spans="2:19" s="67" customFormat="1" ht="33" customHeight="1">
      <c r="B45" s="46" t="s">
        <v>17</v>
      </c>
      <c r="C45" s="35" t="s">
        <v>694</v>
      </c>
      <c r="D45" s="36" t="s">
        <v>695</v>
      </c>
      <c r="E45" s="37">
        <v>43532</v>
      </c>
      <c r="F45" s="38" t="s">
        <v>4274</v>
      </c>
      <c r="G45" s="39">
        <v>9200</v>
      </c>
      <c r="H45" s="38">
        <f t="shared" si="2"/>
        <v>40</v>
      </c>
      <c r="I45" s="38">
        <f t="shared" si="1"/>
        <v>10</v>
      </c>
      <c r="J45" s="36"/>
      <c r="K45" s="40">
        <v>43653</v>
      </c>
      <c r="L45" s="41" t="s">
        <v>1326</v>
      </c>
      <c r="M45" s="42">
        <v>43648</v>
      </c>
      <c r="N45" s="43" t="s">
        <v>2540</v>
      </c>
      <c r="O45" s="42">
        <v>43653</v>
      </c>
      <c r="P45" s="45"/>
      <c r="Q45" s="38" t="s">
        <v>82</v>
      </c>
      <c r="R45" s="44" t="s">
        <v>4275</v>
      </c>
      <c r="S45" s="46"/>
    </row>
    <row r="46" spans="2:19" s="67" customFormat="1" ht="33" customHeight="1">
      <c r="B46" s="46" t="s">
        <v>17</v>
      </c>
      <c r="C46" s="35" t="s">
        <v>2299</v>
      </c>
      <c r="D46" s="36" t="s">
        <v>2641</v>
      </c>
      <c r="E46" s="37">
        <v>43609</v>
      </c>
      <c r="F46" s="38" t="s">
        <v>4274</v>
      </c>
      <c r="G46" s="39">
        <v>2760</v>
      </c>
      <c r="H46" s="38">
        <f t="shared" si="2"/>
        <v>12</v>
      </c>
      <c r="I46" s="38">
        <f t="shared" si="1"/>
        <v>3</v>
      </c>
      <c r="J46" s="36"/>
      <c r="K46" s="40">
        <v>43653</v>
      </c>
      <c r="L46" s="41" t="s">
        <v>1326</v>
      </c>
      <c r="M46" s="42">
        <v>43648</v>
      </c>
      <c r="N46" s="43" t="s">
        <v>2540</v>
      </c>
      <c r="O46" s="42">
        <v>43653</v>
      </c>
      <c r="P46" s="45"/>
      <c r="Q46" s="38" t="s">
        <v>82</v>
      </c>
      <c r="R46" s="44" t="s">
        <v>4275</v>
      </c>
      <c r="S46" s="46"/>
    </row>
    <row r="47" spans="2:19" s="67" customFormat="1" ht="33" customHeight="1">
      <c r="B47" s="46" t="s">
        <v>17</v>
      </c>
      <c r="C47" s="35" t="s">
        <v>4276</v>
      </c>
      <c r="D47" s="36" t="s">
        <v>2300</v>
      </c>
      <c r="E47" s="37">
        <v>43602</v>
      </c>
      <c r="F47" s="38" t="s">
        <v>4274</v>
      </c>
      <c r="G47" s="39">
        <v>9200</v>
      </c>
      <c r="H47" s="38">
        <f t="shared" si="2"/>
        <v>40</v>
      </c>
      <c r="I47" s="38">
        <f t="shared" si="1"/>
        <v>10</v>
      </c>
      <c r="J47" s="36"/>
      <c r="K47" s="40">
        <v>43695</v>
      </c>
      <c r="L47" s="41" t="s">
        <v>4277</v>
      </c>
      <c r="M47" s="42">
        <v>43683</v>
      </c>
      <c r="N47" s="43" t="s">
        <v>4278</v>
      </c>
      <c r="O47" s="42">
        <v>43688</v>
      </c>
      <c r="P47" s="45"/>
      <c r="Q47" s="38" t="s">
        <v>82</v>
      </c>
      <c r="R47" s="44" t="s">
        <v>4279</v>
      </c>
      <c r="S47" s="46" t="s">
        <v>2764</v>
      </c>
    </row>
    <row r="48" spans="2:19" s="67" customFormat="1" ht="33" customHeight="1">
      <c r="B48" s="46" t="s">
        <v>17</v>
      </c>
      <c r="C48" s="35" t="s">
        <v>3702</v>
      </c>
      <c r="D48" s="36" t="s">
        <v>3703</v>
      </c>
      <c r="E48" s="37">
        <v>43643</v>
      </c>
      <c r="F48" s="38" t="s">
        <v>4274</v>
      </c>
      <c r="G48" s="39">
        <v>4600</v>
      </c>
      <c r="H48" s="38">
        <f t="shared" si="2"/>
        <v>20</v>
      </c>
      <c r="I48" s="38">
        <f t="shared" si="1"/>
        <v>5</v>
      </c>
      <c r="J48" s="36"/>
      <c r="K48" s="40">
        <v>43688</v>
      </c>
      <c r="L48" s="41" t="s">
        <v>4277</v>
      </c>
      <c r="M48" s="42">
        <v>43683</v>
      </c>
      <c r="N48" s="43" t="s">
        <v>4278</v>
      </c>
      <c r="O48" s="42">
        <v>43688</v>
      </c>
      <c r="P48" s="45"/>
      <c r="Q48" s="38" t="s">
        <v>82</v>
      </c>
      <c r="R48" s="44"/>
      <c r="S48" s="46"/>
    </row>
    <row r="49" spans="2:19" s="67" customFormat="1" ht="33" customHeight="1">
      <c r="B49" s="46" t="s">
        <v>17</v>
      </c>
      <c r="C49" s="35" t="s">
        <v>4280</v>
      </c>
      <c r="D49" s="36" t="s">
        <v>3377</v>
      </c>
      <c r="E49" s="37">
        <v>43637</v>
      </c>
      <c r="F49" s="38" t="s">
        <v>4274</v>
      </c>
      <c r="G49" s="39">
        <v>9200</v>
      </c>
      <c r="H49" s="38">
        <f t="shared" si="2"/>
        <v>40</v>
      </c>
      <c r="I49" s="38">
        <f t="shared" si="1"/>
        <v>10</v>
      </c>
      <c r="J49" s="36"/>
      <c r="K49" s="40">
        <v>43716</v>
      </c>
      <c r="L49" s="41" t="s">
        <v>4281</v>
      </c>
      <c r="M49" s="42">
        <v>43711</v>
      </c>
      <c r="N49" s="43" t="s">
        <v>4282</v>
      </c>
      <c r="O49" s="42">
        <v>43716</v>
      </c>
      <c r="P49" s="45"/>
      <c r="Q49" s="38"/>
      <c r="R49" s="44" t="s">
        <v>4283</v>
      </c>
      <c r="S49" s="46"/>
    </row>
    <row r="50" spans="2:19" s="67" customFormat="1" ht="33" customHeight="1">
      <c r="B50" s="46" t="s">
        <v>17</v>
      </c>
      <c r="C50" s="35" t="s">
        <v>4284</v>
      </c>
      <c r="D50" s="36" t="s">
        <v>3380</v>
      </c>
      <c r="E50" s="37">
        <v>43637</v>
      </c>
      <c r="F50" s="38" t="s">
        <v>4274</v>
      </c>
      <c r="G50" s="39">
        <v>9200</v>
      </c>
      <c r="H50" s="38">
        <f t="shared" si="2"/>
        <v>40</v>
      </c>
      <c r="I50" s="38">
        <f t="shared" si="1"/>
        <v>10</v>
      </c>
      <c r="J50" s="36"/>
      <c r="K50" s="40">
        <v>43744</v>
      </c>
      <c r="L50" s="41" t="s">
        <v>4285</v>
      </c>
      <c r="M50" s="42">
        <v>43739</v>
      </c>
      <c r="N50" s="43" t="s">
        <v>4286</v>
      </c>
      <c r="O50" s="42">
        <v>43744</v>
      </c>
      <c r="P50" s="45"/>
      <c r="Q50" s="38"/>
      <c r="R50" s="44" t="s">
        <v>4287</v>
      </c>
      <c r="S50" s="46"/>
    </row>
    <row r="51" spans="2:19" s="96" customFormat="1" ht="33" customHeight="1">
      <c r="B51" s="47" t="s">
        <v>81</v>
      </c>
      <c r="C51" s="48" t="s">
        <v>279</v>
      </c>
      <c r="D51" s="49" t="s">
        <v>4288</v>
      </c>
      <c r="E51" s="50">
        <v>43392</v>
      </c>
      <c r="F51" s="52" t="s">
        <v>84</v>
      </c>
      <c r="G51" s="51">
        <v>11960</v>
      </c>
      <c r="H51" s="52">
        <f t="shared" si="2"/>
        <v>52</v>
      </c>
      <c r="I51" s="52">
        <f t="shared" si="1"/>
        <v>13</v>
      </c>
      <c r="J51" s="52"/>
      <c r="K51" s="53">
        <v>43597</v>
      </c>
      <c r="L51" s="54" t="s">
        <v>4289</v>
      </c>
      <c r="M51" s="55">
        <v>43594</v>
      </c>
      <c r="N51" s="56" t="s">
        <v>4290</v>
      </c>
      <c r="O51" s="55">
        <v>43598</v>
      </c>
      <c r="P51" s="58" t="s">
        <v>4291</v>
      </c>
      <c r="Q51" s="47"/>
      <c r="R51" s="57" t="s">
        <v>4292</v>
      </c>
      <c r="S51" s="47"/>
    </row>
    <row r="52" spans="2:19" s="96" customFormat="1" ht="33" customHeight="1">
      <c r="B52" s="47" t="s">
        <v>81</v>
      </c>
      <c r="C52" s="48" t="s">
        <v>4293</v>
      </c>
      <c r="D52" s="49" t="s">
        <v>4288</v>
      </c>
      <c r="E52" s="50">
        <v>43392</v>
      </c>
      <c r="F52" s="52" t="s">
        <v>84</v>
      </c>
      <c r="G52" s="51">
        <v>1840</v>
      </c>
      <c r="H52" s="52">
        <f t="shared" si="2"/>
        <v>8</v>
      </c>
      <c r="I52" s="52">
        <f t="shared" si="1"/>
        <v>2</v>
      </c>
      <c r="J52" s="52"/>
      <c r="K52" s="53">
        <v>43597</v>
      </c>
      <c r="L52" s="54" t="s">
        <v>773</v>
      </c>
      <c r="M52" s="55">
        <v>43601</v>
      </c>
      <c r="N52" s="56" t="s">
        <v>4294</v>
      </c>
      <c r="O52" s="55">
        <v>43605</v>
      </c>
      <c r="P52" s="58" t="s">
        <v>4291</v>
      </c>
      <c r="Q52" s="47"/>
      <c r="R52" s="57" t="s">
        <v>4292</v>
      </c>
      <c r="S52" s="47" t="s">
        <v>1329</v>
      </c>
    </row>
    <row r="53" spans="2:19" s="96" customFormat="1" ht="33" customHeight="1">
      <c r="B53" s="47" t="s">
        <v>81</v>
      </c>
      <c r="C53" s="48" t="s">
        <v>318</v>
      </c>
      <c r="D53" s="49" t="s">
        <v>319</v>
      </c>
      <c r="E53" s="50">
        <v>43420</v>
      </c>
      <c r="F53" s="52" t="s">
        <v>4274</v>
      </c>
      <c r="G53" s="51">
        <v>17940</v>
      </c>
      <c r="H53" s="52">
        <f t="shared" si="2"/>
        <v>78</v>
      </c>
      <c r="I53" s="52">
        <f t="shared" si="1"/>
        <v>19.5</v>
      </c>
      <c r="J53" s="52"/>
      <c r="K53" s="53">
        <v>43576</v>
      </c>
      <c r="L53" s="54" t="s">
        <v>480</v>
      </c>
      <c r="M53" s="55">
        <v>43564</v>
      </c>
      <c r="N53" s="56" t="s">
        <v>4295</v>
      </c>
      <c r="O53" s="55">
        <v>43569</v>
      </c>
      <c r="P53" s="58"/>
      <c r="Q53" s="47"/>
      <c r="R53" s="57" t="s">
        <v>4296</v>
      </c>
      <c r="S53" s="47" t="s">
        <v>4297</v>
      </c>
    </row>
    <row r="54" spans="2:19" s="96" customFormat="1" ht="33" customHeight="1">
      <c r="B54" s="47" t="s">
        <v>81</v>
      </c>
      <c r="C54" s="48" t="s">
        <v>4298</v>
      </c>
      <c r="D54" s="49" t="s">
        <v>701</v>
      </c>
      <c r="E54" s="50">
        <v>43532</v>
      </c>
      <c r="F54" s="52" t="s">
        <v>4274</v>
      </c>
      <c r="G54" s="51">
        <v>13800</v>
      </c>
      <c r="H54" s="52">
        <f t="shared" si="2"/>
        <v>60</v>
      </c>
      <c r="I54" s="52">
        <f t="shared" si="1"/>
        <v>15</v>
      </c>
      <c r="J54" s="52"/>
      <c r="K54" s="53">
        <v>43615</v>
      </c>
      <c r="L54" s="54" t="s">
        <v>4299</v>
      </c>
      <c r="M54" s="55">
        <v>43613</v>
      </c>
      <c r="N54" s="56" t="s">
        <v>4300</v>
      </c>
      <c r="O54" s="55">
        <v>43618</v>
      </c>
      <c r="P54" s="58"/>
      <c r="Q54" s="47"/>
      <c r="R54" s="57" t="s">
        <v>4301</v>
      </c>
      <c r="S54" s="47"/>
    </row>
    <row r="55" spans="2:19" s="67" customFormat="1" ht="33" customHeight="1">
      <c r="B55" s="46" t="s">
        <v>81</v>
      </c>
      <c r="C55" s="35" t="s">
        <v>4302</v>
      </c>
      <c r="D55" s="36" t="s">
        <v>4303</v>
      </c>
      <c r="E55" s="37">
        <v>43532</v>
      </c>
      <c r="F55" s="38" t="s">
        <v>4274</v>
      </c>
      <c r="G55" s="39">
        <v>4600</v>
      </c>
      <c r="H55" s="38">
        <f t="shared" si="2"/>
        <v>20</v>
      </c>
      <c r="I55" s="38">
        <f t="shared" si="1"/>
        <v>5</v>
      </c>
      <c r="J55" s="38"/>
      <c r="K55" s="40">
        <v>43615</v>
      </c>
      <c r="L55" s="41" t="s">
        <v>4271</v>
      </c>
      <c r="M55" s="42">
        <v>43620</v>
      </c>
      <c r="N55" s="43" t="s">
        <v>4272</v>
      </c>
      <c r="O55" s="42">
        <v>43625</v>
      </c>
      <c r="P55" s="45"/>
      <c r="Q55" s="46"/>
      <c r="R55" s="44" t="s">
        <v>4301</v>
      </c>
      <c r="S55" s="46"/>
    </row>
    <row r="56" spans="2:19" s="67" customFormat="1" ht="33" customHeight="1">
      <c r="B56" s="46" t="s">
        <v>81</v>
      </c>
      <c r="C56" s="35" t="s">
        <v>702</v>
      </c>
      <c r="D56" s="36" t="s">
        <v>703</v>
      </c>
      <c r="E56" s="37">
        <v>43532</v>
      </c>
      <c r="F56" s="38" t="s">
        <v>4274</v>
      </c>
      <c r="G56" s="39">
        <v>9200</v>
      </c>
      <c r="H56" s="38">
        <f t="shared" si="2"/>
        <v>40</v>
      </c>
      <c r="I56" s="38">
        <f t="shared" si="1"/>
        <v>10</v>
      </c>
      <c r="J56" s="38"/>
      <c r="K56" s="40">
        <v>43632</v>
      </c>
      <c r="L56" s="41" t="s">
        <v>807</v>
      </c>
      <c r="M56" s="42">
        <v>43627</v>
      </c>
      <c r="N56" s="43" t="s">
        <v>808</v>
      </c>
      <c r="O56" s="42">
        <v>43632</v>
      </c>
      <c r="P56" s="45"/>
      <c r="Q56" s="46"/>
      <c r="R56" s="44" t="s">
        <v>4304</v>
      </c>
      <c r="S56" s="46"/>
    </row>
    <row r="57" spans="2:19" s="67" customFormat="1" ht="33" customHeight="1">
      <c r="B57" s="46" t="s">
        <v>81</v>
      </c>
      <c r="C57" s="35" t="s">
        <v>852</v>
      </c>
      <c r="D57" s="36" t="s">
        <v>1990</v>
      </c>
      <c r="E57" s="37">
        <v>43558</v>
      </c>
      <c r="F57" s="38" t="s">
        <v>4274</v>
      </c>
      <c r="G57" s="39">
        <v>9200</v>
      </c>
      <c r="H57" s="38">
        <f t="shared" si="2"/>
        <v>40</v>
      </c>
      <c r="I57" s="38">
        <f t="shared" si="1"/>
        <v>10</v>
      </c>
      <c r="J57" s="38"/>
      <c r="K57" s="40">
        <v>43639</v>
      </c>
      <c r="L57" s="41" t="s">
        <v>1083</v>
      </c>
      <c r="M57" s="42">
        <v>43634</v>
      </c>
      <c r="N57" s="43" t="s">
        <v>1084</v>
      </c>
      <c r="O57" s="42">
        <v>43639</v>
      </c>
      <c r="P57" s="45"/>
      <c r="Q57" s="46"/>
      <c r="R57" s="44" t="s">
        <v>4304</v>
      </c>
      <c r="S57" s="46"/>
    </row>
    <row r="58" spans="2:19" s="67" customFormat="1" ht="33" customHeight="1">
      <c r="B58" s="46" t="s">
        <v>81</v>
      </c>
      <c r="C58" s="35" t="s">
        <v>1435</v>
      </c>
      <c r="D58" s="36" t="s">
        <v>1436</v>
      </c>
      <c r="E58" s="37">
        <v>43574</v>
      </c>
      <c r="F58" s="38" t="s">
        <v>4274</v>
      </c>
      <c r="G58" s="39">
        <v>18400</v>
      </c>
      <c r="H58" s="38">
        <f t="shared" si="2"/>
        <v>80</v>
      </c>
      <c r="I58" s="38">
        <f t="shared" si="1"/>
        <v>20</v>
      </c>
      <c r="J58" s="38"/>
      <c r="K58" s="40">
        <v>43646</v>
      </c>
      <c r="L58" s="41" t="s">
        <v>4305</v>
      </c>
      <c r="M58" s="42">
        <v>43641</v>
      </c>
      <c r="N58" s="43" t="s">
        <v>4306</v>
      </c>
      <c r="O58" s="42">
        <v>43646</v>
      </c>
      <c r="P58" s="45"/>
      <c r="Q58" s="46"/>
      <c r="R58" s="44" t="s">
        <v>4307</v>
      </c>
      <c r="S58" s="46" t="s">
        <v>3251</v>
      </c>
    </row>
    <row r="59" spans="2:19" s="67" customFormat="1" ht="33" customHeight="1">
      <c r="B59" s="46" t="s">
        <v>81</v>
      </c>
      <c r="C59" s="35" t="s">
        <v>2322</v>
      </c>
      <c r="D59" s="36" t="s">
        <v>2323</v>
      </c>
      <c r="E59" s="37">
        <v>43602</v>
      </c>
      <c r="F59" s="38" t="s">
        <v>4274</v>
      </c>
      <c r="G59" s="39">
        <v>18400</v>
      </c>
      <c r="H59" s="38">
        <f t="shared" si="2"/>
        <v>80</v>
      </c>
      <c r="I59" s="38">
        <f t="shared" si="1"/>
        <v>20</v>
      </c>
      <c r="J59" s="38"/>
      <c r="K59" s="40">
        <v>43674</v>
      </c>
      <c r="L59" s="41" t="s">
        <v>2146</v>
      </c>
      <c r="M59" s="42">
        <v>43669</v>
      </c>
      <c r="N59" s="43" t="s">
        <v>2551</v>
      </c>
      <c r="O59" s="42">
        <v>43674</v>
      </c>
      <c r="P59" s="45"/>
      <c r="Q59" s="46"/>
      <c r="R59" s="44" t="s">
        <v>4308</v>
      </c>
      <c r="S59" s="46"/>
    </row>
    <row r="60" spans="2:19" s="67" customFormat="1" ht="33" customHeight="1">
      <c r="B60" s="46" t="s">
        <v>81</v>
      </c>
      <c r="C60" s="35" t="s">
        <v>2325</v>
      </c>
      <c r="D60" s="36" t="s">
        <v>2326</v>
      </c>
      <c r="E60" s="37">
        <v>43602</v>
      </c>
      <c r="F60" s="38" t="s">
        <v>4274</v>
      </c>
      <c r="G60" s="39">
        <v>10580</v>
      </c>
      <c r="H60" s="38">
        <f t="shared" si="2"/>
        <v>46</v>
      </c>
      <c r="I60" s="38">
        <f t="shared" si="1"/>
        <v>11.5</v>
      </c>
      <c r="J60" s="38"/>
      <c r="K60" s="40">
        <v>43681</v>
      </c>
      <c r="L60" s="41" t="s">
        <v>4309</v>
      </c>
      <c r="M60" s="42">
        <v>43676</v>
      </c>
      <c r="N60" s="43" t="s">
        <v>4310</v>
      </c>
      <c r="O60" s="42">
        <v>43681</v>
      </c>
      <c r="P60" s="45"/>
      <c r="Q60" s="46"/>
      <c r="R60" s="44" t="s">
        <v>4311</v>
      </c>
      <c r="S60" s="46" t="s">
        <v>3549</v>
      </c>
    </row>
    <row r="61" spans="2:19" s="67" customFormat="1" ht="33" customHeight="1">
      <c r="B61" s="46" t="s">
        <v>81</v>
      </c>
      <c r="C61" s="35" t="s">
        <v>3406</v>
      </c>
      <c r="D61" s="36" t="s">
        <v>3407</v>
      </c>
      <c r="E61" s="37">
        <v>43637</v>
      </c>
      <c r="F61" s="38" t="s">
        <v>4274</v>
      </c>
      <c r="G61" s="39">
        <v>12880</v>
      </c>
      <c r="H61" s="38">
        <f t="shared" si="2"/>
        <v>56</v>
      </c>
      <c r="I61" s="38">
        <f t="shared" si="1"/>
        <v>14</v>
      </c>
      <c r="J61" s="38"/>
      <c r="K61" s="40">
        <v>43723</v>
      </c>
      <c r="L61" s="41" t="s">
        <v>4312</v>
      </c>
      <c r="M61" s="42">
        <v>43718</v>
      </c>
      <c r="N61" s="43" t="s">
        <v>4313</v>
      </c>
      <c r="O61" s="42">
        <v>43723</v>
      </c>
      <c r="P61" s="45"/>
      <c r="Q61" s="46"/>
      <c r="R61" s="44" t="s">
        <v>4314</v>
      </c>
      <c r="S61" s="46"/>
    </row>
    <row r="62" spans="2:19" s="67" customFormat="1" ht="33" customHeight="1">
      <c r="B62" s="46" t="s">
        <v>81</v>
      </c>
      <c r="C62" s="35" t="s">
        <v>4315</v>
      </c>
      <c r="D62" s="36" t="s">
        <v>3407</v>
      </c>
      <c r="E62" s="37">
        <v>43637</v>
      </c>
      <c r="F62" s="38" t="s">
        <v>4274</v>
      </c>
      <c r="G62" s="39">
        <v>920</v>
      </c>
      <c r="H62" s="38">
        <f>SUM(G62/230)</f>
        <v>4</v>
      </c>
      <c r="I62" s="38">
        <v>1</v>
      </c>
      <c r="J62" s="38"/>
      <c r="K62" s="40">
        <v>43723</v>
      </c>
      <c r="L62" s="41" t="s">
        <v>4281</v>
      </c>
      <c r="M62" s="42">
        <v>43711</v>
      </c>
      <c r="N62" s="43" t="s">
        <v>4282</v>
      </c>
      <c r="O62" s="42">
        <v>43716</v>
      </c>
      <c r="P62" s="45"/>
      <c r="Q62" s="46"/>
      <c r="R62" s="44" t="s">
        <v>4314</v>
      </c>
      <c r="S62" s="46"/>
    </row>
    <row r="63" spans="2:19" s="67" customFormat="1" ht="33" customHeight="1">
      <c r="B63" s="46" t="s">
        <v>81</v>
      </c>
      <c r="C63" s="35" t="s">
        <v>3409</v>
      </c>
      <c r="D63" s="36" t="s">
        <v>3743</v>
      </c>
      <c r="E63" s="37">
        <v>43665</v>
      </c>
      <c r="F63" s="38" t="s">
        <v>4274</v>
      </c>
      <c r="G63" s="39">
        <v>9200</v>
      </c>
      <c r="H63" s="38">
        <f t="shared" si="2"/>
        <v>40</v>
      </c>
      <c r="I63" s="38">
        <f t="shared" si="1"/>
        <v>10</v>
      </c>
      <c r="J63" s="38"/>
      <c r="K63" s="40">
        <v>43667</v>
      </c>
      <c r="L63" s="41" t="s">
        <v>4316</v>
      </c>
      <c r="M63" s="42">
        <v>43662</v>
      </c>
      <c r="N63" s="43" t="s">
        <v>4317</v>
      </c>
      <c r="O63" s="42">
        <v>43667</v>
      </c>
      <c r="P63" s="45"/>
      <c r="Q63" s="46"/>
      <c r="R63" s="44"/>
      <c r="S63" s="46"/>
    </row>
    <row r="64" spans="2:19" s="67" customFormat="1" ht="33" customHeight="1">
      <c r="B64" s="122" t="s">
        <v>81</v>
      </c>
      <c r="C64" s="126" t="s">
        <v>4318</v>
      </c>
      <c r="D64" s="127" t="s">
        <v>4319</v>
      </c>
      <c r="E64" s="128">
        <v>43665</v>
      </c>
      <c r="F64" s="124" t="s">
        <v>4274</v>
      </c>
      <c r="G64" s="129">
        <v>9200</v>
      </c>
      <c r="H64" s="124">
        <f t="shared" si="2"/>
        <v>40</v>
      </c>
      <c r="I64" s="124">
        <f t="shared" si="1"/>
        <v>10</v>
      </c>
      <c r="J64" s="124"/>
      <c r="K64" s="130">
        <v>43751</v>
      </c>
      <c r="L64" s="119" t="s">
        <v>4476</v>
      </c>
      <c r="M64" s="120">
        <v>43746</v>
      </c>
      <c r="N64" s="121" t="s">
        <v>4469</v>
      </c>
      <c r="O64" s="120">
        <v>43751</v>
      </c>
      <c r="P64" s="123"/>
      <c r="Q64" s="122"/>
      <c r="R64" s="125" t="s">
        <v>4320</v>
      </c>
      <c r="S64" s="122"/>
    </row>
    <row r="65" spans="2:19" s="67" customFormat="1" ht="33" customHeight="1">
      <c r="B65" s="122" t="s">
        <v>81</v>
      </c>
      <c r="C65" s="126" t="s">
        <v>4321</v>
      </c>
      <c r="D65" s="127" t="s">
        <v>4322</v>
      </c>
      <c r="E65" s="128">
        <v>43665</v>
      </c>
      <c r="F65" s="124" t="s">
        <v>4274</v>
      </c>
      <c r="G65" s="129">
        <v>8740</v>
      </c>
      <c r="H65" s="124">
        <f t="shared" si="2"/>
        <v>38</v>
      </c>
      <c r="I65" s="124">
        <f t="shared" si="1"/>
        <v>9.5</v>
      </c>
      <c r="J65" s="124"/>
      <c r="K65" s="130">
        <v>43765</v>
      </c>
      <c r="L65" s="119" t="s">
        <v>4478</v>
      </c>
      <c r="M65" s="120">
        <v>43760</v>
      </c>
      <c r="N65" s="121" t="s">
        <v>4470</v>
      </c>
      <c r="O65" s="120">
        <v>43765</v>
      </c>
      <c r="P65" s="123"/>
      <c r="Q65" s="122"/>
      <c r="R65" s="125" t="s">
        <v>4323</v>
      </c>
      <c r="S65" s="122"/>
    </row>
    <row r="66" spans="2:19" s="96" customFormat="1" ht="33" customHeight="1">
      <c r="B66" s="47" t="s">
        <v>4324</v>
      </c>
      <c r="C66" s="48" t="s">
        <v>4325</v>
      </c>
      <c r="D66" s="49" t="s">
        <v>705</v>
      </c>
      <c r="E66" s="50">
        <v>43532</v>
      </c>
      <c r="F66" s="52" t="s">
        <v>4274</v>
      </c>
      <c r="G66" s="51">
        <v>920</v>
      </c>
      <c r="H66" s="52">
        <f t="shared" si="2"/>
        <v>4</v>
      </c>
      <c r="I66" s="52">
        <f t="shared" si="1"/>
        <v>1</v>
      </c>
      <c r="J66" s="52"/>
      <c r="K66" s="53">
        <v>43609</v>
      </c>
      <c r="L66" s="54" t="s">
        <v>773</v>
      </c>
      <c r="M66" s="55">
        <v>43601</v>
      </c>
      <c r="N66" s="56" t="s">
        <v>774</v>
      </c>
      <c r="O66" s="55">
        <v>43605</v>
      </c>
      <c r="P66" s="58"/>
      <c r="Q66" s="47"/>
      <c r="R66" s="57"/>
      <c r="S66" s="47" t="s">
        <v>4326</v>
      </c>
    </row>
    <row r="67" spans="2:19" s="96" customFormat="1" ht="33" customHeight="1">
      <c r="B67" s="47" t="s">
        <v>4327</v>
      </c>
      <c r="C67" s="48" t="s">
        <v>4325</v>
      </c>
      <c r="D67" s="49" t="s">
        <v>4328</v>
      </c>
      <c r="E67" s="50">
        <v>43511</v>
      </c>
      <c r="F67" s="52" t="s">
        <v>4274</v>
      </c>
      <c r="G67" s="51">
        <v>460</v>
      </c>
      <c r="H67" s="52">
        <f t="shared" si="2"/>
        <v>2</v>
      </c>
      <c r="I67" s="52">
        <f t="shared" si="1"/>
        <v>0.5</v>
      </c>
      <c r="J67" s="52"/>
      <c r="K67" s="53">
        <v>43576</v>
      </c>
      <c r="L67" s="54" t="s">
        <v>480</v>
      </c>
      <c r="M67" s="55">
        <v>43564</v>
      </c>
      <c r="N67" s="56" t="s">
        <v>646</v>
      </c>
      <c r="O67" s="55">
        <v>43569</v>
      </c>
      <c r="P67" s="58"/>
      <c r="Q67" s="47"/>
      <c r="R67" s="57" t="s">
        <v>4296</v>
      </c>
      <c r="S67" s="47"/>
    </row>
    <row r="68" spans="2:19" s="67" customFormat="1" ht="33" customHeight="1">
      <c r="B68" s="46" t="s">
        <v>4327</v>
      </c>
      <c r="C68" s="35" t="s">
        <v>2333</v>
      </c>
      <c r="D68" s="36" t="s">
        <v>2334</v>
      </c>
      <c r="E68" s="37">
        <v>43602</v>
      </c>
      <c r="F68" s="38" t="s">
        <v>4274</v>
      </c>
      <c r="G68" s="39">
        <v>460</v>
      </c>
      <c r="H68" s="38">
        <f t="shared" si="2"/>
        <v>2</v>
      </c>
      <c r="I68" s="38">
        <f t="shared" si="1"/>
        <v>0.5</v>
      </c>
      <c r="J68" s="38"/>
      <c r="K68" s="40">
        <v>43681</v>
      </c>
      <c r="L68" s="41" t="s">
        <v>4309</v>
      </c>
      <c r="M68" s="42">
        <v>43676</v>
      </c>
      <c r="N68" s="43" t="s">
        <v>4310</v>
      </c>
      <c r="O68" s="42">
        <v>43681</v>
      </c>
      <c r="P68" s="45"/>
      <c r="Q68" s="46"/>
      <c r="R68" s="44" t="s">
        <v>4311</v>
      </c>
      <c r="S68" s="46" t="s">
        <v>3549</v>
      </c>
    </row>
    <row r="69" spans="2:19" s="67" customFormat="1" ht="33" customHeight="1">
      <c r="B69" s="122" t="s">
        <v>4327</v>
      </c>
      <c r="C69" s="126" t="s">
        <v>4329</v>
      </c>
      <c r="D69" s="127" t="s">
        <v>4330</v>
      </c>
      <c r="E69" s="128">
        <v>43665</v>
      </c>
      <c r="F69" s="124" t="s">
        <v>4274</v>
      </c>
      <c r="G69" s="129">
        <v>460</v>
      </c>
      <c r="H69" s="124">
        <f t="shared" si="2"/>
        <v>2</v>
      </c>
      <c r="I69" s="124">
        <f t="shared" ref="I69" si="3">SUM(H69/4)</f>
        <v>0.5</v>
      </c>
      <c r="J69" s="124"/>
      <c r="K69" s="130">
        <v>43765</v>
      </c>
      <c r="L69" s="119" t="s">
        <v>4477</v>
      </c>
      <c r="M69" s="120">
        <v>43760</v>
      </c>
      <c r="N69" s="121" t="s">
        <v>4470</v>
      </c>
      <c r="O69" s="120">
        <v>43765</v>
      </c>
      <c r="P69" s="123"/>
      <c r="Q69" s="122"/>
      <c r="R69" s="125" t="s">
        <v>4323</v>
      </c>
      <c r="S69" s="122"/>
    </row>
    <row r="70" spans="2:19" s="33" customFormat="1" ht="33" customHeight="1">
      <c r="B70" s="47" t="s">
        <v>4331</v>
      </c>
      <c r="C70" s="48" t="s">
        <v>430</v>
      </c>
      <c r="D70" s="49" t="s">
        <v>470</v>
      </c>
      <c r="E70" s="50">
        <v>43473</v>
      </c>
      <c r="F70" s="52" t="s">
        <v>4274</v>
      </c>
      <c r="G70" s="51">
        <v>1920</v>
      </c>
      <c r="H70" s="52">
        <f t="shared" ref="H70:H80" si="4">SUM(G70/20)</f>
        <v>96</v>
      </c>
      <c r="I70" s="52">
        <f t="shared" ref="I70:I80" si="5">SUM(H70/32)</f>
        <v>3</v>
      </c>
      <c r="J70" s="59"/>
      <c r="K70" s="53">
        <v>43555</v>
      </c>
      <c r="L70" s="54" t="s">
        <v>480</v>
      </c>
      <c r="M70" s="55">
        <v>43564</v>
      </c>
      <c r="N70" s="56" t="s">
        <v>4295</v>
      </c>
      <c r="O70" s="55">
        <v>43569</v>
      </c>
      <c r="P70" s="58"/>
      <c r="Q70" s="60" t="s">
        <v>89</v>
      </c>
      <c r="R70" s="57" t="s">
        <v>4332</v>
      </c>
      <c r="S70" s="47"/>
    </row>
    <row r="71" spans="2:19" s="33" customFormat="1" ht="33" customHeight="1">
      <c r="B71" s="47" t="s">
        <v>4331</v>
      </c>
      <c r="C71" s="48" t="s">
        <v>519</v>
      </c>
      <c r="D71" s="49" t="s">
        <v>710</v>
      </c>
      <c r="E71" s="50">
        <v>43511</v>
      </c>
      <c r="F71" s="52" t="s">
        <v>4274</v>
      </c>
      <c r="G71" s="51">
        <v>640</v>
      </c>
      <c r="H71" s="52">
        <f t="shared" si="4"/>
        <v>32</v>
      </c>
      <c r="I71" s="52">
        <f t="shared" si="5"/>
        <v>1</v>
      </c>
      <c r="J71" s="59"/>
      <c r="K71" s="53">
        <v>43555</v>
      </c>
      <c r="L71" s="54" t="s">
        <v>608</v>
      </c>
      <c r="M71" s="55">
        <v>43557</v>
      </c>
      <c r="N71" s="56" t="s">
        <v>4333</v>
      </c>
      <c r="O71" s="55">
        <v>43562</v>
      </c>
      <c r="P71" s="58"/>
      <c r="Q71" s="60" t="s">
        <v>89</v>
      </c>
      <c r="R71" s="57" t="s">
        <v>4332</v>
      </c>
      <c r="S71" s="47"/>
    </row>
    <row r="72" spans="2:19" s="33" customFormat="1" ht="33" customHeight="1">
      <c r="B72" s="47" t="s">
        <v>4331</v>
      </c>
      <c r="C72" s="48" t="s">
        <v>520</v>
      </c>
      <c r="D72" s="49" t="s">
        <v>584</v>
      </c>
      <c r="E72" s="50">
        <v>43511</v>
      </c>
      <c r="F72" s="52" t="s">
        <v>4274</v>
      </c>
      <c r="G72" s="51">
        <v>1920</v>
      </c>
      <c r="H72" s="52">
        <f t="shared" si="4"/>
        <v>96</v>
      </c>
      <c r="I72" s="52">
        <f t="shared" si="5"/>
        <v>3</v>
      </c>
      <c r="J72" s="59"/>
      <c r="K72" s="53">
        <v>43576</v>
      </c>
      <c r="L72" s="54" t="s">
        <v>503</v>
      </c>
      <c r="M72" s="55">
        <v>43571</v>
      </c>
      <c r="N72" s="56" t="s">
        <v>4269</v>
      </c>
      <c r="O72" s="55">
        <v>43576</v>
      </c>
      <c r="P72" s="58"/>
      <c r="Q72" s="60" t="s">
        <v>89</v>
      </c>
      <c r="R72" s="57" t="s">
        <v>4334</v>
      </c>
      <c r="S72" s="47"/>
    </row>
    <row r="73" spans="2:19" s="33" customFormat="1" ht="33" customHeight="1">
      <c r="B73" s="47" t="s">
        <v>4331</v>
      </c>
      <c r="C73" s="48" t="s">
        <v>586</v>
      </c>
      <c r="D73" s="49" t="s">
        <v>640</v>
      </c>
      <c r="E73" s="50">
        <v>43519</v>
      </c>
      <c r="F73" s="52" t="s">
        <v>4274</v>
      </c>
      <c r="G73" s="51">
        <v>2560</v>
      </c>
      <c r="H73" s="52">
        <f t="shared" si="4"/>
        <v>128</v>
      </c>
      <c r="I73" s="52">
        <f t="shared" si="5"/>
        <v>4</v>
      </c>
      <c r="J73" s="59"/>
      <c r="K73" s="53">
        <v>43611</v>
      </c>
      <c r="L73" s="54" t="s">
        <v>773</v>
      </c>
      <c r="M73" s="55">
        <v>43601</v>
      </c>
      <c r="N73" s="56" t="s">
        <v>4294</v>
      </c>
      <c r="O73" s="55">
        <v>43605</v>
      </c>
      <c r="P73" s="58"/>
      <c r="Q73" s="60" t="s">
        <v>89</v>
      </c>
      <c r="R73" s="57" t="s">
        <v>4335</v>
      </c>
      <c r="S73" s="47" t="s">
        <v>980</v>
      </c>
    </row>
    <row r="74" spans="2:19" s="30" customFormat="1" ht="33" customHeight="1">
      <c r="B74" s="46" t="s">
        <v>4331</v>
      </c>
      <c r="C74" s="35" t="s">
        <v>713</v>
      </c>
      <c r="D74" s="36" t="s">
        <v>714</v>
      </c>
      <c r="E74" s="37">
        <v>43532</v>
      </c>
      <c r="F74" s="38" t="s">
        <v>4274</v>
      </c>
      <c r="G74" s="39">
        <v>1920</v>
      </c>
      <c r="H74" s="38">
        <f t="shared" si="4"/>
        <v>96</v>
      </c>
      <c r="I74" s="38">
        <f t="shared" si="5"/>
        <v>3</v>
      </c>
      <c r="J74" s="61"/>
      <c r="K74" s="40">
        <v>43639</v>
      </c>
      <c r="L74" s="41" t="s">
        <v>1083</v>
      </c>
      <c r="M74" s="42">
        <v>43634</v>
      </c>
      <c r="N74" s="43" t="s">
        <v>1084</v>
      </c>
      <c r="O74" s="42">
        <v>43639</v>
      </c>
      <c r="P74" s="45"/>
      <c r="Q74" s="62" t="s">
        <v>89</v>
      </c>
      <c r="R74" s="44" t="s">
        <v>4336</v>
      </c>
      <c r="S74" s="46"/>
    </row>
    <row r="75" spans="2:19" s="30" customFormat="1" ht="33" customHeight="1">
      <c r="B75" s="46" t="s">
        <v>4331</v>
      </c>
      <c r="C75" s="35" t="s">
        <v>1184</v>
      </c>
      <c r="D75" s="36" t="s">
        <v>1185</v>
      </c>
      <c r="E75" s="37">
        <v>43567</v>
      </c>
      <c r="F75" s="38" t="s">
        <v>4274</v>
      </c>
      <c r="G75" s="39">
        <v>2560</v>
      </c>
      <c r="H75" s="38">
        <f t="shared" si="4"/>
        <v>128</v>
      </c>
      <c r="I75" s="38">
        <f t="shared" si="5"/>
        <v>4</v>
      </c>
      <c r="J75" s="61"/>
      <c r="K75" s="40">
        <v>43653</v>
      </c>
      <c r="L75" s="41" t="s">
        <v>1326</v>
      </c>
      <c r="M75" s="42">
        <v>43648</v>
      </c>
      <c r="N75" s="43" t="s">
        <v>2540</v>
      </c>
      <c r="O75" s="42">
        <v>43653</v>
      </c>
      <c r="P75" s="45"/>
      <c r="Q75" s="62" t="s">
        <v>89</v>
      </c>
      <c r="R75" s="44" t="s">
        <v>4337</v>
      </c>
      <c r="S75" s="46"/>
    </row>
    <row r="76" spans="2:19" s="30" customFormat="1" ht="33" customHeight="1">
      <c r="B76" s="46" t="s">
        <v>4331</v>
      </c>
      <c r="C76" s="35" t="s">
        <v>4338</v>
      </c>
      <c r="D76" s="36" t="s">
        <v>2685</v>
      </c>
      <c r="E76" s="37">
        <v>43609</v>
      </c>
      <c r="F76" s="38" t="s">
        <v>4274</v>
      </c>
      <c r="G76" s="39">
        <v>1280</v>
      </c>
      <c r="H76" s="38">
        <f t="shared" si="4"/>
        <v>64</v>
      </c>
      <c r="I76" s="38">
        <f t="shared" si="5"/>
        <v>2</v>
      </c>
      <c r="J76" s="61"/>
      <c r="K76" s="40">
        <v>43653</v>
      </c>
      <c r="L76" s="41" t="s">
        <v>1326</v>
      </c>
      <c r="M76" s="42">
        <v>43648</v>
      </c>
      <c r="N76" s="43" t="s">
        <v>2540</v>
      </c>
      <c r="O76" s="42">
        <v>43653</v>
      </c>
      <c r="P76" s="45"/>
      <c r="Q76" s="62" t="s">
        <v>89</v>
      </c>
      <c r="R76" s="44" t="s">
        <v>4337</v>
      </c>
      <c r="S76" s="46"/>
    </row>
    <row r="77" spans="2:19" s="30" customFormat="1" ht="33" customHeight="1">
      <c r="B77" s="46" t="s">
        <v>4331</v>
      </c>
      <c r="C77" s="35" t="s">
        <v>2357</v>
      </c>
      <c r="D77" s="36" t="s">
        <v>2358</v>
      </c>
      <c r="E77" s="37">
        <v>43602</v>
      </c>
      <c r="F77" s="38" t="s">
        <v>4274</v>
      </c>
      <c r="G77" s="39">
        <v>2560</v>
      </c>
      <c r="H77" s="38">
        <f t="shared" si="4"/>
        <v>128</v>
      </c>
      <c r="I77" s="38">
        <f t="shared" si="5"/>
        <v>4</v>
      </c>
      <c r="J77" s="61"/>
      <c r="K77" s="40">
        <v>43674</v>
      </c>
      <c r="L77" s="41" t="s">
        <v>2146</v>
      </c>
      <c r="M77" s="42">
        <v>43669</v>
      </c>
      <c r="N77" s="43" t="s">
        <v>2551</v>
      </c>
      <c r="O77" s="42">
        <v>43674</v>
      </c>
      <c r="P77" s="45"/>
      <c r="Q77" s="62" t="s">
        <v>89</v>
      </c>
      <c r="R77" s="44" t="s">
        <v>4339</v>
      </c>
      <c r="S77" s="46"/>
    </row>
    <row r="78" spans="2:19" s="30" customFormat="1" ht="33" customHeight="1">
      <c r="B78" s="46" t="s">
        <v>4331</v>
      </c>
      <c r="C78" s="35" t="s">
        <v>2360</v>
      </c>
      <c r="D78" s="36" t="s">
        <v>4340</v>
      </c>
      <c r="E78" s="37">
        <v>43602</v>
      </c>
      <c r="F78" s="38" t="s">
        <v>4274</v>
      </c>
      <c r="G78" s="39">
        <v>2560</v>
      </c>
      <c r="H78" s="38">
        <f t="shared" si="4"/>
        <v>128</v>
      </c>
      <c r="I78" s="38">
        <f t="shared" si="5"/>
        <v>4</v>
      </c>
      <c r="J78" s="61"/>
      <c r="K78" s="40">
        <v>43695</v>
      </c>
      <c r="L78" s="41" t="s">
        <v>2505</v>
      </c>
      <c r="M78" s="42">
        <v>43683</v>
      </c>
      <c r="N78" s="43" t="s">
        <v>4278</v>
      </c>
      <c r="O78" s="42">
        <v>43688</v>
      </c>
      <c r="P78" s="45"/>
      <c r="Q78" s="62" t="s">
        <v>89</v>
      </c>
      <c r="R78" s="44" t="s">
        <v>4341</v>
      </c>
      <c r="S78" s="46"/>
    </row>
    <row r="79" spans="2:19" s="30" customFormat="1" ht="33" customHeight="1">
      <c r="B79" s="46" t="s">
        <v>4331</v>
      </c>
      <c r="C79" s="35" t="s">
        <v>3429</v>
      </c>
      <c r="D79" s="36" t="s">
        <v>3430</v>
      </c>
      <c r="E79" s="37">
        <v>43637</v>
      </c>
      <c r="F79" s="38" t="s">
        <v>4274</v>
      </c>
      <c r="G79" s="39">
        <v>3840</v>
      </c>
      <c r="H79" s="38">
        <f t="shared" si="4"/>
        <v>192</v>
      </c>
      <c r="I79" s="38">
        <f t="shared" si="5"/>
        <v>6</v>
      </c>
      <c r="J79" s="61"/>
      <c r="K79" s="40">
        <v>43723</v>
      </c>
      <c r="L79" s="41" t="s">
        <v>4312</v>
      </c>
      <c r="M79" s="42">
        <v>43718</v>
      </c>
      <c r="N79" s="43" t="s">
        <v>4313</v>
      </c>
      <c r="O79" s="42">
        <v>43723</v>
      </c>
      <c r="P79" s="45"/>
      <c r="Q79" s="62" t="s">
        <v>89</v>
      </c>
      <c r="R79" s="44" t="s">
        <v>4342</v>
      </c>
      <c r="S79" s="46"/>
    </row>
    <row r="80" spans="2:19" s="30" customFormat="1" ht="33" customHeight="1">
      <c r="B80" s="122" t="s">
        <v>4343</v>
      </c>
      <c r="C80" s="126" t="s">
        <v>4344</v>
      </c>
      <c r="D80" s="127" t="s">
        <v>4345</v>
      </c>
      <c r="E80" s="128">
        <v>43665</v>
      </c>
      <c r="F80" s="124" t="s">
        <v>4346</v>
      </c>
      <c r="G80" s="129">
        <v>3200</v>
      </c>
      <c r="H80" s="124">
        <f t="shared" si="4"/>
        <v>160</v>
      </c>
      <c r="I80" s="124">
        <f t="shared" si="5"/>
        <v>5</v>
      </c>
      <c r="J80" s="131"/>
      <c r="K80" s="130">
        <v>43758</v>
      </c>
      <c r="L80" s="119" t="s">
        <v>4480</v>
      </c>
      <c r="M80" s="120">
        <v>43753</v>
      </c>
      <c r="N80" s="121" t="s">
        <v>4471</v>
      </c>
      <c r="O80" s="120">
        <v>43758</v>
      </c>
      <c r="P80" s="123"/>
      <c r="Q80" s="132" t="s">
        <v>89</v>
      </c>
      <c r="R80" s="125" t="s">
        <v>4347</v>
      </c>
      <c r="S80" s="122"/>
    </row>
    <row r="81" spans="2:19" s="33" customFormat="1" ht="33" customHeight="1">
      <c r="B81" s="47" t="s">
        <v>38</v>
      </c>
      <c r="C81" s="48" t="s">
        <v>225</v>
      </c>
      <c r="D81" s="49" t="s">
        <v>587</v>
      </c>
      <c r="E81" s="50">
        <v>43519</v>
      </c>
      <c r="F81" s="52" t="s">
        <v>4348</v>
      </c>
      <c r="G81" s="64">
        <v>640</v>
      </c>
      <c r="H81" s="52">
        <f>SUBTOTAL(9,G81)/20</f>
        <v>32</v>
      </c>
      <c r="I81" s="52">
        <f>H81/32</f>
        <v>1</v>
      </c>
      <c r="J81" s="52"/>
      <c r="K81" s="53">
        <v>43583</v>
      </c>
      <c r="L81" s="54" t="s">
        <v>565</v>
      </c>
      <c r="M81" s="55">
        <v>43578</v>
      </c>
      <c r="N81" s="56" t="s">
        <v>4349</v>
      </c>
      <c r="O81" s="55">
        <v>43583</v>
      </c>
      <c r="P81" s="58"/>
      <c r="Q81" s="52"/>
      <c r="R81" s="63" t="s">
        <v>4292</v>
      </c>
      <c r="S81" s="47"/>
    </row>
    <row r="82" spans="2:19" s="30" customFormat="1" ht="33" customHeight="1">
      <c r="B82" s="46" t="s">
        <v>4485</v>
      </c>
      <c r="C82" s="35" t="s">
        <v>226</v>
      </c>
      <c r="D82" s="36" t="s">
        <v>1194</v>
      </c>
      <c r="E82" s="37">
        <v>43567</v>
      </c>
      <c r="F82" s="38" t="s">
        <v>4350</v>
      </c>
      <c r="G82" s="65">
        <v>640</v>
      </c>
      <c r="H82" s="38">
        <f>SUBTOTAL(9,G82)/20</f>
        <v>32</v>
      </c>
      <c r="I82" s="38">
        <f>H82/32</f>
        <v>1</v>
      </c>
      <c r="J82" s="38"/>
      <c r="K82" s="40">
        <v>43772</v>
      </c>
      <c r="L82" s="41" t="s">
        <v>4351</v>
      </c>
      <c r="M82" s="42">
        <v>43767</v>
      </c>
      <c r="N82" s="43" t="s">
        <v>4352</v>
      </c>
      <c r="O82" s="42">
        <v>43772</v>
      </c>
      <c r="P82" s="45"/>
      <c r="Q82" s="38"/>
      <c r="R82" s="66" t="s">
        <v>4353</v>
      </c>
      <c r="S82" s="46"/>
    </row>
    <row r="83" spans="2:19" s="33" customFormat="1" ht="33" customHeight="1">
      <c r="B83" s="47" t="s">
        <v>88</v>
      </c>
      <c r="C83" s="48" t="s">
        <v>431</v>
      </c>
      <c r="D83" s="49" t="s">
        <v>471</v>
      </c>
      <c r="E83" s="50">
        <v>43483</v>
      </c>
      <c r="F83" s="52" t="s">
        <v>4350</v>
      </c>
      <c r="G83" s="64">
        <v>760</v>
      </c>
      <c r="H83" s="52">
        <f t="shared" ref="H83:H90" si="6">SUBTOTAL(9,G83)/190</f>
        <v>4</v>
      </c>
      <c r="I83" s="52">
        <f t="shared" ref="I83:I90" si="7">H83/4</f>
        <v>1</v>
      </c>
      <c r="J83" s="52"/>
      <c r="K83" s="53">
        <v>43569</v>
      </c>
      <c r="L83" s="54" t="s">
        <v>417</v>
      </c>
      <c r="M83" s="55">
        <v>43564</v>
      </c>
      <c r="N83" s="56" t="s">
        <v>4295</v>
      </c>
      <c r="O83" s="55">
        <v>43569</v>
      </c>
      <c r="P83" s="58"/>
      <c r="Q83" s="52"/>
      <c r="R83" s="63" t="s">
        <v>4354</v>
      </c>
      <c r="S83" s="47"/>
    </row>
    <row r="84" spans="2:19" s="33" customFormat="1" ht="33" customHeight="1">
      <c r="B84" s="47" t="s">
        <v>88</v>
      </c>
      <c r="C84" s="48" t="s">
        <v>523</v>
      </c>
      <c r="D84" s="49" t="s">
        <v>588</v>
      </c>
      <c r="E84" s="50">
        <v>43511</v>
      </c>
      <c r="F84" s="52" t="s">
        <v>4350</v>
      </c>
      <c r="G84" s="64">
        <v>760</v>
      </c>
      <c r="H84" s="52">
        <f t="shared" si="6"/>
        <v>4</v>
      </c>
      <c r="I84" s="52">
        <f t="shared" si="7"/>
        <v>1</v>
      </c>
      <c r="J84" s="52"/>
      <c r="K84" s="53">
        <v>43583</v>
      </c>
      <c r="L84" s="54" t="s">
        <v>565</v>
      </c>
      <c r="M84" s="55">
        <v>43578</v>
      </c>
      <c r="N84" s="56" t="s">
        <v>4349</v>
      </c>
      <c r="O84" s="55">
        <v>43583</v>
      </c>
      <c r="P84" s="58"/>
      <c r="Q84" s="52"/>
      <c r="R84" s="63" t="s">
        <v>4355</v>
      </c>
      <c r="S84" s="47"/>
    </row>
    <row r="85" spans="2:19" s="33" customFormat="1" ht="33" customHeight="1">
      <c r="B85" s="47" t="s">
        <v>88</v>
      </c>
      <c r="C85" s="48" t="s">
        <v>589</v>
      </c>
      <c r="D85" s="49" t="s">
        <v>590</v>
      </c>
      <c r="E85" s="50">
        <v>43519</v>
      </c>
      <c r="F85" s="52" t="s">
        <v>4350</v>
      </c>
      <c r="G85" s="64">
        <v>760</v>
      </c>
      <c r="H85" s="52">
        <f t="shared" si="6"/>
        <v>4</v>
      </c>
      <c r="I85" s="52">
        <f t="shared" si="7"/>
        <v>1</v>
      </c>
      <c r="J85" s="52"/>
      <c r="K85" s="53">
        <v>43597</v>
      </c>
      <c r="L85" s="54" t="s">
        <v>4356</v>
      </c>
      <c r="M85" s="55">
        <v>43592</v>
      </c>
      <c r="N85" s="56" t="s">
        <v>2029</v>
      </c>
      <c r="O85" s="55">
        <v>43597</v>
      </c>
      <c r="P85" s="58"/>
      <c r="Q85" s="52"/>
      <c r="R85" s="63" t="s">
        <v>4357</v>
      </c>
      <c r="S85" s="47"/>
    </row>
    <row r="86" spans="2:19" s="30" customFormat="1" ht="33" customHeight="1">
      <c r="B86" s="46" t="s">
        <v>88</v>
      </c>
      <c r="C86" s="35" t="s">
        <v>4358</v>
      </c>
      <c r="D86" s="36" t="s">
        <v>1207</v>
      </c>
      <c r="E86" s="37">
        <v>43567</v>
      </c>
      <c r="F86" s="38" t="s">
        <v>4350</v>
      </c>
      <c r="G86" s="65">
        <v>760</v>
      </c>
      <c r="H86" s="38">
        <f t="shared" si="6"/>
        <v>4</v>
      </c>
      <c r="I86" s="38">
        <f t="shared" si="7"/>
        <v>1</v>
      </c>
      <c r="J86" s="38"/>
      <c r="K86" s="40">
        <v>43667</v>
      </c>
      <c r="L86" s="41" t="s">
        <v>4359</v>
      </c>
      <c r="M86" s="42">
        <v>43655</v>
      </c>
      <c r="N86" s="43" t="s">
        <v>4360</v>
      </c>
      <c r="O86" s="42">
        <v>43660</v>
      </c>
      <c r="P86" s="45"/>
      <c r="Q86" s="38"/>
      <c r="R86" s="66" t="s">
        <v>4361</v>
      </c>
      <c r="S86" s="46" t="s">
        <v>980</v>
      </c>
    </row>
    <row r="87" spans="2:19" s="30" customFormat="1" ht="33" customHeight="1">
      <c r="B87" s="46" t="s">
        <v>88</v>
      </c>
      <c r="C87" s="35" t="s">
        <v>2079</v>
      </c>
      <c r="D87" s="36" t="s">
        <v>4362</v>
      </c>
      <c r="E87" s="37">
        <v>43602</v>
      </c>
      <c r="F87" s="38" t="s">
        <v>4350</v>
      </c>
      <c r="G87" s="65">
        <v>760</v>
      </c>
      <c r="H87" s="38">
        <f t="shared" si="6"/>
        <v>4</v>
      </c>
      <c r="I87" s="38">
        <f t="shared" si="7"/>
        <v>1</v>
      </c>
      <c r="J87" s="38"/>
      <c r="K87" s="40">
        <v>43667</v>
      </c>
      <c r="L87" s="41" t="s">
        <v>4359</v>
      </c>
      <c r="M87" s="42">
        <v>43655</v>
      </c>
      <c r="N87" s="43" t="s">
        <v>4360</v>
      </c>
      <c r="O87" s="42">
        <v>43660</v>
      </c>
      <c r="P87" s="45"/>
      <c r="Q87" s="38"/>
      <c r="R87" s="66" t="s">
        <v>4361</v>
      </c>
      <c r="S87" s="46" t="s">
        <v>980</v>
      </c>
    </row>
    <row r="88" spans="2:19" s="30" customFormat="1" ht="33" customHeight="1">
      <c r="B88" s="46" t="s">
        <v>88</v>
      </c>
      <c r="C88" s="35" t="s">
        <v>2378</v>
      </c>
      <c r="D88" s="36" t="s">
        <v>2379</v>
      </c>
      <c r="E88" s="37">
        <v>43602</v>
      </c>
      <c r="F88" s="38" t="s">
        <v>4350</v>
      </c>
      <c r="G88" s="65">
        <v>760</v>
      </c>
      <c r="H88" s="38">
        <f t="shared" si="6"/>
        <v>4</v>
      </c>
      <c r="I88" s="38">
        <f t="shared" si="7"/>
        <v>1</v>
      </c>
      <c r="J88" s="38"/>
      <c r="K88" s="40">
        <v>43702</v>
      </c>
      <c r="L88" s="41" t="s">
        <v>4363</v>
      </c>
      <c r="M88" s="42">
        <v>43697</v>
      </c>
      <c r="N88" s="43" t="s">
        <v>4364</v>
      </c>
      <c r="O88" s="42">
        <v>43702</v>
      </c>
      <c r="P88" s="45"/>
      <c r="Q88" s="38"/>
      <c r="R88" s="66" t="s">
        <v>4365</v>
      </c>
      <c r="S88" s="46"/>
    </row>
    <row r="89" spans="2:19" s="30" customFormat="1" ht="33" customHeight="1">
      <c r="B89" s="46" t="s">
        <v>88</v>
      </c>
      <c r="C89" s="35" t="s">
        <v>2430</v>
      </c>
      <c r="D89" s="36" t="s">
        <v>3457</v>
      </c>
      <c r="E89" s="37">
        <v>43637</v>
      </c>
      <c r="F89" s="38" t="s">
        <v>4350</v>
      </c>
      <c r="G89" s="65">
        <v>760</v>
      </c>
      <c r="H89" s="38">
        <f t="shared" si="6"/>
        <v>4</v>
      </c>
      <c r="I89" s="38">
        <f t="shared" si="7"/>
        <v>1</v>
      </c>
      <c r="J89" s="38"/>
      <c r="K89" s="40">
        <v>43731</v>
      </c>
      <c r="L89" s="41" t="s">
        <v>4366</v>
      </c>
      <c r="M89" s="42">
        <v>43725</v>
      </c>
      <c r="N89" s="43" t="s">
        <v>4367</v>
      </c>
      <c r="O89" s="42">
        <v>43730</v>
      </c>
      <c r="P89" s="45"/>
      <c r="Q89" s="38"/>
      <c r="R89" s="66" t="s">
        <v>4368</v>
      </c>
      <c r="S89" s="46"/>
    </row>
    <row r="90" spans="2:19" s="30" customFormat="1" ht="33" customHeight="1">
      <c r="B90" s="46" t="s">
        <v>4486</v>
      </c>
      <c r="C90" s="35" t="s">
        <v>2527</v>
      </c>
      <c r="D90" s="36" t="s">
        <v>4369</v>
      </c>
      <c r="E90" s="37">
        <v>43657</v>
      </c>
      <c r="F90" s="38" t="s">
        <v>4350</v>
      </c>
      <c r="G90" s="65">
        <v>760</v>
      </c>
      <c r="H90" s="38">
        <f t="shared" si="6"/>
        <v>4</v>
      </c>
      <c r="I90" s="38">
        <f t="shared" si="7"/>
        <v>1</v>
      </c>
      <c r="J90" s="38"/>
      <c r="K90" s="40">
        <v>43772</v>
      </c>
      <c r="L90" s="41" t="s">
        <v>4351</v>
      </c>
      <c r="M90" s="42">
        <v>43767</v>
      </c>
      <c r="N90" s="43" t="s">
        <v>4352</v>
      </c>
      <c r="O90" s="42">
        <v>43772</v>
      </c>
      <c r="P90" s="45"/>
      <c r="Q90" s="38"/>
      <c r="R90" s="66" t="s">
        <v>4370</v>
      </c>
      <c r="S90" s="46"/>
    </row>
    <row r="91" spans="2:19" s="33" customFormat="1" ht="33" customHeight="1">
      <c r="B91" s="47" t="s">
        <v>83</v>
      </c>
      <c r="C91" s="48" t="s">
        <v>244</v>
      </c>
      <c r="D91" s="49" t="s">
        <v>722</v>
      </c>
      <c r="E91" s="50">
        <v>43483</v>
      </c>
      <c r="F91" s="52" t="s">
        <v>77</v>
      </c>
      <c r="G91" s="51">
        <v>6720</v>
      </c>
      <c r="H91" s="52">
        <f t="shared" ref="H91:H96" si="8">SUM(G91/240)</f>
        <v>28</v>
      </c>
      <c r="I91" s="52">
        <f t="shared" ref="I91:I97" si="9">SUM(H91/4)</f>
        <v>7</v>
      </c>
      <c r="J91" s="52"/>
      <c r="K91" s="53">
        <v>43569</v>
      </c>
      <c r="L91" s="54" t="s">
        <v>480</v>
      </c>
      <c r="M91" s="55">
        <v>43564</v>
      </c>
      <c r="N91" s="56" t="s">
        <v>646</v>
      </c>
      <c r="O91" s="55">
        <v>43569</v>
      </c>
      <c r="P91" s="58" t="s">
        <v>4371</v>
      </c>
      <c r="Q91" s="52"/>
      <c r="R91" s="118" t="s">
        <v>4372</v>
      </c>
      <c r="S91" s="47"/>
    </row>
    <row r="92" spans="2:19" s="33" customFormat="1" ht="33" customHeight="1">
      <c r="B92" s="47" t="s">
        <v>83</v>
      </c>
      <c r="C92" s="48" t="s">
        <v>4373</v>
      </c>
      <c r="D92" s="49" t="s">
        <v>472</v>
      </c>
      <c r="E92" s="50">
        <v>43483</v>
      </c>
      <c r="F92" s="52" t="s">
        <v>77</v>
      </c>
      <c r="G92" s="51">
        <v>5760</v>
      </c>
      <c r="H92" s="52">
        <f t="shared" si="8"/>
        <v>24</v>
      </c>
      <c r="I92" s="52">
        <f t="shared" si="9"/>
        <v>6</v>
      </c>
      <c r="J92" s="52"/>
      <c r="K92" s="53">
        <v>43583</v>
      </c>
      <c r="L92" s="54" t="s">
        <v>448</v>
      </c>
      <c r="M92" s="55">
        <v>43578</v>
      </c>
      <c r="N92" s="56" t="s">
        <v>4349</v>
      </c>
      <c r="O92" s="55">
        <v>43583</v>
      </c>
      <c r="P92" s="58" t="s">
        <v>4374</v>
      </c>
      <c r="Q92" s="52"/>
      <c r="R92" s="118" t="s">
        <v>4372</v>
      </c>
      <c r="S92" s="47"/>
    </row>
    <row r="93" spans="2:19" s="33" customFormat="1" ht="33" customHeight="1">
      <c r="B93" s="47" t="s">
        <v>83</v>
      </c>
      <c r="C93" s="48" t="s">
        <v>258</v>
      </c>
      <c r="D93" s="49" t="s">
        <v>591</v>
      </c>
      <c r="E93" s="50">
        <v>43519</v>
      </c>
      <c r="F93" s="52" t="s">
        <v>77</v>
      </c>
      <c r="G93" s="51">
        <v>5760</v>
      </c>
      <c r="H93" s="52">
        <f t="shared" si="8"/>
        <v>24</v>
      </c>
      <c r="I93" s="52">
        <f t="shared" si="9"/>
        <v>6</v>
      </c>
      <c r="J93" s="52"/>
      <c r="K93" s="53">
        <v>43605</v>
      </c>
      <c r="L93" s="54" t="s">
        <v>4375</v>
      </c>
      <c r="M93" s="55">
        <v>43601</v>
      </c>
      <c r="N93" s="56" t="s">
        <v>4294</v>
      </c>
      <c r="O93" s="55">
        <v>43605</v>
      </c>
      <c r="P93" s="58" t="s">
        <v>4376</v>
      </c>
      <c r="Q93" s="52"/>
      <c r="R93" s="118" t="s">
        <v>4377</v>
      </c>
      <c r="S93" s="47"/>
    </row>
    <row r="94" spans="2:19" s="30" customFormat="1" ht="33" customHeight="1">
      <c r="B94" s="46" t="s">
        <v>83</v>
      </c>
      <c r="C94" s="35" t="s">
        <v>321</v>
      </c>
      <c r="D94" s="36" t="s">
        <v>727</v>
      </c>
      <c r="E94" s="37">
        <v>43532</v>
      </c>
      <c r="F94" s="38" t="s">
        <v>77</v>
      </c>
      <c r="G94" s="39">
        <v>6720</v>
      </c>
      <c r="H94" s="38">
        <f t="shared" si="8"/>
        <v>28</v>
      </c>
      <c r="I94" s="38">
        <f t="shared" si="9"/>
        <v>7</v>
      </c>
      <c r="J94" s="38"/>
      <c r="K94" s="40">
        <v>43633</v>
      </c>
      <c r="L94" s="41" t="s">
        <v>807</v>
      </c>
      <c r="M94" s="42">
        <v>43627</v>
      </c>
      <c r="N94" s="43" t="s">
        <v>808</v>
      </c>
      <c r="O94" s="42">
        <v>43632</v>
      </c>
      <c r="P94" s="45"/>
      <c r="Q94" s="38"/>
      <c r="R94" s="115" t="s">
        <v>4378</v>
      </c>
      <c r="S94" s="46"/>
    </row>
    <row r="95" spans="2:19" s="30" customFormat="1" ht="33" customHeight="1">
      <c r="B95" s="46" t="s">
        <v>83</v>
      </c>
      <c r="C95" s="35" t="s">
        <v>324</v>
      </c>
      <c r="D95" s="36" t="s">
        <v>1234</v>
      </c>
      <c r="E95" s="37">
        <v>43567</v>
      </c>
      <c r="F95" s="38" t="s">
        <v>77</v>
      </c>
      <c r="G95" s="39">
        <v>5760</v>
      </c>
      <c r="H95" s="38">
        <f t="shared" si="8"/>
        <v>24</v>
      </c>
      <c r="I95" s="38">
        <f t="shared" si="9"/>
        <v>6</v>
      </c>
      <c r="J95" s="38"/>
      <c r="K95" s="40">
        <v>43674</v>
      </c>
      <c r="L95" s="41" t="s">
        <v>4379</v>
      </c>
      <c r="M95" s="42">
        <v>43669</v>
      </c>
      <c r="N95" s="43" t="s">
        <v>4380</v>
      </c>
      <c r="O95" s="42">
        <v>43674</v>
      </c>
      <c r="P95" s="45"/>
      <c r="Q95" s="38"/>
      <c r="R95" s="115" t="s">
        <v>4381</v>
      </c>
      <c r="S95" s="46"/>
    </row>
    <row r="96" spans="2:19" s="30" customFormat="1" ht="33" customHeight="1">
      <c r="B96" s="46" t="s">
        <v>83</v>
      </c>
      <c r="C96" s="35" t="s">
        <v>430</v>
      </c>
      <c r="D96" s="36" t="s">
        <v>2696</v>
      </c>
      <c r="E96" s="37">
        <v>43609</v>
      </c>
      <c r="F96" s="38" t="s">
        <v>77</v>
      </c>
      <c r="G96" s="39">
        <v>7680</v>
      </c>
      <c r="H96" s="38">
        <f t="shared" si="8"/>
        <v>32</v>
      </c>
      <c r="I96" s="38">
        <f t="shared" si="9"/>
        <v>8</v>
      </c>
      <c r="J96" s="38"/>
      <c r="K96" s="40">
        <v>43702</v>
      </c>
      <c r="L96" s="41" t="s">
        <v>2509</v>
      </c>
      <c r="M96" s="42">
        <v>43697</v>
      </c>
      <c r="N96" s="43" t="s">
        <v>2498</v>
      </c>
      <c r="O96" s="42">
        <v>43702</v>
      </c>
      <c r="P96" s="45"/>
      <c r="Q96" s="38"/>
      <c r="R96" s="115" t="s">
        <v>4382</v>
      </c>
      <c r="S96" s="46"/>
    </row>
    <row r="97" spans="2:19" s="30" customFormat="1" ht="33" customHeight="1">
      <c r="B97" s="46" t="s">
        <v>4383</v>
      </c>
      <c r="C97" s="35" t="s">
        <v>519</v>
      </c>
      <c r="D97" s="36" t="s">
        <v>3473</v>
      </c>
      <c r="E97" s="37">
        <v>43637</v>
      </c>
      <c r="F97" s="38" t="s">
        <v>77</v>
      </c>
      <c r="G97" s="39">
        <v>9600</v>
      </c>
      <c r="H97" s="38">
        <f t="shared" ref="H97" si="10">SUM(G97/240)</f>
        <v>40</v>
      </c>
      <c r="I97" s="38">
        <f t="shared" si="9"/>
        <v>10</v>
      </c>
      <c r="J97" s="38"/>
      <c r="K97" s="40">
        <v>43716</v>
      </c>
      <c r="L97" s="41" t="s">
        <v>4281</v>
      </c>
      <c r="M97" s="42">
        <v>43711</v>
      </c>
      <c r="N97" s="43" t="s">
        <v>4282</v>
      </c>
      <c r="O97" s="42">
        <v>43716</v>
      </c>
      <c r="P97" s="45"/>
      <c r="Q97" s="38"/>
      <c r="R97" s="115" t="s">
        <v>4384</v>
      </c>
      <c r="S97" s="46"/>
    </row>
    <row r="98" spans="2:19" s="30" customFormat="1" ht="33" customHeight="1">
      <c r="B98" s="122" t="s">
        <v>4385</v>
      </c>
      <c r="C98" s="126" t="s">
        <v>520</v>
      </c>
      <c r="D98" s="127" t="s">
        <v>4386</v>
      </c>
      <c r="E98" s="128">
        <v>43665</v>
      </c>
      <c r="F98" s="124" t="s">
        <v>77</v>
      </c>
      <c r="G98" s="129">
        <v>5760</v>
      </c>
      <c r="H98" s="124">
        <f t="shared" ref="H98" si="11">SUM(G98/240)</f>
        <v>24</v>
      </c>
      <c r="I98" s="124">
        <f t="shared" ref="I98" si="12">SUM(H98/4)</f>
        <v>6</v>
      </c>
      <c r="J98" s="124"/>
      <c r="K98" s="130">
        <v>43765</v>
      </c>
      <c r="L98" s="119" t="s">
        <v>4477</v>
      </c>
      <c r="M98" s="120">
        <v>43760</v>
      </c>
      <c r="N98" s="121" t="s">
        <v>4470</v>
      </c>
      <c r="O98" s="120">
        <v>43765</v>
      </c>
      <c r="P98" s="123"/>
      <c r="Q98" s="124"/>
      <c r="R98" s="133" t="s">
        <v>4387</v>
      </c>
      <c r="S98" s="122"/>
    </row>
    <row r="99" spans="2:19" s="34" customFormat="1" ht="33" customHeight="1">
      <c r="B99" s="47" t="s">
        <v>210</v>
      </c>
      <c r="C99" s="48" t="s">
        <v>226</v>
      </c>
      <c r="D99" s="49" t="s">
        <v>593</v>
      </c>
      <c r="E99" s="50">
        <v>43483</v>
      </c>
      <c r="F99" s="52" t="s">
        <v>218</v>
      </c>
      <c r="G99" s="51">
        <v>640</v>
      </c>
      <c r="H99" s="52">
        <f t="shared" ref="H99:H129" si="13">SUM(G99/20)</f>
        <v>32</v>
      </c>
      <c r="I99" s="52">
        <f t="shared" ref="I99:I129" si="14">SUM(H99/32)</f>
        <v>1</v>
      </c>
      <c r="J99" s="52"/>
      <c r="K99" s="53">
        <v>43534</v>
      </c>
      <c r="L99" s="54" t="s">
        <v>4388</v>
      </c>
      <c r="M99" s="55"/>
      <c r="N99" s="56"/>
      <c r="O99" s="55">
        <v>43520</v>
      </c>
      <c r="P99" s="58" t="s">
        <v>651</v>
      </c>
      <c r="Q99" s="52"/>
      <c r="R99" s="63" t="s">
        <v>211</v>
      </c>
      <c r="S99" s="52"/>
    </row>
    <row r="100" spans="2:19" s="34" customFormat="1" ht="33" customHeight="1">
      <c r="B100" s="47" t="s">
        <v>210</v>
      </c>
      <c r="C100" s="48" t="s">
        <v>285</v>
      </c>
      <c r="D100" s="49" t="s">
        <v>526</v>
      </c>
      <c r="E100" s="50">
        <v>43507</v>
      </c>
      <c r="F100" s="52" t="s">
        <v>218</v>
      </c>
      <c r="G100" s="51">
        <v>3200</v>
      </c>
      <c r="H100" s="52">
        <f t="shared" si="13"/>
        <v>160</v>
      </c>
      <c r="I100" s="52">
        <f t="shared" si="14"/>
        <v>5</v>
      </c>
      <c r="J100" s="52"/>
      <c r="K100" s="53">
        <v>43576</v>
      </c>
      <c r="L100" s="54" t="s">
        <v>503</v>
      </c>
      <c r="M100" s="55">
        <v>43571</v>
      </c>
      <c r="N100" s="56" t="s">
        <v>4269</v>
      </c>
      <c r="O100" s="55">
        <v>43576</v>
      </c>
      <c r="P100" s="58"/>
      <c r="Q100" s="52" t="s">
        <v>643</v>
      </c>
      <c r="R100" s="63" t="s">
        <v>211</v>
      </c>
      <c r="S100" s="52"/>
    </row>
    <row r="101" spans="2:19" s="34" customFormat="1" ht="33" customHeight="1">
      <c r="B101" s="47" t="s">
        <v>210</v>
      </c>
      <c r="C101" s="48" t="s">
        <v>4389</v>
      </c>
      <c r="D101" s="49" t="s">
        <v>526</v>
      </c>
      <c r="E101" s="50">
        <v>43507</v>
      </c>
      <c r="F101" s="52" t="s">
        <v>218</v>
      </c>
      <c r="G101" s="51">
        <v>640</v>
      </c>
      <c r="H101" s="52">
        <f t="shared" si="13"/>
        <v>32</v>
      </c>
      <c r="I101" s="52">
        <f t="shared" si="14"/>
        <v>1</v>
      </c>
      <c r="J101" s="52"/>
      <c r="K101" s="53">
        <v>43576</v>
      </c>
      <c r="L101" s="54" t="s">
        <v>448</v>
      </c>
      <c r="M101" s="55">
        <v>43578</v>
      </c>
      <c r="N101" s="56" t="s">
        <v>4349</v>
      </c>
      <c r="O101" s="55">
        <v>43583</v>
      </c>
      <c r="P101" s="58"/>
      <c r="Q101" s="52" t="s">
        <v>643</v>
      </c>
      <c r="R101" s="63" t="s">
        <v>211</v>
      </c>
      <c r="S101" s="52"/>
    </row>
    <row r="102" spans="2:19" s="34" customFormat="1" ht="33" customHeight="1">
      <c r="B102" s="47" t="s">
        <v>210</v>
      </c>
      <c r="C102" s="48" t="s">
        <v>331</v>
      </c>
      <c r="D102" s="49" t="s">
        <v>4390</v>
      </c>
      <c r="E102" s="50">
        <v>43519</v>
      </c>
      <c r="F102" s="52" t="s">
        <v>218</v>
      </c>
      <c r="G102" s="51">
        <v>3200</v>
      </c>
      <c r="H102" s="52">
        <f t="shared" si="13"/>
        <v>160</v>
      </c>
      <c r="I102" s="52">
        <f t="shared" si="14"/>
        <v>5</v>
      </c>
      <c r="J102" s="52"/>
      <c r="K102" s="53">
        <v>43562</v>
      </c>
      <c r="L102" s="54" t="s">
        <v>608</v>
      </c>
      <c r="M102" s="55">
        <v>43557</v>
      </c>
      <c r="N102" s="56" t="s">
        <v>4333</v>
      </c>
      <c r="O102" s="55">
        <v>43562</v>
      </c>
      <c r="P102" s="58"/>
      <c r="Q102" s="52" t="s">
        <v>642</v>
      </c>
      <c r="R102" s="63" t="s">
        <v>211</v>
      </c>
      <c r="S102" s="52"/>
    </row>
    <row r="103" spans="2:19" s="34" customFormat="1" ht="33" customHeight="1">
      <c r="B103" s="47" t="s">
        <v>210</v>
      </c>
      <c r="C103" s="48" t="s">
        <v>4391</v>
      </c>
      <c r="D103" s="49" t="s">
        <v>4390</v>
      </c>
      <c r="E103" s="50">
        <v>43519</v>
      </c>
      <c r="F103" s="52" t="s">
        <v>218</v>
      </c>
      <c r="G103" s="51">
        <v>640</v>
      </c>
      <c r="H103" s="52">
        <f t="shared" si="13"/>
        <v>32</v>
      </c>
      <c r="I103" s="52">
        <f t="shared" si="14"/>
        <v>1</v>
      </c>
      <c r="J103" s="52"/>
      <c r="K103" s="53">
        <v>43562</v>
      </c>
      <c r="L103" s="54" t="s">
        <v>480</v>
      </c>
      <c r="M103" s="55">
        <v>43564</v>
      </c>
      <c r="N103" s="56" t="s">
        <v>646</v>
      </c>
      <c r="O103" s="55">
        <v>43569</v>
      </c>
      <c r="P103" s="58"/>
      <c r="Q103" s="52" t="s">
        <v>642</v>
      </c>
      <c r="R103" s="63" t="s">
        <v>211</v>
      </c>
      <c r="S103" s="52"/>
    </row>
    <row r="104" spans="2:19" s="32" customFormat="1" ht="33" customHeight="1">
      <c r="B104" s="46" t="s">
        <v>210</v>
      </c>
      <c r="C104" s="35" t="s">
        <v>2527</v>
      </c>
      <c r="D104" s="190" t="s">
        <v>4392</v>
      </c>
      <c r="E104" s="37">
        <v>43609</v>
      </c>
      <c r="F104" s="38" t="s">
        <v>218</v>
      </c>
      <c r="G104" s="39">
        <v>120</v>
      </c>
      <c r="H104" s="38">
        <f t="shared" si="13"/>
        <v>6</v>
      </c>
      <c r="I104" s="38">
        <f t="shared" si="14"/>
        <v>0.1875</v>
      </c>
      <c r="J104" s="38"/>
      <c r="K104" s="40">
        <v>43646</v>
      </c>
      <c r="L104" s="41" t="s">
        <v>1083</v>
      </c>
      <c r="M104" s="42">
        <v>43634</v>
      </c>
      <c r="N104" s="43" t="s">
        <v>1084</v>
      </c>
      <c r="O104" s="42">
        <v>43639</v>
      </c>
      <c r="P104" s="45"/>
      <c r="Q104" s="66" t="s">
        <v>2543</v>
      </c>
      <c r="R104" s="66" t="s">
        <v>4393</v>
      </c>
      <c r="S104" s="38"/>
    </row>
    <row r="105" spans="2:19" s="32" customFormat="1" ht="33" customHeight="1">
      <c r="B105" s="46" t="s">
        <v>4394</v>
      </c>
      <c r="C105" s="35" t="s">
        <v>2531</v>
      </c>
      <c r="D105" s="190" t="s">
        <v>4392</v>
      </c>
      <c r="E105" s="37">
        <v>43609</v>
      </c>
      <c r="F105" s="38" t="s">
        <v>4395</v>
      </c>
      <c r="G105" s="39">
        <v>120</v>
      </c>
      <c r="H105" s="38">
        <f t="shared" si="13"/>
        <v>6</v>
      </c>
      <c r="I105" s="38">
        <f t="shared" si="14"/>
        <v>0.1875</v>
      </c>
      <c r="J105" s="38"/>
      <c r="K105" s="40">
        <v>43646</v>
      </c>
      <c r="L105" s="41" t="s">
        <v>1083</v>
      </c>
      <c r="M105" s="42">
        <v>43634</v>
      </c>
      <c r="N105" s="43" t="s">
        <v>1084</v>
      </c>
      <c r="O105" s="42">
        <v>43639</v>
      </c>
      <c r="P105" s="45"/>
      <c r="Q105" s="66" t="s">
        <v>2544</v>
      </c>
      <c r="R105" s="66" t="s">
        <v>4393</v>
      </c>
      <c r="S105" s="38"/>
    </row>
    <row r="106" spans="2:19" s="34" customFormat="1" ht="33" customHeight="1">
      <c r="B106" s="47" t="s">
        <v>210</v>
      </c>
      <c r="C106" s="48" t="s">
        <v>431</v>
      </c>
      <c r="D106" s="49" t="s">
        <v>4396</v>
      </c>
      <c r="E106" s="50">
        <v>43523</v>
      </c>
      <c r="F106" s="52" t="s">
        <v>218</v>
      </c>
      <c r="G106" s="51">
        <v>3200</v>
      </c>
      <c r="H106" s="52">
        <f t="shared" si="13"/>
        <v>160</v>
      </c>
      <c r="I106" s="52">
        <f t="shared" si="14"/>
        <v>5</v>
      </c>
      <c r="J106" s="52"/>
      <c r="K106" s="53">
        <v>43597</v>
      </c>
      <c r="L106" s="54" t="s">
        <v>605</v>
      </c>
      <c r="M106" s="55">
        <v>43594</v>
      </c>
      <c r="N106" s="56" t="s">
        <v>4290</v>
      </c>
      <c r="O106" s="55">
        <v>43598</v>
      </c>
      <c r="P106" s="58"/>
      <c r="Q106" s="52" t="s">
        <v>641</v>
      </c>
      <c r="R106" s="63" t="s">
        <v>211</v>
      </c>
      <c r="S106" s="52"/>
    </row>
    <row r="107" spans="2:19" s="34" customFormat="1" ht="33" customHeight="1">
      <c r="B107" s="47" t="s">
        <v>210</v>
      </c>
      <c r="C107" s="48" t="s">
        <v>4397</v>
      </c>
      <c r="D107" s="49" t="s">
        <v>4396</v>
      </c>
      <c r="E107" s="50">
        <v>43523</v>
      </c>
      <c r="F107" s="52" t="s">
        <v>218</v>
      </c>
      <c r="G107" s="51">
        <v>640</v>
      </c>
      <c r="H107" s="52">
        <f t="shared" si="13"/>
        <v>32</v>
      </c>
      <c r="I107" s="52">
        <f t="shared" si="14"/>
        <v>1</v>
      </c>
      <c r="J107" s="52"/>
      <c r="K107" s="53">
        <v>43618</v>
      </c>
      <c r="L107" s="54" t="s">
        <v>4299</v>
      </c>
      <c r="M107" s="55">
        <v>43613</v>
      </c>
      <c r="N107" s="56" t="s">
        <v>4300</v>
      </c>
      <c r="O107" s="55">
        <v>43618</v>
      </c>
      <c r="P107" s="58"/>
      <c r="Q107" s="52" t="s">
        <v>641</v>
      </c>
      <c r="R107" s="63" t="s">
        <v>211</v>
      </c>
      <c r="S107" s="52"/>
    </row>
    <row r="108" spans="2:19" s="34" customFormat="1" ht="33" customHeight="1">
      <c r="B108" s="47" t="s">
        <v>210</v>
      </c>
      <c r="C108" s="48" t="s">
        <v>4398</v>
      </c>
      <c r="D108" s="49" t="s">
        <v>739</v>
      </c>
      <c r="E108" s="50">
        <v>43532</v>
      </c>
      <c r="F108" s="52" t="s">
        <v>218</v>
      </c>
      <c r="G108" s="51">
        <v>2560</v>
      </c>
      <c r="H108" s="52">
        <f t="shared" si="13"/>
        <v>128</v>
      </c>
      <c r="I108" s="52">
        <f t="shared" si="14"/>
        <v>4</v>
      </c>
      <c r="J108" s="52"/>
      <c r="K108" s="53">
        <v>43618</v>
      </c>
      <c r="L108" s="54" t="s">
        <v>4299</v>
      </c>
      <c r="M108" s="55">
        <v>43613</v>
      </c>
      <c r="N108" s="56" t="s">
        <v>4300</v>
      </c>
      <c r="O108" s="55">
        <v>43618</v>
      </c>
      <c r="P108" s="58"/>
      <c r="Q108" s="52" t="s">
        <v>970</v>
      </c>
      <c r="R108" s="63" t="s">
        <v>211</v>
      </c>
      <c r="S108" s="52"/>
    </row>
    <row r="109" spans="2:19" s="32" customFormat="1" ht="33" customHeight="1">
      <c r="B109" s="46" t="s">
        <v>210</v>
      </c>
      <c r="C109" s="35" t="s">
        <v>589</v>
      </c>
      <c r="D109" s="36" t="s">
        <v>1260</v>
      </c>
      <c r="E109" s="37">
        <v>43558</v>
      </c>
      <c r="F109" s="38" t="s">
        <v>218</v>
      </c>
      <c r="G109" s="39">
        <v>3200</v>
      </c>
      <c r="H109" s="38">
        <f t="shared" si="13"/>
        <v>160</v>
      </c>
      <c r="I109" s="38">
        <f t="shared" si="14"/>
        <v>5</v>
      </c>
      <c r="J109" s="38"/>
      <c r="K109" s="40">
        <v>43639</v>
      </c>
      <c r="L109" s="41" t="s">
        <v>4399</v>
      </c>
      <c r="M109" s="42">
        <v>43634</v>
      </c>
      <c r="N109" s="43" t="s">
        <v>4400</v>
      </c>
      <c r="O109" s="42">
        <v>43639</v>
      </c>
      <c r="P109" s="45"/>
      <c r="Q109" s="38" t="s">
        <v>973</v>
      </c>
      <c r="R109" s="66" t="s">
        <v>211</v>
      </c>
      <c r="S109" s="38"/>
    </row>
    <row r="110" spans="2:19" s="32" customFormat="1" ht="33" customHeight="1">
      <c r="B110" s="46" t="s">
        <v>210</v>
      </c>
      <c r="C110" s="35" t="s">
        <v>2078</v>
      </c>
      <c r="D110" s="36" t="s">
        <v>2426</v>
      </c>
      <c r="E110" s="37">
        <v>43602</v>
      </c>
      <c r="F110" s="38" t="s">
        <v>218</v>
      </c>
      <c r="G110" s="39">
        <v>3200</v>
      </c>
      <c r="H110" s="38">
        <f t="shared" si="13"/>
        <v>160</v>
      </c>
      <c r="I110" s="38">
        <f t="shared" si="14"/>
        <v>5</v>
      </c>
      <c r="J110" s="38"/>
      <c r="K110" s="40">
        <v>43653</v>
      </c>
      <c r="L110" s="41" t="s">
        <v>1326</v>
      </c>
      <c r="M110" s="42">
        <v>43648</v>
      </c>
      <c r="N110" s="43" t="s">
        <v>4401</v>
      </c>
      <c r="O110" s="42">
        <v>43653</v>
      </c>
      <c r="P110" s="45"/>
      <c r="Q110" s="38" t="s">
        <v>2148</v>
      </c>
      <c r="R110" s="66" t="s">
        <v>211</v>
      </c>
      <c r="S110" s="38"/>
    </row>
    <row r="111" spans="2:19" s="32" customFormat="1" ht="33" customHeight="1">
      <c r="B111" s="46" t="s">
        <v>210</v>
      </c>
      <c r="C111" s="35" t="s">
        <v>2079</v>
      </c>
      <c r="D111" s="36" t="s">
        <v>2428</v>
      </c>
      <c r="E111" s="37">
        <v>43602</v>
      </c>
      <c r="F111" s="38" t="s">
        <v>218</v>
      </c>
      <c r="G111" s="39">
        <v>3200</v>
      </c>
      <c r="H111" s="38">
        <f t="shared" si="13"/>
        <v>160</v>
      </c>
      <c r="I111" s="38">
        <f t="shared" si="14"/>
        <v>5</v>
      </c>
      <c r="J111" s="38"/>
      <c r="K111" s="40">
        <v>43667</v>
      </c>
      <c r="L111" s="41" t="s">
        <v>2146</v>
      </c>
      <c r="M111" s="42">
        <v>43669</v>
      </c>
      <c r="N111" s="43" t="s">
        <v>2551</v>
      </c>
      <c r="O111" s="42">
        <v>43674</v>
      </c>
      <c r="P111" s="45"/>
      <c r="Q111" s="38" t="s">
        <v>2150</v>
      </c>
      <c r="R111" s="66" t="s">
        <v>211</v>
      </c>
      <c r="S111" s="38"/>
    </row>
    <row r="112" spans="2:19" s="32" customFormat="1" ht="33" customHeight="1">
      <c r="B112" s="46" t="s">
        <v>210</v>
      </c>
      <c r="C112" s="35" t="s">
        <v>2378</v>
      </c>
      <c r="D112" s="36" t="s">
        <v>4402</v>
      </c>
      <c r="E112" s="37">
        <v>43602</v>
      </c>
      <c r="F112" s="38" t="s">
        <v>218</v>
      </c>
      <c r="G112" s="39">
        <v>3200</v>
      </c>
      <c r="H112" s="38">
        <f t="shared" si="13"/>
        <v>160</v>
      </c>
      <c r="I112" s="38">
        <f t="shared" si="14"/>
        <v>5</v>
      </c>
      <c r="J112" s="38"/>
      <c r="K112" s="40">
        <v>43688</v>
      </c>
      <c r="L112" s="41" t="s">
        <v>2505</v>
      </c>
      <c r="M112" s="42">
        <v>43683</v>
      </c>
      <c r="N112" s="43" t="s">
        <v>4278</v>
      </c>
      <c r="O112" s="42">
        <v>43688</v>
      </c>
      <c r="P112" s="45"/>
      <c r="Q112" s="38" t="s">
        <v>2762</v>
      </c>
      <c r="R112" s="66" t="s">
        <v>211</v>
      </c>
      <c r="S112" s="46" t="s">
        <v>2764</v>
      </c>
    </row>
    <row r="113" spans="2:19" s="32" customFormat="1" ht="33" customHeight="1">
      <c r="B113" s="46" t="s">
        <v>210</v>
      </c>
      <c r="C113" s="35" t="s">
        <v>2430</v>
      </c>
      <c r="D113" s="190" t="s">
        <v>4403</v>
      </c>
      <c r="E113" s="37">
        <v>43602</v>
      </c>
      <c r="F113" s="38" t="s">
        <v>218</v>
      </c>
      <c r="G113" s="39">
        <v>3200</v>
      </c>
      <c r="H113" s="38">
        <f t="shared" si="13"/>
        <v>160</v>
      </c>
      <c r="I113" s="38">
        <f t="shared" si="14"/>
        <v>5</v>
      </c>
      <c r="J113" s="38"/>
      <c r="K113" s="40">
        <v>43702</v>
      </c>
      <c r="L113" s="41" t="s">
        <v>2509</v>
      </c>
      <c r="M113" s="42">
        <v>43697</v>
      </c>
      <c r="N113" s="43" t="s">
        <v>4364</v>
      </c>
      <c r="O113" s="42">
        <v>43702</v>
      </c>
      <c r="P113" s="45"/>
      <c r="Q113" s="38" t="s">
        <v>2517</v>
      </c>
      <c r="R113" s="66" t="s">
        <v>211</v>
      </c>
      <c r="S113" s="38"/>
    </row>
    <row r="114" spans="2:19" s="32" customFormat="1" ht="33" customHeight="1">
      <c r="B114" s="46" t="s">
        <v>210</v>
      </c>
      <c r="C114" s="35" t="s">
        <v>2528</v>
      </c>
      <c r="D114" s="190" t="s">
        <v>2704</v>
      </c>
      <c r="E114" s="37">
        <v>43609</v>
      </c>
      <c r="F114" s="38" t="s">
        <v>218</v>
      </c>
      <c r="G114" s="39">
        <v>3200</v>
      </c>
      <c r="H114" s="38">
        <f t="shared" si="13"/>
        <v>160</v>
      </c>
      <c r="I114" s="38">
        <f t="shared" si="14"/>
        <v>5</v>
      </c>
      <c r="J114" s="38"/>
      <c r="K114" s="40">
        <v>43660</v>
      </c>
      <c r="L114" s="41" t="s">
        <v>1326</v>
      </c>
      <c r="M114" s="42">
        <v>43648</v>
      </c>
      <c r="N114" s="43" t="s">
        <v>2540</v>
      </c>
      <c r="O114" s="42">
        <v>43653</v>
      </c>
      <c r="P114" s="45"/>
      <c r="Q114" s="38" t="s">
        <v>2148</v>
      </c>
      <c r="R114" s="66" t="s">
        <v>211</v>
      </c>
      <c r="S114" s="38"/>
    </row>
    <row r="115" spans="2:19" s="32" customFormat="1" ht="33" customHeight="1">
      <c r="B115" s="46" t="s">
        <v>210</v>
      </c>
      <c r="C115" s="35" t="s">
        <v>2529</v>
      </c>
      <c r="D115" s="190" t="s">
        <v>2705</v>
      </c>
      <c r="E115" s="37">
        <v>43609</v>
      </c>
      <c r="F115" s="38" t="s">
        <v>218</v>
      </c>
      <c r="G115" s="39">
        <v>3200</v>
      </c>
      <c r="H115" s="38">
        <f t="shared" si="13"/>
        <v>160</v>
      </c>
      <c r="I115" s="38">
        <f t="shared" si="14"/>
        <v>5</v>
      </c>
      <c r="J115" s="38"/>
      <c r="K115" s="40">
        <v>43675</v>
      </c>
      <c r="L115" s="41" t="s">
        <v>2146</v>
      </c>
      <c r="M115" s="42">
        <v>43669</v>
      </c>
      <c r="N115" s="43" t="s">
        <v>2551</v>
      </c>
      <c r="O115" s="42">
        <v>43674</v>
      </c>
      <c r="P115" s="45"/>
      <c r="Q115" s="38" t="s">
        <v>2150</v>
      </c>
      <c r="R115" s="66" t="s">
        <v>211</v>
      </c>
      <c r="S115" s="38"/>
    </row>
    <row r="116" spans="2:19" s="32" customFormat="1" ht="33" customHeight="1">
      <c r="B116" s="46" t="s">
        <v>4404</v>
      </c>
      <c r="C116" s="35" t="s">
        <v>3497</v>
      </c>
      <c r="D116" s="190" t="s">
        <v>3498</v>
      </c>
      <c r="E116" s="37">
        <v>43637</v>
      </c>
      <c r="F116" s="38" t="s">
        <v>218</v>
      </c>
      <c r="G116" s="39">
        <v>3200</v>
      </c>
      <c r="H116" s="38">
        <f t="shared" si="13"/>
        <v>160</v>
      </c>
      <c r="I116" s="38">
        <f t="shared" si="14"/>
        <v>5</v>
      </c>
      <c r="J116" s="38"/>
      <c r="K116" s="40">
        <v>43716</v>
      </c>
      <c r="L116" s="41" t="s">
        <v>4281</v>
      </c>
      <c r="M116" s="42">
        <v>43711</v>
      </c>
      <c r="N116" s="43" t="s">
        <v>4282</v>
      </c>
      <c r="O116" s="42">
        <v>43716</v>
      </c>
      <c r="P116" s="45"/>
      <c r="Q116" s="38"/>
      <c r="R116" s="66" t="s">
        <v>211</v>
      </c>
      <c r="S116" s="38"/>
    </row>
    <row r="117" spans="2:19" s="32" customFormat="1" ht="33" customHeight="1">
      <c r="B117" s="46" t="s">
        <v>4404</v>
      </c>
      <c r="C117" s="35" t="s">
        <v>3499</v>
      </c>
      <c r="D117" s="190" t="s">
        <v>3500</v>
      </c>
      <c r="E117" s="37">
        <v>43637</v>
      </c>
      <c r="F117" s="38" t="s">
        <v>218</v>
      </c>
      <c r="G117" s="39">
        <v>3200</v>
      </c>
      <c r="H117" s="38">
        <f t="shared" si="13"/>
        <v>160</v>
      </c>
      <c r="I117" s="38">
        <f t="shared" si="14"/>
        <v>5</v>
      </c>
      <c r="J117" s="38"/>
      <c r="K117" s="40">
        <v>43730</v>
      </c>
      <c r="L117" s="41" t="s">
        <v>4405</v>
      </c>
      <c r="M117" s="42">
        <v>43725</v>
      </c>
      <c r="N117" s="43" t="s">
        <v>4367</v>
      </c>
      <c r="O117" s="42">
        <v>43730</v>
      </c>
      <c r="P117" s="45"/>
      <c r="Q117" s="38"/>
      <c r="R117" s="66" t="s">
        <v>211</v>
      </c>
      <c r="S117" s="38"/>
    </row>
    <row r="118" spans="2:19" s="32" customFormat="1" ht="33" customHeight="1">
      <c r="B118" s="46" t="s">
        <v>4404</v>
      </c>
      <c r="C118" s="35" t="s">
        <v>3501</v>
      </c>
      <c r="D118" s="190" t="s">
        <v>3502</v>
      </c>
      <c r="E118" s="37">
        <v>43637</v>
      </c>
      <c r="F118" s="38" t="s">
        <v>218</v>
      </c>
      <c r="G118" s="39">
        <v>3200</v>
      </c>
      <c r="H118" s="38">
        <f t="shared" si="13"/>
        <v>160</v>
      </c>
      <c r="I118" s="38">
        <f t="shared" si="14"/>
        <v>5</v>
      </c>
      <c r="J118" s="38"/>
      <c r="K118" s="40">
        <v>43737</v>
      </c>
      <c r="L118" s="41" t="s">
        <v>4406</v>
      </c>
      <c r="M118" s="42">
        <v>43732</v>
      </c>
      <c r="N118" s="43" t="s">
        <v>4407</v>
      </c>
      <c r="O118" s="42">
        <v>43737</v>
      </c>
      <c r="P118" s="45"/>
      <c r="Q118" s="38"/>
      <c r="R118" s="66" t="s">
        <v>211</v>
      </c>
      <c r="S118" s="38"/>
    </row>
    <row r="119" spans="2:19" s="32" customFormat="1" ht="33" customHeight="1">
      <c r="B119" s="46" t="s">
        <v>4404</v>
      </c>
      <c r="C119" s="35" t="s">
        <v>4103</v>
      </c>
      <c r="D119" s="190" t="s">
        <v>4408</v>
      </c>
      <c r="E119" s="37">
        <v>43657</v>
      </c>
      <c r="F119" s="38" t="s">
        <v>218</v>
      </c>
      <c r="G119" s="39">
        <v>3200</v>
      </c>
      <c r="H119" s="38">
        <f t="shared" si="13"/>
        <v>160</v>
      </c>
      <c r="I119" s="38">
        <f t="shared" si="14"/>
        <v>5</v>
      </c>
      <c r="J119" s="38"/>
      <c r="K119" s="40">
        <v>43723</v>
      </c>
      <c r="L119" s="41" t="s">
        <v>4312</v>
      </c>
      <c r="M119" s="42">
        <v>43718</v>
      </c>
      <c r="N119" s="43" t="s">
        <v>4313</v>
      </c>
      <c r="O119" s="42">
        <v>43723</v>
      </c>
      <c r="P119" s="45"/>
      <c r="Q119" s="38" t="s">
        <v>4409</v>
      </c>
      <c r="R119" s="66" t="s">
        <v>211</v>
      </c>
      <c r="S119" s="38"/>
    </row>
    <row r="120" spans="2:19" s="32" customFormat="1" ht="33" customHeight="1">
      <c r="B120" s="122" t="s">
        <v>210</v>
      </c>
      <c r="C120" s="126" t="s">
        <v>4410</v>
      </c>
      <c r="D120" s="187" t="s">
        <v>4411</v>
      </c>
      <c r="E120" s="128">
        <v>43665</v>
      </c>
      <c r="F120" s="124" t="s">
        <v>218</v>
      </c>
      <c r="G120" s="129">
        <v>3200</v>
      </c>
      <c r="H120" s="124">
        <f>SUM(G120/20)</f>
        <v>160</v>
      </c>
      <c r="I120" s="124">
        <f>SUM(H120/32)</f>
        <v>5</v>
      </c>
      <c r="J120" s="124"/>
      <c r="K120" s="130">
        <v>43751</v>
      </c>
      <c r="L120" s="119" t="s">
        <v>4475</v>
      </c>
      <c r="M120" s="120">
        <v>43746</v>
      </c>
      <c r="N120" s="121" t="s">
        <v>4469</v>
      </c>
      <c r="O120" s="120">
        <v>43751</v>
      </c>
      <c r="P120" s="123"/>
      <c r="Q120" s="134"/>
      <c r="R120" s="134" t="s">
        <v>4393</v>
      </c>
      <c r="S120" s="124"/>
    </row>
    <row r="121" spans="2:19" s="32" customFormat="1" ht="33" customHeight="1">
      <c r="B121" s="122" t="s">
        <v>210</v>
      </c>
      <c r="C121" s="126" t="s">
        <v>4412</v>
      </c>
      <c r="D121" s="187" t="s">
        <v>4413</v>
      </c>
      <c r="E121" s="128">
        <v>43665</v>
      </c>
      <c r="F121" s="124" t="s">
        <v>218</v>
      </c>
      <c r="G121" s="129">
        <v>3200</v>
      </c>
      <c r="H121" s="124">
        <f>SUM(G121/20)</f>
        <v>160</v>
      </c>
      <c r="I121" s="124">
        <f>SUM(H121/32)</f>
        <v>5</v>
      </c>
      <c r="J121" s="124"/>
      <c r="K121" s="130">
        <v>43758</v>
      </c>
      <c r="L121" s="119" t="s">
        <v>4479</v>
      </c>
      <c r="M121" s="120">
        <v>43753</v>
      </c>
      <c r="N121" s="121" t="s">
        <v>4471</v>
      </c>
      <c r="O121" s="120">
        <v>43758</v>
      </c>
      <c r="P121" s="123"/>
      <c r="Q121" s="134"/>
      <c r="R121" s="134" t="s">
        <v>4393</v>
      </c>
      <c r="S121" s="124"/>
    </row>
    <row r="122" spans="2:19" s="32" customFormat="1" ht="33" customHeight="1">
      <c r="B122" s="122" t="s">
        <v>210</v>
      </c>
      <c r="C122" s="126" t="s">
        <v>4414</v>
      </c>
      <c r="D122" s="187" t="s">
        <v>4415</v>
      </c>
      <c r="E122" s="128">
        <v>43665</v>
      </c>
      <c r="F122" s="124" t="s">
        <v>218</v>
      </c>
      <c r="G122" s="129">
        <v>3200</v>
      </c>
      <c r="H122" s="124">
        <f>SUM(G122/20)</f>
        <v>160</v>
      </c>
      <c r="I122" s="124">
        <f>SUM(H122/32)</f>
        <v>5</v>
      </c>
      <c r="J122" s="124"/>
      <c r="K122" s="130">
        <v>43765</v>
      </c>
      <c r="L122" s="119" t="s">
        <v>4477</v>
      </c>
      <c r="M122" s="120">
        <v>43760</v>
      </c>
      <c r="N122" s="121" t="s">
        <v>4470</v>
      </c>
      <c r="O122" s="120">
        <v>43765</v>
      </c>
      <c r="P122" s="123"/>
      <c r="Q122" s="134"/>
      <c r="R122" s="134" t="s">
        <v>4393</v>
      </c>
      <c r="S122" s="124"/>
    </row>
    <row r="123" spans="2:19" s="34" customFormat="1" ht="33" customHeight="1">
      <c r="B123" s="47" t="s">
        <v>4394</v>
      </c>
      <c r="C123" s="48" t="s">
        <v>235</v>
      </c>
      <c r="D123" s="49" t="s">
        <v>744</v>
      </c>
      <c r="E123" s="50">
        <v>43532</v>
      </c>
      <c r="F123" s="52" t="s">
        <v>4395</v>
      </c>
      <c r="G123" s="51">
        <v>1280</v>
      </c>
      <c r="H123" s="52">
        <f t="shared" si="13"/>
        <v>64</v>
      </c>
      <c r="I123" s="52">
        <f t="shared" si="14"/>
        <v>2</v>
      </c>
      <c r="J123" s="52"/>
      <c r="K123" s="53">
        <v>43597</v>
      </c>
      <c r="L123" s="54" t="s">
        <v>605</v>
      </c>
      <c r="M123" s="55">
        <v>43594</v>
      </c>
      <c r="N123" s="56" t="s">
        <v>772</v>
      </c>
      <c r="O123" s="55">
        <v>43598</v>
      </c>
      <c r="P123" s="58"/>
      <c r="Q123" s="52" t="s">
        <v>641</v>
      </c>
      <c r="R123" s="63" t="s">
        <v>211</v>
      </c>
      <c r="S123" s="52"/>
    </row>
    <row r="124" spans="2:19" s="32" customFormat="1" ht="33" customHeight="1">
      <c r="B124" s="46" t="s">
        <v>4394</v>
      </c>
      <c r="C124" s="35" t="s">
        <v>1569</v>
      </c>
      <c r="D124" s="36" t="s">
        <v>4416</v>
      </c>
      <c r="E124" s="37">
        <v>43581</v>
      </c>
      <c r="F124" s="38" t="s">
        <v>4395</v>
      </c>
      <c r="G124" s="39">
        <v>1280</v>
      </c>
      <c r="H124" s="38">
        <f t="shared" si="13"/>
        <v>64</v>
      </c>
      <c r="I124" s="38">
        <f t="shared" si="14"/>
        <v>2</v>
      </c>
      <c r="J124" s="38"/>
      <c r="K124" s="40">
        <v>43632</v>
      </c>
      <c r="L124" s="41" t="s">
        <v>807</v>
      </c>
      <c r="M124" s="42">
        <v>43627</v>
      </c>
      <c r="N124" s="43" t="s">
        <v>4417</v>
      </c>
      <c r="O124" s="42">
        <v>43632</v>
      </c>
      <c r="P124" s="45"/>
      <c r="Q124" s="38" t="s">
        <v>1810</v>
      </c>
      <c r="R124" s="66" t="s">
        <v>211</v>
      </c>
      <c r="S124" s="38"/>
    </row>
    <row r="125" spans="2:19" s="32" customFormat="1" ht="33" customHeight="1">
      <c r="B125" s="46" t="s">
        <v>4394</v>
      </c>
      <c r="C125" s="35" t="s">
        <v>90</v>
      </c>
      <c r="D125" s="36" t="s">
        <v>4418</v>
      </c>
      <c r="E125" s="37">
        <v>43595</v>
      </c>
      <c r="F125" s="38" t="s">
        <v>4395</v>
      </c>
      <c r="G125" s="39">
        <v>1280</v>
      </c>
      <c r="H125" s="38">
        <f t="shared" si="13"/>
        <v>64</v>
      </c>
      <c r="I125" s="38">
        <f t="shared" si="14"/>
        <v>2</v>
      </c>
      <c r="J125" s="38"/>
      <c r="K125" s="40">
        <v>43646</v>
      </c>
      <c r="L125" s="41" t="s">
        <v>1326</v>
      </c>
      <c r="M125" s="42">
        <v>43648</v>
      </c>
      <c r="N125" s="43" t="s">
        <v>4401</v>
      </c>
      <c r="O125" s="42">
        <v>43653</v>
      </c>
      <c r="P125" s="45"/>
      <c r="Q125" s="38" t="s">
        <v>2148</v>
      </c>
      <c r="R125" s="66" t="s">
        <v>211</v>
      </c>
      <c r="S125" s="38"/>
    </row>
    <row r="126" spans="2:19" s="32" customFormat="1" ht="33" customHeight="1">
      <c r="B126" s="46" t="s">
        <v>4394</v>
      </c>
      <c r="C126" s="35" t="s">
        <v>2088</v>
      </c>
      <c r="D126" s="36" t="s">
        <v>4419</v>
      </c>
      <c r="E126" s="37">
        <v>43595</v>
      </c>
      <c r="F126" s="38" t="s">
        <v>4395</v>
      </c>
      <c r="G126" s="39">
        <v>640</v>
      </c>
      <c r="H126" s="38">
        <f t="shared" si="13"/>
        <v>32</v>
      </c>
      <c r="I126" s="38">
        <f t="shared" si="14"/>
        <v>1</v>
      </c>
      <c r="J126" s="38"/>
      <c r="K126" s="40">
        <v>43709</v>
      </c>
      <c r="L126" s="41" t="s">
        <v>4420</v>
      </c>
      <c r="M126" s="42">
        <v>43706</v>
      </c>
      <c r="N126" s="43" t="s">
        <v>4421</v>
      </c>
      <c r="O126" s="42">
        <v>43710</v>
      </c>
      <c r="P126" s="45"/>
      <c r="Q126" s="66" t="s">
        <v>2548</v>
      </c>
      <c r="R126" s="66" t="s">
        <v>211</v>
      </c>
      <c r="S126" s="38"/>
    </row>
    <row r="127" spans="2:19" s="32" customFormat="1" ht="33" customHeight="1">
      <c r="B127" s="46" t="s">
        <v>4422</v>
      </c>
      <c r="C127" s="35" t="s">
        <v>208</v>
      </c>
      <c r="D127" s="190" t="s">
        <v>4423</v>
      </c>
      <c r="E127" s="37">
        <v>43602</v>
      </c>
      <c r="F127" s="38" t="s">
        <v>4395</v>
      </c>
      <c r="G127" s="39">
        <v>640</v>
      </c>
      <c r="H127" s="38">
        <f t="shared" si="13"/>
        <v>32</v>
      </c>
      <c r="I127" s="38">
        <f t="shared" si="14"/>
        <v>1</v>
      </c>
      <c r="J127" s="38"/>
      <c r="K127" s="196">
        <v>43744</v>
      </c>
      <c r="L127" s="41" t="s">
        <v>4285</v>
      </c>
      <c r="M127" s="42">
        <v>43739</v>
      </c>
      <c r="N127" s="43" t="s">
        <v>4286</v>
      </c>
      <c r="O127" s="42">
        <v>43744</v>
      </c>
      <c r="P127" s="45"/>
      <c r="Q127" s="66" t="s">
        <v>4424</v>
      </c>
      <c r="R127" s="66" t="s">
        <v>211</v>
      </c>
      <c r="S127" s="38"/>
    </row>
    <row r="128" spans="2:19" s="32" customFormat="1" ht="33" customHeight="1">
      <c r="B128" s="122" t="s">
        <v>4394</v>
      </c>
      <c r="C128" s="126" t="s">
        <v>212</v>
      </c>
      <c r="D128" s="187" t="s">
        <v>4425</v>
      </c>
      <c r="E128" s="128">
        <v>43602</v>
      </c>
      <c r="F128" s="124" t="s">
        <v>4395</v>
      </c>
      <c r="G128" s="129">
        <v>640</v>
      </c>
      <c r="H128" s="124">
        <f t="shared" si="13"/>
        <v>32</v>
      </c>
      <c r="I128" s="124">
        <f t="shared" si="14"/>
        <v>1</v>
      </c>
      <c r="J128" s="124"/>
      <c r="K128" s="130">
        <v>43744</v>
      </c>
      <c r="L128" s="119" t="s">
        <v>4481</v>
      </c>
      <c r="M128" s="120">
        <v>43739</v>
      </c>
      <c r="N128" s="121" t="s">
        <v>4472</v>
      </c>
      <c r="O128" s="120">
        <v>43744</v>
      </c>
      <c r="P128" s="123"/>
      <c r="Q128" s="198" t="s">
        <v>2517</v>
      </c>
      <c r="R128" s="134" t="s">
        <v>211</v>
      </c>
      <c r="S128" s="124"/>
    </row>
    <row r="129" spans="1:19" s="32" customFormat="1" ht="33" customHeight="1">
      <c r="B129" s="122" t="s">
        <v>4394</v>
      </c>
      <c r="C129" s="126" t="s">
        <v>2531</v>
      </c>
      <c r="D129" s="187" t="s">
        <v>4426</v>
      </c>
      <c r="E129" s="128">
        <v>43665</v>
      </c>
      <c r="F129" s="124" t="s">
        <v>4395</v>
      </c>
      <c r="G129" s="129">
        <v>1920</v>
      </c>
      <c r="H129" s="124">
        <f t="shared" si="13"/>
        <v>96</v>
      </c>
      <c r="I129" s="124">
        <f t="shared" si="14"/>
        <v>3</v>
      </c>
      <c r="J129" s="124"/>
      <c r="K129" s="130">
        <v>43758</v>
      </c>
      <c r="L129" s="119" t="s">
        <v>4479</v>
      </c>
      <c r="M129" s="120">
        <v>43753</v>
      </c>
      <c r="N129" s="121" t="s">
        <v>4471</v>
      </c>
      <c r="O129" s="120">
        <v>43758</v>
      </c>
      <c r="P129" s="123"/>
      <c r="Q129" s="198"/>
      <c r="R129" s="134" t="s">
        <v>211</v>
      </c>
      <c r="S129" s="124"/>
    </row>
    <row r="130" spans="1:19" s="33" customFormat="1" ht="33" customHeight="1">
      <c r="A130" s="33" t="s">
        <v>4427</v>
      </c>
      <c r="B130" s="47" t="s">
        <v>4428</v>
      </c>
      <c r="C130" s="48" t="s">
        <v>225</v>
      </c>
      <c r="D130" s="49" t="s">
        <v>487</v>
      </c>
      <c r="E130" s="50">
        <v>43490</v>
      </c>
      <c r="F130" s="52" t="s">
        <v>4429</v>
      </c>
      <c r="G130" s="51">
        <v>1520</v>
      </c>
      <c r="H130" s="52">
        <f>SUM(G130/190)</f>
        <v>8</v>
      </c>
      <c r="I130" s="52">
        <f>SUM(H130/4)</f>
        <v>2</v>
      </c>
      <c r="J130" s="52"/>
      <c r="K130" s="53">
        <v>43569</v>
      </c>
      <c r="L130" s="54" t="s">
        <v>417</v>
      </c>
      <c r="M130" s="55">
        <v>43564</v>
      </c>
      <c r="N130" s="56" t="s">
        <v>4295</v>
      </c>
      <c r="O130" s="55">
        <v>43569</v>
      </c>
      <c r="P130" s="58"/>
      <c r="Q130" s="52"/>
      <c r="R130" s="63" t="s">
        <v>4430</v>
      </c>
      <c r="S130" s="47"/>
    </row>
    <row r="131" spans="1:19" s="30" customFormat="1" ht="33" customHeight="1">
      <c r="B131" s="46" t="s">
        <v>4428</v>
      </c>
      <c r="C131" s="35" t="s">
        <v>226</v>
      </c>
      <c r="D131" s="36" t="s">
        <v>833</v>
      </c>
      <c r="E131" s="37">
        <v>43546</v>
      </c>
      <c r="F131" s="38" t="s">
        <v>4429</v>
      </c>
      <c r="G131" s="39">
        <v>1520</v>
      </c>
      <c r="H131" s="38">
        <f>SUM(G131/190)</f>
        <v>8</v>
      </c>
      <c r="I131" s="38">
        <f>SUM(H131/4)</f>
        <v>2</v>
      </c>
      <c r="J131" s="38"/>
      <c r="K131" s="40">
        <v>43632</v>
      </c>
      <c r="L131" s="41" t="s">
        <v>4431</v>
      </c>
      <c r="M131" s="42">
        <v>43627</v>
      </c>
      <c r="N131" s="43" t="s">
        <v>4417</v>
      </c>
      <c r="O131" s="42">
        <v>43632</v>
      </c>
      <c r="P131" s="45"/>
      <c r="Q131" s="38"/>
      <c r="R131" s="66" t="s">
        <v>4432</v>
      </c>
      <c r="S131" s="46"/>
    </row>
    <row r="132" spans="1:19" s="30" customFormat="1" ht="33" customHeight="1">
      <c r="B132" s="46" t="s">
        <v>2514</v>
      </c>
      <c r="C132" s="35" t="s">
        <v>4433</v>
      </c>
      <c r="D132" s="36" t="s">
        <v>4434</v>
      </c>
      <c r="E132" s="37">
        <v>43602</v>
      </c>
      <c r="F132" s="38" t="s">
        <v>2516</v>
      </c>
      <c r="G132" s="39">
        <v>1520</v>
      </c>
      <c r="H132" s="38">
        <v>8</v>
      </c>
      <c r="I132" s="38">
        <v>2</v>
      </c>
      <c r="J132" s="38"/>
      <c r="K132" s="40">
        <v>43702</v>
      </c>
      <c r="L132" s="41" t="s">
        <v>4363</v>
      </c>
      <c r="M132" s="42">
        <v>43697</v>
      </c>
      <c r="N132" s="43" t="s">
        <v>4364</v>
      </c>
      <c r="O132" s="42">
        <v>43702</v>
      </c>
      <c r="P132" s="45"/>
      <c r="Q132" s="38"/>
      <c r="R132" s="116" t="s">
        <v>4435</v>
      </c>
      <c r="S132" s="46"/>
    </row>
    <row r="133" spans="1:19" s="30" customFormat="1" ht="33" customHeight="1">
      <c r="B133" s="122" t="s">
        <v>2514</v>
      </c>
      <c r="C133" s="126" t="s">
        <v>285</v>
      </c>
      <c r="D133" s="127" t="s">
        <v>4436</v>
      </c>
      <c r="E133" s="128">
        <v>43665</v>
      </c>
      <c r="F133" s="124" t="s">
        <v>2516</v>
      </c>
      <c r="G133" s="129">
        <v>1520</v>
      </c>
      <c r="H133" s="124">
        <v>8</v>
      </c>
      <c r="I133" s="124">
        <v>2</v>
      </c>
      <c r="J133" s="124"/>
      <c r="K133" s="130">
        <v>43758</v>
      </c>
      <c r="L133" s="119" t="s">
        <v>4483</v>
      </c>
      <c r="M133" s="120">
        <v>43753</v>
      </c>
      <c r="N133" s="121" t="s">
        <v>4471</v>
      </c>
      <c r="O133" s="120">
        <v>43758</v>
      </c>
      <c r="P133" s="123"/>
      <c r="Q133" s="124"/>
      <c r="R133" s="134" t="s">
        <v>4437</v>
      </c>
      <c r="S133" s="122"/>
    </row>
    <row r="134" spans="1:19" s="33" customFormat="1" ht="33" customHeight="1">
      <c r="B134" s="47" t="s">
        <v>238</v>
      </c>
      <c r="C134" s="48" t="s">
        <v>4438</v>
      </c>
      <c r="D134" s="49" t="s">
        <v>474</v>
      </c>
      <c r="E134" s="50"/>
      <c r="F134" s="52" t="s">
        <v>236</v>
      </c>
      <c r="G134" s="51">
        <v>3200</v>
      </c>
      <c r="H134" s="52">
        <f t="shared" ref="H134:H144" si="15">SUM(G134/200)</f>
        <v>16</v>
      </c>
      <c r="I134" s="52">
        <f t="shared" ref="I134:I144" si="16">SUM(H134/4)</f>
        <v>4</v>
      </c>
      <c r="J134" s="52"/>
      <c r="K134" s="53">
        <v>43562</v>
      </c>
      <c r="L134" s="54" t="s">
        <v>4439</v>
      </c>
      <c r="M134" s="55">
        <v>43557</v>
      </c>
      <c r="N134" s="56" t="s">
        <v>4333</v>
      </c>
      <c r="O134" s="55">
        <v>43562</v>
      </c>
      <c r="P134" s="58"/>
      <c r="Q134" s="52"/>
      <c r="R134" s="63"/>
      <c r="S134" s="47"/>
    </row>
    <row r="135" spans="1:19" s="33" customFormat="1" ht="33" customHeight="1">
      <c r="B135" s="47" t="s">
        <v>238</v>
      </c>
      <c r="C135" s="48" t="s">
        <v>4440</v>
      </c>
      <c r="D135" s="49" t="s">
        <v>475</v>
      </c>
      <c r="E135" s="50"/>
      <c r="F135" s="52" t="s">
        <v>236</v>
      </c>
      <c r="G135" s="51">
        <v>1600</v>
      </c>
      <c r="H135" s="52">
        <f t="shared" si="15"/>
        <v>8</v>
      </c>
      <c r="I135" s="52">
        <f t="shared" si="16"/>
        <v>2</v>
      </c>
      <c r="J135" s="52"/>
      <c r="K135" s="53">
        <v>43562</v>
      </c>
      <c r="L135" s="54" t="s">
        <v>4441</v>
      </c>
      <c r="M135" s="55">
        <v>43564</v>
      </c>
      <c r="N135" s="56" t="s">
        <v>4295</v>
      </c>
      <c r="O135" s="55">
        <v>43569</v>
      </c>
      <c r="P135" s="58"/>
      <c r="Q135" s="52"/>
      <c r="R135" s="63"/>
      <c r="S135" s="47"/>
    </row>
    <row r="136" spans="1:19" s="33" customFormat="1" ht="33" customHeight="1">
      <c r="B136" s="47" t="s">
        <v>238</v>
      </c>
      <c r="C136" s="48" t="s">
        <v>4442</v>
      </c>
      <c r="D136" s="49" t="s">
        <v>488</v>
      </c>
      <c r="E136" s="50">
        <v>43495</v>
      </c>
      <c r="F136" s="52" t="s">
        <v>236</v>
      </c>
      <c r="G136" s="51">
        <v>1600</v>
      </c>
      <c r="H136" s="52">
        <f t="shared" si="15"/>
        <v>8</v>
      </c>
      <c r="I136" s="52">
        <f t="shared" si="16"/>
        <v>2</v>
      </c>
      <c r="J136" s="52"/>
      <c r="K136" s="53">
        <v>43583</v>
      </c>
      <c r="L136" s="54" t="s">
        <v>4443</v>
      </c>
      <c r="M136" s="55">
        <v>43578</v>
      </c>
      <c r="N136" s="56" t="s">
        <v>4349</v>
      </c>
      <c r="O136" s="55">
        <v>43583</v>
      </c>
      <c r="P136" s="58"/>
      <c r="Q136" s="52"/>
      <c r="R136" s="63"/>
      <c r="S136" s="47"/>
    </row>
    <row r="137" spans="1:19" s="33" customFormat="1" ht="33" customHeight="1">
      <c r="B137" s="47" t="s">
        <v>238</v>
      </c>
      <c r="C137" s="48" t="s">
        <v>4444</v>
      </c>
      <c r="D137" s="49" t="s">
        <v>598</v>
      </c>
      <c r="E137" s="50">
        <v>43519</v>
      </c>
      <c r="F137" s="52" t="s">
        <v>236</v>
      </c>
      <c r="G137" s="51">
        <v>1600</v>
      </c>
      <c r="H137" s="52">
        <f t="shared" si="15"/>
        <v>8</v>
      </c>
      <c r="I137" s="52">
        <f t="shared" si="16"/>
        <v>2</v>
      </c>
      <c r="J137" s="52"/>
      <c r="K137" s="53">
        <v>43597</v>
      </c>
      <c r="L137" s="54" t="s">
        <v>4356</v>
      </c>
      <c r="M137" s="55">
        <v>43592</v>
      </c>
      <c r="N137" s="56" t="s">
        <v>2029</v>
      </c>
      <c r="O137" s="55">
        <v>43597</v>
      </c>
      <c r="P137" s="58"/>
      <c r="Q137" s="52"/>
      <c r="R137" s="63"/>
      <c r="S137" s="47"/>
    </row>
    <row r="138" spans="1:19" s="33" customFormat="1" ht="33" customHeight="1">
      <c r="B138" s="47" t="s">
        <v>238</v>
      </c>
      <c r="C138" s="48" t="s">
        <v>4445</v>
      </c>
      <c r="D138" s="49" t="s">
        <v>598</v>
      </c>
      <c r="E138" s="50">
        <v>43519</v>
      </c>
      <c r="F138" s="52" t="s">
        <v>236</v>
      </c>
      <c r="G138" s="51">
        <v>1600</v>
      </c>
      <c r="H138" s="52">
        <f t="shared" si="15"/>
        <v>8</v>
      </c>
      <c r="I138" s="52">
        <f t="shared" si="16"/>
        <v>2</v>
      </c>
      <c r="J138" s="52"/>
      <c r="K138" s="53">
        <v>43597</v>
      </c>
      <c r="L138" s="54" t="s">
        <v>4446</v>
      </c>
      <c r="M138" s="55">
        <v>43606</v>
      </c>
      <c r="N138" s="56" t="s">
        <v>4447</v>
      </c>
      <c r="O138" s="55">
        <v>43613</v>
      </c>
      <c r="P138" s="58"/>
      <c r="Q138" s="52"/>
      <c r="R138" s="63"/>
      <c r="S138" s="47"/>
    </row>
    <row r="139" spans="1:19" s="30" customFormat="1" ht="33" customHeight="1">
      <c r="B139" s="46" t="s">
        <v>238</v>
      </c>
      <c r="C139" s="35" t="s">
        <v>226</v>
      </c>
      <c r="D139" s="36" t="s">
        <v>749</v>
      </c>
      <c r="E139" s="37">
        <v>43532</v>
      </c>
      <c r="F139" s="38" t="s">
        <v>236</v>
      </c>
      <c r="G139" s="39">
        <v>3200</v>
      </c>
      <c r="H139" s="38">
        <f t="shared" si="15"/>
        <v>16</v>
      </c>
      <c r="I139" s="38">
        <f t="shared" si="16"/>
        <v>4</v>
      </c>
      <c r="J139" s="38"/>
      <c r="K139" s="40">
        <v>43625</v>
      </c>
      <c r="L139" s="41" t="s">
        <v>2538</v>
      </c>
      <c r="M139" s="42">
        <v>43627</v>
      </c>
      <c r="N139" s="43" t="s">
        <v>808</v>
      </c>
      <c r="O139" s="42">
        <v>43632</v>
      </c>
      <c r="P139" s="45"/>
      <c r="Q139" s="38"/>
      <c r="R139" s="66"/>
      <c r="S139" s="46" t="s">
        <v>2539</v>
      </c>
    </row>
    <row r="140" spans="1:19" s="30" customFormat="1" ht="33" customHeight="1">
      <c r="B140" s="46" t="s">
        <v>238</v>
      </c>
      <c r="C140" s="35" t="s">
        <v>233</v>
      </c>
      <c r="D140" s="36" t="s">
        <v>750</v>
      </c>
      <c r="E140" s="37">
        <v>43532</v>
      </c>
      <c r="F140" s="38" t="s">
        <v>236</v>
      </c>
      <c r="G140" s="39">
        <v>3200</v>
      </c>
      <c r="H140" s="38">
        <f t="shared" si="15"/>
        <v>16</v>
      </c>
      <c r="I140" s="38">
        <f t="shared" si="16"/>
        <v>4</v>
      </c>
      <c r="J140" s="38"/>
      <c r="K140" s="40">
        <v>43646</v>
      </c>
      <c r="L140" s="41" t="s">
        <v>4448</v>
      </c>
      <c r="M140" s="42">
        <v>43641</v>
      </c>
      <c r="N140" s="43" t="s">
        <v>4306</v>
      </c>
      <c r="O140" s="42">
        <v>43646</v>
      </c>
      <c r="P140" s="45"/>
      <c r="Q140" s="38"/>
      <c r="R140" s="66"/>
      <c r="S140" s="46"/>
    </row>
    <row r="141" spans="1:19" s="30" customFormat="1" ht="33" customHeight="1">
      <c r="B141" s="46" t="s">
        <v>238</v>
      </c>
      <c r="C141" s="35" t="s">
        <v>285</v>
      </c>
      <c r="D141" s="36" t="s">
        <v>1305</v>
      </c>
      <c r="E141" s="37">
        <v>43567</v>
      </c>
      <c r="F141" s="38" t="s">
        <v>236</v>
      </c>
      <c r="G141" s="39">
        <v>3200</v>
      </c>
      <c r="H141" s="38">
        <f t="shared" si="15"/>
        <v>16</v>
      </c>
      <c r="I141" s="38">
        <f t="shared" si="16"/>
        <v>4</v>
      </c>
      <c r="J141" s="38"/>
      <c r="K141" s="40">
        <v>43660</v>
      </c>
      <c r="L141" s="41" t="s">
        <v>4359</v>
      </c>
      <c r="M141" s="42">
        <v>43655</v>
      </c>
      <c r="N141" s="43" t="s">
        <v>4360</v>
      </c>
      <c r="O141" s="42">
        <v>43660</v>
      </c>
      <c r="P141" s="45"/>
      <c r="Q141" s="38"/>
      <c r="R141" s="66"/>
      <c r="S141" s="46"/>
    </row>
    <row r="142" spans="1:19" s="30" customFormat="1" ht="33" customHeight="1">
      <c r="B142" s="46" t="s">
        <v>238</v>
      </c>
      <c r="C142" s="35" t="s">
        <v>331</v>
      </c>
      <c r="D142" s="36" t="s">
        <v>1306</v>
      </c>
      <c r="E142" s="37">
        <v>43567</v>
      </c>
      <c r="F142" s="38" t="s">
        <v>236</v>
      </c>
      <c r="G142" s="39">
        <v>3200</v>
      </c>
      <c r="H142" s="38">
        <f t="shared" si="15"/>
        <v>16</v>
      </c>
      <c r="I142" s="38">
        <f t="shared" si="16"/>
        <v>4</v>
      </c>
      <c r="J142" s="38"/>
      <c r="K142" s="40">
        <v>43674</v>
      </c>
      <c r="L142" s="41" t="s">
        <v>4449</v>
      </c>
      <c r="M142" s="42">
        <v>43669</v>
      </c>
      <c r="N142" s="43" t="s">
        <v>4380</v>
      </c>
      <c r="O142" s="42">
        <v>43674</v>
      </c>
      <c r="P142" s="45"/>
      <c r="Q142" s="38"/>
      <c r="R142" s="66"/>
      <c r="S142" s="46"/>
    </row>
    <row r="143" spans="1:19" s="30" customFormat="1" ht="33" customHeight="1">
      <c r="B143" s="46" t="s">
        <v>4450</v>
      </c>
      <c r="C143" s="35" t="s">
        <v>431</v>
      </c>
      <c r="D143" s="36" t="s">
        <v>4451</v>
      </c>
      <c r="E143" s="37">
        <v>43637</v>
      </c>
      <c r="F143" s="38" t="s">
        <v>236</v>
      </c>
      <c r="G143" s="39">
        <v>3200</v>
      </c>
      <c r="H143" s="38">
        <f t="shared" si="15"/>
        <v>16</v>
      </c>
      <c r="I143" s="38">
        <f t="shared" si="16"/>
        <v>4</v>
      </c>
      <c r="J143" s="38"/>
      <c r="K143" s="40">
        <v>43730</v>
      </c>
      <c r="L143" s="41" t="s">
        <v>4366</v>
      </c>
      <c r="M143" s="42">
        <v>43725</v>
      </c>
      <c r="N143" s="43" t="s">
        <v>4367</v>
      </c>
      <c r="O143" s="42">
        <v>43730</v>
      </c>
      <c r="P143" s="45"/>
      <c r="Q143" s="38"/>
      <c r="R143" s="66"/>
      <c r="S143" s="46"/>
    </row>
    <row r="144" spans="1:19" s="30" customFormat="1" ht="33" customHeight="1">
      <c r="B144" s="122" t="s">
        <v>4450</v>
      </c>
      <c r="C144" s="126" t="s">
        <v>523</v>
      </c>
      <c r="D144" s="127" t="s">
        <v>4452</v>
      </c>
      <c r="E144" s="128">
        <v>43665</v>
      </c>
      <c r="F144" s="124" t="s">
        <v>236</v>
      </c>
      <c r="G144" s="129">
        <v>3200</v>
      </c>
      <c r="H144" s="124">
        <f t="shared" si="15"/>
        <v>16</v>
      </c>
      <c r="I144" s="124">
        <f t="shared" si="16"/>
        <v>4</v>
      </c>
      <c r="J144" s="124"/>
      <c r="K144" s="130">
        <v>43751</v>
      </c>
      <c r="L144" s="119" t="s">
        <v>4482</v>
      </c>
      <c r="M144" s="120">
        <v>43746</v>
      </c>
      <c r="N144" s="121" t="s">
        <v>4469</v>
      </c>
      <c r="O144" s="120">
        <v>43751</v>
      </c>
      <c r="P144" s="123"/>
      <c r="Q144" s="124"/>
      <c r="R144" s="134"/>
      <c r="S144" s="122"/>
    </row>
    <row r="145" spans="2:19" s="19" customFormat="1" ht="22.2">
      <c r="B145"/>
      <c r="C145" s="15"/>
      <c r="D145" s="1"/>
      <c r="F145" s="177"/>
      <c r="L145" s="176"/>
      <c r="M145" s="177"/>
      <c r="N145" s="177"/>
      <c r="O145"/>
      <c r="P145" s="13"/>
      <c r="Q145"/>
      <c r="S145" s="28"/>
    </row>
    <row r="146" spans="2:19" ht="22.2">
      <c r="F146" s="177"/>
      <c r="L146" s="176"/>
      <c r="M146" s="177"/>
      <c r="N146" s="177"/>
      <c r="O146"/>
      <c r="P146" s="13"/>
      <c r="R146" s="19"/>
      <c r="S146" s="28"/>
    </row>
    <row r="147" spans="2:19" ht="22.2">
      <c r="F147" s="177"/>
      <c r="L147" s="176"/>
      <c r="M147" s="177"/>
      <c r="N147" s="177"/>
      <c r="O147"/>
      <c r="P147" s="13"/>
      <c r="R147" s="19"/>
      <c r="S147" s="28"/>
    </row>
    <row r="148" spans="2:19" hidden="1">
      <c r="E148" s="175"/>
      <c r="L148" s="11"/>
      <c r="M148"/>
      <c r="N148"/>
      <c r="O148"/>
      <c r="P148" s="13"/>
      <c r="R148" s="19"/>
      <c r="S148" s="28"/>
    </row>
    <row r="149" spans="2:19" s="19" customFormat="1" hidden="1">
      <c r="B149"/>
      <c r="C149" s="15"/>
      <c r="D149" s="1"/>
      <c r="L149" s="178" t="s">
        <v>1825</v>
      </c>
      <c r="M149" s="178" t="s">
        <v>1826</v>
      </c>
      <c r="N149" s="178" t="s">
        <v>1827</v>
      </c>
      <c r="O149" s="178" t="s">
        <v>1828</v>
      </c>
      <c r="P149" s="179" t="s">
        <v>4453</v>
      </c>
      <c r="Q149" s="179" t="s">
        <v>4454</v>
      </c>
      <c r="R149" s="179" t="s">
        <v>1831</v>
      </c>
      <c r="S149" s="179"/>
    </row>
    <row r="150" spans="2:19" s="19" customFormat="1" hidden="1">
      <c r="B150"/>
      <c r="C150" s="15"/>
      <c r="D150" s="1"/>
      <c r="L150" s="180" t="s">
        <v>4455</v>
      </c>
      <c r="M150" s="181" t="s">
        <v>1833</v>
      </c>
      <c r="N150" s="181" t="s">
        <v>1834</v>
      </c>
      <c r="O150" s="182" t="s">
        <v>1835</v>
      </c>
      <c r="P150" s="183">
        <v>1000</v>
      </c>
      <c r="Q150" s="183">
        <v>4</v>
      </c>
      <c r="R150" s="184">
        <v>43598</v>
      </c>
      <c r="S150" s="181" t="s">
        <v>99</v>
      </c>
    </row>
    <row r="151" spans="2:19" s="19" customFormat="1" hidden="1">
      <c r="B151"/>
      <c r="C151" s="15"/>
      <c r="D151" s="1"/>
      <c r="L151" s="180" t="s">
        <v>4455</v>
      </c>
      <c r="M151" s="181" t="s">
        <v>1836</v>
      </c>
      <c r="N151" s="181" t="s">
        <v>1834</v>
      </c>
      <c r="O151" s="182" t="s">
        <v>1835</v>
      </c>
      <c r="P151" s="183">
        <v>6000</v>
      </c>
      <c r="Q151" s="183">
        <v>24</v>
      </c>
      <c r="R151" s="184">
        <v>43598</v>
      </c>
      <c r="S151" s="181" t="s">
        <v>99</v>
      </c>
    </row>
    <row r="152" spans="2:19" s="19" customFormat="1" hidden="1">
      <c r="B152"/>
      <c r="C152" s="15"/>
      <c r="D152" s="1"/>
      <c r="L152" s="180" t="s">
        <v>4455</v>
      </c>
      <c r="M152" s="181" t="s">
        <v>1837</v>
      </c>
      <c r="N152" s="181" t="s">
        <v>1834</v>
      </c>
      <c r="O152" s="182" t="s">
        <v>1835</v>
      </c>
      <c r="P152" s="183">
        <v>5000</v>
      </c>
      <c r="Q152" s="183">
        <v>20</v>
      </c>
      <c r="R152" s="185" t="s">
        <v>4456</v>
      </c>
      <c r="S152" s="180" t="s">
        <v>4457</v>
      </c>
    </row>
    <row r="153" spans="2:19" s="19" customFormat="1" hidden="1">
      <c r="B153"/>
      <c r="C153" s="15"/>
      <c r="D153" s="1"/>
      <c r="L153" s="180" t="s">
        <v>4455</v>
      </c>
      <c r="M153" s="181" t="s">
        <v>1840</v>
      </c>
      <c r="N153" s="181" t="s">
        <v>1834</v>
      </c>
      <c r="O153" s="182" t="s">
        <v>1835</v>
      </c>
      <c r="P153" s="183">
        <v>5000</v>
      </c>
      <c r="Q153" s="183">
        <v>20</v>
      </c>
      <c r="R153" s="184">
        <v>43605</v>
      </c>
      <c r="S153" s="181" t="s">
        <v>99</v>
      </c>
    </row>
    <row r="154" spans="2:19" s="19" customFormat="1" hidden="1">
      <c r="B154"/>
      <c r="C154" s="15"/>
      <c r="D154" s="1"/>
      <c r="L154" s="180" t="s">
        <v>4455</v>
      </c>
      <c r="M154" s="181" t="s">
        <v>1841</v>
      </c>
      <c r="N154" s="181" t="s">
        <v>1834</v>
      </c>
      <c r="O154" s="182" t="s">
        <v>1835</v>
      </c>
      <c r="P154" s="183">
        <v>7000</v>
      </c>
      <c r="Q154" s="183">
        <v>28</v>
      </c>
      <c r="R154" s="184">
        <v>43605</v>
      </c>
      <c r="S154" s="181" t="s">
        <v>99</v>
      </c>
    </row>
    <row r="155" spans="2:19" hidden="1">
      <c r="L155" s="180" t="s">
        <v>4458</v>
      </c>
      <c r="M155" s="181" t="s">
        <v>1843</v>
      </c>
      <c r="N155" s="181" t="s">
        <v>1844</v>
      </c>
      <c r="O155" s="182" t="s">
        <v>1835</v>
      </c>
      <c r="P155" s="183">
        <v>2000</v>
      </c>
      <c r="Q155" s="183">
        <v>8</v>
      </c>
      <c r="R155" s="184">
        <v>43598</v>
      </c>
      <c r="S155" s="181" t="s">
        <v>99</v>
      </c>
    </row>
    <row r="156" spans="2:19" hidden="1">
      <c r="L156" s="180" t="s">
        <v>4458</v>
      </c>
      <c r="M156" s="181" t="s">
        <v>1845</v>
      </c>
      <c r="N156" s="181" t="s">
        <v>1844</v>
      </c>
      <c r="O156" s="182" t="s">
        <v>1835</v>
      </c>
      <c r="P156" s="183">
        <v>2000</v>
      </c>
      <c r="Q156" s="183">
        <v>8</v>
      </c>
      <c r="R156" s="184">
        <v>43598</v>
      </c>
      <c r="S156" s="181" t="s">
        <v>99</v>
      </c>
    </row>
    <row r="157" spans="2:19" hidden="1">
      <c r="L157" s="180" t="s">
        <v>4458</v>
      </c>
      <c r="M157" s="181" t="s">
        <v>1846</v>
      </c>
      <c r="N157" s="181" t="s">
        <v>1844</v>
      </c>
      <c r="O157" s="182" t="s">
        <v>1835</v>
      </c>
      <c r="P157" s="183">
        <v>10000</v>
      </c>
      <c r="Q157" s="183">
        <v>40</v>
      </c>
      <c r="R157" s="184">
        <v>43598</v>
      </c>
      <c r="S157" s="181" t="s">
        <v>99</v>
      </c>
    </row>
    <row r="158" spans="2:19" hidden="1">
      <c r="L158" s="180" t="s">
        <v>4458</v>
      </c>
      <c r="M158" s="181" t="s">
        <v>1847</v>
      </c>
      <c r="N158" s="181" t="s">
        <v>1844</v>
      </c>
      <c r="O158" s="182" t="s">
        <v>1835</v>
      </c>
      <c r="P158" s="183">
        <v>8000</v>
      </c>
      <c r="Q158" s="183">
        <v>32</v>
      </c>
      <c r="R158" s="184">
        <v>43598</v>
      </c>
      <c r="S158" s="180"/>
    </row>
    <row r="159" spans="2:19" hidden="1">
      <c r="L159" s="180" t="s">
        <v>4458</v>
      </c>
      <c r="M159" s="181" t="s">
        <v>1848</v>
      </c>
      <c r="N159" s="181" t="s">
        <v>1844</v>
      </c>
      <c r="O159" s="182" t="s">
        <v>1835</v>
      </c>
      <c r="P159" s="183">
        <v>10000</v>
      </c>
      <c r="Q159" s="183">
        <v>40</v>
      </c>
      <c r="R159" s="185" t="s">
        <v>4459</v>
      </c>
      <c r="S159" s="180" t="s">
        <v>4457</v>
      </c>
    </row>
    <row r="160" spans="2:19" hidden="1">
      <c r="L160" s="182" t="s">
        <v>4460</v>
      </c>
      <c r="M160" s="181" t="s">
        <v>1851</v>
      </c>
      <c r="N160" s="181" t="s">
        <v>1834</v>
      </c>
      <c r="O160" s="182" t="s">
        <v>1852</v>
      </c>
      <c r="P160" s="183">
        <v>5000</v>
      </c>
      <c r="Q160" s="183">
        <v>20</v>
      </c>
      <c r="R160" s="184">
        <v>43605</v>
      </c>
      <c r="S160" s="181" t="s">
        <v>99</v>
      </c>
    </row>
    <row r="161" spans="12:19" hidden="1">
      <c r="L161" s="180" t="s">
        <v>4461</v>
      </c>
      <c r="M161" s="181" t="s">
        <v>1851</v>
      </c>
      <c r="N161" s="181" t="s">
        <v>1844</v>
      </c>
      <c r="O161" s="182" t="s">
        <v>1835</v>
      </c>
      <c r="P161" s="183">
        <v>2000</v>
      </c>
      <c r="Q161" s="183">
        <v>8</v>
      </c>
      <c r="R161" s="184">
        <v>43605</v>
      </c>
      <c r="S161" s="181" t="s">
        <v>99</v>
      </c>
    </row>
    <row r="162" spans="12:19" hidden="1">
      <c r="L162" s="182" t="s">
        <v>4462</v>
      </c>
      <c r="M162" s="181" t="s">
        <v>1855</v>
      </c>
      <c r="N162" s="181" t="s">
        <v>1834</v>
      </c>
      <c r="O162" s="182" t="s">
        <v>1852</v>
      </c>
      <c r="P162" s="183">
        <v>6000</v>
      </c>
      <c r="Q162" s="183">
        <v>24</v>
      </c>
      <c r="R162" s="184">
        <v>43605</v>
      </c>
      <c r="S162" s="181" t="s">
        <v>99</v>
      </c>
    </row>
    <row r="163" spans="12:19" hidden="1">
      <c r="L163" s="182" t="s">
        <v>4462</v>
      </c>
      <c r="M163" s="181" t="s">
        <v>1856</v>
      </c>
      <c r="N163" s="181" t="s">
        <v>1834</v>
      </c>
      <c r="O163" s="182" t="s">
        <v>1852</v>
      </c>
      <c r="P163" s="183">
        <v>6000</v>
      </c>
      <c r="Q163" s="183">
        <v>24</v>
      </c>
      <c r="R163" s="185">
        <v>43605</v>
      </c>
      <c r="S163" s="180"/>
    </row>
    <row r="164" spans="12:19" hidden="1">
      <c r="L164" s="182" t="s">
        <v>4462</v>
      </c>
      <c r="M164" s="181" t="s">
        <v>1857</v>
      </c>
      <c r="N164" s="181" t="s">
        <v>1834</v>
      </c>
      <c r="O164" s="182" t="s">
        <v>1852</v>
      </c>
      <c r="P164" s="183">
        <v>6000</v>
      </c>
      <c r="Q164" s="183">
        <v>24</v>
      </c>
      <c r="R164" s="184" t="s">
        <v>4463</v>
      </c>
      <c r="S164" s="181" t="s">
        <v>4464</v>
      </c>
    </row>
    <row r="167" spans="12:19" ht="16.2">
      <c r="L167" s="186"/>
    </row>
    <row r="168" spans="12:19" ht="16.2">
      <c r="L168" s="186"/>
    </row>
    <row r="169" spans="12:19" ht="16.2">
      <c r="L169" s="186"/>
    </row>
    <row r="170" spans="12:19">
      <c r="Q170" t="s">
        <v>4465</v>
      </c>
    </row>
  </sheetData>
  <autoFilter ref="B2:R147" xr:uid="{00000000-0009-0000-0000-00000D000000}"/>
  <phoneticPr fontId="1"/>
  <pageMargins left="0.23622047244094491" right="0.23622047244094491" top="0.35433070866141736" bottom="0.35433070866141736" header="0.31496062992125984" footer="0.31496062992125984"/>
  <pageSetup paperSize="9" scale="44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69" filterMode="1">
    <pageSetUpPr fitToPage="1"/>
  </sheetPr>
  <dimension ref="A1:S170"/>
  <sheetViews>
    <sheetView zoomScale="77" zoomScaleNormal="77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127" sqref="O127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7.12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B2" s="194"/>
      <c r="C2" s="14" t="s">
        <v>92</v>
      </c>
      <c r="D2" s="5" t="s">
        <v>0</v>
      </c>
      <c r="E2" s="6" t="s">
        <v>93</v>
      </c>
      <c r="F2" s="6" t="s">
        <v>94</v>
      </c>
      <c r="G2" s="10" t="s">
        <v>1</v>
      </c>
      <c r="H2" s="6" t="s">
        <v>15</v>
      </c>
      <c r="I2" s="6" t="s">
        <v>16</v>
      </c>
      <c r="J2" s="6" t="s">
        <v>95</v>
      </c>
      <c r="K2" s="12" t="s">
        <v>296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85</v>
      </c>
      <c r="Q2" s="6" t="s">
        <v>96</v>
      </c>
      <c r="R2" s="16" t="s">
        <v>6</v>
      </c>
      <c r="S2" s="16" t="s">
        <v>80</v>
      </c>
    </row>
    <row r="3" spans="2:19" s="33" customFormat="1" ht="33" hidden="1" customHeight="1">
      <c r="B3" s="47" t="s">
        <v>220</v>
      </c>
      <c r="C3" s="48" t="s">
        <v>377</v>
      </c>
      <c r="D3" s="49" t="s">
        <v>378</v>
      </c>
      <c r="E3" s="50">
        <v>43455</v>
      </c>
      <c r="F3" s="49" t="s">
        <v>91</v>
      </c>
      <c r="G3" s="51">
        <v>14000</v>
      </c>
      <c r="H3" s="52">
        <f t="shared" ref="H3:H42" si="0">SUM(G3/250)</f>
        <v>56</v>
      </c>
      <c r="I3" s="52">
        <f t="shared" ref="I3:I68" si="1">SUM(H3/4)</f>
        <v>14</v>
      </c>
      <c r="J3" s="49"/>
      <c r="K3" s="53">
        <v>43548</v>
      </c>
      <c r="L3" s="54" t="s">
        <v>1881</v>
      </c>
      <c r="M3" s="55">
        <v>43563</v>
      </c>
      <c r="N3" s="56" t="s">
        <v>438</v>
      </c>
      <c r="O3" s="55">
        <v>43569</v>
      </c>
      <c r="P3" s="54" t="s">
        <v>1883</v>
      </c>
      <c r="Q3" s="49"/>
      <c r="R3" s="57" t="s">
        <v>379</v>
      </c>
      <c r="S3" s="47"/>
    </row>
    <row r="4" spans="2:19" s="33" customFormat="1" ht="33" hidden="1" customHeight="1">
      <c r="B4" s="47" t="s">
        <v>220</v>
      </c>
      <c r="C4" s="48" t="s">
        <v>421</v>
      </c>
      <c r="D4" s="49" t="s">
        <v>453</v>
      </c>
      <c r="E4" s="50">
        <v>43483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43576</v>
      </c>
      <c r="L4" s="54" t="s">
        <v>443</v>
      </c>
      <c r="M4" s="55">
        <v>43570</v>
      </c>
      <c r="N4" s="56" t="s">
        <v>440</v>
      </c>
      <c r="O4" s="55">
        <v>43576</v>
      </c>
      <c r="P4" s="54" t="s">
        <v>1122</v>
      </c>
      <c r="Q4" s="49"/>
      <c r="R4" s="57" t="s">
        <v>454</v>
      </c>
      <c r="S4" s="47"/>
    </row>
    <row r="5" spans="2:19" s="33" customFormat="1" ht="33" hidden="1" customHeight="1">
      <c r="B5" s="47" t="s">
        <v>78</v>
      </c>
      <c r="C5" s="48" t="s">
        <v>422</v>
      </c>
      <c r="D5" s="49" t="s">
        <v>455</v>
      </c>
      <c r="E5" s="50">
        <v>43483</v>
      </c>
      <c r="F5" s="49" t="s">
        <v>91</v>
      </c>
      <c r="G5" s="51">
        <v>10000</v>
      </c>
      <c r="H5" s="52">
        <f t="shared" si="0"/>
        <v>40</v>
      </c>
      <c r="I5" s="52">
        <f t="shared" si="1"/>
        <v>10</v>
      </c>
      <c r="J5" s="49"/>
      <c r="K5" s="53">
        <v>43618</v>
      </c>
      <c r="L5" s="54" t="s">
        <v>442</v>
      </c>
      <c r="M5" s="55">
        <v>43612</v>
      </c>
      <c r="N5" s="56" t="s">
        <v>677</v>
      </c>
      <c r="O5" s="55">
        <v>43618</v>
      </c>
      <c r="P5" s="54" t="s">
        <v>2155</v>
      </c>
      <c r="Q5" s="49" t="s">
        <v>82</v>
      </c>
      <c r="R5" s="57" t="s">
        <v>616</v>
      </c>
      <c r="S5" s="47"/>
    </row>
    <row r="6" spans="2:19" s="33" customFormat="1" ht="33" hidden="1" customHeight="1">
      <c r="B6" s="47" t="s">
        <v>78</v>
      </c>
      <c r="C6" s="48" t="s">
        <v>617</v>
      </c>
      <c r="D6" s="49" t="s">
        <v>455</v>
      </c>
      <c r="E6" s="50">
        <v>43523</v>
      </c>
      <c r="F6" s="49" t="s">
        <v>91</v>
      </c>
      <c r="G6" s="51">
        <v>10000</v>
      </c>
      <c r="H6" s="52">
        <f t="shared" si="0"/>
        <v>40</v>
      </c>
      <c r="I6" s="52">
        <f t="shared" si="1"/>
        <v>10</v>
      </c>
      <c r="J6" s="49"/>
      <c r="K6" s="53">
        <v>43618</v>
      </c>
      <c r="L6" s="54" t="s">
        <v>638</v>
      </c>
      <c r="M6" s="55">
        <v>43612</v>
      </c>
      <c r="N6" s="56" t="s">
        <v>636</v>
      </c>
      <c r="O6" s="55">
        <v>43618</v>
      </c>
      <c r="P6" s="54" t="s">
        <v>3604</v>
      </c>
      <c r="Q6" s="49" t="s">
        <v>82</v>
      </c>
      <c r="R6" s="57" t="s">
        <v>618</v>
      </c>
      <c r="S6" s="47"/>
    </row>
    <row r="7" spans="2:19" s="33" customFormat="1" ht="33" hidden="1" customHeight="1">
      <c r="B7" s="47" t="s">
        <v>78</v>
      </c>
      <c r="C7" s="48" t="s">
        <v>1330</v>
      </c>
      <c r="D7" s="49" t="s">
        <v>1337</v>
      </c>
      <c r="E7" s="50">
        <v>43483</v>
      </c>
      <c r="F7" s="49" t="s">
        <v>91</v>
      </c>
      <c r="G7" s="51">
        <v>20000</v>
      </c>
      <c r="H7" s="52">
        <f t="shared" si="0"/>
        <v>80</v>
      </c>
      <c r="I7" s="52">
        <f t="shared" si="1"/>
        <v>20</v>
      </c>
      <c r="J7" s="49"/>
      <c r="K7" s="53">
        <v>43618</v>
      </c>
      <c r="L7" s="54" t="s">
        <v>442</v>
      </c>
      <c r="M7" s="55">
        <v>43612</v>
      </c>
      <c r="N7" s="56" t="s">
        <v>677</v>
      </c>
      <c r="O7" s="55">
        <v>43618</v>
      </c>
      <c r="P7" s="54" t="s">
        <v>2157</v>
      </c>
      <c r="Q7" s="49" t="s">
        <v>82</v>
      </c>
      <c r="R7" s="57" t="s">
        <v>616</v>
      </c>
      <c r="S7" s="47" t="s">
        <v>479</v>
      </c>
    </row>
    <row r="8" spans="2:19" s="33" customFormat="1" ht="33" hidden="1" customHeight="1">
      <c r="B8" s="47" t="s">
        <v>78</v>
      </c>
      <c r="C8" s="48" t="s">
        <v>423</v>
      </c>
      <c r="D8" s="49" t="s">
        <v>457</v>
      </c>
      <c r="E8" s="50">
        <v>43483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43576</v>
      </c>
      <c r="L8" s="54" t="s">
        <v>4173</v>
      </c>
      <c r="M8" s="55">
        <v>43570</v>
      </c>
      <c r="N8" s="56" t="s">
        <v>4174</v>
      </c>
      <c r="O8" s="55">
        <v>43576</v>
      </c>
      <c r="P8" s="54" t="s">
        <v>4175</v>
      </c>
      <c r="Q8" s="49" t="s">
        <v>82</v>
      </c>
      <c r="R8" s="57" t="s">
        <v>4176</v>
      </c>
      <c r="S8" s="47"/>
    </row>
    <row r="9" spans="2:19" s="33" customFormat="1" ht="33" hidden="1" customHeight="1">
      <c r="B9" s="47" t="s">
        <v>220</v>
      </c>
      <c r="C9" s="48" t="s">
        <v>425</v>
      </c>
      <c r="D9" s="49" t="s">
        <v>459</v>
      </c>
      <c r="E9" s="50">
        <v>43483</v>
      </c>
      <c r="F9" s="49" t="s">
        <v>79</v>
      </c>
      <c r="G9" s="51">
        <v>20000</v>
      </c>
      <c r="H9" s="52">
        <f t="shared" si="0"/>
        <v>80</v>
      </c>
      <c r="I9" s="52">
        <f t="shared" si="1"/>
        <v>20</v>
      </c>
      <c r="J9" s="49"/>
      <c r="K9" s="53">
        <v>43583</v>
      </c>
      <c r="L9" s="54" t="s">
        <v>4177</v>
      </c>
      <c r="M9" s="55">
        <v>43577</v>
      </c>
      <c r="N9" s="56" t="s">
        <v>4178</v>
      </c>
      <c r="O9" s="55">
        <v>43583</v>
      </c>
      <c r="P9" s="54" t="s">
        <v>4179</v>
      </c>
      <c r="Q9" s="49"/>
      <c r="R9" s="57" t="s">
        <v>4180</v>
      </c>
      <c r="S9" s="47"/>
    </row>
    <row r="10" spans="2:19" s="33" customFormat="1" ht="33" hidden="1" customHeight="1">
      <c r="B10" s="47" t="s">
        <v>78</v>
      </c>
      <c r="C10" s="48" t="s">
        <v>462</v>
      </c>
      <c r="D10" s="49" t="s">
        <v>483</v>
      </c>
      <c r="E10" s="50">
        <v>43490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43583</v>
      </c>
      <c r="L10" s="54" t="s">
        <v>4177</v>
      </c>
      <c r="M10" s="55">
        <v>43577</v>
      </c>
      <c r="N10" s="56" t="s">
        <v>4178</v>
      </c>
      <c r="O10" s="55">
        <v>43583</v>
      </c>
      <c r="P10" s="54" t="s">
        <v>4181</v>
      </c>
      <c r="Q10" s="49" t="s">
        <v>82</v>
      </c>
      <c r="R10" s="57" t="s">
        <v>4182</v>
      </c>
      <c r="S10" s="47"/>
    </row>
    <row r="11" spans="2:19" s="33" customFormat="1" ht="33" hidden="1" customHeight="1">
      <c r="B11" s="47" t="s">
        <v>78</v>
      </c>
      <c r="C11" s="48" t="s">
        <v>570</v>
      </c>
      <c r="D11" s="49" t="s">
        <v>571</v>
      </c>
      <c r="E11" s="50">
        <v>43519</v>
      </c>
      <c r="F11" s="49" t="s">
        <v>79</v>
      </c>
      <c r="G11" s="51">
        <v>20000</v>
      </c>
      <c r="H11" s="52">
        <f t="shared" si="0"/>
        <v>80</v>
      </c>
      <c r="I11" s="52">
        <f t="shared" si="1"/>
        <v>20</v>
      </c>
      <c r="J11" s="49"/>
      <c r="K11" s="53">
        <v>43590</v>
      </c>
      <c r="L11" s="54" t="s">
        <v>602</v>
      </c>
      <c r="M11" s="55">
        <v>43577</v>
      </c>
      <c r="N11" s="56" t="s">
        <v>4178</v>
      </c>
      <c r="O11" s="55">
        <v>43583</v>
      </c>
      <c r="P11" s="54" t="s">
        <v>4183</v>
      </c>
      <c r="Q11" s="49" t="s">
        <v>82</v>
      </c>
      <c r="R11" s="57" t="s">
        <v>4184</v>
      </c>
      <c r="S11" s="47"/>
    </row>
    <row r="12" spans="2:19" s="33" customFormat="1" ht="33" hidden="1" customHeight="1">
      <c r="B12" s="47" t="s">
        <v>78</v>
      </c>
      <c r="C12" s="48" t="s">
        <v>573</v>
      </c>
      <c r="D12" s="49" t="s">
        <v>574</v>
      </c>
      <c r="E12" s="50">
        <v>43519</v>
      </c>
      <c r="F12" s="49" t="s">
        <v>79</v>
      </c>
      <c r="G12" s="51">
        <v>20000</v>
      </c>
      <c r="H12" s="52">
        <f t="shared" si="0"/>
        <v>80</v>
      </c>
      <c r="I12" s="52">
        <f t="shared" si="1"/>
        <v>20</v>
      </c>
      <c r="J12" s="49"/>
      <c r="K12" s="53">
        <v>43604</v>
      </c>
      <c r="L12" s="54" t="s">
        <v>4185</v>
      </c>
      <c r="M12" s="55">
        <v>43598</v>
      </c>
      <c r="N12" s="56" t="s">
        <v>4186</v>
      </c>
      <c r="O12" s="55">
        <v>43604</v>
      </c>
      <c r="P12" s="54" t="s">
        <v>4187</v>
      </c>
      <c r="Q12" s="49" t="s">
        <v>82</v>
      </c>
      <c r="R12" s="57" t="s">
        <v>4188</v>
      </c>
      <c r="S12" s="47"/>
    </row>
    <row r="13" spans="2:19" s="33" customFormat="1" ht="33" hidden="1" customHeight="1">
      <c r="B13" s="47" t="s">
        <v>78</v>
      </c>
      <c r="C13" s="48" t="s">
        <v>4189</v>
      </c>
      <c r="D13" s="49" t="s">
        <v>577</v>
      </c>
      <c r="E13" s="50">
        <v>43519</v>
      </c>
      <c r="F13" s="49" t="s">
        <v>4190</v>
      </c>
      <c r="G13" s="51">
        <v>10000</v>
      </c>
      <c r="H13" s="52">
        <f t="shared" si="0"/>
        <v>40</v>
      </c>
      <c r="I13" s="52">
        <f t="shared" si="1"/>
        <v>10</v>
      </c>
      <c r="J13" s="49"/>
      <c r="K13" s="53">
        <v>43598</v>
      </c>
      <c r="L13" s="54" t="s">
        <v>803</v>
      </c>
      <c r="M13" s="55">
        <v>43598</v>
      </c>
      <c r="N13" s="56" t="s">
        <v>804</v>
      </c>
      <c r="O13" s="55">
        <v>43604</v>
      </c>
      <c r="P13" s="54" t="s">
        <v>4191</v>
      </c>
      <c r="Q13" s="49" t="s">
        <v>82</v>
      </c>
      <c r="R13" s="57" t="s">
        <v>4192</v>
      </c>
      <c r="S13" s="47"/>
    </row>
    <row r="14" spans="2:19" s="33" customFormat="1" ht="33" hidden="1" customHeight="1">
      <c r="B14" s="47" t="s">
        <v>220</v>
      </c>
      <c r="C14" s="48" t="s">
        <v>579</v>
      </c>
      <c r="D14" s="49" t="s">
        <v>580</v>
      </c>
      <c r="E14" s="50">
        <v>43519</v>
      </c>
      <c r="F14" s="49" t="s">
        <v>79</v>
      </c>
      <c r="G14" s="51">
        <v>10000</v>
      </c>
      <c r="H14" s="52">
        <f t="shared" si="0"/>
        <v>40</v>
      </c>
      <c r="I14" s="52">
        <f t="shared" si="1"/>
        <v>10</v>
      </c>
      <c r="J14" s="49"/>
      <c r="K14" s="53">
        <v>43598</v>
      </c>
      <c r="L14" s="54" t="s">
        <v>803</v>
      </c>
      <c r="M14" s="55">
        <v>43598</v>
      </c>
      <c r="N14" s="56" t="s">
        <v>804</v>
      </c>
      <c r="O14" s="55">
        <v>43604</v>
      </c>
      <c r="P14" s="54" t="s">
        <v>4193</v>
      </c>
      <c r="Q14" s="49"/>
      <c r="R14" s="57" t="s">
        <v>4194</v>
      </c>
      <c r="S14" s="47"/>
    </row>
    <row r="15" spans="2:19" s="33" customFormat="1" ht="33" hidden="1" customHeight="1">
      <c r="B15" s="47" t="s">
        <v>78</v>
      </c>
      <c r="C15" s="48" t="s">
        <v>576</v>
      </c>
      <c r="D15" s="49" t="s">
        <v>577</v>
      </c>
      <c r="E15" s="50">
        <v>43519</v>
      </c>
      <c r="F15" s="49" t="s">
        <v>79</v>
      </c>
      <c r="G15" s="51">
        <v>20000</v>
      </c>
      <c r="H15" s="52">
        <f t="shared" si="0"/>
        <v>80</v>
      </c>
      <c r="I15" s="52">
        <f t="shared" si="1"/>
        <v>20</v>
      </c>
      <c r="J15" s="49"/>
      <c r="K15" s="53">
        <v>43611</v>
      </c>
      <c r="L15" s="54" t="s">
        <v>4195</v>
      </c>
      <c r="M15" s="55">
        <v>43605</v>
      </c>
      <c r="N15" s="56" t="s">
        <v>4196</v>
      </c>
      <c r="O15" s="55">
        <v>43611</v>
      </c>
      <c r="P15" s="54" t="s">
        <v>4197</v>
      </c>
      <c r="Q15" s="49" t="s">
        <v>82</v>
      </c>
      <c r="R15" s="57" t="s">
        <v>4198</v>
      </c>
      <c r="S15" s="47"/>
    </row>
    <row r="16" spans="2:19" s="30" customFormat="1" ht="33" hidden="1" customHeight="1">
      <c r="B16" s="46" t="s">
        <v>78</v>
      </c>
      <c r="C16" s="35" t="s">
        <v>685</v>
      </c>
      <c r="D16" s="36" t="s">
        <v>686</v>
      </c>
      <c r="E16" s="37">
        <v>43532</v>
      </c>
      <c r="F16" s="36" t="s">
        <v>79</v>
      </c>
      <c r="G16" s="39">
        <v>20000</v>
      </c>
      <c r="H16" s="38">
        <f t="shared" si="0"/>
        <v>80</v>
      </c>
      <c r="I16" s="38">
        <f t="shared" si="1"/>
        <v>20</v>
      </c>
      <c r="J16" s="36"/>
      <c r="K16" s="40">
        <v>43625</v>
      </c>
      <c r="L16" s="41" t="s">
        <v>4199</v>
      </c>
      <c r="M16" s="42">
        <v>43619</v>
      </c>
      <c r="N16" s="43" t="s">
        <v>4200</v>
      </c>
      <c r="O16" s="42">
        <v>43625</v>
      </c>
      <c r="P16" s="41"/>
      <c r="Q16" s="36" t="s">
        <v>82</v>
      </c>
      <c r="R16" s="44" t="s">
        <v>4201</v>
      </c>
      <c r="S16" s="46"/>
    </row>
    <row r="17" spans="2:19" s="30" customFormat="1" ht="33" hidden="1" customHeight="1">
      <c r="B17" s="46" t="s">
        <v>78</v>
      </c>
      <c r="C17" s="35" t="s">
        <v>4202</v>
      </c>
      <c r="D17" s="36" t="s">
        <v>1366</v>
      </c>
      <c r="E17" s="37">
        <v>43532</v>
      </c>
      <c r="F17" s="36" t="s">
        <v>79</v>
      </c>
      <c r="G17" s="39">
        <v>20000</v>
      </c>
      <c r="H17" s="38">
        <f t="shared" si="0"/>
        <v>80</v>
      </c>
      <c r="I17" s="38">
        <f t="shared" si="1"/>
        <v>20</v>
      </c>
      <c r="J17" s="36"/>
      <c r="K17" s="40">
        <v>43625</v>
      </c>
      <c r="L17" s="41" t="s">
        <v>4199</v>
      </c>
      <c r="M17" s="42">
        <v>43619</v>
      </c>
      <c r="N17" s="43" t="s">
        <v>4200</v>
      </c>
      <c r="O17" s="42">
        <v>43625</v>
      </c>
      <c r="P17" s="41"/>
      <c r="Q17" s="36" t="s">
        <v>82</v>
      </c>
      <c r="R17" s="44" t="s">
        <v>4201</v>
      </c>
      <c r="S17" s="46" t="s">
        <v>479</v>
      </c>
    </row>
    <row r="18" spans="2:19" s="30" customFormat="1" ht="33" hidden="1" customHeight="1">
      <c r="B18" s="46" t="s">
        <v>220</v>
      </c>
      <c r="C18" s="35" t="s">
        <v>688</v>
      </c>
      <c r="D18" s="36" t="s">
        <v>689</v>
      </c>
      <c r="E18" s="37">
        <v>43532</v>
      </c>
      <c r="F18" s="36" t="s">
        <v>79</v>
      </c>
      <c r="G18" s="39">
        <v>20000</v>
      </c>
      <c r="H18" s="38">
        <f t="shared" si="0"/>
        <v>80</v>
      </c>
      <c r="I18" s="38">
        <f t="shared" si="1"/>
        <v>20</v>
      </c>
      <c r="J18" s="36"/>
      <c r="K18" s="40">
        <v>43632</v>
      </c>
      <c r="L18" s="41" t="s">
        <v>4203</v>
      </c>
      <c r="M18" s="42">
        <v>43626</v>
      </c>
      <c r="N18" s="43" t="s">
        <v>4204</v>
      </c>
      <c r="O18" s="42">
        <v>43632</v>
      </c>
      <c r="P18" s="41" t="s">
        <v>4205</v>
      </c>
      <c r="Q18" s="36"/>
      <c r="R18" s="44" t="s">
        <v>4206</v>
      </c>
      <c r="S18" s="46"/>
    </row>
    <row r="19" spans="2:19" s="30" customFormat="1" ht="33" hidden="1" customHeight="1">
      <c r="B19" s="46" t="s">
        <v>78</v>
      </c>
      <c r="C19" s="35" t="s">
        <v>691</v>
      </c>
      <c r="D19" s="36" t="s">
        <v>692</v>
      </c>
      <c r="E19" s="37">
        <v>43532</v>
      </c>
      <c r="F19" s="36" t="s">
        <v>79</v>
      </c>
      <c r="G19" s="39">
        <v>20000</v>
      </c>
      <c r="H19" s="38">
        <f t="shared" si="0"/>
        <v>80</v>
      </c>
      <c r="I19" s="38">
        <f t="shared" si="1"/>
        <v>20</v>
      </c>
      <c r="J19" s="36"/>
      <c r="K19" s="40">
        <v>43639</v>
      </c>
      <c r="L19" s="41" t="s">
        <v>4207</v>
      </c>
      <c r="M19" s="42">
        <v>43633</v>
      </c>
      <c r="N19" s="43" t="s">
        <v>4208</v>
      </c>
      <c r="O19" s="42">
        <v>43639</v>
      </c>
      <c r="P19" s="41"/>
      <c r="Q19" s="36" t="s">
        <v>82</v>
      </c>
      <c r="R19" s="44" t="s">
        <v>4209</v>
      </c>
      <c r="S19" s="46"/>
    </row>
    <row r="20" spans="2:19" s="33" customFormat="1" ht="33" hidden="1" customHeight="1">
      <c r="B20" s="47" t="s">
        <v>78</v>
      </c>
      <c r="C20" s="48" t="s">
        <v>4210</v>
      </c>
      <c r="D20" s="49" t="s">
        <v>4211</v>
      </c>
      <c r="E20" s="50">
        <v>43566</v>
      </c>
      <c r="F20" s="49" t="s">
        <v>79</v>
      </c>
      <c r="G20" s="51">
        <v>6000</v>
      </c>
      <c r="H20" s="52">
        <f t="shared" si="0"/>
        <v>24</v>
      </c>
      <c r="I20" s="52">
        <f t="shared" si="1"/>
        <v>6</v>
      </c>
      <c r="J20" s="49"/>
      <c r="K20" s="53">
        <v>43611</v>
      </c>
      <c r="L20" s="54" t="s">
        <v>603</v>
      </c>
      <c r="M20" s="55">
        <v>43605</v>
      </c>
      <c r="N20" s="56" t="s">
        <v>1080</v>
      </c>
      <c r="O20" s="55">
        <v>43611</v>
      </c>
      <c r="P20" s="54" t="s">
        <v>4212</v>
      </c>
      <c r="Q20" s="49" t="s">
        <v>82</v>
      </c>
      <c r="R20" s="57" t="s">
        <v>4213</v>
      </c>
      <c r="S20" s="47"/>
    </row>
    <row r="21" spans="2:19" s="33" customFormat="1" ht="33" hidden="1" customHeight="1">
      <c r="B21" s="47" t="s">
        <v>4214</v>
      </c>
      <c r="C21" s="48" t="s">
        <v>986</v>
      </c>
      <c r="D21" s="49" t="s">
        <v>4211</v>
      </c>
      <c r="E21" s="50">
        <v>43566</v>
      </c>
      <c r="F21" s="49" t="s">
        <v>79</v>
      </c>
      <c r="G21" s="51">
        <v>14000</v>
      </c>
      <c r="H21" s="52">
        <f t="shared" si="0"/>
        <v>56</v>
      </c>
      <c r="I21" s="52">
        <f t="shared" si="1"/>
        <v>14</v>
      </c>
      <c r="J21" s="49"/>
      <c r="K21" s="53">
        <v>43611</v>
      </c>
      <c r="L21" s="54" t="s">
        <v>603</v>
      </c>
      <c r="M21" s="55">
        <v>43605</v>
      </c>
      <c r="N21" s="56" t="s">
        <v>1080</v>
      </c>
      <c r="O21" s="55">
        <v>43611</v>
      </c>
      <c r="P21" s="54" t="s">
        <v>4215</v>
      </c>
      <c r="Q21" s="49"/>
      <c r="R21" s="57" t="s">
        <v>4213</v>
      </c>
      <c r="S21" s="47"/>
    </row>
    <row r="22" spans="2:19" s="30" customFormat="1" ht="33" hidden="1" customHeight="1">
      <c r="B22" s="46" t="s">
        <v>78</v>
      </c>
      <c r="C22" s="35" t="s">
        <v>988</v>
      </c>
      <c r="D22" s="36" t="s">
        <v>4216</v>
      </c>
      <c r="E22" s="37">
        <v>43566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43632</v>
      </c>
      <c r="L22" s="41" t="s">
        <v>1081</v>
      </c>
      <c r="M22" s="42">
        <v>43626</v>
      </c>
      <c r="N22" s="43" t="s">
        <v>1082</v>
      </c>
      <c r="O22" s="42">
        <v>43632</v>
      </c>
      <c r="P22" s="41"/>
      <c r="Q22" s="36" t="s">
        <v>82</v>
      </c>
      <c r="R22" s="44" t="s">
        <v>4217</v>
      </c>
      <c r="S22" s="46"/>
    </row>
    <row r="23" spans="2:19" s="30" customFormat="1" ht="33" hidden="1" customHeight="1">
      <c r="B23" s="46" t="s">
        <v>78</v>
      </c>
      <c r="C23" s="35" t="s">
        <v>1160</v>
      </c>
      <c r="D23" s="36" t="s">
        <v>1161</v>
      </c>
      <c r="E23" s="37">
        <v>43567</v>
      </c>
      <c r="F23" s="36" t="s">
        <v>4218</v>
      </c>
      <c r="G23" s="39">
        <v>40000</v>
      </c>
      <c r="H23" s="38">
        <f t="shared" si="0"/>
        <v>160</v>
      </c>
      <c r="I23" s="38">
        <f t="shared" si="1"/>
        <v>40</v>
      </c>
      <c r="J23" s="36"/>
      <c r="K23" s="40">
        <v>43646</v>
      </c>
      <c r="L23" s="41" t="s">
        <v>4219</v>
      </c>
      <c r="M23" s="42">
        <v>43640</v>
      </c>
      <c r="N23" s="43" t="s">
        <v>4220</v>
      </c>
      <c r="O23" s="42">
        <v>43646</v>
      </c>
      <c r="P23" s="41"/>
      <c r="Q23" s="36" t="s">
        <v>82</v>
      </c>
      <c r="R23" s="44" t="s">
        <v>4221</v>
      </c>
      <c r="S23" s="46" t="s">
        <v>2140</v>
      </c>
    </row>
    <row r="24" spans="2:19" s="30" customFormat="1" ht="33" hidden="1" customHeight="1">
      <c r="B24" s="46" t="s">
        <v>220</v>
      </c>
      <c r="C24" s="35" t="s">
        <v>1163</v>
      </c>
      <c r="D24" s="36" t="s">
        <v>1164</v>
      </c>
      <c r="E24" s="37">
        <v>43567</v>
      </c>
      <c r="F24" s="36" t="s">
        <v>79</v>
      </c>
      <c r="G24" s="39">
        <v>20000</v>
      </c>
      <c r="H24" s="38">
        <f t="shared" si="0"/>
        <v>80</v>
      </c>
      <c r="I24" s="38">
        <f t="shared" si="1"/>
        <v>20</v>
      </c>
      <c r="J24" s="36"/>
      <c r="K24" s="40">
        <v>43646</v>
      </c>
      <c r="L24" s="41" t="s">
        <v>4219</v>
      </c>
      <c r="M24" s="42">
        <v>43640</v>
      </c>
      <c r="N24" s="43" t="s">
        <v>4220</v>
      </c>
      <c r="O24" s="42">
        <v>43646</v>
      </c>
      <c r="P24" s="41"/>
      <c r="Q24" s="36"/>
      <c r="R24" s="44" t="s">
        <v>4222</v>
      </c>
      <c r="S24" s="46" t="s">
        <v>2140</v>
      </c>
    </row>
    <row r="25" spans="2:19" s="30" customFormat="1" ht="33" hidden="1" customHeight="1">
      <c r="B25" s="46" t="s">
        <v>78</v>
      </c>
      <c r="C25" s="35" t="s">
        <v>1166</v>
      </c>
      <c r="D25" s="36" t="s">
        <v>1167</v>
      </c>
      <c r="E25" s="37">
        <v>43567</v>
      </c>
      <c r="F25" s="36" t="s">
        <v>79</v>
      </c>
      <c r="G25" s="39">
        <v>20000</v>
      </c>
      <c r="H25" s="38">
        <f t="shared" si="0"/>
        <v>80</v>
      </c>
      <c r="I25" s="38">
        <f t="shared" si="1"/>
        <v>20</v>
      </c>
      <c r="J25" s="36"/>
      <c r="K25" s="40">
        <v>43653</v>
      </c>
      <c r="L25" s="41" t="s">
        <v>4223</v>
      </c>
      <c r="M25" s="42">
        <v>43647</v>
      </c>
      <c r="N25" s="43" t="s">
        <v>4224</v>
      </c>
      <c r="O25" s="42">
        <v>43653</v>
      </c>
      <c r="P25" s="41"/>
      <c r="Q25" s="36" t="s">
        <v>82</v>
      </c>
      <c r="R25" s="44" t="s">
        <v>4225</v>
      </c>
      <c r="S25" s="46" t="s">
        <v>2140</v>
      </c>
    </row>
    <row r="26" spans="2:19" s="30" customFormat="1" ht="33" hidden="1" customHeight="1">
      <c r="B26" s="46" t="s">
        <v>78</v>
      </c>
      <c r="C26" s="35" t="s">
        <v>1169</v>
      </c>
      <c r="D26" s="36" t="s">
        <v>1170</v>
      </c>
      <c r="E26" s="37">
        <v>43567</v>
      </c>
      <c r="F26" s="36" t="s">
        <v>79</v>
      </c>
      <c r="G26" s="39">
        <v>20000</v>
      </c>
      <c r="H26" s="38">
        <f t="shared" si="0"/>
        <v>80</v>
      </c>
      <c r="I26" s="38">
        <f t="shared" si="1"/>
        <v>20</v>
      </c>
      <c r="J26" s="36"/>
      <c r="K26" s="40">
        <v>43660</v>
      </c>
      <c r="L26" s="41" t="s">
        <v>4226</v>
      </c>
      <c r="M26" s="42">
        <v>43654</v>
      </c>
      <c r="N26" s="43" t="s">
        <v>4227</v>
      </c>
      <c r="O26" s="42">
        <v>43660</v>
      </c>
      <c r="P26" s="41"/>
      <c r="Q26" s="36" t="s">
        <v>82</v>
      </c>
      <c r="R26" s="44" t="s">
        <v>4228</v>
      </c>
      <c r="S26" s="46" t="s">
        <v>2140</v>
      </c>
    </row>
    <row r="27" spans="2:19" s="30" customFormat="1" ht="33" hidden="1" customHeight="1">
      <c r="B27" s="46" t="s">
        <v>78</v>
      </c>
      <c r="C27" s="35" t="s">
        <v>1172</v>
      </c>
      <c r="D27" s="36" t="s">
        <v>1173</v>
      </c>
      <c r="E27" s="37">
        <v>43567</v>
      </c>
      <c r="F27" s="36" t="s">
        <v>79</v>
      </c>
      <c r="G27" s="39">
        <v>20000</v>
      </c>
      <c r="H27" s="38">
        <f t="shared" si="0"/>
        <v>80</v>
      </c>
      <c r="I27" s="38">
        <f t="shared" si="1"/>
        <v>20</v>
      </c>
      <c r="J27" s="36"/>
      <c r="K27" s="40">
        <v>43667</v>
      </c>
      <c r="L27" s="41" t="s">
        <v>4229</v>
      </c>
      <c r="M27" s="42">
        <v>43658</v>
      </c>
      <c r="N27" s="43" t="s">
        <v>4230</v>
      </c>
      <c r="O27" s="42">
        <v>43667</v>
      </c>
      <c r="P27" s="41"/>
      <c r="Q27" s="36" t="s">
        <v>82</v>
      </c>
      <c r="R27" s="44" t="s">
        <v>4231</v>
      </c>
      <c r="S27" s="46" t="s">
        <v>2140</v>
      </c>
    </row>
    <row r="28" spans="2:19" s="30" customFormat="1" ht="33" hidden="1" customHeight="1">
      <c r="B28" s="122" t="s">
        <v>220</v>
      </c>
      <c r="C28" s="126" t="s">
        <v>1175</v>
      </c>
      <c r="D28" s="127" t="s">
        <v>1176</v>
      </c>
      <c r="E28" s="128">
        <v>43567</v>
      </c>
      <c r="F28" s="127" t="s">
        <v>79</v>
      </c>
      <c r="G28" s="129">
        <v>20000</v>
      </c>
      <c r="H28" s="124">
        <f t="shared" si="0"/>
        <v>80</v>
      </c>
      <c r="I28" s="124">
        <f t="shared" si="1"/>
        <v>20</v>
      </c>
      <c r="J28" s="127"/>
      <c r="K28" s="130">
        <v>43667</v>
      </c>
      <c r="L28" s="119" t="s">
        <v>4232</v>
      </c>
      <c r="M28" s="120">
        <v>43675</v>
      </c>
      <c r="N28" s="121" t="s">
        <v>4233</v>
      </c>
      <c r="O28" s="120">
        <v>43681</v>
      </c>
      <c r="P28" s="119"/>
      <c r="Q28" s="127"/>
      <c r="R28" s="125" t="s">
        <v>4234</v>
      </c>
      <c r="S28" s="122" t="s">
        <v>2539</v>
      </c>
    </row>
    <row r="29" spans="2:19" s="30" customFormat="1" ht="33" hidden="1" customHeight="1">
      <c r="B29" s="122" t="s">
        <v>78</v>
      </c>
      <c r="C29" s="126" t="s">
        <v>1178</v>
      </c>
      <c r="D29" s="127" t="s">
        <v>1179</v>
      </c>
      <c r="E29" s="128">
        <v>43567</v>
      </c>
      <c r="F29" s="127" t="s">
        <v>4190</v>
      </c>
      <c r="G29" s="129">
        <v>10000</v>
      </c>
      <c r="H29" s="124">
        <f t="shared" si="0"/>
        <v>40</v>
      </c>
      <c r="I29" s="124">
        <f t="shared" si="1"/>
        <v>10</v>
      </c>
      <c r="J29" s="127"/>
      <c r="K29" s="130">
        <v>43674</v>
      </c>
      <c r="L29" s="119" t="s">
        <v>4235</v>
      </c>
      <c r="M29" s="120">
        <v>43682</v>
      </c>
      <c r="N29" s="121" t="s">
        <v>4236</v>
      </c>
      <c r="O29" s="120">
        <v>43688</v>
      </c>
      <c r="P29" s="119"/>
      <c r="Q29" s="127" t="s">
        <v>82</v>
      </c>
      <c r="R29" s="125" t="s">
        <v>4237</v>
      </c>
      <c r="S29" s="122" t="s">
        <v>2539</v>
      </c>
    </row>
    <row r="30" spans="2:19" s="30" customFormat="1" ht="33" hidden="1" customHeight="1">
      <c r="B30" s="122" t="s">
        <v>220</v>
      </c>
      <c r="C30" s="126" t="s">
        <v>1181</v>
      </c>
      <c r="D30" s="127" t="s">
        <v>1182</v>
      </c>
      <c r="E30" s="128">
        <v>43567</v>
      </c>
      <c r="F30" s="127" t="s">
        <v>4190</v>
      </c>
      <c r="G30" s="129">
        <v>10000</v>
      </c>
      <c r="H30" s="124">
        <f t="shared" si="0"/>
        <v>40</v>
      </c>
      <c r="I30" s="124">
        <f t="shared" si="1"/>
        <v>10</v>
      </c>
      <c r="J30" s="127"/>
      <c r="K30" s="130">
        <v>43674</v>
      </c>
      <c r="L30" s="119" t="s">
        <v>4235</v>
      </c>
      <c r="M30" s="120">
        <v>43682</v>
      </c>
      <c r="N30" s="121" t="s">
        <v>4236</v>
      </c>
      <c r="O30" s="120">
        <v>43688</v>
      </c>
      <c r="P30" s="119"/>
      <c r="Q30" s="127"/>
      <c r="R30" s="125" t="s">
        <v>4238</v>
      </c>
      <c r="S30" s="122" t="s">
        <v>2539</v>
      </c>
    </row>
    <row r="31" spans="2:19" s="30" customFormat="1" ht="33" hidden="1" customHeight="1">
      <c r="B31" s="46" t="s">
        <v>78</v>
      </c>
      <c r="C31" s="35" t="s">
        <v>2273</v>
      </c>
      <c r="D31" s="36" t="s">
        <v>2274</v>
      </c>
      <c r="E31" s="37">
        <v>43602</v>
      </c>
      <c r="F31" s="36" t="s">
        <v>79</v>
      </c>
      <c r="G31" s="39">
        <v>20000</v>
      </c>
      <c r="H31" s="38">
        <f t="shared" si="0"/>
        <v>80</v>
      </c>
      <c r="I31" s="38">
        <f t="shared" si="1"/>
        <v>20</v>
      </c>
      <c r="J31" s="36"/>
      <c r="K31" s="40">
        <v>43688</v>
      </c>
      <c r="L31" s="41" t="s">
        <v>4235</v>
      </c>
      <c r="M31" s="42">
        <v>43682</v>
      </c>
      <c r="N31" s="43" t="s">
        <v>4236</v>
      </c>
      <c r="O31" s="42">
        <v>43688</v>
      </c>
      <c r="P31" s="41"/>
      <c r="Q31" s="36" t="s">
        <v>82</v>
      </c>
      <c r="R31" s="44" t="s">
        <v>4239</v>
      </c>
      <c r="S31" s="46"/>
    </row>
    <row r="32" spans="2:19" s="30" customFormat="1" ht="33" hidden="1" customHeight="1">
      <c r="B32" s="46" t="s">
        <v>78</v>
      </c>
      <c r="C32" s="35" t="s">
        <v>2276</v>
      </c>
      <c r="D32" s="36" t="s">
        <v>2277</v>
      </c>
      <c r="E32" s="37">
        <v>43602</v>
      </c>
      <c r="F32" s="36" t="s">
        <v>79</v>
      </c>
      <c r="G32" s="39">
        <v>20000</v>
      </c>
      <c r="H32" s="38">
        <f t="shared" si="0"/>
        <v>80</v>
      </c>
      <c r="I32" s="38">
        <f t="shared" si="1"/>
        <v>20</v>
      </c>
      <c r="J32" s="36"/>
      <c r="K32" s="40">
        <v>43695</v>
      </c>
      <c r="L32" s="41" t="s">
        <v>4235</v>
      </c>
      <c r="M32" s="42">
        <v>43682</v>
      </c>
      <c r="N32" s="43" t="s">
        <v>4236</v>
      </c>
      <c r="O32" s="42">
        <v>43688</v>
      </c>
      <c r="P32" s="41"/>
      <c r="Q32" s="36" t="s">
        <v>82</v>
      </c>
      <c r="R32" s="44" t="s">
        <v>4240</v>
      </c>
      <c r="S32" s="46"/>
    </row>
    <row r="33" spans="2:19" s="30" customFormat="1" ht="33" hidden="1" customHeight="1">
      <c r="B33" s="46" t="s">
        <v>220</v>
      </c>
      <c r="C33" s="35" t="s">
        <v>2279</v>
      </c>
      <c r="D33" s="36" t="s">
        <v>2280</v>
      </c>
      <c r="E33" s="37">
        <v>43602</v>
      </c>
      <c r="F33" s="36" t="s">
        <v>79</v>
      </c>
      <c r="G33" s="39">
        <v>20000</v>
      </c>
      <c r="H33" s="38">
        <f t="shared" si="0"/>
        <v>80</v>
      </c>
      <c r="I33" s="38">
        <f t="shared" si="1"/>
        <v>20</v>
      </c>
      <c r="J33" s="36"/>
      <c r="K33" s="40">
        <v>43695</v>
      </c>
      <c r="L33" s="41" t="s">
        <v>4235</v>
      </c>
      <c r="M33" s="42">
        <v>43682</v>
      </c>
      <c r="N33" s="43" t="s">
        <v>4236</v>
      </c>
      <c r="O33" s="42">
        <v>43688</v>
      </c>
      <c r="P33" s="41"/>
      <c r="Q33" s="36"/>
      <c r="R33" s="44" t="s">
        <v>4241</v>
      </c>
      <c r="S33" s="46"/>
    </row>
    <row r="34" spans="2:19" s="30" customFormat="1" ht="33" hidden="1" customHeight="1">
      <c r="B34" s="46" t="s">
        <v>78</v>
      </c>
      <c r="C34" s="35" t="s">
        <v>2282</v>
      </c>
      <c r="D34" s="36" t="s">
        <v>2283</v>
      </c>
      <c r="E34" s="37">
        <v>43602</v>
      </c>
      <c r="F34" s="36" t="s">
        <v>79</v>
      </c>
      <c r="G34" s="39">
        <v>20000</v>
      </c>
      <c r="H34" s="38">
        <f t="shared" si="0"/>
        <v>80</v>
      </c>
      <c r="I34" s="38">
        <f t="shared" si="1"/>
        <v>20</v>
      </c>
      <c r="J34" s="36"/>
      <c r="K34" s="40">
        <v>43709</v>
      </c>
      <c r="L34" s="41" t="s">
        <v>4242</v>
      </c>
      <c r="M34" s="42">
        <v>43703</v>
      </c>
      <c r="N34" s="43" t="s">
        <v>4243</v>
      </c>
      <c r="O34" s="42">
        <v>43709</v>
      </c>
      <c r="P34" s="41"/>
      <c r="Q34" s="36" t="s">
        <v>82</v>
      </c>
      <c r="R34" s="44" t="s">
        <v>4244</v>
      </c>
      <c r="S34" s="46"/>
    </row>
    <row r="35" spans="2:19" s="30" customFormat="1" ht="33" hidden="1" customHeight="1">
      <c r="B35" s="46" t="s">
        <v>220</v>
      </c>
      <c r="C35" s="35" t="s">
        <v>3353</v>
      </c>
      <c r="D35" s="36" t="s">
        <v>3354</v>
      </c>
      <c r="E35" s="37">
        <v>43637</v>
      </c>
      <c r="F35" s="36" t="s">
        <v>79</v>
      </c>
      <c r="G35" s="39">
        <v>20000</v>
      </c>
      <c r="H35" s="38">
        <f t="shared" si="0"/>
        <v>80</v>
      </c>
      <c r="I35" s="38">
        <f t="shared" si="1"/>
        <v>20</v>
      </c>
      <c r="J35" s="36"/>
      <c r="K35" s="40">
        <v>43716</v>
      </c>
      <c r="L35" s="41" t="s">
        <v>4245</v>
      </c>
      <c r="M35" s="42">
        <v>43710</v>
      </c>
      <c r="N35" s="43" t="s">
        <v>4246</v>
      </c>
      <c r="O35" s="42">
        <v>43716</v>
      </c>
      <c r="P35" s="41"/>
      <c r="Q35" s="36"/>
      <c r="R35" s="44" t="s">
        <v>4247</v>
      </c>
      <c r="S35" s="46"/>
    </row>
    <row r="36" spans="2:19" s="30" customFormat="1" ht="33" hidden="1" customHeight="1">
      <c r="B36" s="46" t="s">
        <v>78</v>
      </c>
      <c r="C36" s="35" t="s">
        <v>3356</v>
      </c>
      <c r="D36" s="36" t="s">
        <v>3357</v>
      </c>
      <c r="E36" s="37">
        <v>43637</v>
      </c>
      <c r="F36" s="36" t="s">
        <v>79</v>
      </c>
      <c r="G36" s="39">
        <v>20000</v>
      </c>
      <c r="H36" s="38">
        <f t="shared" si="0"/>
        <v>80</v>
      </c>
      <c r="I36" s="38">
        <f t="shared" si="1"/>
        <v>20</v>
      </c>
      <c r="J36" s="36"/>
      <c r="K36" s="40">
        <v>43723</v>
      </c>
      <c r="L36" s="41" t="s">
        <v>3555</v>
      </c>
      <c r="M36" s="42">
        <v>43717</v>
      </c>
      <c r="N36" s="43" t="s">
        <v>4248</v>
      </c>
      <c r="O36" s="42">
        <v>43723</v>
      </c>
      <c r="P36" s="41"/>
      <c r="Q36" s="36" t="s">
        <v>82</v>
      </c>
      <c r="R36" s="44" t="s">
        <v>4249</v>
      </c>
      <c r="S36" s="46"/>
    </row>
    <row r="37" spans="2:19" s="30" customFormat="1" ht="33" customHeight="1">
      <c r="B37" s="122" t="s">
        <v>78</v>
      </c>
      <c r="C37" s="126" t="s">
        <v>3359</v>
      </c>
      <c r="D37" s="127" t="s">
        <v>3360</v>
      </c>
      <c r="E37" s="128">
        <v>43637</v>
      </c>
      <c r="F37" s="127" t="s">
        <v>79</v>
      </c>
      <c r="G37" s="129">
        <v>20000</v>
      </c>
      <c r="H37" s="124">
        <f t="shared" si="0"/>
        <v>80</v>
      </c>
      <c r="I37" s="124">
        <f t="shared" si="1"/>
        <v>20</v>
      </c>
      <c r="J37" s="127"/>
      <c r="K37" s="130">
        <v>43737</v>
      </c>
      <c r="L37" s="119" t="s">
        <v>3556</v>
      </c>
      <c r="M37" s="120">
        <v>43728</v>
      </c>
      <c r="N37" s="121" t="s">
        <v>4250</v>
      </c>
      <c r="O37" s="120">
        <v>43737</v>
      </c>
      <c r="P37" s="119"/>
      <c r="Q37" s="127" t="s">
        <v>82</v>
      </c>
      <c r="R37" s="125" t="s">
        <v>4251</v>
      </c>
      <c r="S37" s="122"/>
    </row>
    <row r="38" spans="2:19" s="147" customFormat="1" ht="33" hidden="1" customHeight="1">
      <c r="B38" s="103" t="s">
        <v>220</v>
      </c>
      <c r="C38" s="104" t="s">
        <v>4252</v>
      </c>
      <c r="D38" s="105" t="s">
        <v>4253</v>
      </c>
      <c r="E38" s="106">
        <v>43665</v>
      </c>
      <c r="F38" s="105" t="s">
        <v>79</v>
      </c>
      <c r="G38" s="108">
        <v>20000</v>
      </c>
      <c r="H38" s="107">
        <f t="shared" si="0"/>
        <v>80</v>
      </c>
      <c r="I38" s="107">
        <f t="shared" si="1"/>
        <v>20</v>
      </c>
      <c r="J38" s="105"/>
      <c r="K38" s="109">
        <v>43744</v>
      </c>
      <c r="L38" s="110"/>
      <c r="M38" s="111"/>
      <c r="N38" s="112"/>
      <c r="O38" s="111"/>
      <c r="P38" s="110"/>
      <c r="Q38" s="105"/>
      <c r="R38" s="114" t="s">
        <v>4254</v>
      </c>
      <c r="S38" s="103"/>
    </row>
    <row r="39" spans="2:19" s="147" customFormat="1" ht="33" hidden="1" customHeight="1">
      <c r="B39" s="103" t="s">
        <v>78</v>
      </c>
      <c r="C39" s="104" t="s">
        <v>4255</v>
      </c>
      <c r="D39" s="105" t="s">
        <v>4256</v>
      </c>
      <c r="E39" s="106">
        <v>43665</v>
      </c>
      <c r="F39" s="105" t="s">
        <v>79</v>
      </c>
      <c r="G39" s="108">
        <v>20000</v>
      </c>
      <c r="H39" s="107">
        <f t="shared" si="0"/>
        <v>80</v>
      </c>
      <c r="I39" s="107">
        <f t="shared" si="1"/>
        <v>20</v>
      </c>
      <c r="J39" s="105"/>
      <c r="K39" s="109">
        <v>43744</v>
      </c>
      <c r="L39" s="110"/>
      <c r="M39" s="111"/>
      <c r="N39" s="112"/>
      <c r="O39" s="111"/>
      <c r="P39" s="110"/>
      <c r="Q39" s="105" t="s">
        <v>82</v>
      </c>
      <c r="R39" s="114" t="s">
        <v>4257</v>
      </c>
      <c r="S39" s="103"/>
    </row>
    <row r="40" spans="2:19" s="147" customFormat="1" ht="33" hidden="1" customHeight="1">
      <c r="B40" s="103" t="s">
        <v>78</v>
      </c>
      <c r="C40" s="104" t="s">
        <v>4258</v>
      </c>
      <c r="D40" s="105" t="s">
        <v>4259</v>
      </c>
      <c r="E40" s="106">
        <v>43665</v>
      </c>
      <c r="F40" s="105" t="s">
        <v>79</v>
      </c>
      <c r="G40" s="108">
        <v>20000</v>
      </c>
      <c r="H40" s="107">
        <f t="shared" si="0"/>
        <v>80</v>
      </c>
      <c r="I40" s="107">
        <f t="shared" si="1"/>
        <v>20</v>
      </c>
      <c r="J40" s="105"/>
      <c r="K40" s="109">
        <v>43758</v>
      </c>
      <c r="L40" s="110"/>
      <c r="M40" s="111"/>
      <c r="N40" s="112"/>
      <c r="O40" s="111"/>
      <c r="P40" s="110"/>
      <c r="Q40" s="105" t="s">
        <v>82</v>
      </c>
      <c r="R40" s="114" t="s">
        <v>4260</v>
      </c>
      <c r="S40" s="103"/>
    </row>
    <row r="41" spans="2:19" s="147" customFormat="1" ht="33" hidden="1" customHeight="1">
      <c r="B41" s="103" t="s">
        <v>78</v>
      </c>
      <c r="C41" s="104" t="s">
        <v>4261</v>
      </c>
      <c r="D41" s="105" t="s">
        <v>4262</v>
      </c>
      <c r="E41" s="106">
        <v>43665</v>
      </c>
      <c r="F41" s="105" t="s">
        <v>79</v>
      </c>
      <c r="G41" s="108">
        <v>20000</v>
      </c>
      <c r="H41" s="107">
        <f t="shared" si="0"/>
        <v>80</v>
      </c>
      <c r="I41" s="107">
        <f t="shared" si="1"/>
        <v>20</v>
      </c>
      <c r="J41" s="105"/>
      <c r="K41" s="109">
        <v>43765</v>
      </c>
      <c r="L41" s="110"/>
      <c r="M41" s="111"/>
      <c r="N41" s="112"/>
      <c r="O41" s="111"/>
      <c r="P41" s="110"/>
      <c r="Q41" s="105" t="s">
        <v>82</v>
      </c>
      <c r="R41" s="114" t="s">
        <v>4263</v>
      </c>
      <c r="S41" s="103"/>
    </row>
    <row r="42" spans="2:19" s="147" customFormat="1" ht="33" hidden="1" customHeight="1">
      <c r="B42" s="103" t="s">
        <v>220</v>
      </c>
      <c r="C42" s="104" t="s">
        <v>4264</v>
      </c>
      <c r="D42" s="105" t="s">
        <v>4265</v>
      </c>
      <c r="E42" s="106">
        <v>43665</v>
      </c>
      <c r="F42" s="105" t="s">
        <v>79</v>
      </c>
      <c r="G42" s="108">
        <v>20000</v>
      </c>
      <c r="H42" s="107">
        <f t="shared" si="0"/>
        <v>80</v>
      </c>
      <c r="I42" s="107">
        <f t="shared" si="1"/>
        <v>20</v>
      </c>
      <c r="J42" s="105"/>
      <c r="K42" s="109">
        <v>43765</v>
      </c>
      <c r="L42" s="110"/>
      <c r="M42" s="111"/>
      <c r="N42" s="112"/>
      <c r="O42" s="111"/>
      <c r="P42" s="110"/>
      <c r="Q42" s="105"/>
      <c r="R42" s="114" t="s">
        <v>4266</v>
      </c>
      <c r="S42" s="103"/>
    </row>
    <row r="43" spans="2:19" s="96" customFormat="1" ht="33" hidden="1" customHeight="1">
      <c r="B43" s="47" t="s">
        <v>17</v>
      </c>
      <c r="C43" s="48" t="s">
        <v>427</v>
      </c>
      <c r="D43" s="49" t="s">
        <v>4267</v>
      </c>
      <c r="E43" s="50">
        <v>43483</v>
      </c>
      <c r="F43" s="52" t="s">
        <v>84</v>
      </c>
      <c r="G43" s="51">
        <v>9200</v>
      </c>
      <c r="H43" s="52">
        <f t="shared" ref="H43:H69" si="2">SUM(G43/230)</f>
        <v>40</v>
      </c>
      <c r="I43" s="52">
        <f t="shared" si="1"/>
        <v>10</v>
      </c>
      <c r="J43" s="49"/>
      <c r="K43" s="53">
        <v>43576</v>
      </c>
      <c r="L43" s="54" t="s">
        <v>4268</v>
      </c>
      <c r="M43" s="55">
        <v>43571</v>
      </c>
      <c r="N43" s="56" t="s">
        <v>4269</v>
      </c>
      <c r="O43" s="55">
        <v>43576</v>
      </c>
      <c r="P43" s="58"/>
      <c r="Q43" s="52" t="s">
        <v>82</v>
      </c>
      <c r="R43" s="57" t="s">
        <v>4270</v>
      </c>
      <c r="S43" s="47"/>
    </row>
    <row r="44" spans="2:19" s="67" customFormat="1" ht="33" hidden="1" customHeight="1">
      <c r="B44" s="46" t="s">
        <v>17</v>
      </c>
      <c r="C44" s="35" t="s">
        <v>581</v>
      </c>
      <c r="D44" s="36" t="s">
        <v>582</v>
      </c>
      <c r="E44" s="37">
        <v>43519</v>
      </c>
      <c r="F44" s="38" t="s">
        <v>84</v>
      </c>
      <c r="G44" s="39">
        <v>9200</v>
      </c>
      <c r="H44" s="38">
        <f t="shared" si="2"/>
        <v>40</v>
      </c>
      <c r="I44" s="38">
        <f t="shared" si="1"/>
        <v>10</v>
      </c>
      <c r="J44" s="36"/>
      <c r="K44" s="40">
        <v>43632</v>
      </c>
      <c r="L44" s="41" t="s">
        <v>4271</v>
      </c>
      <c r="M44" s="42">
        <v>43620</v>
      </c>
      <c r="N44" s="43" t="s">
        <v>4272</v>
      </c>
      <c r="O44" s="42">
        <v>43625</v>
      </c>
      <c r="P44" s="45"/>
      <c r="Q44" s="38" t="s">
        <v>82</v>
      </c>
      <c r="R44" s="44" t="s">
        <v>4273</v>
      </c>
      <c r="S44" s="46"/>
    </row>
    <row r="45" spans="2:19" s="67" customFormat="1" ht="33" hidden="1" customHeight="1">
      <c r="B45" s="46" t="s">
        <v>17</v>
      </c>
      <c r="C45" s="35" t="s">
        <v>694</v>
      </c>
      <c r="D45" s="36" t="s">
        <v>695</v>
      </c>
      <c r="E45" s="37">
        <v>43532</v>
      </c>
      <c r="F45" s="38" t="s">
        <v>4274</v>
      </c>
      <c r="G45" s="39">
        <v>9200</v>
      </c>
      <c r="H45" s="38">
        <f t="shared" si="2"/>
        <v>40</v>
      </c>
      <c r="I45" s="38">
        <f t="shared" si="1"/>
        <v>10</v>
      </c>
      <c r="J45" s="36"/>
      <c r="K45" s="40">
        <v>43653</v>
      </c>
      <c r="L45" s="41" t="s">
        <v>1326</v>
      </c>
      <c r="M45" s="42">
        <v>43648</v>
      </c>
      <c r="N45" s="43" t="s">
        <v>2540</v>
      </c>
      <c r="O45" s="42">
        <v>43653</v>
      </c>
      <c r="P45" s="45"/>
      <c r="Q45" s="38" t="s">
        <v>82</v>
      </c>
      <c r="R45" s="44" t="s">
        <v>4275</v>
      </c>
      <c r="S45" s="46"/>
    </row>
    <row r="46" spans="2:19" s="67" customFormat="1" ht="33" hidden="1" customHeight="1">
      <c r="B46" s="46" t="s">
        <v>17</v>
      </c>
      <c r="C46" s="35" t="s">
        <v>2299</v>
      </c>
      <c r="D46" s="36" t="s">
        <v>2641</v>
      </c>
      <c r="E46" s="37">
        <v>43609</v>
      </c>
      <c r="F46" s="38" t="s">
        <v>4274</v>
      </c>
      <c r="G46" s="39">
        <v>2760</v>
      </c>
      <c r="H46" s="38">
        <f t="shared" si="2"/>
        <v>12</v>
      </c>
      <c r="I46" s="38">
        <f t="shared" si="1"/>
        <v>3</v>
      </c>
      <c r="J46" s="36"/>
      <c r="K46" s="40">
        <v>43653</v>
      </c>
      <c r="L46" s="41" t="s">
        <v>1326</v>
      </c>
      <c r="M46" s="42">
        <v>43648</v>
      </c>
      <c r="N46" s="43" t="s">
        <v>2540</v>
      </c>
      <c r="O46" s="42">
        <v>43653</v>
      </c>
      <c r="P46" s="45"/>
      <c r="Q46" s="38" t="s">
        <v>82</v>
      </c>
      <c r="R46" s="44" t="s">
        <v>4275</v>
      </c>
      <c r="S46" s="46"/>
    </row>
    <row r="47" spans="2:19" s="67" customFormat="1" ht="33" hidden="1" customHeight="1">
      <c r="B47" s="46" t="s">
        <v>17</v>
      </c>
      <c r="C47" s="35" t="s">
        <v>4276</v>
      </c>
      <c r="D47" s="36" t="s">
        <v>2300</v>
      </c>
      <c r="E47" s="37">
        <v>43602</v>
      </c>
      <c r="F47" s="38" t="s">
        <v>4274</v>
      </c>
      <c r="G47" s="39">
        <v>9200</v>
      </c>
      <c r="H47" s="38">
        <f t="shared" si="2"/>
        <v>40</v>
      </c>
      <c r="I47" s="38">
        <f t="shared" si="1"/>
        <v>10</v>
      </c>
      <c r="J47" s="36"/>
      <c r="K47" s="40">
        <v>43695</v>
      </c>
      <c r="L47" s="41" t="s">
        <v>4277</v>
      </c>
      <c r="M47" s="42">
        <v>43683</v>
      </c>
      <c r="N47" s="43" t="s">
        <v>4278</v>
      </c>
      <c r="O47" s="42">
        <v>43688</v>
      </c>
      <c r="P47" s="45"/>
      <c r="Q47" s="38" t="s">
        <v>82</v>
      </c>
      <c r="R47" s="44" t="s">
        <v>4279</v>
      </c>
      <c r="S47" s="46" t="s">
        <v>2764</v>
      </c>
    </row>
    <row r="48" spans="2:19" s="67" customFormat="1" ht="33" hidden="1" customHeight="1">
      <c r="B48" s="46" t="s">
        <v>17</v>
      </c>
      <c r="C48" s="35" t="s">
        <v>3702</v>
      </c>
      <c r="D48" s="36" t="s">
        <v>3703</v>
      </c>
      <c r="E48" s="37">
        <v>43643</v>
      </c>
      <c r="F48" s="38" t="s">
        <v>4274</v>
      </c>
      <c r="G48" s="39">
        <v>4600</v>
      </c>
      <c r="H48" s="38">
        <f t="shared" si="2"/>
        <v>20</v>
      </c>
      <c r="I48" s="38">
        <f t="shared" si="1"/>
        <v>5</v>
      </c>
      <c r="J48" s="36"/>
      <c r="K48" s="40">
        <v>43688</v>
      </c>
      <c r="L48" s="41" t="s">
        <v>4277</v>
      </c>
      <c r="M48" s="42">
        <v>43683</v>
      </c>
      <c r="N48" s="43" t="s">
        <v>4278</v>
      </c>
      <c r="O48" s="42">
        <v>43688</v>
      </c>
      <c r="P48" s="45"/>
      <c r="Q48" s="38" t="s">
        <v>82</v>
      </c>
      <c r="R48" s="44"/>
      <c r="S48" s="46"/>
    </row>
    <row r="49" spans="2:19" s="67" customFormat="1" ht="33" hidden="1" customHeight="1">
      <c r="B49" s="46" t="s">
        <v>17</v>
      </c>
      <c r="C49" s="35" t="s">
        <v>4280</v>
      </c>
      <c r="D49" s="36" t="s">
        <v>3377</v>
      </c>
      <c r="E49" s="37">
        <v>43637</v>
      </c>
      <c r="F49" s="38" t="s">
        <v>4274</v>
      </c>
      <c r="G49" s="39">
        <v>9200</v>
      </c>
      <c r="H49" s="38">
        <f t="shared" si="2"/>
        <v>40</v>
      </c>
      <c r="I49" s="38">
        <f t="shared" si="1"/>
        <v>10</v>
      </c>
      <c r="J49" s="36"/>
      <c r="K49" s="40">
        <v>43716</v>
      </c>
      <c r="L49" s="41" t="s">
        <v>4281</v>
      </c>
      <c r="M49" s="42">
        <v>43711</v>
      </c>
      <c r="N49" s="43" t="s">
        <v>4282</v>
      </c>
      <c r="O49" s="42">
        <v>43716</v>
      </c>
      <c r="P49" s="45"/>
      <c r="Q49" s="38"/>
      <c r="R49" s="44" t="s">
        <v>4283</v>
      </c>
      <c r="S49" s="46"/>
    </row>
    <row r="50" spans="2:19" s="67" customFormat="1" ht="33" customHeight="1">
      <c r="B50" s="46" t="s">
        <v>17</v>
      </c>
      <c r="C50" s="35" t="s">
        <v>4284</v>
      </c>
      <c r="D50" s="36" t="s">
        <v>3380</v>
      </c>
      <c r="E50" s="37">
        <v>43637</v>
      </c>
      <c r="F50" s="38" t="s">
        <v>4274</v>
      </c>
      <c r="G50" s="39">
        <v>9200</v>
      </c>
      <c r="H50" s="38">
        <f t="shared" si="2"/>
        <v>40</v>
      </c>
      <c r="I50" s="38">
        <f t="shared" si="1"/>
        <v>10</v>
      </c>
      <c r="J50" s="36"/>
      <c r="K50" s="40">
        <v>43744</v>
      </c>
      <c r="L50" s="41" t="s">
        <v>4285</v>
      </c>
      <c r="M50" s="42">
        <v>43739</v>
      </c>
      <c r="N50" s="43" t="s">
        <v>4286</v>
      </c>
      <c r="O50" s="42">
        <v>43744</v>
      </c>
      <c r="P50" s="45"/>
      <c r="Q50" s="38"/>
      <c r="R50" s="44" t="s">
        <v>4287</v>
      </c>
      <c r="S50" s="46"/>
    </row>
    <row r="51" spans="2:19" s="96" customFormat="1" ht="33" hidden="1" customHeight="1">
      <c r="B51" s="47" t="s">
        <v>81</v>
      </c>
      <c r="C51" s="48" t="s">
        <v>279</v>
      </c>
      <c r="D51" s="49" t="s">
        <v>4288</v>
      </c>
      <c r="E51" s="50">
        <v>43392</v>
      </c>
      <c r="F51" s="52" t="s">
        <v>84</v>
      </c>
      <c r="G51" s="51">
        <v>11960</v>
      </c>
      <c r="H51" s="52">
        <f t="shared" si="2"/>
        <v>52</v>
      </c>
      <c r="I51" s="52">
        <f t="shared" si="1"/>
        <v>13</v>
      </c>
      <c r="J51" s="52"/>
      <c r="K51" s="53">
        <v>43597</v>
      </c>
      <c r="L51" s="54" t="s">
        <v>4289</v>
      </c>
      <c r="M51" s="55">
        <v>43594</v>
      </c>
      <c r="N51" s="56" t="s">
        <v>4290</v>
      </c>
      <c r="O51" s="55">
        <v>43598</v>
      </c>
      <c r="P51" s="58" t="s">
        <v>4291</v>
      </c>
      <c r="Q51" s="47"/>
      <c r="R51" s="57" t="s">
        <v>4292</v>
      </c>
      <c r="S51" s="47"/>
    </row>
    <row r="52" spans="2:19" s="96" customFormat="1" ht="33" hidden="1" customHeight="1">
      <c r="B52" s="47" t="s">
        <v>81</v>
      </c>
      <c r="C52" s="48" t="s">
        <v>4293</v>
      </c>
      <c r="D52" s="49" t="s">
        <v>4288</v>
      </c>
      <c r="E52" s="50">
        <v>43392</v>
      </c>
      <c r="F52" s="52" t="s">
        <v>84</v>
      </c>
      <c r="G52" s="51">
        <v>1840</v>
      </c>
      <c r="H52" s="52">
        <f t="shared" si="2"/>
        <v>8</v>
      </c>
      <c r="I52" s="52">
        <f t="shared" si="1"/>
        <v>2</v>
      </c>
      <c r="J52" s="52"/>
      <c r="K52" s="53">
        <v>43597</v>
      </c>
      <c r="L52" s="54" t="s">
        <v>773</v>
      </c>
      <c r="M52" s="55">
        <v>43601</v>
      </c>
      <c r="N52" s="56" t="s">
        <v>4294</v>
      </c>
      <c r="O52" s="55">
        <v>43605</v>
      </c>
      <c r="P52" s="58" t="s">
        <v>4291</v>
      </c>
      <c r="Q52" s="47"/>
      <c r="R52" s="57" t="s">
        <v>4292</v>
      </c>
      <c r="S52" s="47" t="s">
        <v>1329</v>
      </c>
    </row>
    <row r="53" spans="2:19" s="96" customFormat="1" ht="33" hidden="1" customHeight="1">
      <c r="B53" s="47" t="s">
        <v>81</v>
      </c>
      <c r="C53" s="48" t="s">
        <v>318</v>
      </c>
      <c r="D53" s="49" t="s">
        <v>319</v>
      </c>
      <c r="E53" s="50">
        <v>43420</v>
      </c>
      <c r="F53" s="52" t="s">
        <v>4274</v>
      </c>
      <c r="G53" s="51">
        <v>17940</v>
      </c>
      <c r="H53" s="52">
        <f t="shared" si="2"/>
        <v>78</v>
      </c>
      <c r="I53" s="52">
        <f t="shared" si="1"/>
        <v>19.5</v>
      </c>
      <c r="J53" s="52"/>
      <c r="K53" s="53">
        <v>43576</v>
      </c>
      <c r="L53" s="54" t="s">
        <v>480</v>
      </c>
      <c r="M53" s="55">
        <v>43564</v>
      </c>
      <c r="N53" s="56" t="s">
        <v>4295</v>
      </c>
      <c r="O53" s="55">
        <v>43569</v>
      </c>
      <c r="P53" s="58"/>
      <c r="Q53" s="47"/>
      <c r="R53" s="57" t="s">
        <v>4296</v>
      </c>
      <c r="S53" s="47" t="s">
        <v>4297</v>
      </c>
    </row>
    <row r="54" spans="2:19" s="96" customFormat="1" ht="33" hidden="1" customHeight="1">
      <c r="B54" s="47" t="s">
        <v>81</v>
      </c>
      <c r="C54" s="48" t="s">
        <v>4298</v>
      </c>
      <c r="D54" s="49" t="s">
        <v>701</v>
      </c>
      <c r="E54" s="50">
        <v>43532</v>
      </c>
      <c r="F54" s="52" t="s">
        <v>4274</v>
      </c>
      <c r="G54" s="51">
        <v>13800</v>
      </c>
      <c r="H54" s="52">
        <f t="shared" si="2"/>
        <v>60</v>
      </c>
      <c r="I54" s="52">
        <f t="shared" si="1"/>
        <v>15</v>
      </c>
      <c r="J54" s="52"/>
      <c r="K54" s="53">
        <v>43615</v>
      </c>
      <c r="L54" s="54" t="s">
        <v>4299</v>
      </c>
      <c r="M54" s="55">
        <v>43613</v>
      </c>
      <c r="N54" s="56" t="s">
        <v>4300</v>
      </c>
      <c r="O54" s="55">
        <v>43618</v>
      </c>
      <c r="P54" s="58"/>
      <c r="Q54" s="47"/>
      <c r="R54" s="57" t="s">
        <v>4301</v>
      </c>
      <c r="S54" s="47"/>
    </row>
    <row r="55" spans="2:19" s="67" customFormat="1" ht="33" hidden="1" customHeight="1">
      <c r="B55" s="46" t="s">
        <v>81</v>
      </c>
      <c r="C55" s="35" t="s">
        <v>4302</v>
      </c>
      <c r="D55" s="36" t="s">
        <v>4303</v>
      </c>
      <c r="E55" s="37">
        <v>43532</v>
      </c>
      <c r="F55" s="38" t="s">
        <v>4274</v>
      </c>
      <c r="G55" s="39">
        <v>4600</v>
      </c>
      <c r="H55" s="38">
        <f t="shared" si="2"/>
        <v>20</v>
      </c>
      <c r="I55" s="38">
        <f t="shared" si="1"/>
        <v>5</v>
      </c>
      <c r="J55" s="38"/>
      <c r="K55" s="40">
        <v>43615</v>
      </c>
      <c r="L55" s="41" t="s">
        <v>4271</v>
      </c>
      <c r="M55" s="42">
        <v>43620</v>
      </c>
      <c r="N55" s="43" t="s">
        <v>4272</v>
      </c>
      <c r="O55" s="42">
        <v>43625</v>
      </c>
      <c r="P55" s="45"/>
      <c r="Q55" s="46"/>
      <c r="R55" s="44" t="s">
        <v>4301</v>
      </c>
      <c r="S55" s="46"/>
    </row>
    <row r="56" spans="2:19" s="67" customFormat="1" ht="33" hidden="1" customHeight="1">
      <c r="B56" s="46" t="s">
        <v>81</v>
      </c>
      <c r="C56" s="35" t="s">
        <v>702</v>
      </c>
      <c r="D56" s="36" t="s">
        <v>703</v>
      </c>
      <c r="E56" s="37">
        <v>43532</v>
      </c>
      <c r="F56" s="38" t="s">
        <v>4274</v>
      </c>
      <c r="G56" s="39">
        <v>9200</v>
      </c>
      <c r="H56" s="38">
        <f t="shared" si="2"/>
        <v>40</v>
      </c>
      <c r="I56" s="38">
        <f t="shared" si="1"/>
        <v>10</v>
      </c>
      <c r="J56" s="38"/>
      <c r="K56" s="40">
        <v>43632</v>
      </c>
      <c r="L56" s="41" t="s">
        <v>807</v>
      </c>
      <c r="M56" s="42">
        <v>43627</v>
      </c>
      <c r="N56" s="43" t="s">
        <v>808</v>
      </c>
      <c r="O56" s="42">
        <v>43632</v>
      </c>
      <c r="P56" s="45"/>
      <c r="Q56" s="46"/>
      <c r="R56" s="44" t="s">
        <v>4304</v>
      </c>
      <c r="S56" s="46"/>
    </row>
    <row r="57" spans="2:19" s="67" customFormat="1" ht="33" hidden="1" customHeight="1">
      <c r="B57" s="46" t="s">
        <v>81</v>
      </c>
      <c r="C57" s="35" t="s">
        <v>852</v>
      </c>
      <c r="D57" s="36" t="s">
        <v>1990</v>
      </c>
      <c r="E57" s="37">
        <v>43558</v>
      </c>
      <c r="F57" s="38" t="s">
        <v>4274</v>
      </c>
      <c r="G57" s="39">
        <v>9200</v>
      </c>
      <c r="H57" s="38">
        <f t="shared" si="2"/>
        <v>40</v>
      </c>
      <c r="I57" s="38">
        <f t="shared" si="1"/>
        <v>10</v>
      </c>
      <c r="J57" s="38"/>
      <c r="K57" s="40">
        <v>43639</v>
      </c>
      <c r="L57" s="41" t="s">
        <v>1083</v>
      </c>
      <c r="M57" s="42">
        <v>43634</v>
      </c>
      <c r="N57" s="43" t="s">
        <v>1084</v>
      </c>
      <c r="O57" s="42">
        <v>43639</v>
      </c>
      <c r="P57" s="45"/>
      <c r="Q57" s="46"/>
      <c r="R57" s="44" t="s">
        <v>4304</v>
      </c>
      <c r="S57" s="46"/>
    </row>
    <row r="58" spans="2:19" s="67" customFormat="1" ht="33" hidden="1" customHeight="1">
      <c r="B58" s="46" t="s">
        <v>81</v>
      </c>
      <c r="C58" s="35" t="s">
        <v>1435</v>
      </c>
      <c r="D58" s="36" t="s">
        <v>1436</v>
      </c>
      <c r="E58" s="37">
        <v>43574</v>
      </c>
      <c r="F58" s="38" t="s">
        <v>4274</v>
      </c>
      <c r="G58" s="39">
        <v>18400</v>
      </c>
      <c r="H58" s="38">
        <f t="shared" si="2"/>
        <v>80</v>
      </c>
      <c r="I58" s="38">
        <f t="shared" si="1"/>
        <v>20</v>
      </c>
      <c r="J58" s="38"/>
      <c r="K58" s="40">
        <v>43646</v>
      </c>
      <c r="L58" s="41" t="s">
        <v>4305</v>
      </c>
      <c r="M58" s="42">
        <v>43641</v>
      </c>
      <c r="N58" s="43" t="s">
        <v>4306</v>
      </c>
      <c r="O58" s="42">
        <v>43646</v>
      </c>
      <c r="P58" s="45"/>
      <c r="Q58" s="46"/>
      <c r="R58" s="44" t="s">
        <v>4307</v>
      </c>
      <c r="S58" s="46" t="s">
        <v>3251</v>
      </c>
    </row>
    <row r="59" spans="2:19" s="67" customFormat="1" ht="33" hidden="1" customHeight="1">
      <c r="B59" s="46" t="s">
        <v>81</v>
      </c>
      <c r="C59" s="35" t="s">
        <v>2322</v>
      </c>
      <c r="D59" s="36" t="s">
        <v>2323</v>
      </c>
      <c r="E59" s="37">
        <v>43602</v>
      </c>
      <c r="F59" s="38" t="s">
        <v>4274</v>
      </c>
      <c r="G59" s="39">
        <v>18400</v>
      </c>
      <c r="H59" s="38">
        <f t="shared" si="2"/>
        <v>80</v>
      </c>
      <c r="I59" s="38">
        <f t="shared" si="1"/>
        <v>20</v>
      </c>
      <c r="J59" s="38"/>
      <c r="K59" s="40">
        <v>43674</v>
      </c>
      <c r="L59" s="41" t="s">
        <v>2146</v>
      </c>
      <c r="M59" s="42">
        <v>43669</v>
      </c>
      <c r="N59" s="43" t="s">
        <v>2551</v>
      </c>
      <c r="O59" s="42">
        <v>43674</v>
      </c>
      <c r="P59" s="45"/>
      <c r="Q59" s="46"/>
      <c r="R59" s="44" t="s">
        <v>4308</v>
      </c>
      <c r="S59" s="46"/>
    </row>
    <row r="60" spans="2:19" s="67" customFormat="1" ht="33" hidden="1" customHeight="1">
      <c r="B60" s="46" t="s">
        <v>81</v>
      </c>
      <c r="C60" s="35" t="s">
        <v>2325</v>
      </c>
      <c r="D60" s="36" t="s">
        <v>2326</v>
      </c>
      <c r="E60" s="37">
        <v>43602</v>
      </c>
      <c r="F60" s="38" t="s">
        <v>4274</v>
      </c>
      <c r="G60" s="39">
        <v>10580</v>
      </c>
      <c r="H60" s="38">
        <f t="shared" si="2"/>
        <v>46</v>
      </c>
      <c r="I60" s="38">
        <f t="shared" si="1"/>
        <v>11.5</v>
      </c>
      <c r="J60" s="38"/>
      <c r="K60" s="40">
        <v>43681</v>
      </c>
      <c r="L60" s="41" t="s">
        <v>4309</v>
      </c>
      <c r="M60" s="42">
        <v>43676</v>
      </c>
      <c r="N60" s="43" t="s">
        <v>4310</v>
      </c>
      <c r="O60" s="42">
        <v>43681</v>
      </c>
      <c r="P60" s="45"/>
      <c r="Q60" s="46"/>
      <c r="R60" s="44" t="s">
        <v>4311</v>
      </c>
      <c r="S60" s="46" t="s">
        <v>3549</v>
      </c>
    </row>
    <row r="61" spans="2:19" s="67" customFormat="1" ht="33" hidden="1" customHeight="1">
      <c r="B61" s="46" t="s">
        <v>81</v>
      </c>
      <c r="C61" s="35" t="s">
        <v>3406</v>
      </c>
      <c r="D61" s="36" t="s">
        <v>3407</v>
      </c>
      <c r="E61" s="37">
        <v>43637</v>
      </c>
      <c r="F61" s="38" t="s">
        <v>4274</v>
      </c>
      <c r="G61" s="39">
        <v>12880</v>
      </c>
      <c r="H61" s="38">
        <f t="shared" si="2"/>
        <v>56</v>
      </c>
      <c r="I61" s="38">
        <f t="shared" si="1"/>
        <v>14</v>
      </c>
      <c r="J61" s="38"/>
      <c r="K61" s="40">
        <v>43723</v>
      </c>
      <c r="L61" s="41" t="s">
        <v>4312</v>
      </c>
      <c r="M61" s="42">
        <v>43718</v>
      </c>
      <c r="N61" s="43" t="s">
        <v>4313</v>
      </c>
      <c r="O61" s="42">
        <v>43723</v>
      </c>
      <c r="P61" s="45"/>
      <c r="Q61" s="46"/>
      <c r="R61" s="44" t="s">
        <v>4314</v>
      </c>
      <c r="S61" s="46"/>
    </row>
    <row r="62" spans="2:19" s="67" customFormat="1" ht="33" hidden="1" customHeight="1">
      <c r="B62" s="46" t="s">
        <v>81</v>
      </c>
      <c r="C62" s="35" t="s">
        <v>4315</v>
      </c>
      <c r="D62" s="36" t="s">
        <v>3407</v>
      </c>
      <c r="E62" s="37">
        <v>43637</v>
      </c>
      <c r="F62" s="38" t="s">
        <v>4274</v>
      </c>
      <c r="G62" s="39">
        <v>920</v>
      </c>
      <c r="H62" s="38">
        <f>SUM(G62/230)</f>
        <v>4</v>
      </c>
      <c r="I62" s="38">
        <v>1</v>
      </c>
      <c r="J62" s="38"/>
      <c r="K62" s="40">
        <v>43723</v>
      </c>
      <c r="L62" s="41" t="s">
        <v>4281</v>
      </c>
      <c r="M62" s="42">
        <v>43711</v>
      </c>
      <c r="N62" s="43" t="s">
        <v>4282</v>
      </c>
      <c r="O62" s="42">
        <v>43716</v>
      </c>
      <c r="P62" s="45"/>
      <c r="Q62" s="46"/>
      <c r="R62" s="44" t="s">
        <v>4314</v>
      </c>
      <c r="S62" s="46"/>
    </row>
    <row r="63" spans="2:19" s="67" customFormat="1" ht="33" hidden="1" customHeight="1">
      <c r="B63" s="46" t="s">
        <v>81</v>
      </c>
      <c r="C63" s="35" t="s">
        <v>3409</v>
      </c>
      <c r="D63" s="36" t="s">
        <v>3743</v>
      </c>
      <c r="E63" s="37">
        <v>43665</v>
      </c>
      <c r="F63" s="38" t="s">
        <v>4274</v>
      </c>
      <c r="G63" s="39">
        <v>9200</v>
      </c>
      <c r="H63" s="38">
        <f t="shared" si="2"/>
        <v>40</v>
      </c>
      <c r="I63" s="38">
        <f t="shared" si="1"/>
        <v>10</v>
      </c>
      <c r="J63" s="38"/>
      <c r="K63" s="40">
        <v>43667</v>
      </c>
      <c r="L63" s="41" t="s">
        <v>4316</v>
      </c>
      <c r="M63" s="42">
        <v>43662</v>
      </c>
      <c r="N63" s="43" t="s">
        <v>4317</v>
      </c>
      <c r="O63" s="42">
        <v>43667</v>
      </c>
      <c r="P63" s="45"/>
      <c r="Q63" s="46"/>
      <c r="R63" s="44"/>
      <c r="S63" s="46"/>
    </row>
    <row r="64" spans="2:19" s="117" customFormat="1" ht="33" hidden="1" customHeight="1">
      <c r="B64" s="103" t="s">
        <v>81</v>
      </c>
      <c r="C64" s="104" t="s">
        <v>4318</v>
      </c>
      <c r="D64" s="105" t="s">
        <v>4319</v>
      </c>
      <c r="E64" s="106">
        <v>43665</v>
      </c>
      <c r="F64" s="107" t="s">
        <v>4274</v>
      </c>
      <c r="G64" s="108">
        <v>9200</v>
      </c>
      <c r="H64" s="107">
        <f t="shared" si="2"/>
        <v>40</v>
      </c>
      <c r="I64" s="107">
        <f t="shared" si="1"/>
        <v>10</v>
      </c>
      <c r="J64" s="107"/>
      <c r="K64" s="109">
        <v>43751</v>
      </c>
      <c r="L64" s="110"/>
      <c r="M64" s="111"/>
      <c r="N64" s="112"/>
      <c r="O64" s="111"/>
      <c r="P64" s="113"/>
      <c r="Q64" s="103"/>
      <c r="R64" s="114" t="s">
        <v>4320</v>
      </c>
      <c r="S64" s="103"/>
    </row>
    <row r="65" spans="2:19" s="117" customFormat="1" ht="33" hidden="1" customHeight="1">
      <c r="B65" s="103" t="s">
        <v>81</v>
      </c>
      <c r="C65" s="104" t="s">
        <v>4321</v>
      </c>
      <c r="D65" s="105" t="s">
        <v>4322</v>
      </c>
      <c r="E65" s="106">
        <v>43665</v>
      </c>
      <c r="F65" s="107" t="s">
        <v>4274</v>
      </c>
      <c r="G65" s="108">
        <v>8740</v>
      </c>
      <c r="H65" s="107">
        <f t="shared" si="2"/>
        <v>38</v>
      </c>
      <c r="I65" s="107">
        <f t="shared" si="1"/>
        <v>9.5</v>
      </c>
      <c r="J65" s="107"/>
      <c r="K65" s="109">
        <v>43765</v>
      </c>
      <c r="L65" s="110"/>
      <c r="M65" s="111"/>
      <c r="N65" s="112"/>
      <c r="O65" s="111"/>
      <c r="P65" s="113"/>
      <c r="Q65" s="103"/>
      <c r="R65" s="114" t="s">
        <v>4323</v>
      </c>
      <c r="S65" s="103"/>
    </row>
    <row r="66" spans="2:19" s="96" customFormat="1" ht="33" hidden="1" customHeight="1">
      <c r="B66" s="47" t="s">
        <v>4324</v>
      </c>
      <c r="C66" s="48" t="s">
        <v>4325</v>
      </c>
      <c r="D66" s="49" t="s">
        <v>705</v>
      </c>
      <c r="E66" s="50">
        <v>43532</v>
      </c>
      <c r="F66" s="52" t="s">
        <v>4274</v>
      </c>
      <c r="G66" s="51">
        <v>920</v>
      </c>
      <c r="H66" s="52">
        <f t="shared" si="2"/>
        <v>4</v>
      </c>
      <c r="I66" s="52">
        <f t="shared" si="1"/>
        <v>1</v>
      </c>
      <c r="J66" s="52"/>
      <c r="K66" s="53">
        <v>43609</v>
      </c>
      <c r="L66" s="54" t="s">
        <v>773</v>
      </c>
      <c r="M66" s="55">
        <v>43601</v>
      </c>
      <c r="N66" s="56" t="s">
        <v>774</v>
      </c>
      <c r="O66" s="55">
        <v>43605</v>
      </c>
      <c r="P66" s="58"/>
      <c r="Q66" s="47"/>
      <c r="R66" s="57"/>
      <c r="S66" s="47" t="s">
        <v>4326</v>
      </c>
    </row>
    <row r="67" spans="2:19" s="96" customFormat="1" ht="33" hidden="1" customHeight="1">
      <c r="B67" s="47" t="s">
        <v>4327</v>
      </c>
      <c r="C67" s="48" t="s">
        <v>4325</v>
      </c>
      <c r="D67" s="49" t="s">
        <v>4328</v>
      </c>
      <c r="E67" s="50">
        <v>43511</v>
      </c>
      <c r="F67" s="52" t="s">
        <v>4274</v>
      </c>
      <c r="G67" s="51">
        <v>460</v>
      </c>
      <c r="H67" s="52">
        <f t="shared" si="2"/>
        <v>2</v>
      </c>
      <c r="I67" s="52">
        <f t="shared" si="1"/>
        <v>0.5</v>
      </c>
      <c r="J67" s="52"/>
      <c r="K67" s="53">
        <v>43576</v>
      </c>
      <c r="L67" s="54" t="s">
        <v>480</v>
      </c>
      <c r="M67" s="55">
        <v>43564</v>
      </c>
      <c r="N67" s="56" t="s">
        <v>646</v>
      </c>
      <c r="O67" s="55">
        <v>43569</v>
      </c>
      <c r="P67" s="58"/>
      <c r="Q67" s="47"/>
      <c r="R67" s="57" t="s">
        <v>4296</v>
      </c>
      <c r="S67" s="47"/>
    </row>
    <row r="68" spans="2:19" s="67" customFormat="1" ht="33" hidden="1" customHeight="1">
      <c r="B68" s="46" t="s">
        <v>4327</v>
      </c>
      <c r="C68" s="35" t="s">
        <v>2333</v>
      </c>
      <c r="D68" s="36" t="s">
        <v>2334</v>
      </c>
      <c r="E68" s="37">
        <v>43602</v>
      </c>
      <c r="F68" s="38" t="s">
        <v>4274</v>
      </c>
      <c r="G68" s="39">
        <v>460</v>
      </c>
      <c r="H68" s="38">
        <f t="shared" si="2"/>
        <v>2</v>
      </c>
      <c r="I68" s="38">
        <f t="shared" si="1"/>
        <v>0.5</v>
      </c>
      <c r="J68" s="38"/>
      <c r="K68" s="40">
        <v>43681</v>
      </c>
      <c r="L68" s="41" t="s">
        <v>4309</v>
      </c>
      <c r="M68" s="42">
        <v>43676</v>
      </c>
      <c r="N68" s="43" t="s">
        <v>4310</v>
      </c>
      <c r="O68" s="42">
        <v>43681</v>
      </c>
      <c r="P68" s="45"/>
      <c r="Q68" s="46"/>
      <c r="R68" s="44" t="s">
        <v>4311</v>
      </c>
      <c r="S68" s="46" t="s">
        <v>3549</v>
      </c>
    </row>
    <row r="69" spans="2:19" s="117" customFormat="1" ht="33" hidden="1" customHeight="1">
      <c r="B69" s="103" t="s">
        <v>4327</v>
      </c>
      <c r="C69" s="104" t="s">
        <v>4329</v>
      </c>
      <c r="D69" s="105" t="s">
        <v>4330</v>
      </c>
      <c r="E69" s="106">
        <v>43665</v>
      </c>
      <c r="F69" s="107" t="s">
        <v>4274</v>
      </c>
      <c r="G69" s="108">
        <v>460</v>
      </c>
      <c r="H69" s="107">
        <f t="shared" si="2"/>
        <v>2</v>
      </c>
      <c r="I69" s="107">
        <f t="shared" ref="I69" si="3">SUM(H69/4)</f>
        <v>0.5</v>
      </c>
      <c r="J69" s="107"/>
      <c r="K69" s="109">
        <v>43765</v>
      </c>
      <c r="L69" s="110"/>
      <c r="M69" s="111"/>
      <c r="N69" s="112"/>
      <c r="O69" s="111"/>
      <c r="P69" s="113"/>
      <c r="Q69" s="103"/>
      <c r="R69" s="114" t="s">
        <v>4323</v>
      </c>
      <c r="S69" s="103"/>
    </row>
    <row r="70" spans="2:19" s="33" customFormat="1" ht="33" hidden="1" customHeight="1">
      <c r="B70" s="47" t="s">
        <v>4331</v>
      </c>
      <c r="C70" s="48" t="s">
        <v>430</v>
      </c>
      <c r="D70" s="49" t="s">
        <v>470</v>
      </c>
      <c r="E70" s="50">
        <v>43473</v>
      </c>
      <c r="F70" s="52" t="s">
        <v>4274</v>
      </c>
      <c r="G70" s="51">
        <v>1920</v>
      </c>
      <c r="H70" s="52">
        <f t="shared" ref="H70:H80" si="4">SUM(G70/20)</f>
        <v>96</v>
      </c>
      <c r="I70" s="52">
        <f t="shared" ref="I70:I80" si="5">SUM(H70/32)</f>
        <v>3</v>
      </c>
      <c r="J70" s="59"/>
      <c r="K70" s="53">
        <v>43555</v>
      </c>
      <c r="L70" s="54" t="s">
        <v>480</v>
      </c>
      <c r="M70" s="55">
        <v>43564</v>
      </c>
      <c r="N70" s="56" t="s">
        <v>4295</v>
      </c>
      <c r="O70" s="55">
        <v>43569</v>
      </c>
      <c r="P70" s="58"/>
      <c r="Q70" s="60" t="s">
        <v>89</v>
      </c>
      <c r="R70" s="57" t="s">
        <v>4332</v>
      </c>
      <c r="S70" s="47"/>
    </row>
    <row r="71" spans="2:19" s="33" customFormat="1" ht="33" hidden="1" customHeight="1">
      <c r="B71" s="47" t="s">
        <v>4331</v>
      </c>
      <c r="C71" s="48" t="s">
        <v>519</v>
      </c>
      <c r="D71" s="49" t="s">
        <v>710</v>
      </c>
      <c r="E71" s="50">
        <v>43511</v>
      </c>
      <c r="F71" s="52" t="s">
        <v>4274</v>
      </c>
      <c r="G71" s="51">
        <v>640</v>
      </c>
      <c r="H71" s="52">
        <f t="shared" si="4"/>
        <v>32</v>
      </c>
      <c r="I71" s="52">
        <f t="shared" si="5"/>
        <v>1</v>
      </c>
      <c r="J71" s="59"/>
      <c r="K71" s="53">
        <v>43555</v>
      </c>
      <c r="L71" s="54" t="s">
        <v>608</v>
      </c>
      <c r="M71" s="55">
        <v>43557</v>
      </c>
      <c r="N71" s="56" t="s">
        <v>4333</v>
      </c>
      <c r="O71" s="55">
        <v>43562</v>
      </c>
      <c r="P71" s="58"/>
      <c r="Q71" s="60" t="s">
        <v>89</v>
      </c>
      <c r="R71" s="57" t="s">
        <v>4332</v>
      </c>
      <c r="S71" s="47"/>
    </row>
    <row r="72" spans="2:19" s="33" customFormat="1" ht="33" hidden="1" customHeight="1">
      <c r="B72" s="47" t="s">
        <v>4331</v>
      </c>
      <c r="C72" s="48" t="s">
        <v>520</v>
      </c>
      <c r="D72" s="49" t="s">
        <v>584</v>
      </c>
      <c r="E72" s="50">
        <v>43511</v>
      </c>
      <c r="F72" s="52" t="s">
        <v>4274</v>
      </c>
      <c r="G72" s="51">
        <v>1920</v>
      </c>
      <c r="H72" s="52">
        <f t="shared" si="4"/>
        <v>96</v>
      </c>
      <c r="I72" s="52">
        <f t="shared" si="5"/>
        <v>3</v>
      </c>
      <c r="J72" s="59"/>
      <c r="K72" s="53">
        <v>43576</v>
      </c>
      <c r="L72" s="54" t="s">
        <v>503</v>
      </c>
      <c r="M72" s="55">
        <v>43571</v>
      </c>
      <c r="N72" s="56" t="s">
        <v>4269</v>
      </c>
      <c r="O72" s="55">
        <v>43576</v>
      </c>
      <c r="P72" s="58"/>
      <c r="Q72" s="60" t="s">
        <v>89</v>
      </c>
      <c r="R72" s="57" t="s">
        <v>4334</v>
      </c>
      <c r="S72" s="47"/>
    </row>
    <row r="73" spans="2:19" s="33" customFormat="1" ht="33" hidden="1" customHeight="1">
      <c r="B73" s="47" t="s">
        <v>4331</v>
      </c>
      <c r="C73" s="48" t="s">
        <v>586</v>
      </c>
      <c r="D73" s="49" t="s">
        <v>640</v>
      </c>
      <c r="E73" s="50">
        <v>43519</v>
      </c>
      <c r="F73" s="52" t="s">
        <v>4274</v>
      </c>
      <c r="G73" s="51">
        <v>2560</v>
      </c>
      <c r="H73" s="52">
        <f t="shared" si="4"/>
        <v>128</v>
      </c>
      <c r="I73" s="52">
        <f t="shared" si="5"/>
        <v>4</v>
      </c>
      <c r="J73" s="59"/>
      <c r="K73" s="53">
        <v>43611</v>
      </c>
      <c r="L73" s="54" t="s">
        <v>773</v>
      </c>
      <c r="M73" s="55">
        <v>43601</v>
      </c>
      <c r="N73" s="56" t="s">
        <v>4294</v>
      </c>
      <c r="O73" s="55">
        <v>43605</v>
      </c>
      <c r="P73" s="58"/>
      <c r="Q73" s="60" t="s">
        <v>89</v>
      </c>
      <c r="R73" s="57" t="s">
        <v>4335</v>
      </c>
      <c r="S73" s="47" t="s">
        <v>980</v>
      </c>
    </row>
    <row r="74" spans="2:19" s="30" customFormat="1" ht="33" hidden="1" customHeight="1">
      <c r="B74" s="46" t="s">
        <v>4331</v>
      </c>
      <c r="C74" s="35" t="s">
        <v>713</v>
      </c>
      <c r="D74" s="36" t="s">
        <v>714</v>
      </c>
      <c r="E74" s="37">
        <v>43532</v>
      </c>
      <c r="F74" s="38" t="s">
        <v>4274</v>
      </c>
      <c r="G74" s="39">
        <v>1920</v>
      </c>
      <c r="H74" s="38">
        <f t="shared" si="4"/>
        <v>96</v>
      </c>
      <c r="I74" s="38">
        <f t="shared" si="5"/>
        <v>3</v>
      </c>
      <c r="J74" s="61"/>
      <c r="K74" s="40">
        <v>43639</v>
      </c>
      <c r="L74" s="41" t="s">
        <v>1083</v>
      </c>
      <c r="M74" s="42">
        <v>43634</v>
      </c>
      <c r="N74" s="43" t="s">
        <v>1084</v>
      </c>
      <c r="O74" s="42">
        <v>43639</v>
      </c>
      <c r="P74" s="45"/>
      <c r="Q74" s="62" t="s">
        <v>89</v>
      </c>
      <c r="R74" s="44" t="s">
        <v>4336</v>
      </c>
      <c r="S74" s="46"/>
    </row>
    <row r="75" spans="2:19" s="30" customFormat="1" ht="33" hidden="1" customHeight="1">
      <c r="B75" s="46" t="s">
        <v>4331</v>
      </c>
      <c r="C75" s="35" t="s">
        <v>1184</v>
      </c>
      <c r="D75" s="36" t="s">
        <v>1185</v>
      </c>
      <c r="E75" s="37">
        <v>43567</v>
      </c>
      <c r="F75" s="38" t="s">
        <v>4274</v>
      </c>
      <c r="G75" s="39">
        <v>2560</v>
      </c>
      <c r="H75" s="38">
        <f t="shared" si="4"/>
        <v>128</v>
      </c>
      <c r="I75" s="38">
        <f t="shared" si="5"/>
        <v>4</v>
      </c>
      <c r="J75" s="61"/>
      <c r="K75" s="40">
        <v>43653</v>
      </c>
      <c r="L75" s="41" t="s">
        <v>1326</v>
      </c>
      <c r="M75" s="42">
        <v>43648</v>
      </c>
      <c r="N75" s="43" t="s">
        <v>2540</v>
      </c>
      <c r="O75" s="42">
        <v>43653</v>
      </c>
      <c r="P75" s="45"/>
      <c r="Q75" s="62" t="s">
        <v>89</v>
      </c>
      <c r="R75" s="44" t="s">
        <v>4337</v>
      </c>
      <c r="S75" s="46"/>
    </row>
    <row r="76" spans="2:19" s="30" customFormat="1" ht="33" hidden="1" customHeight="1">
      <c r="B76" s="46" t="s">
        <v>4331</v>
      </c>
      <c r="C76" s="35" t="s">
        <v>4338</v>
      </c>
      <c r="D76" s="36" t="s">
        <v>2685</v>
      </c>
      <c r="E76" s="37">
        <v>43609</v>
      </c>
      <c r="F76" s="38" t="s">
        <v>4274</v>
      </c>
      <c r="G76" s="39">
        <v>1280</v>
      </c>
      <c r="H76" s="38">
        <f t="shared" si="4"/>
        <v>64</v>
      </c>
      <c r="I76" s="38">
        <f t="shared" si="5"/>
        <v>2</v>
      </c>
      <c r="J76" s="61"/>
      <c r="K76" s="40">
        <v>43653</v>
      </c>
      <c r="L76" s="41" t="s">
        <v>1326</v>
      </c>
      <c r="M76" s="42">
        <v>43648</v>
      </c>
      <c r="N76" s="43" t="s">
        <v>2540</v>
      </c>
      <c r="O76" s="42">
        <v>43653</v>
      </c>
      <c r="P76" s="45"/>
      <c r="Q76" s="62" t="s">
        <v>89</v>
      </c>
      <c r="R76" s="44" t="s">
        <v>4337</v>
      </c>
      <c r="S76" s="46"/>
    </row>
    <row r="77" spans="2:19" s="30" customFormat="1" ht="33" hidden="1" customHeight="1">
      <c r="B77" s="46" t="s">
        <v>4331</v>
      </c>
      <c r="C77" s="35" t="s">
        <v>2357</v>
      </c>
      <c r="D77" s="36" t="s">
        <v>2358</v>
      </c>
      <c r="E77" s="37">
        <v>43602</v>
      </c>
      <c r="F77" s="38" t="s">
        <v>4274</v>
      </c>
      <c r="G77" s="39">
        <v>2560</v>
      </c>
      <c r="H77" s="38">
        <f t="shared" si="4"/>
        <v>128</v>
      </c>
      <c r="I77" s="38">
        <f t="shared" si="5"/>
        <v>4</v>
      </c>
      <c r="J77" s="61"/>
      <c r="K77" s="40">
        <v>43674</v>
      </c>
      <c r="L77" s="41" t="s">
        <v>2146</v>
      </c>
      <c r="M77" s="42">
        <v>43669</v>
      </c>
      <c r="N77" s="43" t="s">
        <v>2551</v>
      </c>
      <c r="O77" s="42">
        <v>43674</v>
      </c>
      <c r="P77" s="45"/>
      <c r="Q77" s="62" t="s">
        <v>89</v>
      </c>
      <c r="R77" s="44" t="s">
        <v>4339</v>
      </c>
      <c r="S77" s="46"/>
    </row>
    <row r="78" spans="2:19" s="30" customFormat="1" ht="33" hidden="1" customHeight="1">
      <c r="B78" s="46" t="s">
        <v>4331</v>
      </c>
      <c r="C78" s="35" t="s">
        <v>2360</v>
      </c>
      <c r="D78" s="36" t="s">
        <v>4340</v>
      </c>
      <c r="E78" s="37">
        <v>43602</v>
      </c>
      <c r="F78" s="38" t="s">
        <v>4274</v>
      </c>
      <c r="G78" s="39">
        <v>2560</v>
      </c>
      <c r="H78" s="38">
        <f t="shared" si="4"/>
        <v>128</v>
      </c>
      <c r="I78" s="38">
        <f t="shared" si="5"/>
        <v>4</v>
      </c>
      <c r="J78" s="61"/>
      <c r="K78" s="40">
        <v>43695</v>
      </c>
      <c r="L78" s="41" t="s">
        <v>2505</v>
      </c>
      <c r="M78" s="42">
        <v>43683</v>
      </c>
      <c r="N78" s="43" t="s">
        <v>4278</v>
      </c>
      <c r="O78" s="42">
        <v>43688</v>
      </c>
      <c r="P78" s="45"/>
      <c r="Q78" s="62" t="s">
        <v>89</v>
      </c>
      <c r="R78" s="44" t="s">
        <v>4341</v>
      </c>
      <c r="S78" s="46"/>
    </row>
    <row r="79" spans="2:19" s="30" customFormat="1" ht="33" hidden="1" customHeight="1">
      <c r="B79" s="46" t="s">
        <v>4331</v>
      </c>
      <c r="C79" s="35" t="s">
        <v>3429</v>
      </c>
      <c r="D79" s="36" t="s">
        <v>3430</v>
      </c>
      <c r="E79" s="37">
        <v>43637</v>
      </c>
      <c r="F79" s="38" t="s">
        <v>4274</v>
      </c>
      <c r="G79" s="39">
        <v>3840</v>
      </c>
      <c r="H79" s="38">
        <f t="shared" si="4"/>
        <v>192</v>
      </c>
      <c r="I79" s="38">
        <f t="shared" si="5"/>
        <v>6</v>
      </c>
      <c r="J79" s="61"/>
      <c r="K79" s="40">
        <v>43723</v>
      </c>
      <c r="L79" s="41" t="s">
        <v>4312</v>
      </c>
      <c r="M79" s="42">
        <v>43718</v>
      </c>
      <c r="N79" s="43" t="s">
        <v>4313</v>
      </c>
      <c r="O79" s="42">
        <v>43723</v>
      </c>
      <c r="P79" s="45"/>
      <c r="Q79" s="62" t="s">
        <v>89</v>
      </c>
      <c r="R79" s="44" t="s">
        <v>4342</v>
      </c>
      <c r="S79" s="46"/>
    </row>
    <row r="80" spans="2:19" s="147" customFormat="1" ht="33" hidden="1" customHeight="1">
      <c r="B80" s="103" t="s">
        <v>4343</v>
      </c>
      <c r="C80" s="104" t="s">
        <v>4344</v>
      </c>
      <c r="D80" s="105" t="s">
        <v>4345</v>
      </c>
      <c r="E80" s="106">
        <v>43665</v>
      </c>
      <c r="F80" s="107" t="s">
        <v>4346</v>
      </c>
      <c r="G80" s="108">
        <v>3200</v>
      </c>
      <c r="H80" s="107">
        <f t="shared" si="4"/>
        <v>160</v>
      </c>
      <c r="I80" s="107">
        <f t="shared" si="5"/>
        <v>5</v>
      </c>
      <c r="J80" s="148"/>
      <c r="K80" s="109">
        <v>43758</v>
      </c>
      <c r="L80" s="110"/>
      <c r="M80" s="111"/>
      <c r="N80" s="112"/>
      <c r="O80" s="111"/>
      <c r="P80" s="113"/>
      <c r="Q80" s="149" t="s">
        <v>89</v>
      </c>
      <c r="R80" s="114" t="s">
        <v>4347</v>
      </c>
      <c r="S80" s="103"/>
    </row>
    <row r="81" spans="2:19" s="33" customFormat="1" ht="33" hidden="1" customHeight="1">
      <c r="B81" s="47" t="s">
        <v>38</v>
      </c>
      <c r="C81" s="48" t="s">
        <v>225</v>
      </c>
      <c r="D81" s="49" t="s">
        <v>587</v>
      </c>
      <c r="E81" s="50">
        <v>43519</v>
      </c>
      <c r="F81" s="52" t="s">
        <v>4348</v>
      </c>
      <c r="G81" s="64">
        <v>640</v>
      </c>
      <c r="H81" s="52">
        <f>SUBTOTAL(9,G81)/20</f>
        <v>0</v>
      </c>
      <c r="I81" s="52">
        <f>H81/32</f>
        <v>0</v>
      </c>
      <c r="J81" s="52"/>
      <c r="K81" s="53">
        <v>43583</v>
      </c>
      <c r="L81" s="54" t="s">
        <v>565</v>
      </c>
      <c r="M81" s="55">
        <v>43578</v>
      </c>
      <c r="N81" s="56" t="s">
        <v>4349</v>
      </c>
      <c r="O81" s="55">
        <v>43583</v>
      </c>
      <c r="P81" s="58"/>
      <c r="Q81" s="52"/>
      <c r="R81" s="63" t="s">
        <v>4292</v>
      </c>
      <c r="S81" s="47"/>
    </row>
    <row r="82" spans="2:19" s="30" customFormat="1" ht="33" hidden="1" customHeight="1">
      <c r="B82" s="122" t="s">
        <v>38</v>
      </c>
      <c r="C82" s="126" t="s">
        <v>226</v>
      </c>
      <c r="D82" s="127" t="s">
        <v>1194</v>
      </c>
      <c r="E82" s="128">
        <v>43567</v>
      </c>
      <c r="F82" s="124" t="s">
        <v>4350</v>
      </c>
      <c r="G82" s="152">
        <v>640</v>
      </c>
      <c r="H82" s="124">
        <f>SUBTOTAL(9,G82)/20</f>
        <v>0</v>
      </c>
      <c r="I82" s="124">
        <f>H82/32</f>
        <v>0</v>
      </c>
      <c r="J82" s="124"/>
      <c r="K82" s="130">
        <v>43772</v>
      </c>
      <c r="L82" s="119" t="s">
        <v>4351</v>
      </c>
      <c r="M82" s="120">
        <v>43767</v>
      </c>
      <c r="N82" s="121" t="s">
        <v>4352</v>
      </c>
      <c r="O82" s="120">
        <v>43772</v>
      </c>
      <c r="P82" s="123"/>
      <c r="Q82" s="124"/>
      <c r="R82" s="134" t="s">
        <v>4353</v>
      </c>
      <c r="S82" s="122"/>
    </row>
    <row r="83" spans="2:19" s="33" customFormat="1" ht="33" hidden="1" customHeight="1">
      <c r="B83" s="47" t="s">
        <v>88</v>
      </c>
      <c r="C83" s="48" t="s">
        <v>431</v>
      </c>
      <c r="D83" s="49" t="s">
        <v>471</v>
      </c>
      <c r="E83" s="50">
        <v>43483</v>
      </c>
      <c r="F83" s="52" t="s">
        <v>4350</v>
      </c>
      <c r="G83" s="64">
        <v>760</v>
      </c>
      <c r="H83" s="52">
        <f t="shared" ref="H83:H90" si="6">SUBTOTAL(9,G83)/190</f>
        <v>0</v>
      </c>
      <c r="I83" s="52">
        <f t="shared" ref="I83:I90" si="7">H83/4</f>
        <v>0</v>
      </c>
      <c r="J83" s="52"/>
      <c r="K83" s="53">
        <v>43569</v>
      </c>
      <c r="L83" s="54" t="s">
        <v>417</v>
      </c>
      <c r="M83" s="55">
        <v>43564</v>
      </c>
      <c r="N83" s="56" t="s">
        <v>4295</v>
      </c>
      <c r="O83" s="55">
        <v>43569</v>
      </c>
      <c r="P83" s="58"/>
      <c r="Q83" s="52"/>
      <c r="R83" s="63" t="s">
        <v>4354</v>
      </c>
      <c r="S83" s="47"/>
    </row>
    <row r="84" spans="2:19" s="33" customFormat="1" ht="33" hidden="1" customHeight="1">
      <c r="B84" s="47" t="s">
        <v>88</v>
      </c>
      <c r="C84" s="48" t="s">
        <v>523</v>
      </c>
      <c r="D84" s="49" t="s">
        <v>588</v>
      </c>
      <c r="E84" s="50">
        <v>43511</v>
      </c>
      <c r="F84" s="52" t="s">
        <v>4350</v>
      </c>
      <c r="G84" s="64">
        <v>760</v>
      </c>
      <c r="H84" s="52">
        <f t="shared" si="6"/>
        <v>0</v>
      </c>
      <c r="I84" s="52">
        <f t="shared" si="7"/>
        <v>0</v>
      </c>
      <c r="J84" s="52"/>
      <c r="K84" s="53">
        <v>43583</v>
      </c>
      <c r="L84" s="54" t="s">
        <v>565</v>
      </c>
      <c r="M84" s="55">
        <v>43578</v>
      </c>
      <c r="N84" s="56" t="s">
        <v>4349</v>
      </c>
      <c r="O84" s="55">
        <v>43583</v>
      </c>
      <c r="P84" s="58"/>
      <c r="Q84" s="52"/>
      <c r="R84" s="63" t="s">
        <v>4355</v>
      </c>
      <c r="S84" s="47"/>
    </row>
    <row r="85" spans="2:19" s="33" customFormat="1" ht="33" hidden="1" customHeight="1">
      <c r="B85" s="47" t="s">
        <v>88</v>
      </c>
      <c r="C85" s="48" t="s">
        <v>589</v>
      </c>
      <c r="D85" s="49" t="s">
        <v>590</v>
      </c>
      <c r="E85" s="50">
        <v>43519</v>
      </c>
      <c r="F85" s="52" t="s">
        <v>4350</v>
      </c>
      <c r="G85" s="64">
        <v>760</v>
      </c>
      <c r="H85" s="52">
        <f t="shared" si="6"/>
        <v>0</v>
      </c>
      <c r="I85" s="52">
        <f t="shared" si="7"/>
        <v>0</v>
      </c>
      <c r="J85" s="52"/>
      <c r="K85" s="53">
        <v>43597</v>
      </c>
      <c r="L85" s="54" t="s">
        <v>4356</v>
      </c>
      <c r="M85" s="55">
        <v>43592</v>
      </c>
      <c r="N85" s="56" t="s">
        <v>2029</v>
      </c>
      <c r="O85" s="55">
        <v>43597</v>
      </c>
      <c r="P85" s="58"/>
      <c r="Q85" s="52"/>
      <c r="R85" s="63" t="s">
        <v>4357</v>
      </c>
      <c r="S85" s="47"/>
    </row>
    <row r="86" spans="2:19" s="30" customFormat="1" ht="33" hidden="1" customHeight="1">
      <c r="B86" s="46" t="s">
        <v>88</v>
      </c>
      <c r="C86" s="35" t="s">
        <v>4358</v>
      </c>
      <c r="D86" s="36" t="s">
        <v>1207</v>
      </c>
      <c r="E86" s="37">
        <v>43567</v>
      </c>
      <c r="F86" s="38" t="s">
        <v>4350</v>
      </c>
      <c r="G86" s="65">
        <v>760</v>
      </c>
      <c r="H86" s="38">
        <f t="shared" si="6"/>
        <v>0</v>
      </c>
      <c r="I86" s="38">
        <f t="shared" si="7"/>
        <v>0</v>
      </c>
      <c r="J86" s="38"/>
      <c r="K86" s="40">
        <v>43667</v>
      </c>
      <c r="L86" s="41" t="s">
        <v>4359</v>
      </c>
      <c r="M86" s="42">
        <v>43655</v>
      </c>
      <c r="N86" s="43" t="s">
        <v>4360</v>
      </c>
      <c r="O86" s="42">
        <v>43660</v>
      </c>
      <c r="P86" s="45"/>
      <c r="Q86" s="38"/>
      <c r="R86" s="66" t="s">
        <v>4361</v>
      </c>
      <c r="S86" s="46" t="s">
        <v>980</v>
      </c>
    </row>
    <row r="87" spans="2:19" s="30" customFormat="1" ht="33" hidden="1" customHeight="1">
      <c r="B87" s="46" t="s">
        <v>88</v>
      </c>
      <c r="C87" s="35" t="s">
        <v>2079</v>
      </c>
      <c r="D87" s="36" t="s">
        <v>4362</v>
      </c>
      <c r="E87" s="37">
        <v>43602</v>
      </c>
      <c r="F87" s="38" t="s">
        <v>4350</v>
      </c>
      <c r="G87" s="65">
        <v>760</v>
      </c>
      <c r="H87" s="38">
        <f t="shared" si="6"/>
        <v>0</v>
      </c>
      <c r="I87" s="38">
        <f t="shared" si="7"/>
        <v>0</v>
      </c>
      <c r="J87" s="38"/>
      <c r="K87" s="40">
        <v>43667</v>
      </c>
      <c r="L87" s="41" t="s">
        <v>4359</v>
      </c>
      <c r="M87" s="42">
        <v>43655</v>
      </c>
      <c r="N87" s="43" t="s">
        <v>4360</v>
      </c>
      <c r="O87" s="42">
        <v>43660</v>
      </c>
      <c r="P87" s="45"/>
      <c r="Q87" s="38"/>
      <c r="R87" s="66" t="s">
        <v>4361</v>
      </c>
      <c r="S87" s="46" t="s">
        <v>980</v>
      </c>
    </row>
    <row r="88" spans="2:19" s="30" customFormat="1" ht="33" hidden="1" customHeight="1">
      <c r="B88" s="46" t="s">
        <v>88</v>
      </c>
      <c r="C88" s="35" t="s">
        <v>2378</v>
      </c>
      <c r="D88" s="36" t="s">
        <v>2379</v>
      </c>
      <c r="E88" s="37">
        <v>43602</v>
      </c>
      <c r="F88" s="38" t="s">
        <v>4350</v>
      </c>
      <c r="G88" s="65">
        <v>760</v>
      </c>
      <c r="H88" s="38">
        <f t="shared" si="6"/>
        <v>0</v>
      </c>
      <c r="I88" s="38">
        <f t="shared" si="7"/>
        <v>0</v>
      </c>
      <c r="J88" s="38"/>
      <c r="K88" s="40">
        <v>43702</v>
      </c>
      <c r="L88" s="41" t="s">
        <v>4363</v>
      </c>
      <c r="M88" s="42">
        <v>43697</v>
      </c>
      <c r="N88" s="43" t="s">
        <v>4364</v>
      </c>
      <c r="O88" s="42">
        <v>43702</v>
      </c>
      <c r="P88" s="45"/>
      <c r="Q88" s="38"/>
      <c r="R88" s="66" t="s">
        <v>4365</v>
      </c>
      <c r="S88" s="46"/>
    </row>
    <row r="89" spans="2:19" s="30" customFormat="1" ht="33" customHeight="1">
      <c r="B89" s="46" t="s">
        <v>88</v>
      </c>
      <c r="C89" s="35" t="s">
        <v>2430</v>
      </c>
      <c r="D89" s="36" t="s">
        <v>3457</v>
      </c>
      <c r="E89" s="37">
        <v>43637</v>
      </c>
      <c r="F89" s="38" t="s">
        <v>4350</v>
      </c>
      <c r="G89" s="65">
        <v>760</v>
      </c>
      <c r="H89" s="38">
        <f t="shared" si="6"/>
        <v>4</v>
      </c>
      <c r="I89" s="38">
        <f t="shared" si="7"/>
        <v>1</v>
      </c>
      <c r="J89" s="38"/>
      <c r="K89" s="40">
        <v>43731</v>
      </c>
      <c r="L89" s="41" t="s">
        <v>4366</v>
      </c>
      <c r="M89" s="42">
        <v>43725</v>
      </c>
      <c r="N89" s="43" t="s">
        <v>4367</v>
      </c>
      <c r="O89" s="42">
        <v>43730</v>
      </c>
      <c r="P89" s="45"/>
      <c r="Q89" s="38"/>
      <c r="R89" s="66" t="s">
        <v>4368</v>
      </c>
      <c r="S89" s="46"/>
    </row>
    <row r="90" spans="2:19" s="30" customFormat="1" ht="33" hidden="1" customHeight="1">
      <c r="B90" s="122" t="s">
        <v>88</v>
      </c>
      <c r="C90" s="126" t="s">
        <v>2527</v>
      </c>
      <c r="D90" s="105" t="s">
        <v>4369</v>
      </c>
      <c r="E90" s="128">
        <v>43657</v>
      </c>
      <c r="F90" s="124" t="s">
        <v>4350</v>
      </c>
      <c r="G90" s="152">
        <v>760</v>
      </c>
      <c r="H90" s="124">
        <f t="shared" si="6"/>
        <v>0</v>
      </c>
      <c r="I90" s="124">
        <f t="shared" si="7"/>
        <v>0</v>
      </c>
      <c r="J90" s="124"/>
      <c r="K90" s="130">
        <v>43772</v>
      </c>
      <c r="L90" s="119" t="s">
        <v>4351</v>
      </c>
      <c r="M90" s="120">
        <v>43767</v>
      </c>
      <c r="N90" s="121" t="s">
        <v>4352</v>
      </c>
      <c r="O90" s="120">
        <v>43772</v>
      </c>
      <c r="P90" s="123"/>
      <c r="Q90" s="124"/>
      <c r="R90" s="134" t="s">
        <v>4370</v>
      </c>
      <c r="S90" s="122"/>
    </row>
    <row r="91" spans="2:19" s="33" customFormat="1" ht="33" hidden="1" customHeight="1">
      <c r="B91" s="47" t="s">
        <v>83</v>
      </c>
      <c r="C91" s="48" t="s">
        <v>244</v>
      </c>
      <c r="D91" s="49" t="s">
        <v>722</v>
      </c>
      <c r="E91" s="50">
        <v>43483</v>
      </c>
      <c r="F91" s="52" t="s">
        <v>77</v>
      </c>
      <c r="G91" s="51">
        <v>6720</v>
      </c>
      <c r="H91" s="52">
        <f t="shared" ref="H91:H96" si="8">SUM(G91/240)</f>
        <v>28</v>
      </c>
      <c r="I91" s="52">
        <f t="shared" ref="I91:I97" si="9">SUM(H91/4)</f>
        <v>7</v>
      </c>
      <c r="J91" s="52"/>
      <c r="K91" s="53">
        <v>43569</v>
      </c>
      <c r="L91" s="54" t="s">
        <v>480</v>
      </c>
      <c r="M91" s="55">
        <v>43564</v>
      </c>
      <c r="N91" s="56" t="s">
        <v>646</v>
      </c>
      <c r="O91" s="55">
        <v>43569</v>
      </c>
      <c r="P91" s="58" t="s">
        <v>4371</v>
      </c>
      <c r="Q91" s="52"/>
      <c r="R91" s="118" t="s">
        <v>4372</v>
      </c>
      <c r="S91" s="47"/>
    </row>
    <row r="92" spans="2:19" s="33" customFormat="1" ht="33" hidden="1" customHeight="1">
      <c r="B92" s="47" t="s">
        <v>83</v>
      </c>
      <c r="C92" s="48" t="s">
        <v>4373</v>
      </c>
      <c r="D92" s="49" t="s">
        <v>472</v>
      </c>
      <c r="E92" s="50">
        <v>43483</v>
      </c>
      <c r="F92" s="52" t="s">
        <v>77</v>
      </c>
      <c r="G92" s="51">
        <v>5760</v>
      </c>
      <c r="H92" s="52">
        <f t="shared" si="8"/>
        <v>24</v>
      </c>
      <c r="I92" s="52">
        <f t="shared" si="9"/>
        <v>6</v>
      </c>
      <c r="J92" s="52"/>
      <c r="K92" s="53">
        <v>43583</v>
      </c>
      <c r="L92" s="54" t="s">
        <v>448</v>
      </c>
      <c r="M92" s="55">
        <v>43578</v>
      </c>
      <c r="N92" s="56" t="s">
        <v>4349</v>
      </c>
      <c r="O92" s="55">
        <v>43583</v>
      </c>
      <c r="P92" s="58" t="s">
        <v>4374</v>
      </c>
      <c r="Q92" s="52"/>
      <c r="R92" s="118" t="s">
        <v>4372</v>
      </c>
      <c r="S92" s="47"/>
    </row>
    <row r="93" spans="2:19" s="33" customFormat="1" ht="33" hidden="1" customHeight="1">
      <c r="B93" s="47" t="s">
        <v>83</v>
      </c>
      <c r="C93" s="48" t="s">
        <v>258</v>
      </c>
      <c r="D93" s="49" t="s">
        <v>591</v>
      </c>
      <c r="E93" s="50">
        <v>43519</v>
      </c>
      <c r="F93" s="52" t="s">
        <v>77</v>
      </c>
      <c r="G93" s="51">
        <v>5760</v>
      </c>
      <c r="H93" s="52">
        <f t="shared" si="8"/>
        <v>24</v>
      </c>
      <c r="I93" s="52">
        <f t="shared" si="9"/>
        <v>6</v>
      </c>
      <c r="J93" s="52"/>
      <c r="K93" s="53">
        <v>43605</v>
      </c>
      <c r="L93" s="54" t="s">
        <v>4375</v>
      </c>
      <c r="M93" s="55">
        <v>43601</v>
      </c>
      <c r="N93" s="56" t="s">
        <v>4294</v>
      </c>
      <c r="O93" s="55">
        <v>43605</v>
      </c>
      <c r="P93" s="58" t="s">
        <v>4376</v>
      </c>
      <c r="Q93" s="52"/>
      <c r="R93" s="118" t="s">
        <v>4377</v>
      </c>
      <c r="S93" s="47"/>
    </row>
    <row r="94" spans="2:19" s="30" customFormat="1" ht="33" hidden="1" customHeight="1">
      <c r="B94" s="46" t="s">
        <v>83</v>
      </c>
      <c r="C94" s="35" t="s">
        <v>321</v>
      </c>
      <c r="D94" s="36" t="s">
        <v>727</v>
      </c>
      <c r="E94" s="37">
        <v>43532</v>
      </c>
      <c r="F94" s="38" t="s">
        <v>77</v>
      </c>
      <c r="G94" s="39">
        <v>6720</v>
      </c>
      <c r="H94" s="38">
        <f t="shared" si="8"/>
        <v>28</v>
      </c>
      <c r="I94" s="38">
        <f t="shared" si="9"/>
        <v>7</v>
      </c>
      <c r="J94" s="38"/>
      <c r="K94" s="40">
        <v>43633</v>
      </c>
      <c r="L94" s="41" t="s">
        <v>807</v>
      </c>
      <c r="M94" s="42">
        <v>43627</v>
      </c>
      <c r="N94" s="43" t="s">
        <v>808</v>
      </c>
      <c r="O94" s="42">
        <v>43632</v>
      </c>
      <c r="P94" s="45"/>
      <c r="Q94" s="38"/>
      <c r="R94" s="115" t="s">
        <v>4378</v>
      </c>
      <c r="S94" s="46"/>
    </row>
    <row r="95" spans="2:19" s="30" customFormat="1" ht="33" hidden="1" customHeight="1">
      <c r="B95" s="46" t="s">
        <v>83</v>
      </c>
      <c r="C95" s="35" t="s">
        <v>324</v>
      </c>
      <c r="D95" s="36" t="s">
        <v>1234</v>
      </c>
      <c r="E95" s="37">
        <v>43567</v>
      </c>
      <c r="F95" s="38" t="s">
        <v>77</v>
      </c>
      <c r="G95" s="39">
        <v>5760</v>
      </c>
      <c r="H95" s="38">
        <f t="shared" si="8"/>
        <v>24</v>
      </c>
      <c r="I95" s="38">
        <f t="shared" si="9"/>
        <v>6</v>
      </c>
      <c r="J95" s="38"/>
      <c r="K95" s="40">
        <v>43674</v>
      </c>
      <c r="L95" s="41" t="s">
        <v>4379</v>
      </c>
      <c r="M95" s="42">
        <v>43669</v>
      </c>
      <c r="N95" s="43" t="s">
        <v>4380</v>
      </c>
      <c r="O95" s="42">
        <v>43674</v>
      </c>
      <c r="P95" s="45"/>
      <c r="Q95" s="38"/>
      <c r="R95" s="115" t="s">
        <v>4381</v>
      </c>
      <c r="S95" s="46"/>
    </row>
    <row r="96" spans="2:19" s="30" customFormat="1" ht="33" hidden="1" customHeight="1">
      <c r="B96" s="46" t="s">
        <v>83</v>
      </c>
      <c r="C96" s="35" t="s">
        <v>430</v>
      </c>
      <c r="D96" s="36" t="s">
        <v>2696</v>
      </c>
      <c r="E96" s="37">
        <v>43609</v>
      </c>
      <c r="F96" s="38" t="s">
        <v>77</v>
      </c>
      <c r="G96" s="39">
        <v>7680</v>
      </c>
      <c r="H96" s="38">
        <f t="shared" si="8"/>
        <v>32</v>
      </c>
      <c r="I96" s="38">
        <f t="shared" si="9"/>
        <v>8</v>
      </c>
      <c r="J96" s="38"/>
      <c r="K96" s="40">
        <v>43702</v>
      </c>
      <c r="L96" s="41" t="s">
        <v>2509</v>
      </c>
      <c r="M96" s="42">
        <v>43697</v>
      </c>
      <c r="N96" s="43" t="s">
        <v>2498</v>
      </c>
      <c r="O96" s="42">
        <v>43702</v>
      </c>
      <c r="P96" s="45"/>
      <c r="Q96" s="38"/>
      <c r="R96" s="115" t="s">
        <v>4382</v>
      </c>
      <c r="S96" s="46"/>
    </row>
    <row r="97" spans="2:19" s="30" customFormat="1" ht="33" hidden="1" customHeight="1">
      <c r="B97" s="46" t="s">
        <v>4383</v>
      </c>
      <c r="C97" s="35" t="s">
        <v>519</v>
      </c>
      <c r="D97" s="36" t="s">
        <v>3473</v>
      </c>
      <c r="E97" s="37">
        <v>43637</v>
      </c>
      <c r="F97" s="38" t="s">
        <v>77</v>
      </c>
      <c r="G97" s="39">
        <v>9600</v>
      </c>
      <c r="H97" s="38">
        <f t="shared" ref="H97" si="10">SUM(G97/240)</f>
        <v>40</v>
      </c>
      <c r="I97" s="38">
        <f t="shared" si="9"/>
        <v>10</v>
      </c>
      <c r="J97" s="38"/>
      <c r="K97" s="40">
        <v>43716</v>
      </c>
      <c r="L97" s="41" t="s">
        <v>4281</v>
      </c>
      <c r="M97" s="42">
        <v>43711</v>
      </c>
      <c r="N97" s="43" t="s">
        <v>4282</v>
      </c>
      <c r="O97" s="42">
        <v>43716</v>
      </c>
      <c r="P97" s="45"/>
      <c r="Q97" s="38"/>
      <c r="R97" s="115" t="s">
        <v>4384</v>
      </c>
      <c r="S97" s="46"/>
    </row>
    <row r="98" spans="2:19" s="147" customFormat="1" ht="33" hidden="1" customHeight="1">
      <c r="B98" s="103" t="s">
        <v>4385</v>
      </c>
      <c r="C98" s="104" t="s">
        <v>520</v>
      </c>
      <c r="D98" s="105" t="s">
        <v>4386</v>
      </c>
      <c r="E98" s="106">
        <v>43665</v>
      </c>
      <c r="F98" s="107" t="s">
        <v>77</v>
      </c>
      <c r="G98" s="108">
        <v>5760</v>
      </c>
      <c r="H98" s="107">
        <f t="shared" ref="H98" si="11">SUM(G98/240)</f>
        <v>24</v>
      </c>
      <c r="I98" s="107">
        <f t="shared" ref="I98" si="12">SUM(H98/4)</f>
        <v>6</v>
      </c>
      <c r="J98" s="107"/>
      <c r="K98" s="109">
        <v>43765</v>
      </c>
      <c r="L98" s="110"/>
      <c r="M98" s="111"/>
      <c r="N98" s="112"/>
      <c r="O98" s="111"/>
      <c r="P98" s="113"/>
      <c r="Q98" s="107"/>
      <c r="R98" s="150" t="s">
        <v>4387</v>
      </c>
      <c r="S98" s="103"/>
    </row>
    <row r="99" spans="2:19" s="34" customFormat="1" ht="33" hidden="1" customHeight="1">
      <c r="B99" s="47" t="s">
        <v>210</v>
      </c>
      <c r="C99" s="48" t="s">
        <v>226</v>
      </c>
      <c r="D99" s="49" t="s">
        <v>593</v>
      </c>
      <c r="E99" s="50">
        <v>43483</v>
      </c>
      <c r="F99" s="52" t="s">
        <v>218</v>
      </c>
      <c r="G99" s="51">
        <v>640</v>
      </c>
      <c r="H99" s="52">
        <f t="shared" ref="H99:H129" si="13">SUM(G99/20)</f>
        <v>32</v>
      </c>
      <c r="I99" s="52">
        <f t="shared" ref="I99:I129" si="14">SUM(H99/32)</f>
        <v>1</v>
      </c>
      <c r="J99" s="52"/>
      <c r="K99" s="53">
        <v>43534</v>
      </c>
      <c r="L99" s="54" t="s">
        <v>4388</v>
      </c>
      <c r="M99" s="55"/>
      <c r="N99" s="56"/>
      <c r="O99" s="55">
        <v>43520</v>
      </c>
      <c r="P99" s="58" t="s">
        <v>651</v>
      </c>
      <c r="Q99" s="52"/>
      <c r="R99" s="63" t="s">
        <v>211</v>
      </c>
      <c r="S99" s="52"/>
    </row>
    <row r="100" spans="2:19" s="34" customFormat="1" ht="33" hidden="1" customHeight="1">
      <c r="B100" s="47" t="s">
        <v>210</v>
      </c>
      <c r="C100" s="48" t="s">
        <v>285</v>
      </c>
      <c r="D100" s="49" t="s">
        <v>526</v>
      </c>
      <c r="E100" s="50">
        <v>43507</v>
      </c>
      <c r="F100" s="52" t="s">
        <v>218</v>
      </c>
      <c r="G100" s="51">
        <v>3200</v>
      </c>
      <c r="H100" s="52">
        <f t="shared" si="13"/>
        <v>160</v>
      </c>
      <c r="I100" s="52">
        <f t="shared" si="14"/>
        <v>5</v>
      </c>
      <c r="J100" s="52"/>
      <c r="K100" s="53">
        <v>43576</v>
      </c>
      <c r="L100" s="54" t="s">
        <v>503</v>
      </c>
      <c r="M100" s="55">
        <v>43571</v>
      </c>
      <c r="N100" s="56" t="s">
        <v>4269</v>
      </c>
      <c r="O100" s="55">
        <v>43576</v>
      </c>
      <c r="P100" s="58"/>
      <c r="Q100" s="52" t="s">
        <v>643</v>
      </c>
      <c r="R100" s="63" t="s">
        <v>211</v>
      </c>
      <c r="S100" s="52"/>
    </row>
    <row r="101" spans="2:19" s="34" customFormat="1" ht="33" hidden="1" customHeight="1">
      <c r="B101" s="47" t="s">
        <v>210</v>
      </c>
      <c r="C101" s="48" t="s">
        <v>4389</v>
      </c>
      <c r="D101" s="49" t="s">
        <v>526</v>
      </c>
      <c r="E101" s="50">
        <v>43507</v>
      </c>
      <c r="F101" s="52" t="s">
        <v>218</v>
      </c>
      <c r="G101" s="51">
        <v>640</v>
      </c>
      <c r="H101" s="52">
        <f t="shared" si="13"/>
        <v>32</v>
      </c>
      <c r="I101" s="52">
        <f t="shared" si="14"/>
        <v>1</v>
      </c>
      <c r="J101" s="52"/>
      <c r="K101" s="53">
        <v>43576</v>
      </c>
      <c r="L101" s="54" t="s">
        <v>448</v>
      </c>
      <c r="M101" s="55">
        <v>43578</v>
      </c>
      <c r="N101" s="56" t="s">
        <v>4349</v>
      </c>
      <c r="O101" s="55">
        <v>43583</v>
      </c>
      <c r="P101" s="58"/>
      <c r="Q101" s="52" t="s">
        <v>643</v>
      </c>
      <c r="R101" s="63" t="s">
        <v>211</v>
      </c>
      <c r="S101" s="52"/>
    </row>
    <row r="102" spans="2:19" s="34" customFormat="1" ht="33" hidden="1" customHeight="1">
      <c r="B102" s="47" t="s">
        <v>210</v>
      </c>
      <c r="C102" s="48" t="s">
        <v>331</v>
      </c>
      <c r="D102" s="49" t="s">
        <v>4390</v>
      </c>
      <c r="E102" s="50">
        <v>43519</v>
      </c>
      <c r="F102" s="52" t="s">
        <v>218</v>
      </c>
      <c r="G102" s="51">
        <v>3200</v>
      </c>
      <c r="H102" s="52">
        <f t="shared" si="13"/>
        <v>160</v>
      </c>
      <c r="I102" s="52">
        <f t="shared" si="14"/>
        <v>5</v>
      </c>
      <c r="J102" s="52"/>
      <c r="K102" s="53">
        <v>43562</v>
      </c>
      <c r="L102" s="54" t="s">
        <v>608</v>
      </c>
      <c r="M102" s="55">
        <v>43557</v>
      </c>
      <c r="N102" s="56" t="s">
        <v>4333</v>
      </c>
      <c r="O102" s="55">
        <v>43562</v>
      </c>
      <c r="P102" s="58"/>
      <c r="Q102" s="52" t="s">
        <v>642</v>
      </c>
      <c r="R102" s="63" t="s">
        <v>211</v>
      </c>
      <c r="S102" s="52"/>
    </row>
    <row r="103" spans="2:19" s="34" customFormat="1" ht="33" hidden="1" customHeight="1">
      <c r="B103" s="47" t="s">
        <v>210</v>
      </c>
      <c r="C103" s="48" t="s">
        <v>4391</v>
      </c>
      <c r="D103" s="49" t="s">
        <v>4390</v>
      </c>
      <c r="E103" s="50">
        <v>43519</v>
      </c>
      <c r="F103" s="52" t="s">
        <v>218</v>
      </c>
      <c r="G103" s="51">
        <v>640</v>
      </c>
      <c r="H103" s="52">
        <f t="shared" si="13"/>
        <v>32</v>
      </c>
      <c r="I103" s="52">
        <f t="shared" si="14"/>
        <v>1</v>
      </c>
      <c r="J103" s="52"/>
      <c r="K103" s="53">
        <v>43562</v>
      </c>
      <c r="L103" s="54" t="s">
        <v>480</v>
      </c>
      <c r="M103" s="55">
        <v>43564</v>
      </c>
      <c r="N103" s="56" t="s">
        <v>646</v>
      </c>
      <c r="O103" s="55">
        <v>43569</v>
      </c>
      <c r="P103" s="58"/>
      <c r="Q103" s="52" t="s">
        <v>642</v>
      </c>
      <c r="R103" s="63" t="s">
        <v>211</v>
      </c>
      <c r="S103" s="52"/>
    </row>
    <row r="104" spans="2:19" s="32" customFormat="1" ht="33" hidden="1" customHeight="1">
      <c r="B104" s="46" t="s">
        <v>210</v>
      </c>
      <c r="C104" s="35" t="s">
        <v>2527</v>
      </c>
      <c r="D104" s="190" t="s">
        <v>4392</v>
      </c>
      <c r="E104" s="37">
        <v>43609</v>
      </c>
      <c r="F104" s="38" t="s">
        <v>218</v>
      </c>
      <c r="G104" s="39">
        <v>120</v>
      </c>
      <c r="H104" s="38">
        <f t="shared" si="13"/>
        <v>6</v>
      </c>
      <c r="I104" s="38">
        <f t="shared" si="14"/>
        <v>0.1875</v>
      </c>
      <c r="J104" s="38"/>
      <c r="K104" s="40">
        <v>43646</v>
      </c>
      <c r="L104" s="41" t="s">
        <v>1083</v>
      </c>
      <c r="M104" s="42">
        <v>43634</v>
      </c>
      <c r="N104" s="43" t="s">
        <v>1084</v>
      </c>
      <c r="O104" s="42">
        <v>43639</v>
      </c>
      <c r="P104" s="45"/>
      <c r="Q104" s="66" t="s">
        <v>2543</v>
      </c>
      <c r="R104" s="66" t="s">
        <v>4393</v>
      </c>
      <c r="S104" s="38"/>
    </row>
    <row r="105" spans="2:19" s="32" customFormat="1" ht="33" hidden="1" customHeight="1">
      <c r="B105" s="46" t="s">
        <v>4394</v>
      </c>
      <c r="C105" s="35" t="s">
        <v>2531</v>
      </c>
      <c r="D105" s="190" t="s">
        <v>4392</v>
      </c>
      <c r="E105" s="37">
        <v>43609</v>
      </c>
      <c r="F105" s="38" t="s">
        <v>4395</v>
      </c>
      <c r="G105" s="39">
        <v>120</v>
      </c>
      <c r="H105" s="38">
        <f t="shared" si="13"/>
        <v>6</v>
      </c>
      <c r="I105" s="38">
        <f t="shared" si="14"/>
        <v>0.1875</v>
      </c>
      <c r="J105" s="38"/>
      <c r="K105" s="40">
        <v>43646</v>
      </c>
      <c r="L105" s="41" t="s">
        <v>1083</v>
      </c>
      <c r="M105" s="42">
        <v>43634</v>
      </c>
      <c r="N105" s="43" t="s">
        <v>1084</v>
      </c>
      <c r="O105" s="42">
        <v>43639</v>
      </c>
      <c r="P105" s="45"/>
      <c r="Q105" s="66" t="s">
        <v>2544</v>
      </c>
      <c r="R105" s="66" t="s">
        <v>4393</v>
      </c>
      <c r="S105" s="38"/>
    </row>
    <row r="106" spans="2:19" s="34" customFormat="1" ht="33" hidden="1" customHeight="1">
      <c r="B106" s="47" t="s">
        <v>210</v>
      </c>
      <c r="C106" s="48" t="s">
        <v>431</v>
      </c>
      <c r="D106" s="49" t="s">
        <v>4396</v>
      </c>
      <c r="E106" s="50">
        <v>43523</v>
      </c>
      <c r="F106" s="52" t="s">
        <v>218</v>
      </c>
      <c r="G106" s="51">
        <v>3200</v>
      </c>
      <c r="H106" s="52">
        <f t="shared" si="13"/>
        <v>160</v>
      </c>
      <c r="I106" s="52">
        <f t="shared" si="14"/>
        <v>5</v>
      </c>
      <c r="J106" s="52"/>
      <c r="K106" s="53">
        <v>43597</v>
      </c>
      <c r="L106" s="54" t="s">
        <v>605</v>
      </c>
      <c r="M106" s="55">
        <v>43594</v>
      </c>
      <c r="N106" s="56" t="s">
        <v>4290</v>
      </c>
      <c r="O106" s="55">
        <v>43598</v>
      </c>
      <c r="P106" s="58"/>
      <c r="Q106" s="52" t="s">
        <v>641</v>
      </c>
      <c r="R106" s="63" t="s">
        <v>211</v>
      </c>
      <c r="S106" s="52"/>
    </row>
    <row r="107" spans="2:19" s="34" customFormat="1" ht="33" hidden="1" customHeight="1">
      <c r="B107" s="47" t="s">
        <v>210</v>
      </c>
      <c r="C107" s="48" t="s">
        <v>4397</v>
      </c>
      <c r="D107" s="49" t="s">
        <v>4396</v>
      </c>
      <c r="E107" s="50">
        <v>43523</v>
      </c>
      <c r="F107" s="52" t="s">
        <v>218</v>
      </c>
      <c r="G107" s="51">
        <v>640</v>
      </c>
      <c r="H107" s="52">
        <f t="shared" si="13"/>
        <v>32</v>
      </c>
      <c r="I107" s="52">
        <f t="shared" si="14"/>
        <v>1</v>
      </c>
      <c r="J107" s="52"/>
      <c r="K107" s="53">
        <v>43618</v>
      </c>
      <c r="L107" s="54" t="s">
        <v>4299</v>
      </c>
      <c r="M107" s="55">
        <v>43613</v>
      </c>
      <c r="N107" s="56" t="s">
        <v>4300</v>
      </c>
      <c r="O107" s="55">
        <v>43618</v>
      </c>
      <c r="P107" s="58"/>
      <c r="Q107" s="52" t="s">
        <v>641</v>
      </c>
      <c r="R107" s="63" t="s">
        <v>211</v>
      </c>
      <c r="S107" s="52"/>
    </row>
    <row r="108" spans="2:19" s="34" customFormat="1" ht="33" hidden="1" customHeight="1">
      <c r="B108" s="47" t="s">
        <v>210</v>
      </c>
      <c r="C108" s="48" t="s">
        <v>4398</v>
      </c>
      <c r="D108" s="49" t="s">
        <v>739</v>
      </c>
      <c r="E108" s="50">
        <v>43532</v>
      </c>
      <c r="F108" s="52" t="s">
        <v>218</v>
      </c>
      <c r="G108" s="51">
        <v>2560</v>
      </c>
      <c r="H108" s="52">
        <f t="shared" si="13"/>
        <v>128</v>
      </c>
      <c r="I108" s="52">
        <f t="shared" si="14"/>
        <v>4</v>
      </c>
      <c r="J108" s="52"/>
      <c r="K108" s="53">
        <v>43618</v>
      </c>
      <c r="L108" s="54" t="s">
        <v>4299</v>
      </c>
      <c r="M108" s="55">
        <v>43613</v>
      </c>
      <c r="N108" s="56" t="s">
        <v>4300</v>
      </c>
      <c r="O108" s="55">
        <v>43618</v>
      </c>
      <c r="P108" s="58"/>
      <c r="Q108" s="52" t="s">
        <v>970</v>
      </c>
      <c r="R108" s="63" t="s">
        <v>211</v>
      </c>
      <c r="S108" s="52"/>
    </row>
    <row r="109" spans="2:19" s="32" customFormat="1" ht="33" hidden="1" customHeight="1">
      <c r="B109" s="46" t="s">
        <v>210</v>
      </c>
      <c r="C109" s="35" t="s">
        <v>589</v>
      </c>
      <c r="D109" s="36" t="s">
        <v>1260</v>
      </c>
      <c r="E109" s="37">
        <v>43558</v>
      </c>
      <c r="F109" s="38" t="s">
        <v>218</v>
      </c>
      <c r="G109" s="39">
        <v>3200</v>
      </c>
      <c r="H109" s="38">
        <f t="shared" si="13"/>
        <v>160</v>
      </c>
      <c r="I109" s="38">
        <f t="shared" si="14"/>
        <v>5</v>
      </c>
      <c r="J109" s="38"/>
      <c r="K109" s="40">
        <v>43639</v>
      </c>
      <c r="L109" s="41" t="s">
        <v>4399</v>
      </c>
      <c r="M109" s="42">
        <v>43634</v>
      </c>
      <c r="N109" s="43" t="s">
        <v>4400</v>
      </c>
      <c r="O109" s="42">
        <v>43639</v>
      </c>
      <c r="P109" s="45"/>
      <c r="Q109" s="38" t="s">
        <v>973</v>
      </c>
      <c r="R109" s="66" t="s">
        <v>211</v>
      </c>
      <c r="S109" s="38"/>
    </row>
    <row r="110" spans="2:19" s="32" customFormat="1" ht="33" hidden="1" customHeight="1">
      <c r="B110" s="46" t="s">
        <v>210</v>
      </c>
      <c r="C110" s="35" t="s">
        <v>2078</v>
      </c>
      <c r="D110" s="36" t="s">
        <v>2426</v>
      </c>
      <c r="E110" s="37">
        <v>43602</v>
      </c>
      <c r="F110" s="38" t="s">
        <v>218</v>
      </c>
      <c r="G110" s="39">
        <v>3200</v>
      </c>
      <c r="H110" s="38">
        <f t="shared" si="13"/>
        <v>160</v>
      </c>
      <c r="I110" s="38">
        <f t="shared" si="14"/>
        <v>5</v>
      </c>
      <c r="J110" s="38"/>
      <c r="K110" s="40">
        <v>43653</v>
      </c>
      <c r="L110" s="41" t="s">
        <v>1326</v>
      </c>
      <c r="M110" s="42">
        <v>43648</v>
      </c>
      <c r="N110" s="43" t="s">
        <v>4401</v>
      </c>
      <c r="O110" s="42">
        <v>43653</v>
      </c>
      <c r="P110" s="45"/>
      <c r="Q110" s="38" t="s">
        <v>2148</v>
      </c>
      <c r="R110" s="66" t="s">
        <v>211</v>
      </c>
      <c r="S110" s="38"/>
    </row>
    <row r="111" spans="2:19" s="32" customFormat="1" ht="33" hidden="1" customHeight="1">
      <c r="B111" s="46" t="s">
        <v>210</v>
      </c>
      <c r="C111" s="35" t="s">
        <v>2079</v>
      </c>
      <c r="D111" s="36" t="s">
        <v>2428</v>
      </c>
      <c r="E111" s="37">
        <v>43602</v>
      </c>
      <c r="F111" s="38" t="s">
        <v>218</v>
      </c>
      <c r="G111" s="39">
        <v>3200</v>
      </c>
      <c r="H111" s="38">
        <f t="shared" si="13"/>
        <v>160</v>
      </c>
      <c r="I111" s="38">
        <f t="shared" si="14"/>
        <v>5</v>
      </c>
      <c r="J111" s="38"/>
      <c r="K111" s="40">
        <v>43667</v>
      </c>
      <c r="L111" s="41" t="s">
        <v>2146</v>
      </c>
      <c r="M111" s="42">
        <v>43669</v>
      </c>
      <c r="N111" s="43" t="s">
        <v>2551</v>
      </c>
      <c r="O111" s="42">
        <v>43674</v>
      </c>
      <c r="P111" s="45"/>
      <c r="Q111" s="38" t="s">
        <v>2150</v>
      </c>
      <c r="R111" s="66" t="s">
        <v>211</v>
      </c>
      <c r="S111" s="38"/>
    </row>
    <row r="112" spans="2:19" s="32" customFormat="1" ht="33" hidden="1" customHeight="1">
      <c r="B112" s="46" t="s">
        <v>210</v>
      </c>
      <c r="C112" s="35" t="s">
        <v>2378</v>
      </c>
      <c r="D112" s="36" t="s">
        <v>4402</v>
      </c>
      <c r="E112" s="37">
        <v>43602</v>
      </c>
      <c r="F112" s="38" t="s">
        <v>218</v>
      </c>
      <c r="G112" s="39">
        <v>3200</v>
      </c>
      <c r="H112" s="38">
        <f t="shared" si="13"/>
        <v>160</v>
      </c>
      <c r="I112" s="38">
        <f t="shared" si="14"/>
        <v>5</v>
      </c>
      <c r="J112" s="38"/>
      <c r="K112" s="40">
        <v>43688</v>
      </c>
      <c r="L112" s="41" t="s">
        <v>2505</v>
      </c>
      <c r="M112" s="42">
        <v>43683</v>
      </c>
      <c r="N112" s="43" t="s">
        <v>4278</v>
      </c>
      <c r="O112" s="42">
        <v>43688</v>
      </c>
      <c r="P112" s="45"/>
      <c r="Q112" s="38" t="s">
        <v>2762</v>
      </c>
      <c r="R112" s="66" t="s">
        <v>211</v>
      </c>
      <c r="S112" s="46" t="s">
        <v>2764</v>
      </c>
    </row>
    <row r="113" spans="2:19" s="32" customFormat="1" ht="33" hidden="1" customHeight="1">
      <c r="B113" s="46" t="s">
        <v>210</v>
      </c>
      <c r="C113" s="35" t="s">
        <v>2430</v>
      </c>
      <c r="D113" s="190" t="s">
        <v>4403</v>
      </c>
      <c r="E113" s="37">
        <v>43602</v>
      </c>
      <c r="F113" s="38" t="s">
        <v>218</v>
      </c>
      <c r="G113" s="39">
        <v>3200</v>
      </c>
      <c r="H113" s="38">
        <f t="shared" si="13"/>
        <v>160</v>
      </c>
      <c r="I113" s="38">
        <f t="shared" si="14"/>
        <v>5</v>
      </c>
      <c r="J113" s="38"/>
      <c r="K113" s="40">
        <v>43702</v>
      </c>
      <c r="L113" s="41" t="s">
        <v>2509</v>
      </c>
      <c r="M113" s="42">
        <v>43697</v>
      </c>
      <c r="N113" s="43" t="s">
        <v>4364</v>
      </c>
      <c r="O113" s="42">
        <v>43702</v>
      </c>
      <c r="P113" s="45"/>
      <c r="Q113" s="38" t="s">
        <v>2517</v>
      </c>
      <c r="R113" s="66" t="s">
        <v>211</v>
      </c>
      <c r="S113" s="38"/>
    </row>
    <row r="114" spans="2:19" s="32" customFormat="1" ht="33" hidden="1" customHeight="1">
      <c r="B114" s="46" t="s">
        <v>210</v>
      </c>
      <c r="C114" s="35" t="s">
        <v>2528</v>
      </c>
      <c r="D114" s="190" t="s">
        <v>2704</v>
      </c>
      <c r="E114" s="37">
        <v>43609</v>
      </c>
      <c r="F114" s="38" t="s">
        <v>218</v>
      </c>
      <c r="G114" s="39">
        <v>3200</v>
      </c>
      <c r="H114" s="38">
        <f t="shared" si="13"/>
        <v>160</v>
      </c>
      <c r="I114" s="38">
        <f t="shared" si="14"/>
        <v>5</v>
      </c>
      <c r="J114" s="38"/>
      <c r="K114" s="40">
        <v>43660</v>
      </c>
      <c r="L114" s="41" t="s">
        <v>1326</v>
      </c>
      <c r="M114" s="42">
        <v>43648</v>
      </c>
      <c r="N114" s="43" t="s">
        <v>2540</v>
      </c>
      <c r="O114" s="42">
        <v>43653</v>
      </c>
      <c r="P114" s="45"/>
      <c r="Q114" s="38" t="s">
        <v>2148</v>
      </c>
      <c r="R114" s="66" t="s">
        <v>211</v>
      </c>
      <c r="S114" s="38"/>
    </row>
    <row r="115" spans="2:19" s="32" customFormat="1" ht="33" hidden="1" customHeight="1">
      <c r="B115" s="46" t="s">
        <v>210</v>
      </c>
      <c r="C115" s="35" t="s">
        <v>2529</v>
      </c>
      <c r="D115" s="190" t="s">
        <v>2705</v>
      </c>
      <c r="E115" s="37">
        <v>43609</v>
      </c>
      <c r="F115" s="38" t="s">
        <v>218</v>
      </c>
      <c r="G115" s="39">
        <v>3200</v>
      </c>
      <c r="H115" s="38">
        <f t="shared" si="13"/>
        <v>160</v>
      </c>
      <c r="I115" s="38">
        <f t="shared" si="14"/>
        <v>5</v>
      </c>
      <c r="J115" s="38"/>
      <c r="K115" s="40">
        <v>43675</v>
      </c>
      <c r="L115" s="41" t="s">
        <v>2146</v>
      </c>
      <c r="M115" s="42">
        <v>43669</v>
      </c>
      <c r="N115" s="43" t="s">
        <v>2551</v>
      </c>
      <c r="O115" s="42">
        <v>43674</v>
      </c>
      <c r="P115" s="45"/>
      <c r="Q115" s="38" t="s">
        <v>2150</v>
      </c>
      <c r="R115" s="66" t="s">
        <v>211</v>
      </c>
      <c r="S115" s="38"/>
    </row>
    <row r="116" spans="2:19" s="32" customFormat="1" ht="33" hidden="1" customHeight="1">
      <c r="B116" s="46" t="s">
        <v>4404</v>
      </c>
      <c r="C116" s="35" t="s">
        <v>3497</v>
      </c>
      <c r="D116" s="190" t="s">
        <v>3498</v>
      </c>
      <c r="E116" s="37">
        <v>43637</v>
      </c>
      <c r="F116" s="38" t="s">
        <v>218</v>
      </c>
      <c r="G116" s="39">
        <v>3200</v>
      </c>
      <c r="H116" s="38">
        <f t="shared" si="13"/>
        <v>160</v>
      </c>
      <c r="I116" s="38">
        <f t="shared" si="14"/>
        <v>5</v>
      </c>
      <c r="J116" s="38"/>
      <c r="K116" s="40">
        <v>43716</v>
      </c>
      <c r="L116" s="41" t="s">
        <v>4281</v>
      </c>
      <c r="M116" s="42">
        <v>43711</v>
      </c>
      <c r="N116" s="43" t="s">
        <v>4282</v>
      </c>
      <c r="O116" s="42">
        <v>43716</v>
      </c>
      <c r="P116" s="45"/>
      <c r="Q116" s="38"/>
      <c r="R116" s="66" t="s">
        <v>211</v>
      </c>
      <c r="S116" s="38"/>
    </row>
    <row r="117" spans="2:19" s="32" customFormat="1" ht="33" customHeight="1">
      <c r="B117" s="46" t="s">
        <v>4404</v>
      </c>
      <c r="C117" s="35" t="s">
        <v>3499</v>
      </c>
      <c r="D117" s="190" t="s">
        <v>3500</v>
      </c>
      <c r="E117" s="37">
        <v>43637</v>
      </c>
      <c r="F117" s="38" t="s">
        <v>218</v>
      </c>
      <c r="G117" s="39">
        <v>3200</v>
      </c>
      <c r="H117" s="38">
        <f t="shared" si="13"/>
        <v>160</v>
      </c>
      <c r="I117" s="38">
        <f t="shared" si="14"/>
        <v>5</v>
      </c>
      <c r="J117" s="38"/>
      <c r="K117" s="40">
        <v>43730</v>
      </c>
      <c r="L117" s="41" t="s">
        <v>4405</v>
      </c>
      <c r="M117" s="42">
        <v>43725</v>
      </c>
      <c r="N117" s="43" t="s">
        <v>4367</v>
      </c>
      <c r="O117" s="42">
        <v>43730</v>
      </c>
      <c r="P117" s="45"/>
      <c r="Q117" s="38"/>
      <c r="R117" s="66" t="s">
        <v>211</v>
      </c>
      <c r="S117" s="38"/>
    </row>
    <row r="118" spans="2:19" s="32" customFormat="1" ht="33" customHeight="1">
      <c r="B118" s="46" t="s">
        <v>4404</v>
      </c>
      <c r="C118" s="35" t="s">
        <v>3501</v>
      </c>
      <c r="D118" s="190" t="s">
        <v>3502</v>
      </c>
      <c r="E118" s="37">
        <v>43637</v>
      </c>
      <c r="F118" s="38" t="s">
        <v>218</v>
      </c>
      <c r="G118" s="39">
        <v>3200</v>
      </c>
      <c r="H118" s="38">
        <f t="shared" si="13"/>
        <v>160</v>
      </c>
      <c r="I118" s="38">
        <f t="shared" si="14"/>
        <v>5</v>
      </c>
      <c r="J118" s="38"/>
      <c r="K118" s="40">
        <v>43737</v>
      </c>
      <c r="L118" s="41" t="s">
        <v>4406</v>
      </c>
      <c r="M118" s="42">
        <v>43732</v>
      </c>
      <c r="N118" s="43" t="s">
        <v>4407</v>
      </c>
      <c r="O118" s="42">
        <v>43737</v>
      </c>
      <c r="P118" s="45"/>
      <c r="Q118" s="38"/>
      <c r="R118" s="66" t="s">
        <v>211</v>
      </c>
      <c r="S118" s="38"/>
    </row>
    <row r="119" spans="2:19" s="32" customFormat="1" ht="33" hidden="1" customHeight="1">
      <c r="B119" s="122" t="s">
        <v>4404</v>
      </c>
      <c r="C119" s="126" t="s">
        <v>4103</v>
      </c>
      <c r="D119" s="189" t="s">
        <v>4408</v>
      </c>
      <c r="E119" s="128">
        <v>43657</v>
      </c>
      <c r="F119" s="124" t="s">
        <v>218</v>
      </c>
      <c r="G119" s="129">
        <v>3200</v>
      </c>
      <c r="H119" s="124">
        <f t="shared" si="13"/>
        <v>160</v>
      </c>
      <c r="I119" s="124">
        <f t="shared" si="14"/>
        <v>5</v>
      </c>
      <c r="J119" s="124"/>
      <c r="K119" s="130">
        <v>43723</v>
      </c>
      <c r="L119" s="119" t="s">
        <v>4312</v>
      </c>
      <c r="M119" s="120">
        <v>43718</v>
      </c>
      <c r="N119" s="121" t="s">
        <v>4313</v>
      </c>
      <c r="O119" s="120">
        <v>43723</v>
      </c>
      <c r="P119" s="123"/>
      <c r="Q119" s="124" t="s">
        <v>4409</v>
      </c>
      <c r="R119" s="134" t="s">
        <v>211</v>
      </c>
      <c r="S119" s="124"/>
    </row>
    <row r="120" spans="2:19" s="153" customFormat="1" ht="33" hidden="1" customHeight="1">
      <c r="B120" s="103" t="s">
        <v>210</v>
      </c>
      <c r="C120" s="104" t="s">
        <v>4410</v>
      </c>
      <c r="D120" s="189" t="s">
        <v>4411</v>
      </c>
      <c r="E120" s="106">
        <v>43665</v>
      </c>
      <c r="F120" s="107" t="s">
        <v>218</v>
      </c>
      <c r="G120" s="108">
        <v>3200</v>
      </c>
      <c r="H120" s="107">
        <f>SUM(G120/20)</f>
        <v>160</v>
      </c>
      <c r="I120" s="107">
        <f>SUM(H120/32)</f>
        <v>5</v>
      </c>
      <c r="J120" s="107"/>
      <c r="K120" s="109">
        <v>43751</v>
      </c>
      <c r="L120" s="110"/>
      <c r="M120" s="111"/>
      <c r="N120" s="112"/>
      <c r="O120" s="111"/>
      <c r="P120" s="113"/>
      <c r="Q120" s="116"/>
      <c r="R120" s="116" t="s">
        <v>4393</v>
      </c>
      <c r="S120" s="107"/>
    </row>
    <row r="121" spans="2:19" s="153" customFormat="1" ht="33" hidden="1" customHeight="1">
      <c r="B121" s="103" t="s">
        <v>210</v>
      </c>
      <c r="C121" s="104" t="s">
        <v>4412</v>
      </c>
      <c r="D121" s="189" t="s">
        <v>4413</v>
      </c>
      <c r="E121" s="106">
        <v>43665</v>
      </c>
      <c r="F121" s="107" t="s">
        <v>218</v>
      </c>
      <c r="G121" s="108">
        <v>3200</v>
      </c>
      <c r="H121" s="107">
        <f>SUM(G121/20)</f>
        <v>160</v>
      </c>
      <c r="I121" s="107">
        <f>SUM(H121/32)</f>
        <v>5</v>
      </c>
      <c r="J121" s="107"/>
      <c r="K121" s="109">
        <v>43758</v>
      </c>
      <c r="L121" s="110"/>
      <c r="M121" s="111"/>
      <c r="N121" s="112"/>
      <c r="O121" s="111"/>
      <c r="P121" s="113"/>
      <c r="Q121" s="116"/>
      <c r="R121" s="116" t="s">
        <v>4393</v>
      </c>
      <c r="S121" s="107"/>
    </row>
    <row r="122" spans="2:19" s="153" customFormat="1" ht="33" hidden="1" customHeight="1">
      <c r="B122" s="103" t="s">
        <v>210</v>
      </c>
      <c r="C122" s="104" t="s">
        <v>4414</v>
      </c>
      <c r="D122" s="189" t="s">
        <v>4415</v>
      </c>
      <c r="E122" s="106">
        <v>43665</v>
      </c>
      <c r="F122" s="107" t="s">
        <v>218</v>
      </c>
      <c r="G122" s="108">
        <v>3200</v>
      </c>
      <c r="H122" s="107">
        <f>SUM(G122/20)</f>
        <v>160</v>
      </c>
      <c r="I122" s="107">
        <f>SUM(H122/32)</f>
        <v>5</v>
      </c>
      <c r="J122" s="107"/>
      <c r="K122" s="109">
        <v>43765</v>
      </c>
      <c r="L122" s="110"/>
      <c r="M122" s="111"/>
      <c r="N122" s="112"/>
      <c r="O122" s="111"/>
      <c r="P122" s="113"/>
      <c r="Q122" s="116"/>
      <c r="R122" s="116" t="s">
        <v>4393</v>
      </c>
      <c r="S122" s="107"/>
    </row>
    <row r="123" spans="2:19" s="34" customFormat="1" ht="33" hidden="1" customHeight="1">
      <c r="B123" s="47" t="s">
        <v>4394</v>
      </c>
      <c r="C123" s="48" t="s">
        <v>235</v>
      </c>
      <c r="D123" s="49" t="s">
        <v>744</v>
      </c>
      <c r="E123" s="50">
        <v>43532</v>
      </c>
      <c r="F123" s="52" t="s">
        <v>4395</v>
      </c>
      <c r="G123" s="51">
        <v>1280</v>
      </c>
      <c r="H123" s="52">
        <f t="shared" si="13"/>
        <v>64</v>
      </c>
      <c r="I123" s="52">
        <f t="shared" si="14"/>
        <v>2</v>
      </c>
      <c r="J123" s="52"/>
      <c r="K123" s="53">
        <v>43597</v>
      </c>
      <c r="L123" s="54" t="s">
        <v>605</v>
      </c>
      <c r="M123" s="55">
        <v>43594</v>
      </c>
      <c r="N123" s="56" t="s">
        <v>772</v>
      </c>
      <c r="O123" s="55">
        <v>43598</v>
      </c>
      <c r="P123" s="58"/>
      <c r="Q123" s="52" t="s">
        <v>641</v>
      </c>
      <c r="R123" s="63" t="s">
        <v>211</v>
      </c>
      <c r="S123" s="52"/>
    </row>
    <row r="124" spans="2:19" s="32" customFormat="1" ht="33" hidden="1" customHeight="1">
      <c r="B124" s="46" t="s">
        <v>4394</v>
      </c>
      <c r="C124" s="35" t="s">
        <v>1569</v>
      </c>
      <c r="D124" s="36" t="s">
        <v>4416</v>
      </c>
      <c r="E124" s="37">
        <v>43581</v>
      </c>
      <c r="F124" s="38" t="s">
        <v>4395</v>
      </c>
      <c r="G124" s="39">
        <v>1280</v>
      </c>
      <c r="H124" s="38">
        <f t="shared" si="13"/>
        <v>64</v>
      </c>
      <c r="I124" s="38">
        <f t="shared" si="14"/>
        <v>2</v>
      </c>
      <c r="J124" s="38"/>
      <c r="K124" s="40">
        <v>43632</v>
      </c>
      <c r="L124" s="41" t="s">
        <v>807</v>
      </c>
      <c r="M124" s="42">
        <v>43627</v>
      </c>
      <c r="N124" s="43" t="s">
        <v>4417</v>
      </c>
      <c r="O124" s="42">
        <v>43632</v>
      </c>
      <c r="P124" s="45"/>
      <c r="Q124" s="38" t="s">
        <v>1810</v>
      </c>
      <c r="R124" s="66" t="s">
        <v>211</v>
      </c>
      <c r="S124" s="38"/>
    </row>
    <row r="125" spans="2:19" s="32" customFormat="1" ht="33" hidden="1" customHeight="1">
      <c r="B125" s="46" t="s">
        <v>4394</v>
      </c>
      <c r="C125" s="35" t="s">
        <v>90</v>
      </c>
      <c r="D125" s="36" t="s">
        <v>4418</v>
      </c>
      <c r="E125" s="37">
        <v>43595</v>
      </c>
      <c r="F125" s="38" t="s">
        <v>4395</v>
      </c>
      <c r="G125" s="39">
        <v>1280</v>
      </c>
      <c r="H125" s="38">
        <f t="shared" si="13"/>
        <v>64</v>
      </c>
      <c r="I125" s="38">
        <f t="shared" si="14"/>
        <v>2</v>
      </c>
      <c r="J125" s="38"/>
      <c r="K125" s="40">
        <v>43646</v>
      </c>
      <c r="L125" s="41" t="s">
        <v>1326</v>
      </c>
      <c r="M125" s="42">
        <v>43648</v>
      </c>
      <c r="N125" s="43" t="s">
        <v>4401</v>
      </c>
      <c r="O125" s="42">
        <v>43653</v>
      </c>
      <c r="P125" s="45"/>
      <c r="Q125" s="38" t="s">
        <v>2148</v>
      </c>
      <c r="R125" s="66" t="s">
        <v>211</v>
      </c>
      <c r="S125" s="38"/>
    </row>
    <row r="126" spans="2:19" s="32" customFormat="1" ht="33" hidden="1" customHeight="1">
      <c r="B126" s="46" t="s">
        <v>4394</v>
      </c>
      <c r="C126" s="35" t="s">
        <v>2088</v>
      </c>
      <c r="D126" s="36" t="s">
        <v>4419</v>
      </c>
      <c r="E126" s="37">
        <v>43595</v>
      </c>
      <c r="F126" s="38" t="s">
        <v>4395</v>
      </c>
      <c r="G126" s="39">
        <v>640</v>
      </c>
      <c r="H126" s="38">
        <f t="shared" si="13"/>
        <v>32</v>
      </c>
      <c r="I126" s="38">
        <f t="shared" si="14"/>
        <v>1</v>
      </c>
      <c r="J126" s="38"/>
      <c r="K126" s="40">
        <v>43709</v>
      </c>
      <c r="L126" s="41" t="s">
        <v>4420</v>
      </c>
      <c r="M126" s="42">
        <v>43706</v>
      </c>
      <c r="N126" s="43" t="s">
        <v>4421</v>
      </c>
      <c r="O126" s="42">
        <v>43710</v>
      </c>
      <c r="P126" s="45"/>
      <c r="Q126" s="66" t="s">
        <v>2548</v>
      </c>
      <c r="R126" s="66" t="s">
        <v>211</v>
      </c>
      <c r="S126" s="38"/>
    </row>
    <row r="127" spans="2:19" s="32" customFormat="1" ht="33" customHeight="1">
      <c r="B127" s="46" t="s">
        <v>4422</v>
      </c>
      <c r="C127" s="35" t="s">
        <v>208</v>
      </c>
      <c r="D127" s="190" t="s">
        <v>4423</v>
      </c>
      <c r="E127" s="37">
        <v>43602</v>
      </c>
      <c r="F127" s="38" t="s">
        <v>4395</v>
      </c>
      <c r="G127" s="39">
        <v>640</v>
      </c>
      <c r="H127" s="38">
        <f t="shared" si="13"/>
        <v>32</v>
      </c>
      <c r="I127" s="38">
        <f t="shared" si="14"/>
        <v>1</v>
      </c>
      <c r="J127" s="38"/>
      <c r="K127" s="196">
        <v>43744</v>
      </c>
      <c r="L127" s="41" t="s">
        <v>4285</v>
      </c>
      <c r="M127" s="42">
        <v>43739</v>
      </c>
      <c r="N127" s="43" t="s">
        <v>4286</v>
      </c>
      <c r="O127" s="42">
        <v>43744</v>
      </c>
      <c r="P127" s="45"/>
      <c r="Q127" s="66" t="s">
        <v>4424</v>
      </c>
      <c r="R127" s="66" t="s">
        <v>211</v>
      </c>
      <c r="S127" s="38"/>
    </row>
    <row r="128" spans="2:19" s="32" customFormat="1" ht="33" hidden="1" customHeight="1">
      <c r="B128" s="135" t="s">
        <v>4394</v>
      </c>
      <c r="C128" s="136" t="s">
        <v>212</v>
      </c>
      <c r="D128" s="191" t="s">
        <v>4425</v>
      </c>
      <c r="E128" s="138">
        <v>43602</v>
      </c>
      <c r="F128" s="139" t="s">
        <v>4395</v>
      </c>
      <c r="G128" s="140">
        <v>640</v>
      </c>
      <c r="H128" s="139">
        <f t="shared" si="13"/>
        <v>32</v>
      </c>
      <c r="I128" s="139">
        <f t="shared" si="14"/>
        <v>1</v>
      </c>
      <c r="J128" s="139"/>
      <c r="K128" s="109">
        <v>43744</v>
      </c>
      <c r="L128" s="142"/>
      <c r="M128" s="143"/>
      <c r="N128" s="144"/>
      <c r="O128" s="143"/>
      <c r="P128" s="145"/>
      <c r="Q128" s="193" t="s">
        <v>2517</v>
      </c>
      <c r="R128" s="192" t="s">
        <v>211</v>
      </c>
      <c r="S128" s="139" t="s">
        <v>2541</v>
      </c>
    </row>
    <row r="129" spans="1:19" s="153" customFormat="1" ht="33" hidden="1" customHeight="1">
      <c r="B129" s="103" t="s">
        <v>4394</v>
      </c>
      <c r="C129" s="104" t="s">
        <v>2531</v>
      </c>
      <c r="D129" s="189" t="s">
        <v>4426</v>
      </c>
      <c r="E129" s="106">
        <v>43665</v>
      </c>
      <c r="F129" s="107" t="s">
        <v>4395</v>
      </c>
      <c r="G129" s="108">
        <v>1920</v>
      </c>
      <c r="H129" s="107">
        <f t="shared" si="13"/>
        <v>96</v>
      </c>
      <c r="I129" s="107">
        <f t="shared" si="14"/>
        <v>3</v>
      </c>
      <c r="J129" s="107"/>
      <c r="K129" s="109">
        <v>43758</v>
      </c>
      <c r="L129" s="110"/>
      <c r="M129" s="111"/>
      <c r="N129" s="112"/>
      <c r="O129" s="111"/>
      <c r="P129" s="113"/>
      <c r="Q129" s="197"/>
      <c r="R129" s="116" t="s">
        <v>211</v>
      </c>
      <c r="S129" s="107"/>
    </row>
    <row r="130" spans="1:19" s="33" customFormat="1" ht="33" hidden="1" customHeight="1">
      <c r="A130" s="33" t="s">
        <v>4427</v>
      </c>
      <c r="B130" s="47" t="s">
        <v>4428</v>
      </c>
      <c r="C130" s="48" t="s">
        <v>225</v>
      </c>
      <c r="D130" s="49" t="s">
        <v>487</v>
      </c>
      <c r="E130" s="50">
        <v>43490</v>
      </c>
      <c r="F130" s="52" t="s">
        <v>4429</v>
      </c>
      <c r="G130" s="51">
        <v>1520</v>
      </c>
      <c r="H130" s="52">
        <f>SUM(G130/190)</f>
        <v>8</v>
      </c>
      <c r="I130" s="52">
        <f>SUM(H130/4)</f>
        <v>2</v>
      </c>
      <c r="J130" s="52"/>
      <c r="K130" s="53">
        <v>43569</v>
      </c>
      <c r="L130" s="54" t="s">
        <v>417</v>
      </c>
      <c r="M130" s="55">
        <v>43564</v>
      </c>
      <c r="N130" s="56" t="s">
        <v>4295</v>
      </c>
      <c r="O130" s="55">
        <v>43569</v>
      </c>
      <c r="P130" s="58"/>
      <c r="Q130" s="52"/>
      <c r="R130" s="63" t="s">
        <v>4430</v>
      </c>
      <c r="S130" s="47"/>
    </row>
    <row r="131" spans="1:19" s="30" customFormat="1" ht="33" hidden="1" customHeight="1">
      <c r="B131" s="46" t="s">
        <v>4428</v>
      </c>
      <c r="C131" s="35" t="s">
        <v>226</v>
      </c>
      <c r="D131" s="36" t="s">
        <v>833</v>
      </c>
      <c r="E131" s="37">
        <v>43546</v>
      </c>
      <c r="F131" s="38" t="s">
        <v>4429</v>
      </c>
      <c r="G131" s="39">
        <v>1520</v>
      </c>
      <c r="H131" s="38">
        <f>SUM(G131/190)</f>
        <v>8</v>
      </c>
      <c r="I131" s="38">
        <f>SUM(H131/4)</f>
        <v>2</v>
      </c>
      <c r="J131" s="38"/>
      <c r="K131" s="40">
        <v>43632</v>
      </c>
      <c r="L131" s="41" t="s">
        <v>4431</v>
      </c>
      <c r="M131" s="42">
        <v>43627</v>
      </c>
      <c r="N131" s="43" t="s">
        <v>4417</v>
      </c>
      <c r="O131" s="42">
        <v>43632</v>
      </c>
      <c r="P131" s="45"/>
      <c r="Q131" s="38"/>
      <c r="R131" s="66" t="s">
        <v>4432</v>
      </c>
      <c r="S131" s="46"/>
    </row>
    <row r="132" spans="1:19" s="30" customFormat="1" ht="33" hidden="1" customHeight="1">
      <c r="B132" s="46" t="s">
        <v>2514</v>
      </c>
      <c r="C132" s="35" t="s">
        <v>4433</v>
      </c>
      <c r="D132" s="36" t="s">
        <v>4434</v>
      </c>
      <c r="E132" s="37">
        <v>43602</v>
      </c>
      <c r="F132" s="38" t="s">
        <v>2516</v>
      </c>
      <c r="G132" s="39">
        <v>1520</v>
      </c>
      <c r="H132" s="38">
        <v>8</v>
      </c>
      <c r="I132" s="38">
        <v>2</v>
      </c>
      <c r="J132" s="38"/>
      <c r="K132" s="40">
        <v>43702</v>
      </c>
      <c r="L132" s="41" t="s">
        <v>4363</v>
      </c>
      <c r="M132" s="42">
        <v>43697</v>
      </c>
      <c r="N132" s="43" t="s">
        <v>4364</v>
      </c>
      <c r="O132" s="42">
        <v>43702</v>
      </c>
      <c r="P132" s="45"/>
      <c r="Q132" s="38"/>
      <c r="R132" s="116" t="s">
        <v>4435</v>
      </c>
      <c r="S132" s="46"/>
    </row>
    <row r="133" spans="1:19" s="147" customFormat="1" ht="33" hidden="1" customHeight="1">
      <c r="B133" s="103" t="s">
        <v>2514</v>
      </c>
      <c r="C133" s="104" t="s">
        <v>285</v>
      </c>
      <c r="D133" s="105" t="s">
        <v>4436</v>
      </c>
      <c r="E133" s="106">
        <v>43665</v>
      </c>
      <c r="F133" s="107" t="s">
        <v>2516</v>
      </c>
      <c r="G133" s="108">
        <v>1520</v>
      </c>
      <c r="H133" s="107">
        <v>8</v>
      </c>
      <c r="I133" s="107">
        <v>2</v>
      </c>
      <c r="J133" s="107"/>
      <c r="K133" s="109">
        <v>43758</v>
      </c>
      <c r="L133" s="110"/>
      <c r="M133" s="111"/>
      <c r="N133" s="112"/>
      <c r="O133" s="111"/>
      <c r="P133" s="113"/>
      <c r="Q133" s="107"/>
      <c r="R133" s="116" t="s">
        <v>4437</v>
      </c>
      <c r="S133" s="103"/>
    </row>
    <row r="134" spans="1:19" s="33" customFormat="1" ht="33" hidden="1" customHeight="1">
      <c r="B134" s="47" t="s">
        <v>238</v>
      </c>
      <c r="C134" s="48" t="s">
        <v>4438</v>
      </c>
      <c r="D134" s="49" t="s">
        <v>474</v>
      </c>
      <c r="E134" s="50"/>
      <c r="F134" s="52" t="s">
        <v>236</v>
      </c>
      <c r="G134" s="51">
        <v>3200</v>
      </c>
      <c r="H134" s="52">
        <f t="shared" ref="H134:H144" si="15">SUM(G134/200)</f>
        <v>16</v>
      </c>
      <c r="I134" s="52">
        <f t="shared" ref="I134:I144" si="16">SUM(H134/4)</f>
        <v>4</v>
      </c>
      <c r="J134" s="52"/>
      <c r="K134" s="53">
        <v>43562</v>
      </c>
      <c r="L134" s="54" t="s">
        <v>4439</v>
      </c>
      <c r="M134" s="55">
        <v>43557</v>
      </c>
      <c r="N134" s="56" t="s">
        <v>4333</v>
      </c>
      <c r="O134" s="55">
        <v>43562</v>
      </c>
      <c r="P134" s="58"/>
      <c r="Q134" s="52"/>
      <c r="R134" s="63"/>
      <c r="S134" s="47"/>
    </row>
    <row r="135" spans="1:19" s="33" customFormat="1" ht="33" hidden="1" customHeight="1">
      <c r="B135" s="47" t="s">
        <v>238</v>
      </c>
      <c r="C135" s="48" t="s">
        <v>4440</v>
      </c>
      <c r="D135" s="49" t="s">
        <v>475</v>
      </c>
      <c r="E135" s="50"/>
      <c r="F135" s="52" t="s">
        <v>236</v>
      </c>
      <c r="G135" s="51">
        <v>1600</v>
      </c>
      <c r="H135" s="52">
        <f t="shared" si="15"/>
        <v>8</v>
      </c>
      <c r="I135" s="52">
        <f t="shared" si="16"/>
        <v>2</v>
      </c>
      <c r="J135" s="52"/>
      <c r="K135" s="53">
        <v>43562</v>
      </c>
      <c r="L135" s="54" t="s">
        <v>4441</v>
      </c>
      <c r="M135" s="55">
        <v>43564</v>
      </c>
      <c r="N135" s="56" t="s">
        <v>4295</v>
      </c>
      <c r="O135" s="55">
        <v>43569</v>
      </c>
      <c r="P135" s="58"/>
      <c r="Q135" s="52"/>
      <c r="R135" s="63"/>
      <c r="S135" s="47"/>
    </row>
    <row r="136" spans="1:19" s="33" customFormat="1" ht="33" hidden="1" customHeight="1">
      <c r="B136" s="47" t="s">
        <v>238</v>
      </c>
      <c r="C136" s="48" t="s">
        <v>4442</v>
      </c>
      <c r="D136" s="49" t="s">
        <v>488</v>
      </c>
      <c r="E136" s="50">
        <v>43495</v>
      </c>
      <c r="F136" s="52" t="s">
        <v>236</v>
      </c>
      <c r="G136" s="51">
        <v>1600</v>
      </c>
      <c r="H136" s="52">
        <f t="shared" si="15"/>
        <v>8</v>
      </c>
      <c r="I136" s="52">
        <f t="shared" si="16"/>
        <v>2</v>
      </c>
      <c r="J136" s="52"/>
      <c r="K136" s="53">
        <v>43583</v>
      </c>
      <c r="L136" s="54" t="s">
        <v>4443</v>
      </c>
      <c r="M136" s="55">
        <v>43578</v>
      </c>
      <c r="N136" s="56" t="s">
        <v>4349</v>
      </c>
      <c r="O136" s="55">
        <v>43583</v>
      </c>
      <c r="P136" s="58"/>
      <c r="Q136" s="52"/>
      <c r="R136" s="63"/>
      <c r="S136" s="47"/>
    </row>
    <row r="137" spans="1:19" s="33" customFormat="1" ht="33" hidden="1" customHeight="1">
      <c r="B137" s="47" t="s">
        <v>238</v>
      </c>
      <c r="C137" s="48" t="s">
        <v>4444</v>
      </c>
      <c r="D137" s="49" t="s">
        <v>598</v>
      </c>
      <c r="E137" s="50">
        <v>43519</v>
      </c>
      <c r="F137" s="52" t="s">
        <v>236</v>
      </c>
      <c r="G137" s="51">
        <v>1600</v>
      </c>
      <c r="H137" s="52">
        <f t="shared" si="15"/>
        <v>8</v>
      </c>
      <c r="I137" s="52">
        <f t="shared" si="16"/>
        <v>2</v>
      </c>
      <c r="J137" s="52"/>
      <c r="K137" s="53">
        <v>43597</v>
      </c>
      <c r="L137" s="54" t="s">
        <v>4356</v>
      </c>
      <c r="M137" s="55">
        <v>43592</v>
      </c>
      <c r="N137" s="56" t="s">
        <v>2029</v>
      </c>
      <c r="O137" s="55">
        <v>43597</v>
      </c>
      <c r="P137" s="58"/>
      <c r="Q137" s="52"/>
      <c r="R137" s="63"/>
      <c r="S137" s="47"/>
    </row>
    <row r="138" spans="1:19" s="33" customFormat="1" ht="33" hidden="1" customHeight="1">
      <c r="B138" s="47" t="s">
        <v>238</v>
      </c>
      <c r="C138" s="48" t="s">
        <v>4445</v>
      </c>
      <c r="D138" s="49" t="s">
        <v>598</v>
      </c>
      <c r="E138" s="50">
        <v>43519</v>
      </c>
      <c r="F138" s="52" t="s">
        <v>236</v>
      </c>
      <c r="G138" s="51">
        <v>1600</v>
      </c>
      <c r="H138" s="52">
        <f t="shared" si="15"/>
        <v>8</v>
      </c>
      <c r="I138" s="52">
        <f t="shared" si="16"/>
        <v>2</v>
      </c>
      <c r="J138" s="52"/>
      <c r="K138" s="53">
        <v>43597</v>
      </c>
      <c r="L138" s="54" t="s">
        <v>4446</v>
      </c>
      <c r="M138" s="55">
        <v>43606</v>
      </c>
      <c r="N138" s="56" t="s">
        <v>4447</v>
      </c>
      <c r="O138" s="55">
        <v>43613</v>
      </c>
      <c r="P138" s="58"/>
      <c r="Q138" s="52"/>
      <c r="R138" s="63"/>
      <c r="S138" s="47"/>
    </row>
    <row r="139" spans="1:19" s="30" customFormat="1" ht="33" hidden="1" customHeight="1">
      <c r="B139" s="46" t="s">
        <v>238</v>
      </c>
      <c r="C139" s="35" t="s">
        <v>226</v>
      </c>
      <c r="D139" s="36" t="s">
        <v>749</v>
      </c>
      <c r="E139" s="37">
        <v>43532</v>
      </c>
      <c r="F139" s="38" t="s">
        <v>236</v>
      </c>
      <c r="G139" s="39">
        <v>3200</v>
      </c>
      <c r="H139" s="38">
        <f t="shared" si="15"/>
        <v>16</v>
      </c>
      <c r="I139" s="38">
        <f t="shared" si="16"/>
        <v>4</v>
      </c>
      <c r="J139" s="38"/>
      <c r="K139" s="40">
        <v>43625</v>
      </c>
      <c r="L139" s="41" t="s">
        <v>2538</v>
      </c>
      <c r="M139" s="42">
        <v>43627</v>
      </c>
      <c r="N139" s="43" t="s">
        <v>808</v>
      </c>
      <c r="O139" s="42">
        <v>43632</v>
      </c>
      <c r="P139" s="45"/>
      <c r="Q139" s="38"/>
      <c r="R139" s="66"/>
      <c r="S139" s="46" t="s">
        <v>2539</v>
      </c>
    </row>
    <row r="140" spans="1:19" s="30" customFormat="1" ht="33" hidden="1" customHeight="1">
      <c r="B140" s="46" t="s">
        <v>238</v>
      </c>
      <c r="C140" s="35" t="s">
        <v>233</v>
      </c>
      <c r="D140" s="36" t="s">
        <v>750</v>
      </c>
      <c r="E140" s="37">
        <v>43532</v>
      </c>
      <c r="F140" s="38" t="s">
        <v>236</v>
      </c>
      <c r="G140" s="39">
        <v>3200</v>
      </c>
      <c r="H140" s="38">
        <f t="shared" si="15"/>
        <v>16</v>
      </c>
      <c r="I140" s="38">
        <f t="shared" si="16"/>
        <v>4</v>
      </c>
      <c r="J140" s="38"/>
      <c r="K140" s="40">
        <v>43646</v>
      </c>
      <c r="L140" s="41" t="s">
        <v>4448</v>
      </c>
      <c r="M140" s="42">
        <v>43641</v>
      </c>
      <c r="N140" s="43" t="s">
        <v>4306</v>
      </c>
      <c r="O140" s="42">
        <v>43646</v>
      </c>
      <c r="P140" s="45"/>
      <c r="Q140" s="38"/>
      <c r="R140" s="66"/>
      <c r="S140" s="46"/>
    </row>
    <row r="141" spans="1:19" s="30" customFormat="1" ht="33" hidden="1" customHeight="1">
      <c r="B141" s="46" t="s">
        <v>238</v>
      </c>
      <c r="C141" s="35" t="s">
        <v>285</v>
      </c>
      <c r="D141" s="36" t="s">
        <v>1305</v>
      </c>
      <c r="E141" s="37">
        <v>43567</v>
      </c>
      <c r="F141" s="38" t="s">
        <v>236</v>
      </c>
      <c r="G141" s="39">
        <v>3200</v>
      </c>
      <c r="H141" s="38">
        <f t="shared" si="15"/>
        <v>16</v>
      </c>
      <c r="I141" s="38">
        <f t="shared" si="16"/>
        <v>4</v>
      </c>
      <c r="J141" s="38"/>
      <c r="K141" s="40">
        <v>43660</v>
      </c>
      <c r="L141" s="41" t="s">
        <v>4359</v>
      </c>
      <c r="M141" s="42">
        <v>43655</v>
      </c>
      <c r="N141" s="43" t="s">
        <v>4360</v>
      </c>
      <c r="O141" s="42">
        <v>43660</v>
      </c>
      <c r="P141" s="45"/>
      <c r="Q141" s="38"/>
      <c r="R141" s="66"/>
      <c r="S141" s="46"/>
    </row>
    <row r="142" spans="1:19" s="30" customFormat="1" ht="33" hidden="1" customHeight="1">
      <c r="B142" s="46" t="s">
        <v>238</v>
      </c>
      <c r="C142" s="35" t="s">
        <v>331</v>
      </c>
      <c r="D142" s="36" t="s">
        <v>1306</v>
      </c>
      <c r="E142" s="37">
        <v>43567</v>
      </c>
      <c r="F142" s="38" t="s">
        <v>236</v>
      </c>
      <c r="G142" s="39">
        <v>3200</v>
      </c>
      <c r="H142" s="38">
        <f t="shared" si="15"/>
        <v>16</v>
      </c>
      <c r="I142" s="38">
        <f t="shared" si="16"/>
        <v>4</v>
      </c>
      <c r="J142" s="38"/>
      <c r="K142" s="40">
        <v>43674</v>
      </c>
      <c r="L142" s="41" t="s">
        <v>4449</v>
      </c>
      <c r="M142" s="42">
        <v>43669</v>
      </c>
      <c r="N142" s="43" t="s">
        <v>4380</v>
      </c>
      <c r="O142" s="42">
        <v>43674</v>
      </c>
      <c r="P142" s="45"/>
      <c r="Q142" s="38"/>
      <c r="R142" s="66"/>
      <c r="S142" s="46"/>
    </row>
    <row r="143" spans="1:19" s="30" customFormat="1" ht="33" customHeight="1">
      <c r="B143" s="46" t="s">
        <v>4450</v>
      </c>
      <c r="C143" s="35" t="s">
        <v>431</v>
      </c>
      <c r="D143" s="36" t="s">
        <v>4451</v>
      </c>
      <c r="E143" s="37">
        <v>43637</v>
      </c>
      <c r="F143" s="38" t="s">
        <v>236</v>
      </c>
      <c r="G143" s="39">
        <v>3200</v>
      </c>
      <c r="H143" s="38">
        <f t="shared" si="15"/>
        <v>16</v>
      </c>
      <c r="I143" s="38">
        <f t="shared" si="16"/>
        <v>4</v>
      </c>
      <c r="J143" s="38"/>
      <c r="K143" s="40">
        <v>43730</v>
      </c>
      <c r="L143" s="41" t="s">
        <v>4366</v>
      </c>
      <c r="M143" s="42">
        <v>43725</v>
      </c>
      <c r="N143" s="43" t="s">
        <v>4367</v>
      </c>
      <c r="O143" s="42">
        <v>43730</v>
      </c>
      <c r="P143" s="45"/>
      <c r="Q143" s="38"/>
      <c r="R143" s="66"/>
      <c r="S143" s="46"/>
    </row>
    <row r="144" spans="1:19" s="147" customFormat="1" ht="33" hidden="1" customHeight="1">
      <c r="B144" s="103" t="s">
        <v>4450</v>
      </c>
      <c r="C144" s="104" t="s">
        <v>523</v>
      </c>
      <c r="D144" s="105" t="s">
        <v>4452</v>
      </c>
      <c r="E144" s="106">
        <v>43665</v>
      </c>
      <c r="F144" s="107" t="s">
        <v>236</v>
      </c>
      <c r="G144" s="108">
        <v>3200</v>
      </c>
      <c r="H144" s="107">
        <f t="shared" si="15"/>
        <v>16</v>
      </c>
      <c r="I144" s="107">
        <f t="shared" si="16"/>
        <v>4</v>
      </c>
      <c r="J144" s="107"/>
      <c r="K144" s="109">
        <v>43751</v>
      </c>
      <c r="L144" s="110"/>
      <c r="M144" s="111"/>
      <c r="N144" s="112"/>
      <c r="O144" s="111"/>
      <c r="P144" s="113"/>
      <c r="Q144" s="107"/>
      <c r="R144" s="116"/>
      <c r="S144" s="103"/>
    </row>
    <row r="145" spans="2:19" s="19" customFormat="1" ht="26.4" hidden="1">
      <c r="B145"/>
      <c r="C145" s="15"/>
      <c r="D145" s="1"/>
      <c r="F145" s="177"/>
      <c r="L145" s="176" t="s">
        <v>1821</v>
      </c>
      <c r="M145" s="177"/>
      <c r="N145" s="177"/>
      <c r="O145"/>
      <c r="P145" s="13"/>
      <c r="Q145"/>
      <c r="S145" s="28"/>
    </row>
    <row r="146" spans="2:19" ht="26.4" hidden="1">
      <c r="F146" s="177"/>
      <c r="L146" s="176" t="s">
        <v>1822</v>
      </c>
      <c r="M146" s="177"/>
      <c r="N146" s="177"/>
      <c r="O146"/>
      <c r="P146" s="13"/>
      <c r="R146" s="19"/>
      <c r="S146" s="28"/>
    </row>
    <row r="147" spans="2:19" ht="26.4" hidden="1">
      <c r="F147" s="177"/>
      <c r="L147" s="176" t="s">
        <v>1823</v>
      </c>
      <c r="M147" s="177"/>
      <c r="N147" s="177"/>
      <c r="O147"/>
      <c r="P147" s="13"/>
      <c r="R147" s="19"/>
      <c r="S147" s="28"/>
    </row>
    <row r="148" spans="2:19" hidden="1">
      <c r="E148" s="175"/>
      <c r="L148" s="11"/>
      <c r="M148"/>
      <c r="N148"/>
      <c r="O148"/>
      <c r="P148" s="13"/>
      <c r="R148" s="19"/>
      <c r="S148" s="28"/>
    </row>
    <row r="149" spans="2:19" s="19" customFormat="1" hidden="1">
      <c r="B149"/>
      <c r="C149" s="15"/>
      <c r="D149" s="1"/>
      <c r="L149" s="178" t="s">
        <v>1825</v>
      </c>
      <c r="M149" s="178" t="s">
        <v>1826</v>
      </c>
      <c r="N149" s="178" t="s">
        <v>1827</v>
      </c>
      <c r="O149" s="178" t="s">
        <v>1828</v>
      </c>
      <c r="P149" s="179" t="s">
        <v>4453</v>
      </c>
      <c r="Q149" s="179" t="s">
        <v>4454</v>
      </c>
      <c r="R149" s="179" t="s">
        <v>1831</v>
      </c>
      <c r="S149" s="179"/>
    </row>
    <row r="150" spans="2:19" s="19" customFormat="1" hidden="1">
      <c r="B150"/>
      <c r="C150" s="15"/>
      <c r="D150" s="1"/>
      <c r="L150" s="180" t="s">
        <v>4455</v>
      </c>
      <c r="M150" s="181" t="s">
        <v>1833</v>
      </c>
      <c r="N150" s="181" t="s">
        <v>1834</v>
      </c>
      <c r="O150" s="182" t="s">
        <v>1835</v>
      </c>
      <c r="P150" s="183">
        <v>1000</v>
      </c>
      <c r="Q150" s="183">
        <v>4</v>
      </c>
      <c r="R150" s="184">
        <v>43598</v>
      </c>
      <c r="S150" s="181" t="s">
        <v>99</v>
      </c>
    </row>
    <row r="151" spans="2:19" s="19" customFormat="1" hidden="1">
      <c r="B151"/>
      <c r="C151" s="15"/>
      <c r="D151" s="1"/>
      <c r="L151" s="180" t="s">
        <v>4455</v>
      </c>
      <c r="M151" s="181" t="s">
        <v>1836</v>
      </c>
      <c r="N151" s="181" t="s">
        <v>1834</v>
      </c>
      <c r="O151" s="182" t="s">
        <v>1835</v>
      </c>
      <c r="P151" s="183">
        <v>6000</v>
      </c>
      <c r="Q151" s="183">
        <v>24</v>
      </c>
      <c r="R151" s="184">
        <v>43598</v>
      </c>
      <c r="S151" s="181" t="s">
        <v>99</v>
      </c>
    </row>
    <row r="152" spans="2:19" s="19" customFormat="1" hidden="1">
      <c r="B152"/>
      <c r="C152" s="15"/>
      <c r="D152" s="1"/>
      <c r="L152" s="180" t="s">
        <v>4455</v>
      </c>
      <c r="M152" s="181" t="s">
        <v>1837</v>
      </c>
      <c r="N152" s="181" t="s">
        <v>1834</v>
      </c>
      <c r="O152" s="182" t="s">
        <v>1835</v>
      </c>
      <c r="P152" s="183">
        <v>5000</v>
      </c>
      <c r="Q152" s="183">
        <v>20</v>
      </c>
      <c r="R152" s="185" t="s">
        <v>4456</v>
      </c>
      <c r="S152" s="180" t="s">
        <v>4457</v>
      </c>
    </row>
    <row r="153" spans="2:19" s="19" customFormat="1" hidden="1">
      <c r="B153"/>
      <c r="C153" s="15"/>
      <c r="D153" s="1"/>
      <c r="L153" s="180" t="s">
        <v>4455</v>
      </c>
      <c r="M153" s="181" t="s">
        <v>1840</v>
      </c>
      <c r="N153" s="181" t="s">
        <v>1834</v>
      </c>
      <c r="O153" s="182" t="s">
        <v>1835</v>
      </c>
      <c r="P153" s="183">
        <v>5000</v>
      </c>
      <c r="Q153" s="183">
        <v>20</v>
      </c>
      <c r="R153" s="184">
        <v>43605</v>
      </c>
      <c r="S153" s="181" t="s">
        <v>99</v>
      </c>
    </row>
    <row r="154" spans="2:19" s="19" customFormat="1" hidden="1">
      <c r="B154"/>
      <c r="C154" s="15"/>
      <c r="D154" s="1"/>
      <c r="L154" s="180" t="s">
        <v>4455</v>
      </c>
      <c r="M154" s="181" t="s">
        <v>1841</v>
      </c>
      <c r="N154" s="181" t="s">
        <v>1834</v>
      </c>
      <c r="O154" s="182" t="s">
        <v>1835</v>
      </c>
      <c r="P154" s="183">
        <v>7000</v>
      </c>
      <c r="Q154" s="183">
        <v>28</v>
      </c>
      <c r="R154" s="184">
        <v>43605</v>
      </c>
      <c r="S154" s="181" t="s">
        <v>99</v>
      </c>
    </row>
    <row r="155" spans="2:19" hidden="1">
      <c r="L155" s="180" t="s">
        <v>4458</v>
      </c>
      <c r="M155" s="181" t="s">
        <v>1843</v>
      </c>
      <c r="N155" s="181" t="s">
        <v>1844</v>
      </c>
      <c r="O155" s="182" t="s">
        <v>1835</v>
      </c>
      <c r="P155" s="183">
        <v>2000</v>
      </c>
      <c r="Q155" s="183">
        <v>8</v>
      </c>
      <c r="R155" s="184">
        <v>43598</v>
      </c>
      <c r="S155" s="181" t="s">
        <v>99</v>
      </c>
    </row>
    <row r="156" spans="2:19" hidden="1">
      <c r="L156" s="180" t="s">
        <v>4458</v>
      </c>
      <c r="M156" s="181" t="s">
        <v>1845</v>
      </c>
      <c r="N156" s="181" t="s">
        <v>1844</v>
      </c>
      <c r="O156" s="182" t="s">
        <v>1835</v>
      </c>
      <c r="P156" s="183">
        <v>2000</v>
      </c>
      <c r="Q156" s="183">
        <v>8</v>
      </c>
      <c r="R156" s="184">
        <v>43598</v>
      </c>
      <c r="S156" s="181" t="s">
        <v>99</v>
      </c>
    </row>
    <row r="157" spans="2:19" hidden="1">
      <c r="L157" s="180" t="s">
        <v>4458</v>
      </c>
      <c r="M157" s="181" t="s">
        <v>1846</v>
      </c>
      <c r="N157" s="181" t="s">
        <v>1844</v>
      </c>
      <c r="O157" s="182" t="s">
        <v>1835</v>
      </c>
      <c r="P157" s="183">
        <v>10000</v>
      </c>
      <c r="Q157" s="183">
        <v>40</v>
      </c>
      <c r="R157" s="184">
        <v>43598</v>
      </c>
      <c r="S157" s="181" t="s">
        <v>99</v>
      </c>
    </row>
    <row r="158" spans="2:19" hidden="1">
      <c r="L158" s="180" t="s">
        <v>4458</v>
      </c>
      <c r="M158" s="181" t="s">
        <v>1847</v>
      </c>
      <c r="N158" s="181" t="s">
        <v>1844</v>
      </c>
      <c r="O158" s="182" t="s">
        <v>1835</v>
      </c>
      <c r="P158" s="183">
        <v>8000</v>
      </c>
      <c r="Q158" s="183">
        <v>32</v>
      </c>
      <c r="R158" s="184">
        <v>43598</v>
      </c>
      <c r="S158" s="180"/>
    </row>
    <row r="159" spans="2:19" hidden="1">
      <c r="L159" s="180" t="s">
        <v>4458</v>
      </c>
      <c r="M159" s="181" t="s">
        <v>1848</v>
      </c>
      <c r="N159" s="181" t="s">
        <v>1844</v>
      </c>
      <c r="O159" s="182" t="s">
        <v>1835</v>
      </c>
      <c r="P159" s="183">
        <v>10000</v>
      </c>
      <c r="Q159" s="183">
        <v>40</v>
      </c>
      <c r="R159" s="185" t="s">
        <v>4459</v>
      </c>
      <c r="S159" s="180" t="s">
        <v>4457</v>
      </c>
    </row>
    <row r="160" spans="2:19" hidden="1">
      <c r="L160" s="182" t="s">
        <v>4460</v>
      </c>
      <c r="M160" s="181" t="s">
        <v>1851</v>
      </c>
      <c r="N160" s="181" t="s">
        <v>1834</v>
      </c>
      <c r="O160" s="182" t="s">
        <v>1852</v>
      </c>
      <c r="P160" s="183">
        <v>5000</v>
      </c>
      <c r="Q160" s="183">
        <v>20</v>
      </c>
      <c r="R160" s="184">
        <v>43605</v>
      </c>
      <c r="S160" s="181" t="s">
        <v>99</v>
      </c>
    </row>
    <row r="161" spans="12:19" hidden="1">
      <c r="L161" s="180" t="s">
        <v>4461</v>
      </c>
      <c r="M161" s="181" t="s">
        <v>1851</v>
      </c>
      <c r="N161" s="181" t="s">
        <v>1844</v>
      </c>
      <c r="O161" s="182" t="s">
        <v>1835</v>
      </c>
      <c r="P161" s="183">
        <v>2000</v>
      </c>
      <c r="Q161" s="183">
        <v>8</v>
      </c>
      <c r="R161" s="184">
        <v>43605</v>
      </c>
      <c r="S161" s="181" t="s">
        <v>99</v>
      </c>
    </row>
    <row r="162" spans="12:19" hidden="1">
      <c r="L162" s="182" t="s">
        <v>4462</v>
      </c>
      <c r="M162" s="181" t="s">
        <v>1855</v>
      </c>
      <c r="N162" s="181" t="s">
        <v>1834</v>
      </c>
      <c r="O162" s="182" t="s">
        <v>1852</v>
      </c>
      <c r="P162" s="183">
        <v>6000</v>
      </c>
      <c r="Q162" s="183">
        <v>24</v>
      </c>
      <c r="R162" s="184">
        <v>43605</v>
      </c>
      <c r="S162" s="181" t="s">
        <v>99</v>
      </c>
    </row>
    <row r="163" spans="12:19" hidden="1">
      <c r="L163" s="182" t="s">
        <v>4462</v>
      </c>
      <c r="M163" s="181" t="s">
        <v>1856</v>
      </c>
      <c r="N163" s="181" t="s">
        <v>1834</v>
      </c>
      <c r="O163" s="182" t="s">
        <v>1852</v>
      </c>
      <c r="P163" s="183">
        <v>6000</v>
      </c>
      <c r="Q163" s="183">
        <v>24</v>
      </c>
      <c r="R163" s="185">
        <v>43605</v>
      </c>
      <c r="S163" s="180"/>
    </row>
    <row r="164" spans="12:19" hidden="1">
      <c r="L164" s="182" t="s">
        <v>4462</v>
      </c>
      <c r="M164" s="181" t="s">
        <v>1857</v>
      </c>
      <c r="N164" s="181" t="s">
        <v>1834</v>
      </c>
      <c r="O164" s="182" t="s">
        <v>1852</v>
      </c>
      <c r="P164" s="183">
        <v>6000</v>
      </c>
      <c r="Q164" s="183">
        <v>24</v>
      </c>
      <c r="R164" s="184" t="s">
        <v>4463</v>
      </c>
      <c r="S164" s="181" t="s">
        <v>4464</v>
      </c>
    </row>
    <row r="167" spans="12:19" ht="16.2">
      <c r="L167" s="186"/>
    </row>
    <row r="168" spans="12:19" ht="16.2">
      <c r="L168" s="186"/>
    </row>
    <row r="169" spans="12:19" ht="16.2">
      <c r="L169" s="186"/>
    </row>
    <row r="170" spans="12:19">
      <c r="Q170" t="s">
        <v>4465</v>
      </c>
    </row>
  </sheetData>
  <autoFilter ref="B2:R147" xr:uid="{00000000-0009-0000-0000-00000E000000}">
    <filterColumn colId="13">
      <filters>
        <dateGroupItem year="2019" month="9" day="22" dateTimeGrouping="day"/>
        <dateGroupItem year="2019" month="9" day="29" dateTimeGrouping="day"/>
        <dateGroupItem year="2019" month="10" dateTimeGrouping="month"/>
      </filters>
    </filterColumn>
  </autoFilter>
  <phoneticPr fontId="1"/>
  <pageMargins left="0.23622047244094491" right="0.23622047244094491" top="0.35433070866141736" bottom="0.35433070866141736" header="0.31496062992125984" footer="0.31496062992125984"/>
  <pageSetup paperSize="9" scale="44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68">
    <pageSetUpPr fitToPage="1"/>
  </sheetPr>
  <dimension ref="A1:S155"/>
  <sheetViews>
    <sheetView zoomScale="77" zoomScaleNormal="77" workbookViewId="0">
      <pane xSplit="1" ySplit="2" topLeftCell="E9" activePane="bottomRight" state="frozen"/>
      <selection pane="topRight" activeCell="B1" sqref="B1"/>
      <selection pane="bottomLeft" activeCell="A3" sqref="A3"/>
      <selection pane="bottomRight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7.12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B2" s="194"/>
      <c r="C2" s="14" t="s">
        <v>3882</v>
      </c>
      <c r="D2" s="5" t="s">
        <v>0</v>
      </c>
      <c r="E2" s="6" t="s">
        <v>3883</v>
      </c>
      <c r="F2" s="6" t="s">
        <v>3884</v>
      </c>
      <c r="G2" s="10" t="s">
        <v>1</v>
      </c>
      <c r="H2" s="6" t="s">
        <v>15</v>
      </c>
      <c r="I2" s="6" t="s">
        <v>16</v>
      </c>
      <c r="J2" s="6" t="s">
        <v>3885</v>
      </c>
      <c r="K2" s="12" t="s">
        <v>3886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3887</v>
      </c>
      <c r="Q2" s="6" t="s">
        <v>3888</v>
      </c>
      <c r="R2" s="16" t="s">
        <v>6</v>
      </c>
      <c r="S2" s="16" t="s">
        <v>3889</v>
      </c>
    </row>
    <row r="3" spans="2:19" s="33" customFormat="1" ht="33" customHeight="1">
      <c r="B3" s="47" t="s">
        <v>220</v>
      </c>
      <c r="C3" s="48" t="s">
        <v>377</v>
      </c>
      <c r="D3" s="49" t="s">
        <v>378</v>
      </c>
      <c r="E3" s="50">
        <v>43455</v>
      </c>
      <c r="F3" s="49" t="s">
        <v>3890</v>
      </c>
      <c r="G3" s="51">
        <v>14000</v>
      </c>
      <c r="H3" s="52">
        <f t="shared" ref="H3:H37" si="0">SUM(G3/250)</f>
        <v>56</v>
      </c>
      <c r="I3" s="52">
        <f t="shared" ref="I3:I61" si="1">SUM(H3/4)</f>
        <v>14</v>
      </c>
      <c r="J3" s="49"/>
      <c r="K3" s="53">
        <v>43548</v>
      </c>
      <c r="L3" s="54" t="s">
        <v>1881</v>
      </c>
      <c r="M3" s="55">
        <v>43563</v>
      </c>
      <c r="N3" s="56" t="s">
        <v>1113</v>
      </c>
      <c r="O3" s="55">
        <v>43569</v>
      </c>
      <c r="P3" s="54" t="s">
        <v>839</v>
      </c>
      <c r="Q3" s="49"/>
      <c r="R3" s="57" t="s">
        <v>1115</v>
      </c>
      <c r="S3" s="47"/>
    </row>
    <row r="4" spans="2:19" s="33" customFormat="1" ht="33" customHeight="1">
      <c r="B4" s="47" t="s">
        <v>220</v>
      </c>
      <c r="C4" s="48" t="s">
        <v>421</v>
      </c>
      <c r="D4" s="49" t="s">
        <v>453</v>
      </c>
      <c r="E4" s="50">
        <v>43483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43576</v>
      </c>
      <c r="L4" s="54" t="s">
        <v>443</v>
      </c>
      <c r="M4" s="55">
        <v>43570</v>
      </c>
      <c r="N4" s="56" t="s">
        <v>1342</v>
      </c>
      <c r="O4" s="55">
        <v>43576</v>
      </c>
      <c r="P4" s="54" t="s">
        <v>981</v>
      </c>
      <c r="Q4" s="49"/>
      <c r="R4" s="57" t="s">
        <v>2192</v>
      </c>
      <c r="S4" s="47"/>
    </row>
    <row r="5" spans="2:19" s="33" customFormat="1" ht="33" customHeight="1">
      <c r="B5" s="47" t="s">
        <v>78</v>
      </c>
      <c r="C5" s="48" t="s">
        <v>422</v>
      </c>
      <c r="D5" s="49" t="s">
        <v>455</v>
      </c>
      <c r="E5" s="50">
        <v>43483</v>
      </c>
      <c r="F5" s="49" t="s">
        <v>91</v>
      </c>
      <c r="G5" s="51">
        <v>10000</v>
      </c>
      <c r="H5" s="52">
        <f t="shared" si="0"/>
        <v>40</v>
      </c>
      <c r="I5" s="52">
        <f t="shared" si="1"/>
        <v>10</v>
      </c>
      <c r="J5" s="49"/>
      <c r="K5" s="53">
        <v>43618</v>
      </c>
      <c r="L5" s="54" t="s">
        <v>442</v>
      </c>
      <c r="M5" s="55">
        <v>43612</v>
      </c>
      <c r="N5" s="56" t="s">
        <v>677</v>
      </c>
      <c r="O5" s="55">
        <v>43618</v>
      </c>
      <c r="P5" s="54" t="s">
        <v>2558</v>
      </c>
      <c r="Q5" s="49" t="s">
        <v>82</v>
      </c>
      <c r="R5" s="57" t="s">
        <v>2790</v>
      </c>
      <c r="S5" s="47"/>
    </row>
    <row r="6" spans="2:19" s="33" customFormat="1" ht="33" customHeight="1">
      <c r="B6" s="47" t="s">
        <v>78</v>
      </c>
      <c r="C6" s="48" t="s">
        <v>617</v>
      </c>
      <c r="D6" s="49" t="s">
        <v>455</v>
      </c>
      <c r="E6" s="50">
        <v>43523</v>
      </c>
      <c r="F6" s="49" t="s">
        <v>91</v>
      </c>
      <c r="G6" s="51">
        <v>10000</v>
      </c>
      <c r="H6" s="52">
        <f t="shared" si="0"/>
        <v>40</v>
      </c>
      <c r="I6" s="52">
        <f t="shared" si="1"/>
        <v>10</v>
      </c>
      <c r="J6" s="49"/>
      <c r="K6" s="53">
        <v>43618</v>
      </c>
      <c r="L6" s="54" t="s">
        <v>638</v>
      </c>
      <c r="M6" s="55">
        <v>43612</v>
      </c>
      <c r="N6" s="56" t="s">
        <v>636</v>
      </c>
      <c r="O6" s="55">
        <v>43618</v>
      </c>
      <c r="P6" s="54" t="s">
        <v>3277</v>
      </c>
      <c r="Q6" s="49" t="s">
        <v>82</v>
      </c>
      <c r="R6" s="57" t="s">
        <v>680</v>
      </c>
      <c r="S6" s="47"/>
    </row>
    <row r="7" spans="2:19" s="33" customFormat="1" ht="33" customHeight="1">
      <c r="B7" s="47" t="s">
        <v>78</v>
      </c>
      <c r="C7" s="48" t="s">
        <v>1898</v>
      </c>
      <c r="D7" s="49" t="s">
        <v>1337</v>
      </c>
      <c r="E7" s="50">
        <v>43483</v>
      </c>
      <c r="F7" s="49" t="s">
        <v>91</v>
      </c>
      <c r="G7" s="51">
        <v>20000</v>
      </c>
      <c r="H7" s="52">
        <f t="shared" si="0"/>
        <v>80</v>
      </c>
      <c r="I7" s="52">
        <f t="shared" si="1"/>
        <v>20</v>
      </c>
      <c r="J7" s="49"/>
      <c r="K7" s="53">
        <v>43618</v>
      </c>
      <c r="L7" s="54" t="s">
        <v>442</v>
      </c>
      <c r="M7" s="55">
        <v>43612</v>
      </c>
      <c r="N7" s="56" t="s">
        <v>677</v>
      </c>
      <c r="O7" s="55">
        <v>43618</v>
      </c>
      <c r="P7" s="54" t="s">
        <v>2202</v>
      </c>
      <c r="Q7" s="49" t="s">
        <v>82</v>
      </c>
      <c r="R7" s="57" t="s">
        <v>2790</v>
      </c>
      <c r="S7" s="47" t="s">
        <v>479</v>
      </c>
    </row>
    <row r="8" spans="2:19" s="33" customFormat="1" ht="33" customHeight="1">
      <c r="B8" s="47" t="s">
        <v>78</v>
      </c>
      <c r="C8" s="48" t="s">
        <v>423</v>
      </c>
      <c r="D8" s="49" t="s">
        <v>457</v>
      </c>
      <c r="E8" s="50">
        <v>43483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43576</v>
      </c>
      <c r="L8" s="54" t="s">
        <v>3891</v>
      </c>
      <c r="M8" s="55">
        <v>43570</v>
      </c>
      <c r="N8" s="56" t="s">
        <v>3892</v>
      </c>
      <c r="O8" s="55">
        <v>43576</v>
      </c>
      <c r="P8" s="54" t="s">
        <v>3893</v>
      </c>
      <c r="Q8" s="49" t="s">
        <v>82</v>
      </c>
      <c r="R8" s="57" t="s">
        <v>3894</v>
      </c>
      <c r="S8" s="47"/>
    </row>
    <row r="9" spans="2:19" s="33" customFormat="1" ht="33" customHeight="1">
      <c r="B9" s="47" t="s">
        <v>220</v>
      </c>
      <c r="C9" s="48" t="s">
        <v>425</v>
      </c>
      <c r="D9" s="49" t="s">
        <v>459</v>
      </c>
      <c r="E9" s="50">
        <v>43483</v>
      </c>
      <c r="F9" s="49" t="s">
        <v>79</v>
      </c>
      <c r="G9" s="51">
        <v>20000</v>
      </c>
      <c r="H9" s="52">
        <f t="shared" si="0"/>
        <v>80</v>
      </c>
      <c r="I9" s="52">
        <f t="shared" si="1"/>
        <v>20</v>
      </c>
      <c r="J9" s="49"/>
      <c r="K9" s="53">
        <v>43583</v>
      </c>
      <c r="L9" s="54" t="s">
        <v>3895</v>
      </c>
      <c r="M9" s="55">
        <v>43577</v>
      </c>
      <c r="N9" s="56" t="s">
        <v>3896</v>
      </c>
      <c r="O9" s="55">
        <v>43583</v>
      </c>
      <c r="P9" s="54" t="s">
        <v>3897</v>
      </c>
      <c r="Q9" s="49"/>
      <c r="R9" s="57" t="s">
        <v>3898</v>
      </c>
      <c r="S9" s="47"/>
    </row>
    <row r="10" spans="2:19" s="33" customFormat="1" ht="33" customHeight="1">
      <c r="B10" s="47" t="s">
        <v>78</v>
      </c>
      <c r="C10" s="48" t="s">
        <v>462</v>
      </c>
      <c r="D10" s="49" t="s">
        <v>483</v>
      </c>
      <c r="E10" s="50">
        <v>43490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43583</v>
      </c>
      <c r="L10" s="54" t="s">
        <v>3895</v>
      </c>
      <c r="M10" s="55">
        <v>43577</v>
      </c>
      <c r="N10" s="56" t="s">
        <v>3896</v>
      </c>
      <c r="O10" s="55">
        <v>43583</v>
      </c>
      <c r="P10" s="54" t="s">
        <v>3899</v>
      </c>
      <c r="Q10" s="49" t="s">
        <v>82</v>
      </c>
      <c r="R10" s="57" t="s">
        <v>3900</v>
      </c>
      <c r="S10" s="47"/>
    </row>
    <row r="11" spans="2:19" s="33" customFormat="1" ht="33" customHeight="1">
      <c r="B11" s="47" t="s">
        <v>78</v>
      </c>
      <c r="C11" s="48" t="s">
        <v>570</v>
      </c>
      <c r="D11" s="49" t="s">
        <v>571</v>
      </c>
      <c r="E11" s="50">
        <v>43519</v>
      </c>
      <c r="F11" s="49" t="s">
        <v>79</v>
      </c>
      <c r="G11" s="51">
        <v>20000</v>
      </c>
      <c r="H11" s="52">
        <f t="shared" si="0"/>
        <v>80</v>
      </c>
      <c r="I11" s="52">
        <f t="shared" si="1"/>
        <v>20</v>
      </c>
      <c r="J11" s="49"/>
      <c r="K11" s="53">
        <v>43590</v>
      </c>
      <c r="L11" s="54" t="s">
        <v>602</v>
      </c>
      <c r="M11" s="55">
        <v>43577</v>
      </c>
      <c r="N11" s="56" t="s">
        <v>3896</v>
      </c>
      <c r="O11" s="55">
        <v>43583</v>
      </c>
      <c r="P11" s="54" t="s">
        <v>3901</v>
      </c>
      <c r="Q11" s="49" t="s">
        <v>82</v>
      </c>
      <c r="R11" s="57" t="s">
        <v>3902</v>
      </c>
      <c r="S11" s="47"/>
    </row>
    <row r="12" spans="2:19" s="33" customFormat="1" ht="33" customHeight="1">
      <c r="B12" s="47" t="s">
        <v>78</v>
      </c>
      <c r="C12" s="48" t="s">
        <v>573</v>
      </c>
      <c r="D12" s="49" t="s">
        <v>574</v>
      </c>
      <c r="E12" s="50">
        <v>43519</v>
      </c>
      <c r="F12" s="49" t="s">
        <v>79</v>
      </c>
      <c r="G12" s="51">
        <v>20000</v>
      </c>
      <c r="H12" s="52">
        <f t="shared" si="0"/>
        <v>80</v>
      </c>
      <c r="I12" s="52">
        <f t="shared" si="1"/>
        <v>20</v>
      </c>
      <c r="J12" s="49"/>
      <c r="K12" s="53">
        <v>43604</v>
      </c>
      <c r="L12" s="54" t="s">
        <v>3903</v>
      </c>
      <c r="M12" s="55">
        <v>43598</v>
      </c>
      <c r="N12" s="56" t="s">
        <v>3904</v>
      </c>
      <c r="O12" s="55">
        <v>43604</v>
      </c>
      <c r="P12" s="54" t="s">
        <v>3905</v>
      </c>
      <c r="Q12" s="49" t="s">
        <v>82</v>
      </c>
      <c r="R12" s="57" t="s">
        <v>3906</v>
      </c>
      <c r="S12" s="47"/>
    </row>
    <row r="13" spans="2:19" s="33" customFormat="1" ht="33" customHeight="1">
      <c r="B13" s="47" t="s">
        <v>78</v>
      </c>
      <c r="C13" s="48" t="s">
        <v>3907</v>
      </c>
      <c r="D13" s="49" t="s">
        <v>577</v>
      </c>
      <c r="E13" s="50">
        <v>43519</v>
      </c>
      <c r="F13" s="49" t="s">
        <v>3908</v>
      </c>
      <c r="G13" s="51">
        <v>10000</v>
      </c>
      <c r="H13" s="52">
        <f t="shared" si="0"/>
        <v>40</v>
      </c>
      <c r="I13" s="52">
        <f t="shared" si="1"/>
        <v>10</v>
      </c>
      <c r="J13" s="49"/>
      <c r="K13" s="53">
        <v>43598</v>
      </c>
      <c r="L13" s="54" t="s">
        <v>803</v>
      </c>
      <c r="M13" s="55">
        <v>43598</v>
      </c>
      <c r="N13" s="56" t="s">
        <v>804</v>
      </c>
      <c r="O13" s="55">
        <v>43604</v>
      </c>
      <c r="P13" s="54" t="s">
        <v>3909</v>
      </c>
      <c r="Q13" s="49" t="s">
        <v>82</v>
      </c>
      <c r="R13" s="57" t="s">
        <v>3910</v>
      </c>
      <c r="S13" s="47"/>
    </row>
    <row r="14" spans="2:19" s="33" customFormat="1" ht="33" customHeight="1">
      <c r="B14" s="47" t="s">
        <v>220</v>
      </c>
      <c r="C14" s="48" t="s">
        <v>579</v>
      </c>
      <c r="D14" s="49" t="s">
        <v>580</v>
      </c>
      <c r="E14" s="50">
        <v>43519</v>
      </c>
      <c r="F14" s="49" t="s">
        <v>79</v>
      </c>
      <c r="G14" s="51">
        <v>10000</v>
      </c>
      <c r="H14" s="52">
        <f t="shared" si="0"/>
        <v>40</v>
      </c>
      <c r="I14" s="52">
        <f t="shared" si="1"/>
        <v>10</v>
      </c>
      <c r="J14" s="49"/>
      <c r="K14" s="53">
        <v>43598</v>
      </c>
      <c r="L14" s="54" t="s">
        <v>803</v>
      </c>
      <c r="M14" s="55">
        <v>43598</v>
      </c>
      <c r="N14" s="56" t="s">
        <v>804</v>
      </c>
      <c r="O14" s="55">
        <v>43604</v>
      </c>
      <c r="P14" s="54" t="s">
        <v>3911</v>
      </c>
      <c r="Q14" s="49"/>
      <c r="R14" s="57" t="s">
        <v>3912</v>
      </c>
      <c r="S14" s="47"/>
    </row>
    <row r="15" spans="2:19" s="33" customFormat="1" ht="33" customHeight="1">
      <c r="B15" s="47" t="s">
        <v>78</v>
      </c>
      <c r="C15" s="48" t="s">
        <v>576</v>
      </c>
      <c r="D15" s="49" t="s">
        <v>577</v>
      </c>
      <c r="E15" s="50">
        <v>43519</v>
      </c>
      <c r="F15" s="49" t="s">
        <v>79</v>
      </c>
      <c r="G15" s="51">
        <v>20000</v>
      </c>
      <c r="H15" s="52">
        <f t="shared" si="0"/>
        <v>80</v>
      </c>
      <c r="I15" s="52">
        <f t="shared" si="1"/>
        <v>20</v>
      </c>
      <c r="J15" s="49"/>
      <c r="K15" s="53">
        <v>43611</v>
      </c>
      <c r="L15" s="54" t="s">
        <v>3913</v>
      </c>
      <c r="M15" s="55">
        <v>43605</v>
      </c>
      <c r="N15" s="56" t="s">
        <v>3914</v>
      </c>
      <c r="O15" s="55">
        <v>43611</v>
      </c>
      <c r="P15" s="54" t="s">
        <v>3915</v>
      </c>
      <c r="Q15" s="49" t="s">
        <v>82</v>
      </c>
      <c r="R15" s="57" t="s">
        <v>3916</v>
      </c>
      <c r="S15" s="47"/>
    </row>
    <row r="16" spans="2:19" s="30" customFormat="1" ht="33" customHeight="1">
      <c r="B16" s="46" t="s">
        <v>78</v>
      </c>
      <c r="C16" s="35" t="s">
        <v>685</v>
      </c>
      <c r="D16" s="36" t="s">
        <v>686</v>
      </c>
      <c r="E16" s="37">
        <v>43532</v>
      </c>
      <c r="F16" s="36" t="s">
        <v>79</v>
      </c>
      <c r="G16" s="39">
        <v>20000</v>
      </c>
      <c r="H16" s="38">
        <f t="shared" si="0"/>
        <v>80</v>
      </c>
      <c r="I16" s="38">
        <f t="shared" si="1"/>
        <v>20</v>
      </c>
      <c r="J16" s="36"/>
      <c r="K16" s="40">
        <v>43625</v>
      </c>
      <c r="L16" s="41" t="s">
        <v>3917</v>
      </c>
      <c r="M16" s="42">
        <v>43619</v>
      </c>
      <c r="N16" s="43" t="s">
        <v>3918</v>
      </c>
      <c r="O16" s="42">
        <v>43625</v>
      </c>
      <c r="P16" s="41"/>
      <c r="Q16" s="36" t="s">
        <v>82</v>
      </c>
      <c r="R16" s="44" t="s">
        <v>3919</v>
      </c>
      <c r="S16" s="46"/>
    </row>
    <row r="17" spans="2:19" s="30" customFormat="1" ht="33" customHeight="1">
      <c r="B17" s="46" t="s">
        <v>78</v>
      </c>
      <c r="C17" s="35" t="s">
        <v>3920</v>
      </c>
      <c r="D17" s="36" t="s">
        <v>1366</v>
      </c>
      <c r="E17" s="37">
        <v>43532</v>
      </c>
      <c r="F17" s="36" t="s">
        <v>79</v>
      </c>
      <c r="G17" s="39">
        <v>20000</v>
      </c>
      <c r="H17" s="38">
        <f t="shared" si="0"/>
        <v>80</v>
      </c>
      <c r="I17" s="38">
        <f t="shared" si="1"/>
        <v>20</v>
      </c>
      <c r="J17" s="36"/>
      <c r="K17" s="40">
        <v>43625</v>
      </c>
      <c r="L17" s="41" t="s">
        <v>3917</v>
      </c>
      <c r="M17" s="42">
        <v>43619</v>
      </c>
      <c r="N17" s="43" t="s">
        <v>3918</v>
      </c>
      <c r="O17" s="42">
        <v>43625</v>
      </c>
      <c r="P17" s="41"/>
      <c r="Q17" s="36" t="s">
        <v>82</v>
      </c>
      <c r="R17" s="44" t="s">
        <v>3919</v>
      </c>
      <c r="S17" s="46" t="s">
        <v>479</v>
      </c>
    </row>
    <row r="18" spans="2:19" s="30" customFormat="1" ht="33" customHeight="1">
      <c r="B18" s="46" t="s">
        <v>220</v>
      </c>
      <c r="C18" s="35" t="s">
        <v>688</v>
      </c>
      <c r="D18" s="36" t="s">
        <v>689</v>
      </c>
      <c r="E18" s="37">
        <v>43532</v>
      </c>
      <c r="F18" s="36" t="s">
        <v>79</v>
      </c>
      <c r="G18" s="39">
        <v>20000</v>
      </c>
      <c r="H18" s="38">
        <f t="shared" si="0"/>
        <v>80</v>
      </c>
      <c r="I18" s="38">
        <f t="shared" si="1"/>
        <v>20</v>
      </c>
      <c r="J18" s="36"/>
      <c r="K18" s="40">
        <v>43632</v>
      </c>
      <c r="L18" s="41" t="s">
        <v>3921</v>
      </c>
      <c r="M18" s="42">
        <v>43626</v>
      </c>
      <c r="N18" s="43" t="s">
        <v>3922</v>
      </c>
      <c r="O18" s="42">
        <v>43632</v>
      </c>
      <c r="P18" s="41" t="s">
        <v>3923</v>
      </c>
      <c r="Q18" s="36"/>
      <c r="R18" s="44" t="s">
        <v>3924</v>
      </c>
      <c r="S18" s="46"/>
    </row>
    <row r="19" spans="2:19" s="30" customFormat="1" ht="33" customHeight="1">
      <c r="B19" s="46" t="s">
        <v>78</v>
      </c>
      <c r="C19" s="35" t="s">
        <v>691</v>
      </c>
      <c r="D19" s="36" t="s">
        <v>692</v>
      </c>
      <c r="E19" s="37">
        <v>43532</v>
      </c>
      <c r="F19" s="36" t="s">
        <v>79</v>
      </c>
      <c r="G19" s="39">
        <v>20000</v>
      </c>
      <c r="H19" s="38">
        <f t="shared" si="0"/>
        <v>80</v>
      </c>
      <c r="I19" s="38">
        <f t="shared" si="1"/>
        <v>20</v>
      </c>
      <c r="J19" s="36"/>
      <c r="K19" s="40">
        <v>43639</v>
      </c>
      <c r="L19" s="41" t="s">
        <v>3925</v>
      </c>
      <c r="M19" s="42">
        <v>43633</v>
      </c>
      <c r="N19" s="43" t="s">
        <v>3926</v>
      </c>
      <c r="O19" s="42">
        <v>43639</v>
      </c>
      <c r="P19" s="41"/>
      <c r="Q19" s="36" t="s">
        <v>82</v>
      </c>
      <c r="R19" s="44" t="s">
        <v>3927</v>
      </c>
      <c r="S19" s="46"/>
    </row>
    <row r="20" spans="2:19" s="33" customFormat="1" ht="33" customHeight="1">
      <c r="B20" s="47" t="s">
        <v>78</v>
      </c>
      <c r="C20" s="48" t="s">
        <v>3928</v>
      </c>
      <c r="D20" s="49" t="s">
        <v>3929</v>
      </c>
      <c r="E20" s="50">
        <v>43566</v>
      </c>
      <c r="F20" s="49" t="s">
        <v>79</v>
      </c>
      <c r="G20" s="51">
        <v>6000</v>
      </c>
      <c r="H20" s="52">
        <f t="shared" si="0"/>
        <v>24</v>
      </c>
      <c r="I20" s="52">
        <f t="shared" si="1"/>
        <v>6</v>
      </c>
      <c r="J20" s="49"/>
      <c r="K20" s="53">
        <v>43611</v>
      </c>
      <c r="L20" s="54" t="s">
        <v>603</v>
      </c>
      <c r="M20" s="55">
        <v>43605</v>
      </c>
      <c r="N20" s="56" t="s">
        <v>1080</v>
      </c>
      <c r="O20" s="55">
        <v>43611</v>
      </c>
      <c r="P20" s="54" t="s">
        <v>3930</v>
      </c>
      <c r="Q20" s="49" t="s">
        <v>82</v>
      </c>
      <c r="R20" s="57" t="s">
        <v>3931</v>
      </c>
      <c r="S20" s="47"/>
    </row>
    <row r="21" spans="2:19" s="33" customFormat="1" ht="33" customHeight="1">
      <c r="B21" s="47" t="s">
        <v>3932</v>
      </c>
      <c r="C21" s="48" t="s">
        <v>986</v>
      </c>
      <c r="D21" s="49" t="s">
        <v>3929</v>
      </c>
      <c r="E21" s="50">
        <v>43566</v>
      </c>
      <c r="F21" s="49" t="s">
        <v>79</v>
      </c>
      <c r="G21" s="51">
        <v>14000</v>
      </c>
      <c r="H21" s="52">
        <f t="shared" si="0"/>
        <v>56</v>
      </c>
      <c r="I21" s="52">
        <f t="shared" si="1"/>
        <v>14</v>
      </c>
      <c r="J21" s="49"/>
      <c r="K21" s="53">
        <v>43611</v>
      </c>
      <c r="L21" s="54" t="s">
        <v>603</v>
      </c>
      <c r="M21" s="55">
        <v>43605</v>
      </c>
      <c r="N21" s="56" t="s">
        <v>1080</v>
      </c>
      <c r="O21" s="55">
        <v>43611</v>
      </c>
      <c r="P21" s="54" t="s">
        <v>3933</v>
      </c>
      <c r="Q21" s="49"/>
      <c r="R21" s="57" t="s">
        <v>3931</v>
      </c>
      <c r="S21" s="47"/>
    </row>
    <row r="22" spans="2:19" s="30" customFormat="1" ht="33" customHeight="1">
      <c r="B22" s="46" t="s">
        <v>78</v>
      </c>
      <c r="C22" s="35" t="s">
        <v>988</v>
      </c>
      <c r="D22" s="36" t="s">
        <v>3934</v>
      </c>
      <c r="E22" s="37">
        <v>43566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43632</v>
      </c>
      <c r="L22" s="41" t="s">
        <v>1081</v>
      </c>
      <c r="M22" s="42">
        <v>43626</v>
      </c>
      <c r="N22" s="43" t="s">
        <v>1082</v>
      </c>
      <c r="O22" s="42">
        <v>43632</v>
      </c>
      <c r="P22" s="41"/>
      <c r="Q22" s="36" t="s">
        <v>82</v>
      </c>
      <c r="R22" s="44" t="s">
        <v>3935</v>
      </c>
      <c r="S22" s="46"/>
    </row>
    <row r="23" spans="2:19" s="30" customFormat="1" ht="33" customHeight="1">
      <c r="B23" s="46" t="s">
        <v>78</v>
      </c>
      <c r="C23" s="35" t="s">
        <v>1160</v>
      </c>
      <c r="D23" s="36" t="s">
        <v>1161</v>
      </c>
      <c r="E23" s="37">
        <v>43567</v>
      </c>
      <c r="F23" s="36" t="s">
        <v>3936</v>
      </c>
      <c r="G23" s="39">
        <v>40000</v>
      </c>
      <c r="H23" s="38">
        <f t="shared" si="0"/>
        <v>160</v>
      </c>
      <c r="I23" s="38">
        <f t="shared" si="1"/>
        <v>40</v>
      </c>
      <c r="J23" s="36"/>
      <c r="K23" s="40">
        <v>43646</v>
      </c>
      <c r="L23" s="41" t="s">
        <v>3937</v>
      </c>
      <c r="M23" s="42">
        <v>43640</v>
      </c>
      <c r="N23" s="43" t="s">
        <v>3938</v>
      </c>
      <c r="O23" s="42">
        <v>43646</v>
      </c>
      <c r="P23" s="41"/>
      <c r="Q23" s="36" t="s">
        <v>82</v>
      </c>
      <c r="R23" s="44" t="s">
        <v>3939</v>
      </c>
      <c r="S23" s="46" t="s">
        <v>2140</v>
      </c>
    </row>
    <row r="24" spans="2:19" s="30" customFormat="1" ht="33" customHeight="1">
      <c r="B24" s="46" t="s">
        <v>220</v>
      </c>
      <c r="C24" s="35" t="s">
        <v>1163</v>
      </c>
      <c r="D24" s="36" t="s">
        <v>1164</v>
      </c>
      <c r="E24" s="37">
        <v>43567</v>
      </c>
      <c r="F24" s="36" t="s">
        <v>79</v>
      </c>
      <c r="G24" s="39">
        <v>20000</v>
      </c>
      <c r="H24" s="38">
        <f t="shared" si="0"/>
        <v>80</v>
      </c>
      <c r="I24" s="38">
        <f t="shared" si="1"/>
        <v>20</v>
      </c>
      <c r="J24" s="36"/>
      <c r="K24" s="40">
        <v>43646</v>
      </c>
      <c r="L24" s="41" t="s">
        <v>3937</v>
      </c>
      <c r="M24" s="42">
        <v>43640</v>
      </c>
      <c r="N24" s="43" t="s">
        <v>3938</v>
      </c>
      <c r="O24" s="42">
        <v>43646</v>
      </c>
      <c r="P24" s="41"/>
      <c r="Q24" s="36"/>
      <c r="R24" s="44" t="s">
        <v>3940</v>
      </c>
      <c r="S24" s="46" t="s">
        <v>2140</v>
      </c>
    </row>
    <row r="25" spans="2:19" s="30" customFormat="1" ht="33" customHeight="1">
      <c r="B25" s="46" t="s">
        <v>78</v>
      </c>
      <c r="C25" s="35" t="s">
        <v>1166</v>
      </c>
      <c r="D25" s="36" t="s">
        <v>1167</v>
      </c>
      <c r="E25" s="37">
        <v>43567</v>
      </c>
      <c r="F25" s="36" t="s">
        <v>79</v>
      </c>
      <c r="G25" s="39">
        <v>20000</v>
      </c>
      <c r="H25" s="38">
        <f t="shared" si="0"/>
        <v>80</v>
      </c>
      <c r="I25" s="38">
        <f t="shared" si="1"/>
        <v>20</v>
      </c>
      <c r="J25" s="36"/>
      <c r="K25" s="40">
        <v>43653</v>
      </c>
      <c r="L25" s="41" t="s">
        <v>3941</v>
      </c>
      <c r="M25" s="42">
        <v>43647</v>
      </c>
      <c r="N25" s="43" t="s">
        <v>3942</v>
      </c>
      <c r="O25" s="42">
        <v>43653</v>
      </c>
      <c r="P25" s="41"/>
      <c r="Q25" s="36" t="s">
        <v>82</v>
      </c>
      <c r="R25" s="44" t="s">
        <v>3943</v>
      </c>
      <c r="S25" s="46" t="s">
        <v>2140</v>
      </c>
    </row>
    <row r="26" spans="2:19" s="30" customFormat="1" ht="33" customHeight="1">
      <c r="B26" s="46" t="s">
        <v>78</v>
      </c>
      <c r="C26" s="35" t="s">
        <v>1169</v>
      </c>
      <c r="D26" s="36" t="s">
        <v>1170</v>
      </c>
      <c r="E26" s="37">
        <v>43567</v>
      </c>
      <c r="F26" s="36" t="s">
        <v>79</v>
      </c>
      <c r="G26" s="39">
        <v>20000</v>
      </c>
      <c r="H26" s="38">
        <f t="shared" si="0"/>
        <v>80</v>
      </c>
      <c r="I26" s="38">
        <f t="shared" si="1"/>
        <v>20</v>
      </c>
      <c r="J26" s="36"/>
      <c r="K26" s="40">
        <v>43660</v>
      </c>
      <c r="L26" s="41" t="s">
        <v>3944</v>
      </c>
      <c r="M26" s="42">
        <v>43654</v>
      </c>
      <c r="N26" s="43" t="s">
        <v>3945</v>
      </c>
      <c r="O26" s="42">
        <v>43660</v>
      </c>
      <c r="P26" s="41"/>
      <c r="Q26" s="36" t="s">
        <v>82</v>
      </c>
      <c r="R26" s="44" t="s">
        <v>3946</v>
      </c>
      <c r="S26" s="46" t="s">
        <v>2140</v>
      </c>
    </row>
    <row r="27" spans="2:19" s="30" customFormat="1" ht="33" customHeight="1">
      <c r="B27" s="46" t="s">
        <v>78</v>
      </c>
      <c r="C27" s="35" t="s">
        <v>1172</v>
      </c>
      <c r="D27" s="36" t="s">
        <v>1173</v>
      </c>
      <c r="E27" s="37">
        <v>43567</v>
      </c>
      <c r="F27" s="36" t="s">
        <v>79</v>
      </c>
      <c r="G27" s="39">
        <v>20000</v>
      </c>
      <c r="H27" s="38">
        <f t="shared" si="0"/>
        <v>80</v>
      </c>
      <c r="I27" s="38">
        <f t="shared" si="1"/>
        <v>20</v>
      </c>
      <c r="J27" s="36"/>
      <c r="K27" s="40">
        <v>43667</v>
      </c>
      <c r="L27" s="41" t="s">
        <v>3947</v>
      </c>
      <c r="M27" s="42">
        <v>43658</v>
      </c>
      <c r="N27" s="43" t="s">
        <v>3948</v>
      </c>
      <c r="O27" s="42">
        <v>43667</v>
      </c>
      <c r="P27" s="41"/>
      <c r="Q27" s="36" t="s">
        <v>82</v>
      </c>
      <c r="R27" s="44" t="s">
        <v>3949</v>
      </c>
      <c r="S27" s="46" t="s">
        <v>2140</v>
      </c>
    </row>
    <row r="28" spans="2:19" s="30" customFormat="1" ht="33" customHeight="1">
      <c r="B28" s="122" t="s">
        <v>220</v>
      </c>
      <c r="C28" s="126" t="s">
        <v>1175</v>
      </c>
      <c r="D28" s="127" t="s">
        <v>1176</v>
      </c>
      <c r="E28" s="128">
        <v>43567</v>
      </c>
      <c r="F28" s="127" t="s">
        <v>79</v>
      </c>
      <c r="G28" s="129">
        <v>20000</v>
      </c>
      <c r="H28" s="124">
        <f t="shared" si="0"/>
        <v>80</v>
      </c>
      <c r="I28" s="124">
        <f t="shared" si="1"/>
        <v>20</v>
      </c>
      <c r="J28" s="127"/>
      <c r="K28" s="130">
        <v>43667</v>
      </c>
      <c r="L28" s="119" t="s">
        <v>3950</v>
      </c>
      <c r="M28" s="120">
        <v>43675</v>
      </c>
      <c r="N28" s="121" t="s">
        <v>4169</v>
      </c>
      <c r="O28" s="120">
        <v>43681</v>
      </c>
      <c r="P28" s="119"/>
      <c r="Q28" s="127"/>
      <c r="R28" s="125" t="s">
        <v>3952</v>
      </c>
      <c r="S28" s="122" t="s">
        <v>2539</v>
      </c>
    </row>
    <row r="29" spans="2:19" s="30" customFormat="1" ht="33" customHeight="1">
      <c r="B29" s="122" t="s">
        <v>78</v>
      </c>
      <c r="C29" s="126" t="s">
        <v>1178</v>
      </c>
      <c r="D29" s="127" t="s">
        <v>1179</v>
      </c>
      <c r="E29" s="128">
        <v>43567</v>
      </c>
      <c r="F29" s="127" t="s">
        <v>3908</v>
      </c>
      <c r="G29" s="129">
        <v>10000</v>
      </c>
      <c r="H29" s="124">
        <f t="shared" si="0"/>
        <v>40</v>
      </c>
      <c r="I29" s="124">
        <f t="shared" si="1"/>
        <v>10</v>
      </c>
      <c r="J29" s="127"/>
      <c r="K29" s="130">
        <v>43674</v>
      </c>
      <c r="L29" s="119" t="s">
        <v>4170</v>
      </c>
      <c r="M29" s="120">
        <v>43682</v>
      </c>
      <c r="N29" s="121" t="s">
        <v>4172</v>
      </c>
      <c r="O29" s="120">
        <v>43688</v>
      </c>
      <c r="P29" s="119"/>
      <c r="Q29" s="127" t="s">
        <v>82</v>
      </c>
      <c r="R29" s="125" t="s">
        <v>3953</v>
      </c>
      <c r="S29" s="122" t="s">
        <v>2539</v>
      </c>
    </row>
    <row r="30" spans="2:19" s="30" customFormat="1" ht="33" customHeight="1">
      <c r="B30" s="122" t="s">
        <v>220</v>
      </c>
      <c r="C30" s="126" t="s">
        <v>1181</v>
      </c>
      <c r="D30" s="127" t="s">
        <v>1182</v>
      </c>
      <c r="E30" s="128">
        <v>43567</v>
      </c>
      <c r="F30" s="127" t="s">
        <v>3908</v>
      </c>
      <c r="G30" s="129">
        <v>10000</v>
      </c>
      <c r="H30" s="124">
        <f t="shared" si="0"/>
        <v>40</v>
      </c>
      <c r="I30" s="124">
        <f t="shared" si="1"/>
        <v>10</v>
      </c>
      <c r="J30" s="127"/>
      <c r="K30" s="130">
        <v>43674</v>
      </c>
      <c r="L30" s="119" t="s">
        <v>4171</v>
      </c>
      <c r="M30" s="120">
        <v>43682</v>
      </c>
      <c r="N30" s="121" t="s">
        <v>4172</v>
      </c>
      <c r="O30" s="120">
        <v>43688</v>
      </c>
      <c r="P30" s="119"/>
      <c r="Q30" s="127"/>
      <c r="R30" s="125" t="s">
        <v>3954</v>
      </c>
      <c r="S30" s="122" t="s">
        <v>2539</v>
      </c>
    </row>
    <row r="31" spans="2:19" s="30" customFormat="1" ht="33" customHeight="1">
      <c r="B31" s="46" t="s">
        <v>78</v>
      </c>
      <c r="C31" s="35" t="s">
        <v>2273</v>
      </c>
      <c r="D31" s="36" t="s">
        <v>2274</v>
      </c>
      <c r="E31" s="37">
        <v>43602</v>
      </c>
      <c r="F31" s="36" t="s">
        <v>79</v>
      </c>
      <c r="G31" s="39">
        <v>20000</v>
      </c>
      <c r="H31" s="38">
        <f t="shared" si="0"/>
        <v>80</v>
      </c>
      <c r="I31" s="38">
        <f t="shared" si="1"/>
        <v>20</v>
      </c>
      <c r="J31" s="36"/>
      <c r="K31" s="40">
        <v>43688</v>
      </c>
      <c r="L31" s="41" t="s">
        <v>3955</v>
      </c>
      <c r="M31" s="42">
        <v>43682</v>
      </c>
      <c r="N31" s="43" t="s">
        <v>3956</v>
      </c>
      <c r="O31" s="42">
        <v>43688</v>
      </c>
      <c r="P31" s="41"/>
      <c r="Q31" s="36" t="s">
        <v>82</v>
      </c>
      <c r="R31" s="44" t="s">
        <v>3957</v>
      </c>
      <c r="S31" s="46"/>
    </row>
    <row r="32" spans="2:19" s="30" customFormat="1" ht="33" customHeight="1">
      <c r="B32" s="46" t="s">
        <v>78</v>
      </c>
      <c r="C32" s="35" t="s">
        <v>2276</v>
      </c>
      <c r="D32" s="36" t="s">
        <v>2277</v>
      </c>
      <c r="E32" s="37">
        <v>43602</v>
      </c>
      <c r="F32" s="36" t="s">
        <v>79</v>
      </c>
      <c r="G32" s="39">
        <v>20000</v>
      </c>
      <c r="H32" s="38">
        <f t="shared" si="0"/>
        <v>80</v>
      </c>
      <c r="I32" s="38">
        <f t="shared" si="1"/>
        <v>20</v>
      </c>
      <c r="J32" s="36"/>
      <c r="K32" s="40">
        <v>43695</v>
      </c>
      <c r="L32" s="41" t="s">
        <v>3955</v>
      </c>
      <c r="M32" s="42">
        <v>43682</v>
      </c>
      <c r="N32" s="43" t="s">
        <v>3956</v>
      </c>
      <c r="O32" s="42">
        <v>43688</v>
      </c>
      <c r="P32" s="41"/>
      <c r="Q32" s="36" t="s">
        <v>82</v>
      </c>
      <c r="R32" s="44" t="s">
        <v>3958</v>
      </c>
      <c r="S32" s="46"/>
    </row>
    <row r="33" spans="2:19" s="30" customFormat="1" ht="33" customHeight="1">
      <c r="B33" s="46" t="s">
        <v>220</v>
      </c>
      <c r="C33" s="35" t="s">
        <v>2279</v>
      </c>
      <c r="D33" s="36" t="s">
        <v>2280</v>
      </c>
      <c r="E33" s="37">
        <v>43602</v>
      </c>
      <c r="F33" s="36" t="s">
        <v>79</v>
      </c>
      <c r="G33" s="39">
        <v>20000</v>
      </c>
      <c r="H33" s="38">
        <f t="shared" si="0"/>
        <v>80</v>
      </c>
      <c r="I33" s="38">
        <f t="shared" si="1"/>
        <v>20</v>
      </c>
      <c r="J33" s="36"/>
      <c r="K33" s="40">
        <v>43695</v>
      </c>
      <c r="L33" s="41" t="s">
        <v>3955</v>
      </c>
      <c r="M33" s="42">
        <v>43682</v>
      </c>
      <c r="N33" s="43" t="s">
        <v>3956</v>
      </c>
      <c r="O33" s="42">
        <v>43688</v>
      </c>
      <c r="P33" s="41"/>
      <c r="Q33" s="36"/>
      <c r="R33" s="44" t="s">
        <v>3959</v>
      </c>
      <c r="S33" s="46"/>
    </row>
    <row r="34" spans="2:19" s="30" customFormat="1" ht="33" customHeight="1">
      <c r="B34" s="46" t="s">
        <v>78</v>
      </c>
      <c r="C34" s="35" t="s">
        <v>2282</v>
      </c>
      <c r="D34" s="36" t="s">
        <v>2283</v>
      </c>
      <c r="E34" s="37">
        <v>43602</v>
      </c>
      <c r="F34" s="36" t="s">
        <v>79</v>
      </c>
      <c r="G34" s="39">
        <v>20000</v>
      </c>
      <c r="H34" s="38">
        <f t="shared" si="0"/>
        <v>80</v>
      </c>
      <c r="I34" s="38">
        <f t="shared" si="1"/>
        <v>20</v>
      </c>
      <c r="J34" s="36"/>
      <c r="K34" s="40">
        <v>43709</v>
      </c>
      <c r="L34" s="41" t="s">
        <v>3960</v>
      </c>
      <c r="M34" s="42">
        <v>43703</v>
      </c>
      <c r="N34" s="43" t="s">
        <v>3961</v>
      </c>
      <c r="O34" s="42">
        <v>43709</v>
      </c>
      <c r="P34" s="41"/>
      <c r="Q34" s="36" t="s">
        <v>82</v>
      </c>
      <c r="R34" s="44" t="s">
        <v>3962</v>
      </c>
      <c r="S34" s="46"/>
    </row>
    <row r="35" spans="2:19" s="30" customFormat="1" ht="33" customHeight="1">
      <c r="B35" s="46" t="s">
        <v>220</v>
      </c>
      <c r="C35" s="35" t="s">
        <v>3353</v>
      </c>
      <c r="D35" s="36" t="s">
        <v>3354</v>
      </c>
      <c r="E35" s="37">
        <v>43637</v>
      </c>
      <c r="F35" s="36" t="s">
        <v>79</v>
      </c>
      <c r="G35" s="39">
        <v>20000</v>
      </c>
      <c r="H35" s="38">
        <f t="shared" si="0"/>
        <v>80</v>
      </c>
      <c r="I35" s="38">
        <f t="shared" si="1"/>
        <v>20</v>
      </c>
      <c r="J35" s="36"/>
      <c r="K35" s="40">
        <v>43716</v>
      </c>
      <c r="L35" s="41" t="s">
        <v>3963</v>
      </c>
      <c r="M35" s="42">
        <v>43710</v>
      </c>
      <c r="N35" s="43" t="s">
        <v>3964</v>
      </c>
      <c r="O35" s="42">
        <v>43716</v>
      </c>
      <c r="P35" s="41"/>
      <c r="Q35" s="36"/>
      <c r="R35" s="44" t="s">
        <v>3965</v>
      </c>
      <c r="S35" s="46"/>
    </row>
    <row r="36" spans="2:19" s="30" customFormat="1" ht="33" customHeight="1">
      <c r="B36" s="46" t="s">
        <v>78</v>
      </c>
      <c r="C36" s="35" t="s">
        <v>3356</v>
      </c>
      <c r="D36" s="36" t="s">
        <v>3357</v>
      </c>
      <c r="E36" s="37">
        <v>43637</v>
      </c>
      <c r="F36" s="36" t="s">
        <v>79</v>
      </c>
      <c r="G36" s="39">
        <v>20000</v>
      </c>
      <c r="H36" s="38">
        <f t="shared" si="0"/>
        <v>80</v>
      </c>
      <c r="I36" s="38">
        <f t="shared" si="1"/>
        <v>20</v>
      </c>
      <c r="J36" s="36"/>
      <c r="K36" s="40">
        <v>43723</v>
      </c>
      <c r="L36" s="41" t="s">
        <v>3555</v>
      </c>
      <c r="M36" s="42">
        <v>43717</v>
      </c>
      <c r="N36" s="43" t="s">
        <v>3966</v>
      </c>
      <c r="O36" s="42">
        <v>43723</v>
      </c>
      <c r="P36" s="41"/>
      <c r="Q36" s="36" t="s">
        <v>82</v>
      </c>
      <c r="R36" s="44" t="s">
        <v>3967</v>
      </c>
      <c r="S36" s="46"/>
    </row>
    <row r="37" spans="2:19" s="30" customFormat="1" ht="33" customHeight="1">
      <c r="B37" s="122" t="s">
        <v>78</v>
      </c>
      <c r="C37" s="126" t="s">
        <v>3359</v>
      </c>
      <c r="D37" s="127" t="s">
        <v>3360</v>
      </c>
      <c r="E37" s="128">
        <v>43637</v>
      </c>
      <c r="F37" s="127" t="s">
        <v>79</v>
      </c>
      <c r="G37" s="129">
        <v>20000</v>
      </c>
      <c r="H37" s="124">
        <f t="shared" si="0"/>
        <v>80</v>
      </c>
      <c r="I37" s="124">
        <f t="shared" si="1"/>
        <v>20</v>
      </c>
      <c r="J37" s="127"/>
      <c r="K37" s="130">
        <v>43737</v>
      </c>
      <c r="L37" s="119" t="s">
        <v>3556</v>
      </c>
      <c r="M37" s="120">
        <v>43728</v>
      </c>
      <c r="N37" s="121" t="s">
        <v>4164</v>
      </c>
      <c r="O37" s="120">
        <v>43737</v>
      </c>
      <c r="P37" s="119"/>
      <c r="Q37" s="127" t="s">
        <v>82</v>
      </c>
      <c r="R37" s="125" t="s">
        <v>3969</v>
      </c>
      <c r="S37" s="122"/>
    </row>
    <row r="38" spans="2:19" s="96" customFormat="1" ht="33" customHeight="1">
      <c r="B38" s="47" t="s">
        <v>17</v>
      </c>
      <c r="C38" s="48" t="s">
        <v>427</v>
      </c>
      <c r="D38" s="49" t="s">
        <v>3970</v>
      </c>
      <c r="E38" s="50">
        <v>43483</v>
      </c>
      <c r="F38" s="52" t="s">
        <v>84</v>
      </c>
      <c r="G38" s="51">
        <v>9200</v>
      </c>
      <c r="H38" s="52">
        <f t="shared" ref="H38:H61" si="2">SUM(G38/230)</f>
        <v>40</v>
      </c>
      <c r="I38" s="52">
        <f t="shared" si="1"/>
        <v>10</v>
      </c>
      <c r="J38" s="49"/>
      <c r="K38" s="53">
        <v>43576</v>
      </c>
      <c r="L38" s="54" t="s">
        <v>3971</v>
      </c>
      <c r="M38" s="55">
        <v>43571</v>
      </c>
      <c r="N38" s="56" t="s">
        <v>3972</v>
      </c>
      <c r="O38" s="55">
        <v>43576</v>
      </c>
      <c r="P38" s="58"/>
      <c r="Q38" s="52" t="s">
        <v>82</v>
      </c>
      <c r="R38" s="57" t="s">
        <v>3973</v>
      </c>
      <c r="S38" s="47"/>
    </row>
    <row r="39" spans="2:19" s="67" customFormat="1" ht="33" customHeight="1">
      <c r="B39" s="46" t="s">
        <v>17</v>
      </c>
      <c r="C39" s="35" t="s">
        <v>581</v>
      </c>
      <c r="D39" s="36" t="s">
        <v>582</v>
      </c>
      <c r="E39" s="37">
        <v>43519</v>
      </c>
      <c r="F39" s="38" t="s">
        <v>84</v>
      </c>
      <c r="G39" s="39">
        <v>9200</v>
      </c>
      <c r="H39" s="38">
        <f t="shared" si="2"/>
        <v>40</v>
      </c>
      <c r="I39" s="38">
        <f t="shared" si="1"/>
        <v>10</v>
      </c>
      <c r="J39" s="36"/>
      <c r="K39" s="40">
        <v>43632</v>
      </c>
      <c r="L39" s="41" t="s">
        <v>3974</v>
      </c>
      <c r="M39" s="42">
        <v>43620</v>
      </c>
      <c r="N39" s="43" t="s">
        <v>3975</v>
      </c>
      <c r="O39" s="42">
        <v>43625</v>
      </c>
      <c r="P39" s="45"/>
      <c r="Q39" s="38" t="s">
        <v>82</v>
      </c>
      <c r="R39" s="44" t="s">
        <v>3976</v>
      </c>
      <c r="S39" s="46"/>
    </row>
    <row r="40" spans="2:19" s="67" customFormat="1" ht="33" customHeight="1">
      <c r="B40" s="46" t="s">
        <v>17</v>
      </c>
      <c r="C40" s="35" t="s">
        <v>694</v>
      </c>
      <c r="D40" s="36" t="s">
        <v>695</v>
      </c>
      <c r="E40" s="37">
        <v>43532</v>
      </c>
      <c r="F40" s="38" t="s">
        <v>3977</v>
      </c>
      <c r="G40" s="39">
        <v>9200</v>
      </c>
      <c r="H40" s="38">
        <f t="shared" si="2"/>
        <v>40</v>
      </c>
      <c r="I40" s="38">
        <f t="shared" si="1"/>
        <v>10</v>
      </c>
      <c r="J40" s="36"/>
      <c r="K40" s="40">
        <v>43653</v>
      </c>
      <c r="L40" s="41" t="s">
        <v>1326</v>
      </c>
      <c r="M40" s="42">
        <v>43648</v>
      </c>
      <c r="N40" s="43" t="s">
        <v>2540</v>
      </c>
      <c r="O40" s="42">
        <v>43653</v>
      </c>
      <c r="P40" s="45"/>
      <c r="Q40" s="38" t="s">
        <v>82</v>
      </c>
      <c r="R40" s="44" t="s">
        <v>3978</v>
      </c>
      <c r="S40" s="46"/>
    </row>
    <row r="41" spans="2:19" s="67" customFormat="1" ht="33" customHeight="1">
      <c r="B41" s="46" t="s">
        <v>17</v>
      </c>
      <c r="C41" s="35" t="s">
        <v>2299</v>
      </c>
      <c r="D41" s="36" t="s">
        <v>2641</v>
      </c>
      <c r="E41" s="37">
        <v>43609</v>
      </c>
      <c r="F41" s="38" t="s">
        <v>3977</v>
      </c>
      <c r="G41" s="39">
        <v>2760</v>
      </c>
      <c r="H41" s="38">
        <f t="shared" si="2"/>
        <v>12</v>
      </c>
      <c r="I41" s="38">
        <f t="shared" si="1"/>
        <v>3</v>
      </c>
      <c r="J41" s="36"/>
      <c r="K41" s="40">
        <v>43653</v>
      </c>
      <c r="L41" s="41" t="s">
        <v>1326</v>
      </c>
      <c r="M41" s="42">
        <v>43648</v>
      </c>
      <c r="N41" s="43" t="s">
        <v>2540</v>
      </c>
      <c r="O41" s="42">
        <v>43653</v>
      </c>
      <c r="P41" s="45"/>
      <c r="Q41" s="38" t="s">
        <v>82</v>
      </c>
      <c r="R41" s="44" t="s">
        <v>3978</v>
      </c>
      <c r="S41" s="46"/>
    </row>
    <row r="42" spans="2:19" s="67" customFormat="1" ht="33" customHeight="1">
      <c r="B42" s="46" t="s">
        <v>17</v>
      </c>
      <c r="C42" s="35" t="s">
        <v>3979</v>
      </c>
      <c r="D42" s="36" t="s">
        <v>2300</v>
      </c>
      <c r="E42" s="37">
        <v>43602</v>
      </c>
      <c r="F42" s="38" t="s">
        <v>3977</v>
      </c>
      <c r="G42" s="39">
        <v>9200</v>
      </c>
      <c r="H42" s="38">
        <f t="shared" si="2"/>
        <v>40</v>
      </c>
      <c r="I42" s="38">
        <f t="shared" si="1"/>
        <v>10</v>
      </c>
      <c r="J42" s="36"/>
      <c r="K42" s="40">
        <v>43695</v>
      </c>
      <c r="L42" s="41" t="s">
        <v>3980</v>
      </c>
      <c r="M42" s="42">
        <v>43683</v>
      </c>
      <c r="N42" s="43" t="s">
        <v>3981</v>
      </c>
      <c r="O42" s="42">
        <v>43688</v>
      </c>
      <c r="P42" s="45"/>
      <c r="Q42" s="38" t="s">
        <v>82</v>
      </c>
      <c r="R42" s="44" t="s">
        <v>3982</v>
      </c>
      <c r="S42" s="46" t="s">
        <v>2764</v>
      </c>
    </row>
    <row r="43" spans="2:19" s="67" customFormat="1" ht="33" customHeight="1">
      <c r="B43" s="46" t="s">
        <v>17</v>
      </c>
      <c r="C43" s="35" t="s">
        <v>3702</v>
      </c>
      <c r="D43" s="36" t="s">
        <v>3703</v>
      </c>
      <c r="E43" s="37">
        <v>43643</v>
      </c>
      <c r="F43" s="38" t="s">
        <v>3977</v>
      </c>
      <c r="G43" s="39">
        <v>4600</v>
      </c>
      <c r="H43" s="38">
        <f t="shared" si="2"/>
        <v>20</v>
      </c>
      <c r="I43" s="38">
        <f t="shared" si="1"/>
        <v>5</v>
      </c>
      <c r="J43" s="36"/>
      <c r="K43" s="40">
        <v>43688</v>
      </c>
      <c r="L43" s="41" t="s">
        <v>3980</v>
      </c>
      <c r="M43" s="42">
        <v>43683</v>
      </c>
      <c r="N43" s="43" t="s">
        <v>3981</v>
      </c>
      <c r="O43" s="42">
        <v>43688</v>
      </c>
      <c r="P43" s="45"/>
      <c r="Q43" s="38" t="s">
        <v>82</v>
      </c>
      <c r="R43" s="44"/>
      <c r="S43" s="46"/>
    </row>
    <row r="44" spans="2:19" s="67" customFormat="1" ht="33" customHeight="1">
      <c r="B44" s="46" t="s">
        <v>17</v>
      </c>
      <c r="C44" s="35" t="s">
        <v>3983</v>
      </c>
      <c r="D44" s="36" t="s">
        <v>3377</v>
      </c>
      <c r="E44" s="37">
        <v>43637</v>
      </c>
      <c r="F44" s="38" t="s">
        <v>3977</v>
      </c>
      <c r="G44" s="39">
        <v>9200</v>
      </c>
      <c r="H44" s="38">
        <f t="shared" si="2"/>
        <v>40</v>
      </c>
      <c r="I44" s="38">
        <f t="shared" si="1"/>
        <v>10</v>
      </c>
      <c r="J44" s="36"/>
      <c r="K44" s="40">
        <v>43716</v>
      </c>
      <c r="L44" s="41" t="s">
        <v>3984</v>
      </c>
      <c r="M44" s="42">
        <v>43711</v>
      </c>
      <c r="N44" s="43" t="s">
        <v>3985</v>
      </c>
      <c r="O44" s="42">
        <v>43716</v>
      </c>
      <c r="P44" s="45"/>
      <c r="Q44" s="38"/>
      <c r="R44" s="44" t="s">
        <v>3986</v>
      </c>
      <c r="S44" s="46"/>
    </row>
    <row r="45" spans="2:19" s="67" customFormat="1" ht="33" customHeight="1">
      <c r="B45" s="46" t="s">
        <v>17</v>
      </c>
      <c r="C45" s="35" t="s">
        <v>3987</v>
      </c>
      <c r="D45" s="36" t="s">
        <v>3380</v>
      </c>
      <c r="E45" s="37">
        <v>43637</v>
      </c>
      <c r="F45" s="38" t="s">
        <v>3988</v>
      </c>
      <c r="G45" s="39">
        <v>9200</v>
      </c>
      <c r="H45" s="38">
        <f t="shared" si="2"/>
        <v>40</v>
      </c>
      <c r="I45" s="38">
        <f t="shared" si="1"/>
        <v>10</v>
      </c>
      <c r="J45" s="36"/>
      <c r="K45" s="40">
        <v>43744</v>
      </c>
      <c r="L45" s="41" t="s">
        <v>3989</v>
      </c>
      <c r="M45" s="42">
        <v>43739</v>
      </c>
      <c r="N45" s="43" t="s">
        <v>3990</v>
      </c>
      <c r="O45" s="42">
        <v>43744</v>
      </c>
      <c r="P45" s="45"/>
      <c r="Q45" s="38"/>
      <c r="R45" s="44" t="s">
        <v>3991</v>
      </c>
      <c r="S45" s="46"/>
    </row>
    <row r="46" spans="2:19" s="96" customFormat="1" ht="33" customHeight="1">
      <c r="B46" s="47" t="s">
        <v>81</v>
      </c>
      <c r="C46" s="48" t="s">
        <v>279</v>
      </c>
      <c r="D46" s="49" t="s">
        <v>3992</v>
      </c>
      <c r="E46" s="50">
        <v>43392</v>
      </c>
      <c r="F46" s="52" t="s">
        <v>84</v>
      </c>
      <c r="G46" s="51">
        <v>11960</v>
      </c>
      <c r="H46" s="52">
        <f t="shared" si="2"/>
        <v>52</v>
      </c>
      <c r="I46" s="52">
        <f t="shared" si="1"/>
        <v>13</v>
      </c>
      <c r="J46" s="52"/>
      <c r="K46" s="53">
        <v>43597</v>
      </c>
      <c r="L46" s="54" t="s">
        <v>3993</v>
      </c>
      <c r="M46" s="55">
        <v>43594</v>
      </c>
      <c r="N46" s="56" t="s">
        <v>3994</v>
      </c>
      <c r="O46" s="55">
        <v>43598</v>
      </c>
      <c r="P46" s="58" t="s">
        <v>3995</v>
      </c>
      <c r="Q46" s="47"/>
      <c r="R46" s="57" t="s">
        <v>3996</v>
      </c>
      <c r="S46" s="47"/>
    </row>
    <row r="47" spans="2:19" s="96" customFormat="1" ht="33" customHeight="1">
      <c r="B47" s="47" t="s">
        <v>81</v>
      </c>
      <c r="C47" s="48" t="s">
        <v>3997</v>
      </c>
      <c r="D47" s="49" t="s">
        <v>3992</v>
      </c>
      <c r="E47" s="50">
        <v>43392</v>
      </c>
      <c r="F47" s="52" t="s">
        <v>84</v>
      </c>
      <c r="G47" s="51">
        <v>1840</v>
      </c>
      <c r="H47" s="52">
        <f t="shared" si="2"/>
        <v>8</v>
      </c>
      <c r="I47" s="52">
        <f t="shared" si="1"/>
        <v>2</v>
      </c>
      <c r="J47" s="52"/>
      <c r="K47" s="53">
        <v>43597</v>
      </c>
      <c r="L47" s="54" t="s">
        <v>773</v>
      </c>
      <c r="M47" s="55">
        <v>43601</v>
      </c>
      <c r="N47" s="56" t="s">
        <v>3998</v>
      </c>
      <c r="O47" s="55">
        <v>43605</v>
      </c>
      <c r="P47" s="58" t="s">
        <v>3995</v>
      </c>
      <c r="Q47" s="47"/>
      <c r="R47" s="57" t="s">
        <v>3996</v>
      </c>
      <c r="S47" s="47" t="s">
        <v>1329</v>
      </c>
    </row>
    <row r="48" spans="2:19" s="96" customFormat="1" ht="33" customHeight="1">
      <c r="B48" s="47" t="s">
        <v>81</v>
      </c>
      <c r="C48" s="48" t="s">
        <v>318</v>
      </c>
      <c r="D48" s="49" t="s">
        <v>319</v>
      </c>
      <c r="E48" s="50">
        <v>43420</v>
      </c>
      <c r="F48" s="52" t="s">
        <v>3999</v>
      </c>
      <c r="G48" s="51">
        <v>17940</v>
      </c>
      <c r="H48" s="52">
        <f t="shared" si="2"/>
        <v>78</v>
      </c>
      <c r="I48" s="52">
        <f t="shared" si="1"/>
        <v>19.5</v>
      </c>
      <c r="J48" s="52"/>
      <c r="K48" s="53">
        <v>43576</v>
      </c>
      <c r="L48" s="54" t="s">
        <v>480</v>
      </c>
      <c r="M48" s="55">
        <v>43564</v>
      </c>
      <c r="N48" s="56" t="s">
        <v>4000</v>
      </c>
      <c r="O48" s="55">
        <v>43569</v>
      </c>
      <c r="P48" s="58"/>
      <c r="Q48" s="47"/>
      <c r="R48" s="57" t="s">
        <v>4001</v>
      </c>
      <c r="S48" s="47" t="s">
        <v>4002</v>
      </c>
    </row>
    <row r="49" spans="2:19" s="96" customFormat="1" ht="33" customHeight="1">
      <c r="B49" s="47" t="s">
        <v>81</v>
      </c>
      <c r="C49" s="48" t="s">
        <v>4003</v>
      </c>
      <c r="D49" s="49" t="s">
        <v>701</v>
      </c>
      <c r="E49" s="50">
        <v>43532</v>
      </c>
      <c r="F49" s="52" t="s">
        <v>3999</v>
      </c>
      <c r="G49" s="51">
        <v>13800</v>
      </c>
      <c r="H49" s="52">
        <f t="shared" si="2"/>
        <v>60</v>
      </c>
      <c r="I49" s="52">
        <f t="shared" si="1"/>
        <v>15</v>
      </c>
      <c r="J49" s="52"/>
      <c r="K49" s="53">
        <v>43615</v>
      </c>
      <c r="L49" s="54" t="s">
        <v>4004</v>
      </c>
      <c r="M49" s="55">
        <v>43613</v>
      </c>
      <c r="N49" s="56" t="s">
        <v>4005</v>
      </c>
      <c r="O49" s="55">
        <v>43618</v>
      </c>
      <c r="P49" s="58"/>
      <c r="Q49" s="47"/>
      <c r="R49" s="57" t="s">
        <v>4006</v>
      </c>
      <c r="S49" s="47"/>
    </row>
    <row r="50" spans="2:19" s="67" customFormat="1" ht="33" customHeight="1">
      <c r="B50" s="46" t="s">
        <v>81</v>
      </c>
      <c r="C50" s="35" t="s">
        <v>4007</v>
      </c>
      <c r="D50" s="36" t="s">
        <v>4008</v>
      </c>
      <c r="E50" s="37">
        <v>43532</v>
      </c>
      <c r="F50" s="38" t="s">
        <v>3999</v>
      </c>
      <c r="G50" s="39">
        <v>4600</v>
      </c>
      <c r="H50" s="38">
        <f t="shared" si="2"/>
        <v>20</v>
      </c>
      <c r="I50" s="38">
        <f t="shared" si="1"/>
        <v>5</v>
      </c>
      <c r="J50" s="38"/>
      <c r="K50" s="40">
        <v>43615</v>
      </c>
      <c r="L50" s="41" t="s">
        <v>4009</v>
      </c>
      <c r="M50" s="42">
        <v>43620</v>
      </c>
      <c r="N50" s="43" t="s">
        <v>4010</v>
      </c>
      <c r="O50" s="42">
        <v>43625</v>
      </c>
      <c r="P50" s="45"/>
      <c r="Q50" s="46"/>
      <c r="R50" s="44" t="s">
        <v>4006</v>
      </c>
      <c r="S50" s="46"/>
    </row>
    <row r="51" spans="2:19" s="67" customFormat="1" ht="33" customHeight="1">
      <c r="B51" s="46" t="s">
        <v>81</v>
      </c>
      <c r="C51" s="35" t="s">
        <v>702</v>
      </c>
      <c r="D51" s="36" t="s">
        <v>703</v>
      </c>
      <c r="E51" s="37">
        <v>43532</v>
      </c>
      <c r="F51" s="38" t="s">
        <v>3999</v>
      </c>
      <c r="G51" s="39">
        <v>9200</v>
      </c>
      <c r="H51" s="38">
        <f t="shared" si="2"/>
        <v>40</v>
      </c>
      <c r="I51" s="38">
        <f t="shared" si="1"/>
        <v>10</v>
      </c>
      <c r="J51" s="38"/>
      <c r="K51" s="40">
        <v>43632</v>
      </c>
      <c r="L51" s="41" t="s">
        <v>807</v>
      </c>
      <c r="M51" s="42">
        <v>43627</v>
      </c>
      <c r="N51" s="43" t="s">
        <v>808</v>
      </c>
      <c r="O51" s="42">
        <v>43632</v>
      </c>
      <c r="P51" s="45"/>
      <c r="Q51" s="46"/>
      <c r="R51" s="44" t="s">
        <v>4011</v>
      </c>
      <c r="S51" s="46"/>
    </row>
    <row r="52" spans="2:19" s="67" customFormat="1" ht="33" customHeight="1">
      <c r="B52" s="46" t="s">
        <v>81</v>
      </c>
      <c r="C52" s="35" t="s">
        <v>852</v>
      </c>
      <c r="D52" s="36" t="s">
        <v>1990</v>
      </c>
      <c r="E52" s="37">
        <v>43558</v>
      </c>
      <c r="F52" s="38" t="s">
        <v>3999</v>
      </c>
      <c r="G52" s="39">
        <v>9200</v>
      </c>
      <c r="H52" s="38">
        <f t="shared" si="2"/>
        <v>40</v>
      </c>
      <c r="I52" s="38">
        <f t="shared" si="1"/>
        <v>10</v>
      </c>
      <c r="J52" s="38"/>
      <c r="K52" s="40">
        <v>43639</v>
      </c>
      <c r="L52" s="41" t="s">
        <v>1083</v>
      </c>
      <c r="M52" s="42">
        <v>43634</v>
      </c>
      <c r="N52" s="43" t="s">
        <v>1084</v>
      </c>
      <c r="O52" s="42">
        <v>43639</v>
      </c>
      <c r="P52" s="45"/>
      <c r="Q52" s="46"/>
      <c r="R52" s="44" t="s">
        <v>4011</v>
      </c>
      <c r="S52" s="46"/>
    </row>
    <row r="53" spans="2:19" s="67" customFormat="1" ht="33" customHeight="1">
      <c r="B53" s="46" t="s">
        <v>81</v>
      </c>
      <c r="C53" s="35" t="s">
        <v>1435</v>
      </c>
      <c r="D53" s="36" t="s">
        <v>1436</v>
      </c>
      <c r="E53" s="37">
        <v>43574</v>
      </c>
      <c r="F53" s="38" t="s">
        <v>3999</v>
      </c>
      <c r="G53" s="39">
        <v>18400</v>
      </c>
      <c r="H53" s="38">
        <f t="shared" si="2"/>
        <v>80</v>
      </c>
      <c r="I53" s="38">
        <f t="shared" si="1"/>
        <v>20</v>
      </c>
      <c r="J53" s="38"/>
      <c r="K53" s="40">
        <v>43646</v>
      </c>
      <c r="L53" s="41" t="s">
        <v>4012</v>
      </c>
      <c r="M53" s="42">
        <v>43641</v>
      </c>
      <c r="N53" s="43" t="s">
        <v>4013</v>
      </c>
      <c r="O53" s="42">
        <v>43646</v>
      </c>
      <c r="P53" s="45"/>
      <c r="Q53" s="46"/>
      <c r="R53" s="44" t="s">
        <v>4014</v>
      </c>
      <c r="S53" s="46" t="s">
        <v>3251</v>
      </c>
    </row>
    <row r="54" spans="2:19" s="67" customFormat="1" ht="33" customHeight="1">
      <c r="B54" s="46" t="s">
        <v>81</v>
      </c>
      <c r="C54" s="35" t="s">
        <v>2322</v>
      </c>
      <c r="D54" s="36" t="s">
        <v>2323</v>
      </c>
      <c r="E54" s="37">
        <v>43602</v>
      </c>
      <c r="F54" s="38" t="s">
        <v>3999</v>
      </c>
      <c r="G54" s="39">
        <v>18400</v>
      </c>
      <c r="H54" s="38">
        <f t="shared" si="2"/>
        <v>80</v>
      </c>
      <c r="I54" s="38">
        <f t="shared" si="1"/>
        <v>20</v>
      </c>
      <c r="J54" s="38"/>
      <c r="K54" s="40">
        <v>43674</v>
      </c>
      <c r="L54" s="41" t="s">
        <v>2146</v>
      </c>
      <c r="M54" s="42">
        <v>43669</v>
      </c>
      <c r="N54" s="43" t="s">
        <v>2551</v>
      </c>
      <c r="O54" s="42">
        <v>43674</v>
      </c>
      <c r="P54" s="45"/>
      <c r="Q54" s="46"/>
      <c r="R54" s="44" t="s">
        <v>4015</v>
      </c>
      <c r="S54" s="46"/>
    </row>
    <row r="55" spans="2:19" s="67" customFormat="1" ht="33" customHeight="1">
      <c r="B55" s="46" t="s">
        <v>81</v>
      </c>
      <c r="C55" s="35" t="s">
        <v>2325</v>
      </c>
      <c r="D55" s="36" t="s">
        <v>2326</v>
      </c>
      <c r="E55" s="37">
        <v>43602</v>
      </c>
      <c r="F55" s="38" t="s">
        <v>3999</v>
      </c>
      <c r="G55" s="39">
        <v>10580</v>
      </c>
      <c r="H55" s="38">
        <f t="shared" si="2"/>
        <v>46</v>
      </c>
      <c r="I55" s="38">
        <f t="shared" si="1"/>
        <v>11.5</v>
      </c>
      <c r="J55" s="38"/>
      <c r="K55" s="40">
        <v>43681</v>
      </c>
      <c r="L55" s="41" t="s">
        <v>4016</v>
      </c>
      <c r="M55" s="42">
        <v>43676</v>
      </c>
      <c r="N55" s="43" t="s">
        <v>4017</v>
      </c>
      <c r="O55" s="42">
        <v>43681</v>
      </c>
      <c r="P55" s="45"/>
      <c r="Q55" s="46"/>
      <c r="R55" s="44" t="s">
        <v>4018</v>
      </c>
      <c r="S55" s="46" t="s">
        <v>3549</v>
      </c>
    </row>
    <row r="56" spans="2:19" s="67" customFormat="1" ht="33" customHeight="1">
      <c r="B56" s="46" t="s">
        <v>81</v>
      </c>
      <c r="C56" s="35" t="s">
        <v>3406</v>
      </c>
      <c r="D56" s="36" t="s">
        <v>3407</v>
      </c>
      <c r="E56" s="37">
        <v>43637</v>
      </c>
      <c r="F56" s="38" t="s">
        <v>3999</v>
      </c>
      <c r="G56" s="39">
        <v>12880</v>
      </c>
      <c r="H56" s="38">
        <f t="shared" si="2"/>
        <v>56</v>
      </c>
      <c r="I56" s="38">
        <f t="shared" si="1"/>
        <v>14</v>
      </c>
      <c r="J56" s="38"/>
      <c r="K56" s="40">
        <v>43723</v>
      </c>
      <c r="L56" s="41" t="s">
        <v>4019</v>
      </c>
      <c r="M56" s="42">
        <v>43718</v>
      </c>
      <c r="N56" s="43" t="s">
        <v>4020</v>
      </c>
      <c r="O56" s="42">
        <v>43723</v>
      </c>
      <c r="P56" s="45"/>
      <c r="Q56" s="46"/>
      <c r="R56" s="44" t="s">
        <v>4021</v>
      </c>
      <c r="S56" s="46"/>
    </row>
    <row r="57" spans="2:19" s="67" customFormat="1" ht="33" customHeight="1">
      <c r="B57" s="46" t="s">
        <v>81</v>
      </c>
      <c r="C57" s="35" t="s">
        <v>4022</v>
      </c>
      <c r="D57" s="36" t="s">
        <v>3407</v>
      </c>
      <c r="E57" s="37">
        <v>43637</v>
      </c>
      <c r="F57" s="38" t="s">
        <v>3999</v>
      </c>
      <c r="G57" s="39">
        <v>920</v>
      </c>
      <c r="H57" s="38">
        <f>SUM(G57/230)</f>
        <v>4</v>
      </c>
      <c r="I57" s="38">
        <v>1</v>
      </c>
      <c r="J57" s="38"/>
      <c r="K57" s="40">
        <v>43723</v>
      </c>
      <c r="L57" s="41" t="s">
        <v>4023</v>
      </c>
      <c r="M57" s="42">
        <v>43711</v>
      </c>
      <c r="N57" s="43" t="s">
        <v>4024</v>
      </c>
      <c r="O57" s="42">
        <v>43716</v>
      </c>
      <c r="P57" s="45"/>
      <c r="Q57" s="46"/>
      <c r="R57" s="44" t="s">
        <v>4021</v>
      </c>
      <c r="S57" s="46"/>
    </row>
    <row r="58" spans="2:19" s="67" customFormat="1" ht="33" customHeight="1">
      <c r="B58" s="46" t="s">
        <v>81</v>
      </c>
      <c r="C58" s="35" t="s">
        <v>3409</v>
      </c>
      <c r="D58" s="36" t="s">
        <v>3743</v>
      </c>
      <c r="E58" s="37">
        <v>43637</v>
      </c>
      <c r="F58" s="38" t="s">
        <v>3999</v>
      </c>
      <c r="G58" s="39">
        <v>9200</v>
      </c>
      <c r="H58" s="38">
        <f t="shared" si="2"/>
        <v>40</v>
      </c>
      <c r="I58" s="38">
        <f t="shared" si="1"/>
        <v>10</v>
      </c>
      <c r="J58" s="38"/>
      <c r="K58" s="40">
        <v>43667</v>
      </c>
      <c r="L58" s="41" t="s">
        <v>4025</v>
      </c>
      <c r="M58" s="42">
        <v>43662</v>
      </c>
      <c r="N58" s="43" t="s">
        <v>4026</v>
      </c>
      <c r="O58" s="42">
        <v>43667</v>
      </c>
      <c r="P58" s="45"/>
      <c r="Q58" s="46"/>
      <c r="R58" s="44"/>
      <c r="S58" s="46"/>
    </row>
    <row r="59" spans="2:19" s="96" customFormat="1" ht="33" customHeight="1">
      <c r="B59" s="47" t="s">
        <v>4027</v>
      </c>
      <c r="C59" s="48" t="s">
        <v>4028</v>
      </c>
      <c r="D59" s="49" t="s">
        <v>705</v>
      </c>
      <c r="E59" s="50">
        <v>43532</v>
      </c>
      <c r="F59" s="52" t="s">
        <v>3999</v>
      </c>
      <c r="G59" s="51">
        <v>920</v>
      </c>
      <c r="H59" s="52">
        <f t="shared" si="2"/>
        <v>4</v>
      </c>
      <c r="I59" s="52">
        <f t="shared" si="1"/>
        <v>1</v>
      </c>
      <c r="J59" s="52"/>
      <c r="K59" s="53">
        <v>43609</v>
      </c>
      <c r="L59" s="54" t="s">
        <v>773</v>
      </c>
      <c r="M59" s="55">
        <v>43601</v>
      </c>
      <c r="N59" s="56" t="s">
        <v>774</v>
      </c>
      <c r="O59" s="55">
        <v>43605</v>
      </c>
      <c r="P59" s="58"/>
      <c r="Q59" s="47"/>
      <c r="R59" s="57"/>
      <c r="S59" s="47" t="s">
        <v>4029</v>
      </c>
    </row>
    <row r="60" spans="2:19" s="96" customFormat="1" ht="33" customHeight="1">
      <c r="B60" s="47" t="s">
        <v>4030</v>
      </c>
      <c r="C60" s="48" t="s">
        <v>4028</v>
      </c>
      <c r="D60" s="49" t="s">
        <v>4031</v>
      </c>
      <c r="E60" s="50">
        <v>43511</v>
      </c>
      <c r="F60" s="52" t="s">
        <v>3999</v>
      </c>
      <c r="G60" s="51">
        <v>460</v>
      </c>
      <c r="H60" s="52">
        <f t="shared" si="2"/>
        <v>2</v>
      </c>
      <c r="I60" s="52">
        <f t="shared" si="1"/>
        <v>0.5</v>
      </c>
      <c r="J60" s="52"/>
      <c r="K60" s="53">
        <v>43576</v>
      </c>
      <c r="L60" s="54" t="s">
        <v>480</v>
      </c>
      <c r="M60" s="55">
        <v>43564</v>
      </c>
      <c r="N60" s="56" t="s">
        <v>646</v>
      </c>
      <c r="O60" s="55">
        <v>43569</v>
      </c>
      <c r="P60" s="58"/>
      <c r="Q60" s="47"/>
      <c r="R60" s="57" t="s">
        <v>4001</v>
      </c>
      <c r="S60" s="47"/>
    </row>
    <row r="61" spans="2:19" s="67" customFormat="1" ht="33" customHeight="1">
      <c r="B61" s="46" t="s">
        <v>4030</v>
      </c>
      <c r="C61" s="35" t="s">
        <v>2333</v>
      </c>
      <c r="D61" s="36" t="s">
        <v>2334</v>
      </c>
      <c r="E61" s="37">
        <v>43602</v>
      </c>
      <c r="F61" s="38" t="s">
        <v>3999</v>
      </c>
      <c r="G61" s="39">
        <v>460</v>
      </c>
      <c r="H61" s="38">
        <f t="shared" si="2"/>
        <v>2</v>
      </c>
      <c r="I61" s="38">
        <f t="shared" si="1"/>
        <v>0.5</v>
      </c>
      <c r="J61" s="38"/>
      <c r="K61" s="40">
        <v>43681</v>
      </c>
      <c r="L61" s="41" t="s">
        <v>4016</v>
      </c>
      <c r="M61" s="42">
        <v>43676</v>
      </c>
      <c r="N61" s="43" t="s">
        <v>4017</v>
      </c>
      <c r="O61" s="42">
        <v>43681</v>
      </c>
      <c r="P61" s="45"/>
      <c r="Q61" s="46"/>
      <c r="R61" s="44" t="s">
        <v>4018</v>
      </c>
      <c r="S61" s="46" t="s">
        <v>3549</v>
      </c>
    </row>
    <row r="62" spans="2:19" s="33" customFormat="1" ht="33" customHeight="1">
      <c r="B62" s="47" t="s">
        <v>4032</v>
      </c>
      <c r="C62" s="48" t="s">
        <v>430</v>
      </c>
      <c r="D62" s="49" t="s">
        <v>470</v>
      </c>
      <c r="E62" s="50">
        <v>43473</v>
      </c>
      <c r="F62" s="52" t="s">
        <v>3999</v>
      </c>
      <c r="G62" s="51">
        <v>1920</v>
      </c>
      <c r="H62" s="52">
        <f t="shared" ref="H62:H71" si="3">SUM(G62/20)</f>
        <v>96</v>
      </c>
      <c r="I62" s="52">
        <f t="shared" ref="I62:I71" si="4">SUM(H62/32)</f>
        <v>3</v>
      </c>
      <c r="J62" s="59"/>
      <c r="K62" s="53">
        <v>43555</v>
      </c>
      <c r="L62" s="54" t="s">
        <v>480</v>
      </c>
      <c r="M62" s="55">
        <v>43564</v>
      </c>
      <c r="N62" s="56" t="s">
        <v>4000</v>
      </c>
      <c r="O62" s="55">
        <v>43569</v>
      </c>
      <c r="P62" s="58"/>
      <c r="Q62" s="60" t="s">
        <v>89</v>
      </c>
      <c r="R62" s="57" t="s">
        <v>4033</v>
      </c>
      <c r="S62" s="47"/>
    </row>
    <row r="63" spans="2:19" s="33" customFormat="1" ht="33" customHeight="1">
      <c r="B63" s="47" t="s">
        <v>4032</v>
      </c>
      <c r="C63" s="48" t="s">
        <v>519</v>
      </c>
      <c r="D63" s="49" t="s">
        <v>710</v>
      </c>
      <c r="E63" s="50">
        <v>43511</v>
      </c>
      <c r="F63" s="52" t="s">
        <v>3999</v>
      </c>
      <c r="G63" s="51">
        <v>640</v>
      </c>
      <c r="H63" s="52">
        <f t="shared" si="3"/>
        <v>32</v>
      </c>
      <c r="I63" s="52">
        <f t="shared" si="4"/>
        <v>1</v>
      </c>
      <c r="J63" s="59"/>
      <c r="K63" s="53">
        <v>43555</v>
      </c>
      <c r="L63" s="54" t="s">
        <v>608</v>
      </c>
      <c r="M63" s="55">
        <v>43557</v>
      </c>
      <c r="N63" s="56" t="s">
        <v>4034</v>
      </c>
      <c r="O63" s="55">
        <v>43562</v>
      </c>
      <c r="P63" s="58"/>
      <c r="Q63" s="60" t="s">
        <v>89</v>
      </c>
      <c r="R63" s="57" t="s">
        <v>4033</v>
      </c>
      <c r="S63" s="47"/>
    </row>
    <row r="64" spans="2:19" s="33" customFormat="1" ht="33" customHeight="1">
      <c r="B64" s="47" t="s">
        <v>4032</v>
      </c>
      <c r="C64" s="48" t="s">
        <v>520</v>
      </c>
      <c r="D64" s="49" t="s">
        <v>584</v>
      </c>
      <c r="E64" s="50">
        <v>43511</v>
      </c>
      <c r="F64" s="52" t="s">
        <v>3999</v>
      </c>
      <c r="G64" s="51">
        <v>1920</v>
      </c>
      <c r="H64" s="52">
        <f t="shared" si="3"/>
        <v>96</v>
      </c>
      <c r="I64" s="52">
        <f t="shared" si="4"/>
        <v>3</v>
      </c>
      <c r="J64" s="59"/>
      <c r="K64" s="53">
        <v>43576</v>
      </c>
      <c r="L64" s="54" t="s">
        <v>503</v>
      </c>
      <c r="M64" s="55">
        <v>43571</v>
      </c>
      <c r="N64" s="56" t="s">
        <v>4035</v>
      </c>
      <c r="O64" s="55">
        <v>43576</v>
      </c>
      <c r="P64" s="58"/>
      <c r="Q64" s="60" t="s">
        <v>89</v>
      </c>
      <c r="R64" s="57" t="s">
        <v>4036</v>
      </c>
      <c r="S64" s="47"/>
    </row>
    <row r="65" spans="2:19" s="33" customFormat="1" ht="33" customHeight="1">
      <c r="B65" s="47" t="s">
        <v>4032</v>
      </c>
      <c r="C65" s="48" t="s">
        <v>586</v>
      </c>
      <c r="D65" s="49" t="s">
        <v>640</v>
      </c>
      <c r="E65" s="50">
        <v>43519</v>
      </c>
      <c r="F65" s="52" t="s">
        <v>3999</v>
      </c>
      <c r="G65" s="51">
        <v>2560</v>
      </c>
      <c r="H65" s="52">
        <f t="shared" si="3"/>
        <v>128</v>
      </c>
      <c r="I65" s="52">
        <f t="shared" si="4"/>
        <v>4</v>
      </c>
      <c r="J65" s="59"/>
      <c r="K65" s="53">
        <v>43611</v>
      </c>
      <c r="L65" s="54" t="s">
        <v>773</v>
      </c>
      <c r="M65" s="55">
        <v>43601</v>
      </c>
      <c r="N65" s="56" t="s">
        <v>3998</v>
      </c>
      <c r="O65" s="55">
        <v>43605</v>
      </c>
      <c r="P65" s="58"/>
      <c r="Q65" s="60" t="s">
        <v>89</v>
      </c>
      <c r="R65" s="57" t="s">
        <v>4037</v>
      </c>
      <c r="S65" s="47" t="s">
        <v>980</v>
      </c>
    </row>
    <row r="66" spans="2:19" s="30" customFormat="1" ht="33" customHeight="1">
      <c r="B66" s="46" t="s">
        <v>4032</v>
      </c>
      <c r="C66" s="35" t="s">
        <v>713</v>
      </c>
      <c r="D66" s="36" t="s">
        <v>714</v>
      </c>
      <c r="E66" s="37">
        <v>43532</v>
      </c>
      <c r="F66" s="38" t="s">
        <v>3999</v>
      </c>
      <c r="G66" s="39">
        <v>1920</v>
      </c>
      <c r="H66" s="38">
        <f t="shared" si="3"/>
        <v>96</v>
      </c>
      <c r="I66" s="38">
        <f t="shared" si="4"/>
        <v>3</v>
      </c>
      <c r="J66" s="61"/>
      <c r="K66" s="40">
        <v>43639</v>
      </c>
      <c r="L66" s="41" t="s">
        <v>1083</v>
      </c>
      <c r="M66" s="42">
        <v>43634</v>
      </c>
      <c r="N66" s="43" t="s">
        <v>1084</v>
      </c>
      <c r="O66" s="42">
        <v>43639</v>
      </c>
      <c r="P66" s="45"/>
      <c r="Q66" s="62" t="s">
        <v>89</v>
      </c>
      <c r="R66" s="44" t="s">
        <v>4038</v>
      </c>
      <c r="S66" s="46"/>
    </row>
    <row r="67" spans="2:19" s="30" customFormat="1" ht="33" customHeight="1">
      <c r="B67" s="46" t="s">
        <v>4032</v>
      </c>
      <c r="C67" s="35" t="s">
        <v>1184</v>
      </c>
      <c r="D67" s="36" t="s">
        <v>1185</v>
      </c>
      <c r="E67" s="37">
        <v>43567</v>
      </c>
      <c r="F67" s="38" t="s">
        <v>3999</v>
      </c>
      <c r="G67" s="39">
        <v>2560</v>
      </c>
      <c r="H67" s="38">
        <f t="shared" si="3"/>
        <v>128</v>
      </c>
      <c r="I67" s="38">
        <f t="shared" si="4"/>
        <v>4</v>
      </c>
      <c r="J67" s="61"/>
      <c r="K67" s="40">
        <v>43653</v>
      </c>
      <c r="L67" s="41" t="s">
        <v>1326</v>
      </c>
      <c r="M67" s="42">
        <v>43648</v>
      </c>
      <c r="N67" s="43" t="s">
        <v>2540</v>
      </c>
      <c r="O67" s="42">
        <v>43653</v>
      </c>
      <c r="P67" s="45"/>
      <c r="Q67" s="62" t="s">
        <v>89</v>
      </c>
      <c r="R67" s="44" t="s">
        <v>4039</v>
      </c>
      <c r="S67" s="46"/>
    </row>
    <row r="68" spans="2:19" s="30" customFormat="1" ht="33" customHeight="1">
      <c r="B68" s="46" t="s">
        <v>4032</v>
      </c>
      <c r="C68" s="35" t="s">
        <v>4040</v>
      </c>
      <c r="D68" s="36" t="s">
        <v>2685</v>
      </c>
      <c r="E68" s="37">
        <v>43609</v>
      </c>
      <c r="F68" s="38" t="s">
        <v>3999</v>
      </c>
      <c r="G68" s="39">
        <v>1280</v>
      </c>
      <c r="H68" s="38">
        <f t="shared" si="3"/>
        <v>64</v>
      </c>
      <c r="I68" s="38">
        <f t="shared" si="4"/>
        <v>2</v>
      </c>
      <c r="J68" s="61"/>
      <c r="K68" s="40">
        <v>43653</v>
      </c>
      <c r="L68" s="41" t="s">
        <v>1326</v>
      </c>
      <c r="M68" s="42">
        <v>43648</v>
      </c>
      <c r="N68" s="43" t="s">
        <v>2540</v>
      </c>
      <c r="O68" s="42">
        <v>43653</v>
      </c>
      <c r="P68" s="45"/>
      <c r="Q68" s="62" t="s">
        <v>89</v>
      </c>
      <c r="R68" s="44" t="s">
        <v>4039</v>
      </c>
      <c r="S68" s="46"/>
    </row>
    <row r="69" spans="2:19" s="30" customFormat="1" ht="33" customHeight="1">
      <c r="B69" s="46" t="s">
        <v>4032</v>
      </c>
      <c r="C69" s="35" t="s">
        <v>2357</v>
      </c>
      <c r="D69" s="36" t="s">
        <v>2358</v>
      </c>
      <c r="E69" s="37">
        <v>43602</v>
      </c>
      <c r="F69" s="38" t="s">
        <v>3999</v>
      </c>
      <c r="G69" s="39">
        <v>2560</v>
      </c>
      <c r="H69" s="38">
        <f t="shared" si="3"/>
        <v>128</v>
      </c>
      <c r="I69" s="38">
        <f t="shared" si="4"/>
        <v>4</v>
      </c>
      <c r="J69" s="61"/>
      <c r="K69" s="40">
        <v>43674</v>
      </c>
      <c r="L69" s="41" t="s">
        <v>2146</v>
      </c>
      <c r="M69" s="42">
        <v>43669</v>
      </c>
      <c r="N69" s="43" t="s">
        <v>2551</v>
      </c>
      <c r="O69" s="42">
        <v>43674</v>
      </c>
      <c r="P69" s="45"/>
      <c r="Q69" s="62" t="s">
        <v>89</v>
      </c>
      <c r="R69" s="44" t="s">
        <v>4041</v>
      </c>
      <c r="S69" s="46"/>
    </row>
    <row r="70" spans="2:19" s="30" customFormat="1" ht="33" customHeight="1">
      <c r="B70" s="46" t="s">
        <v>4032</v>
      </c>
      <c r="C70" s="35" t="s">
        <v>2360</v>
      </c>
      <c r="D70" s="36" t="s">
        <v>4042</v>
      </c>
      <c r="E70" s="37">
        <v>43602</v>
      </c>
      <c r="F70" s="38" t="s">
        <v>3999</v>
      </c>
      <c r="G70" s="39">
        <v>2560</v>
      </c>
      <c r="H70" s="38">
        <f t="shared" si="3"/>
        <v>128</v>
      </c>
      <c r="I70" s="38">
        <f t="shared" si="4"/>
        <v>4</v>
      </c>
      <c r="J70" s="61"/>
      <c r="K70" s="40">
        <v>43695</v>
      </c>
      <c r="L70" s="41" t="s">
        <v>2505</v>
      </c>
      <c r="M70" s="42">
        <v>43683</v>
      </c>
      <c r="N70" s="43" t="s">
        <v>4043</v>
      </c>
      <c r="O70" s="42">
        <v>43688</v>
      </c>
      <c r="P70" s="45"/>
      <c r="Q70" s="62" t="s">
        <v>89</v>
      </c>
      <c r="R70" s="44" t="s">
        <v>4044</v>
      </c>
      <c r="S70" s="46"/>
    </row>
    <row r="71" spans="2:19" s="30" customFormat="1" ht="33" customHeight="1">
      <c r="B71" s="46" t="s">
        <v>4032</v>
      </c>
      <c r="C71" s="35" t="s">
        <v>3429</v>
      </c>
      <c r="D71" s="36" t="s">
        <v>3430</v>
      </c>
      <c r="E71" s="37">
        <v>43637</v>
      </c>
      <c r="F71" s="38" t="s">
        <v>3999</v>
      </c>
      <c r="G71" s="39">
        <v>3840</v>
      </c>
      <c r="H71" s="38">
        <f t="shared" si="3"/>
        <v>192</v>
      </c>
      <c r="I71" s="38">
        <f t="shared" si="4"/>
        <v>6</v>
      </c>
      <c r="J71" s="61"/>
      <c r="K71" s="40">
        <v>43723</v>
      </c>
      <c r="L71" s="41" t="s">
        <v>4166</v>
      </c>
      <c r="M71" s="42">
        <v>43718</v>
      </c>
      <c r="N71" s="43" t="s">
        <v>4020</v>
      </c>
      <c r="O71" s="42">
        <v>43723</v>
      </c>
      <c r="P71" s="45"/>
      <c r="Q71" s="62" t="s">
        <v>89</v>
      </c>
      <c r="R71" s="44" t="s">
        <v>4045</v>
      </c>
      <c r="S71" s="46"/>
    </row>
    <row r="72" spans="2:19" s="33" customFormat="1" ht="33" customHeight="1">
      <c r="B72" s="47" t="s">
        <v>38</v>
      </c>
      <c r="C72" s="48" t="s">
        <v>225</v>
      </c>
      <c r="D72" s="49" t="s">
        <v>587</v>
      </c>
      <c r="E72" s="50">
        <v>43519</v>
      </c>
      <c r="F72" s="52" t="s">
        <v>4046</v>
      </c>
      <c r="G72" s="64">
        <v>640</v>
      </c>
      <c r="H72" s="52">
        <f>SUBTOTAL(9,G72)/20</f>
        <v>32</v>
      </c>
      <c r="I72" s="52">
        <f>H72/32</f>
        <v>1</v>
      </c>
      <c r="J72" s="52"/>
      <c r="K72" s="53">
        <v>43583</v>
      </c>
      <c r="L72" s="54" t="s">
        <v>565</v>
      </c>
      <c r="M72" s="55">
        <v>43578</v>
      </c>
      <c r="N72" s="56" t="s">
        <v>4047</v>
      </c>
      <c r="O72" s="55">
        <v>43583</v>
      </c>
      <c r="P72" s="58"/>
      <c r="Q72" s="52"/>
      <c r="R72" s="63" t="s">
        <v>3996</v>
      </c>
      <c r="S72" s="47"/>
    </row>
    <row r="73" spans="2:19" s="30" customFormat="1" ht="33" customHeight="1">
      <c r="B73" s="122" t="s">
        <v>38</v>
      </c>
      <c r="C73" s="126" t="s">
        <v>226</v>
      </c>
      <c r="D73" s="127" t="s">
        <v>1194</v>
      </c>
      <c r="E73" s="128">
        <v>43567</v>
      </c>
      <c r="F73" s="124" t="s">
        <v>4046</v>
      </c>
      <c r="G73" s="152">
        <v>640</v>
      </c>
      <c r="H73" s="124">
        <f>SUBTOTAL(9,G73)/20</f>
        <v>32</v>
      </c>
      <c r="I73" s="124">
        <f>H73/32</f>
        <v>1</v>
      </c>
      <c r="J73" s="124"/>
      <c r="K73" s="130">
        <v>43772</v>
      </c>
      <c r="L73" s="119" t="s">
        <v>4048</v>
      </c>
      <c r="M73" s="120">
        <v>43767</v>
      </c>
      <c r="N73" s="121" t="s">
        <v>4165</v>
      </c>
      <c r="O73" s="120">
        <v>43772</v>
      </c>
      <c r="P73" s="123"/>
      <c r="Q73" s="124"/>
      <c r="R73" s="134" t="s">
        <v>4050</v>
      </c>
      <c r="S73" s="122"/>
    </row>
    <row r="74" spans="2:19" s="33" customFormat="1" ht="33" customHeight="1">
      <c r="B74" s="47" t="s">
        <v>88</v>
      </c>
      <c r="C74" s="48" t="s">
        <v>431</v>
      </c>
      <c r="D74" s="49" t="s">
        <v>471</v>
      </c>
      <c r="E74" s="50">
        <v>43483</v>
      </c>
      <c r="F74" s="52" t="s">
        <v>4046</v>
      </c>
      <c r="G74" s="64">
        <v>760</v>
      </c>
      <c r="H74" s="52">
        <f t="shared" ref="H74:H81" si="5">SUBTOTAL(9,G74)/190</f>
        <v>4</v>
      </c>
      <c r="I74" s="52">
        <f t="shared" ref="I74:I81" si="6">H74/4</f>
        <v>1</v>
      </c>
      <c r="J74" s="52"/>
      <c r="K74" s="53">
        <v>43569</v>
      </c>
      <c r="L74" s="54" t="s">
        <v>417</v>
      </c>
      <c r="M74" s="55">
        <v>43564</v>
      </c>
      <c r="N74" s="56" t="s">
        <v>4000</v>
      </c>
      <c r="O74" s="55">
        <v>43569</v>
      </c>
      <c r="P74" s="58"/>
      <c r="Q74" s="52"/>
      <c r="R74" s="63" t="s">
        <v>4051</v>
      </c>
      <c r="S74" s="47"/>
    </row>
    <row r="75" spans="2:19" s="33" customFormat="1" ht="33" customHeight="1">
      <c r="B75" s="47" t="s">
        <v>88</v>
      </c>
      <c r="C75" s="48" t="s">
        <v>523</v>
      </c>
      <c r="D75" s="49" t="s">
        <v>588</v>
      </c>
      <c r="E75" s="50">
        <v>43511</v>
      </c>
      <c r="F75" s="52" t="s">
        <v>4046</v>
      </c>
      <c r="G75" s="64">
        <v>760</v>
      </c>
      <c r="H75" s="52">
        <f t="shared" si="5"/>
        <v>4</v>
      </c>
      <c r="I75" s="52">
        <f t="shared" si="6"/>
        <v>1</v>
      </c>
      <c r="J75" s="52"/>
      <c r="K75" s="53">
        <v>43583</v>
      </c>
      <c r="L75" s="54" t="s">
        <v>565</v>
      </c>
      <c r="M75" s="55">
        <v>43578</v>
      </c>
      <c r="N75" s="56" t="s">
        <v>4047</v>
      </c>
      <c r="O75" s="55">
        <v>43583</v>
      </c>
      <c r="P75" s="58"/>
      <c r="Q75" s="52"/>
      <c r="R75" s="63" t="s">
        <v>4052</v>
      </c>
      <c r="S75" s="47"/>
    </row>
    <row r="76" spans="2:19" s="33" customFormat="1" ht="33" customHeight="1">
      <c r="B76" s="47" t="s">
        <v>88</v>
      </c>
      <c r="C76" s="48" t="s">
        <v>589</v>
      </c>
      <c r="D76" s="49" t="s">
        <v>590</v>
      </c>
      <c r="E76" s="50">
        <v>43519</v>
      </c>
      <c r="F76" s="52" t="s">
        <v>4046</v>
      </c>
      <c r="G76" s="64">
        <v>760</v>
      </c>
      <c r="H76" s="52">
        <f t="shared" si="5"/>
        <v>4</v>
      </c>
      <c r="I76" s="52">
        <f t="shared" si="6"/>
        <v>1</v>
      </c>
      <c r="J76" s="52"/>
      <c r="K76" s="53">
        <v>43597</v>
      </c>
      <c r="L76" s="54" t="s">
        <v>4053</v>
      </c>
      <c r="M76" s="55">
        <v>43592</v>
      </c>
      <c r="N76" s="56" t="s">
        <v>4054</v>
      </c>
      <c r="O76" s="55">
        <v>43597</v>
      </c>
      <c r="P76" s="58"/>
      <c r="Q76" s="52"/>
      <c r="R76" s="63" t="s">
        <v>3781</v>
      </c>
      <c r="S76" s="47"/>
    </row>
    <row r="77" spans="2:19" s="30" customFormat="1" ht="33" customHeight="1">
      <c r="B77" s="46" t="s">
        <v>88</v>
      </c>
      <c r="C77" s="35" t="s">
        <v>4055</v>
      </c>
      <c r="D77" s="36" t="s">
        <v>1207</v>
      </c>
      <c r="E77" s="37">
        <v>43567</v>
      </c>
      <c r="F77" s="38" t="s">
        <v>4046</v>
      </c>
      <c r="G77" s="65">
        <v>760</v>
      </c>
      <c r="H77" s="38">
        <f t="shared" si="5"/>
        <v>4</v>
      </c>
      <c r="I77" s="38">
        <f t="shared" si="6"/>
        <v>1</v>
      </c>
      <c r="J77" s="38"/>
      <c r="K77" s="40">
        <v>43667</v>
      </c>
      <c r="L77" s="41" t="s">
        <v>4056</v>
      </c>
      <c r="M77" s="42">
        <v>43655</v>
      </c>
      <c r="N77" s="43" t="s">
        <v>4057</v>
      </c>
      <c r="O77" s="42">
        <v>43660</v>
      </c>
      <c r="P77" s="45"/>
      <c r="Q77" s="38"/>
      <c r="R77" s="66" t="s">
        <v>4058</v>
      </c>
      <c r="S77" s="46" t="s">
        <v>980</v>
      </c>
    </row>
    <row r="78" spans="2:19" s="30" customFormat="1" ht="33" customHeight="1">
      <c r="B78" s="46" t="s">
        <v>88</v>
      </c>
      <c r="C78" s="35" t="s">
        <v>2079</v>
      </c>
      <c r="D78" s="36" t="s">
        <v>4059</v>
      </c>
      <c r="E78" s="37">
        <v>43602</v>
      </c>
      <c r="F78" s="38" t="s">
        <v>4046</v>
      </c>
      <c r="G78" s="65">
        <v>760</v>
      </c>
      <c r="H78" s="38">
        <f t="shared" si="5"/>
        <v>4</v>
      </c>
      <c r="I78" s="38">
        <f t="shared" si="6"/>
        <v>1</v>
      </c>
      <c r="J78" s="38"/>
      <c r="K78" s="40">
        <v>43667</v>
      </c>
      <c r="L78" s="41" t="s">
        <v>4056</v>
      </c>
      <c r="M78" s="42">
        <v>43655</v>
      </c>
      <c r="N78" s="43" t="s">
        <v>4057</v>
      </c>
      <c r="O78" s="42">
        <v>43660</v>
      </c>
      <c r="P78" s="45"/>
      <c r="Q78" s="38"/>
      <c r="R78" s="66" t="s">
        <v>4058</v>
      </c>
      <c r="S78" s="46" t="s">
        <v>980</v>
      </c>
    </row>
    <row r="79" spans="2:19" s="30" customFormat="1" ht="33" customHeight="1">
      <c r="B79" s="46" t="s">
        <v>88</v>
      </c>
      <c r="C79" s="35" t="s">
        <v>2378</v>
      </c>
      <c r="D79" s="36" t="s">
        <v>2379</v>
      </c>
      <c r="E79" s="37">
        <v>43602</v>
      </c>
      <c r="F79" s="38" t="s">
        <v>4046</v>
      </c>
      <c r="G79" s="65">
        <v>760</v>
      </c>
      <c r="H79" s="38">
        <f t="shared" si="5"/>
        <v>4</v>
      </c>
      <c r="I79" s="38">
        <f t="shared" si="6"/>
        <v>1</v>
      </c>
      <c r="J79" s="38"/>
      <c r="K79" s="40">
        <v>43702</v>
      </c>
      <c r="L79" s="41" t="s">
        <v>4060</v>
      </c>
      <c r="M79" s="42">
        <v>43697</v>
      </c>
      <c r="N79" s="43" t="s">
        <v>4061</v>
      </c>
      <c r="O79" s="42">
        <v>43702</v>
      </c>
      <c r="P79" s="45"/>
      <c r="Q79" s="38"/>
      <c r="R79" s="66" t="s">
        <v>4062</v>
      </c>
      <c r="S79" s="46"/>
    </row>
    <row r="80" spans="2:19" s="30" customFormat="1" ht="33" customHeight="1">
      <c r="B80" s="46" t="s">
        <v>88</v>
      </c>
      <c r="C80" s="35" t="s">
        <v>2430</v>
      </c>
      <c r="D80" s="36" t="s">
        <v>3457</v>
      </c>
      <c r="E80" s="37">
        <v>43637</v>
      </c>
      <c r="F80" s="38" t="s">
        <v>4046</v>
      </c>
      <c r="G80" s="65">
        <v>760</v>
      </c>
      <c r="H80" s="38">
        <f t="shared" si="5"/>
        <v>4</v>
      </c>
      <c r="I80" s="38">
        <f t="shared" si="6"/>
        <v>1</v>
      </c>
      <c r="J80" s="38"/>
      <c r="K80" s="40">
        <v>43731</v>
      </c>
      <c r="L80" s="41" t="s">
        <v>4063</v>
      </c>
      <c r="M80" s="42">
        <v>43725</v>
      </c>
      <c r="N80" s="43" t="s">
        <v>4064</v>
      </c>
      <c r="O80" s="42">
        <v>43730</v>
      </c>
      <c r="P80" s="45"/>
      <c r="Q80" s="38"/>
      <c r="R80" s="66" t="s">
        <v>4065</v>
      </c>
      <c r="S80" s="46"/>
    </row>
    <row r="81" spans="2:19" s="30" customFormat="1" ht="33" customHeight="1">
      <c r="B81" s="122" t="s">
        <v>88</v>
      </c>
      <c r="C81" s="126" t="s">
        <v>2527</v>
      </c>
      <c r="D81" s="127"/>
      <c r="E81" s="128">
        <v>43657</v>
      </c>
      <c r="F81" s="124" t="s">
        <v>4046</v>
      </c>
      <c r="G81" s="152">
        <v>760</v>
      </c>
      <c r="H81" s="124">
        <f t="shared" si="5"/>
        <v>4</v>
      </c>
      <c r="I81" s="124">
        <f t="shared" si="6"/>
        <v>1</v>
      </c>
      <c r="J81" s="124"/>
      <c r="K81" s="130">
        <v>43772</v>
      </c>
      <c r="L81" s="119" t="s">
        <v>4048</v>
      </c>
      <c r="M81" s="120">
        <v>43767</v>
      </c>
      <c r="N81" s="121" t="s">
        <v>4165</v>
      </c>
      <c r="O81" s="120">
        <v>43772</v>
      </c>
      <c r="P81" s="123"/>
      <c r="Q81" s="124"/>
      <c r="R81" s="134" t="s">
        <v>4066</v>
      </c>
      <c r="S81" s="122"/>
    </row>
    <row r="82" spans="2:19" s="33" customFormat="1" ht="33" customHeight="1">
      <c r="B82" s="47" t="s">
        <v>83</v>
      </c>
      <c r="C82" s="48" t="s">
        <v>244</v>
      </c>
      <c r="D82" s="49" t="s">
        <v>722</v>
      </c>
      <c r="E82" s="50">
        <v>43483</v>
      </c>
      <c r="F82" s="52" t="s">
        <v>77</v>
      </c>
      <c r="G82" s="51">
        <v>6720</v>
      </c>
      <c r="H82" s="52">
        <f t="shared" ref="H82:H87" si="7">SUM(G82/240)</f>
        <v>28</v>
      </c>
      <c r="I82" s="52">
        <f t="shared" ref="I82:I88" si="8">SUM(H82/4)</f>
        <v>7</v>
      </c>
      <c r="J82" s="52"/>
      <c r="K82" s="53">
        <v>43569</v>
      </c>
      <c r="L82" s="54" t="s">
        <v>480</v>
      </c>
      <c r="M82" s="55">
        <v>43564</v>
      </c>
      <c r="N82" s="56" t="s">
        <v>646</v>
      </c>
      <c r="O82" s="55">
        <v>43569</v>
      </c>
      <c r="P82" s="58" t="s">
        <v>4067</v>
      </c>
      <c r="Q82" s="52"/>
      <c r="R82" s="118" t="s">
        <v>4068</v>
      </c>
      <c r="S82" s="47"/>
    </row>
    <row r="83" spans="2:19" s="33" customFormat="1" ht="33" customHeight="1">
      <c r="B83" s="47" t="s">
        <v>83</v>
      </c>
      <c r="C83" s="48" t="s">
        <v>4069</v>
      </c>
      <c r="D83" s="49" t="s">
        <v>472</v>
      </c>
      <c r="E83" s="50">
        <v>43483</v>
      </c>
      <c r="F83" s="52" t="s">
        <v>77</v>
      </c>
      <c r="G83" s="51">
        <v>5760</v>
      </c>
      <c r="H83" s="52">
        <f t="shared" si="7"/>
        <v>24</v>
      </c>
      <c r="I83" s="52">
        <f t="shared" si="8"/>
        <v>6</v>
      </c>
      <c r="J83" s="52"/>
      <c r="K83" s="53">
        <v>43583</v>
      </c>
      <c r="L83" s="54" t="s">
        <v>448</v>
      </c>
      <c r="M83" s="55">
        <v>43578</v>
      </c>
      <c r="N83" s="56" t="s">
        <v>4047</v>
      </c>
      <c r="O83" s="55">
        <v>43583</v>
      </c>
      <c r="P83" s="58" t="s">
        <v>4070</v>
      </c>
      <c r="Q83" s="52"/>
      <c r="R83" s="118" t="s">
        <v>4068</v>
      </c>
      <c r="S83" s="47"/>
    </row>
    <row r="84" spans="2:19" s="33" customFormat="1" ht="33" customHeight="1">
      <c r="B84" s="47" t="s">
        <v>83</v>
      </c>
      <c r="C84" s="48" t="s">
        <v>258</v>
      </c>
      <c r="D84" s="49" t="s">
        <v>591</v>
      </c>
      <c r="E84" s="50">
        <v>43519</v>
      </c>
      <c r="F84" s="52" t="s">
        <v>77</v>
      </c>
      <c r="G84" s="51">
        <v>5760</v>
      </c>
      <c r="H84" s="52">
        <f t="shared" si="7"/>
        <v>24</v>
      </c>
      <c r="I84" s="52">
        <f t="shared" si="8"/>
        <v>6</v>
      </c>
      <c r="J84" s="52"/>
      <c r="K84" s="53">
        <v>43605</v>
      </c>
      <c r="L84" s="54" t="s">
        <v>4071</v>
      </c>
      <c r="M84" s="55">
        <v>43601</v>
      </c>
      <c r="N84" s="56" t="s">
        <v>3998</v>
      </c>
      <c r="O84" s="55">
        <v>43605</v>
      </c>
      <c r="P84" s="58" t="s">
        <v>4072</v>
      </c>
      <c r="Q84" s="52"/>
      <c r="R84" s="118" t="s">
        <v>4073</v>
      </c>
      <c r="S84" s="47"/>
    </row>
    <row r="85" spans="2:19" s="30" customFormat="1" ht="33" customHeight="1">
      <c r="B85" s="46" t="s">
        <v>83</v>
      </c>
      <c r="C85" s="35" t="s">
        <v>321</v>
      </c>
      <c r="D85" s="36" t="s">
        <v>727</v>
      </c>
      <c r="E85" s="37">
        <v>43532</v>
      </c>
      <c r="F85" s="38" t="s">
        <v>77</v>
      </c>
      <c r="G85" s="39">
        <v>6720</v>
      </c>
      <c r="H85" s="38">
        <f t="shared" si="7"/>
        <v>28</v>
      </c>
      <c r="I85" s="38">
        <f t="shared" si="8"/>
        <v>7</v>
      </c>
      <c r="J85" s="38"/>
      <c r="K85" s="40">
        <v>43633</v>
      </c>
      <c r="L85" s="41" t="s">
        <v>807</v>
      </c>
      <c r="M85" s="42">
        <v>43627</v>
      </c>
      <c r="N85" s="43" t="s">
        <v>808</v>
      </c>
      <c r="O85" s="42">
        <v>43632</v>
      </c>
      <c r="P85" s="45"/>
      <c r="Q85" s="38"/>
      <c r="R85" s="115" t="s">
        <v>4074</v>
      </c>
      <c r="S85" s="46"/>
    </row>
    <row r="86" spans="2:19" s="30" customFormat="1" ht="33" customHeight="1">
      <c r="B86" s="46" t="s">
        <v>83</v>
      </c>
      <c r="C86" s="35" t="s">
        <v>324</v>
      </c>
      <c r="D86" s="36" t="s">
        <v>1234</v>
      </c>
      <c r="E86" s="37">
        <v>43567</v>
      </c>
      <c r="F86" s="38" t="s">
        <v>77</v>
      </c>
      <c r="G86" s="39">
        <v>5760</v>
      </c>
      <c r="H86" s="38">
        <f t="shared" si="7"/>
        <v>24</v>
      </c>
      <c r="I86" s="38">
        <f t="shared" si="8"/>
        <v>6</v>
      </c>
      <c r="J86" s="38"/>
      <c r="K86" s="40">
        <v>43674</v>
      </c>
      <c r="L86" s="41" t="s">
        <v>4075</v>
      </c>
      <c r="M86" s="42">
        <v>43669</v>
      </c>
      <c r="N86" s="43" t="s">
        <v>2144</v>
      </c>
      <c r="O86" s="42">
        <v>43674</v>
      </c>
      <c r="P86" s="45"/>
      <c r="Q86" s="38"/>
      <c r="R86" s="115" t="s">
        <v>4076</v>
      </c>
      <c r="S86" s="46"/>
    </row>
    <row r="87" spans="2:19" s="30" customFormat="1" ht="33" customHeight="1">
      <c r="B87" s="46" t="s">
        <v>83</v>
      </c>
      <c r="C87" s="35" t="s">
        <v>430</v>
      </c>
      <c r="D87" s="36" t="s">
        <v>2696</v>
      </c>
      <c r="E87" s="37">
        <v>43609</v>
      </c>
      <c r="F87" s="38" t="s">
        <v>77</v>
      </c>
      <c r="G87" s="39">
        <v>7680</v>
      </c>
      <c r="H87" s="38">
        <f t="shared" si="7"/>
        <v>32</v>
      </c>
      <c r="I87" s="38">
        <f t="shared" si="8"/>
        <v>8</v>
      </c>
      <c r="J87" s="38"/>
      <c r="K87" s="40">
        <v>43702</v>
      </c>
      <c r="L87" s="41" t="s">
        <v>2509</v>
      </c>
      <c r="M87" s="42">
        <v>43697</v>
      </c>
      <c r="N87" s="43" t="s">
        <v>2498</v>
      </c>
      <c r="O87" s="42">
        <v>43702</v>
      </c>
      <c r="P87" s="45"/>
      <c r="Q87" s="38"/>
      <c r="R87" s="115" t="s">
        <v>4077</v>
      </c>
      <c r="S87" s="46"/>
    </row>
    <row r="88" spans="2:19" s="30" customFormat="1" ht="33" customHeight="1">
      <c r="B88" s="46" t="s">
        <v>4078</v>
      </c>
      <c r="C88" s="35" t="s">
        <v>519</v>
      </c>
      <c r="D88" s="36" t="s">
        <v>3473</v>
      </c>
      <c r="E88" s="37">
        <v>43637</v>
      </c>
      <c r="F88" s="38" t="s">
        <v>77</v>
      </c>
      <c r="G88" s="39">
        <v>9600</v>
      </c>
      <c r="H88" s="38">
        <f t="shared" ref="H88" si="9">SUM(G88/240)</f>
        <v>40</v>
      </c>
      <c r="I88" s="38">
        <f t="shared" si="8"/>
        <v>10</v>
      </c>
      <c r="J88" s="38"/>
      <c r="K88" s="40">
        <v>43716</v>
      </c>
      <c r="L88" s="41" t="s">
        <v>4023</v>
      </c>
      <c r="M88" s="42">
        <v>43711</v>
      </c>
      <c r="N88" s="43" t="s">
        <v>4024</v>
      </c>
      <c r="O88" s="42">
        <v>43716</v>
      </c>
      <c r="P88" s="45"/>
      <c r="Q88" s="38"/>
      <c r="R88" s="115" t="s">
        <v>4079</v>
      </c>
      <c r="S88" s="46"/>
    </row>
    <row r="89" spans="2:19" s="34" customFormat="1" ht="33" customHeight="1">
      <c r="B89" s="47" t="s">
        <v>210</v>
      </c>
      <c r="C89" s="48" t="s">
        <v>226</v>
      </c>
      <c r="D89" s="49" t="s">
        <v>593</v>
      </c>
      <c r="E89" s="50">
        <v>43483</v>
      </c>
      <c r="F89" s="52" t="s">
        <v>218</v>
      </c>
      <c r="G89" s="51">
        <v>640</v>
      </c>
      <c r="H89" s="52">
        <f t="shared" ref="H89:H115" si="10">SUM(G89/20)</f>
        <v>32</v>
      </c>
      <c r="I89" s="52">
        <f t="shared" ref="I89:I115" si="11">SUM(H89/32)</f>
        <v>1</v>
      </c>
      <c r="J89" s="52"/>
      <c r="K89" s="53">
        <v>43534</v>
      </c>
      <c r="L89" s="54" t="s">
        <v>4080</v>
      </c>
      <c r="M89" s="55"/>
      <c r="N89" s="56"/>
      <c r="O89" s="55">
        <v>43520</v>
      </c>
      <c r="P89" s="58" t="s">
        <v>651</v>
      </c>
      <c r="Q89" s="52"/>
      <c r="R89" s="63" t="s">
        <v>211</v>
      </c>
      <c r="S89" s="52"/>
    </row>
    <row r="90" spans="2:19" s="34" customFormat="1" ht="33" customHeight="1">
      <c r="B90" s="47" t="s">
        <v>210</v>
      </c>
      <c r="C90" s="48" t="s">
        <v>285</v>
      </c>
      <c r="D90" s="49" t="s">
        <v>526</v>
      </c>
      <c r="E90" s="50">
        <v>43507</v>
      </c>
      <c r="F90" s="52" t="s">
        <v>218</v>
      </c>
      <c r="G90" s="51">
        <v>3200</v>
      </c>
      <c r="H90" s="52">
        <f t="shared" si="10"/>
        <v>160</v>
      </c>
      <c r="I90" s="52">
        <f t="shared" si="11"/>
        <v>5</v>
      </c>
      <c r="J90" s="52"/>
      <c r="K90" s="53">
        <v>43576</v>
      </c>
      <c r="L90" s="54" t="s">
        <v>503</v>
      </c>
      <c r="M90" s="55">
        <v>43571</v>
      </c>
      <c r="N90" s="56" t="s">
        <v>4035</v>
      </c>
      <c r="O90" s="55">
        <v>43576</v>
      </c>
      <c r="P90" s="58"/>
      <c r="Q90" s="52" t="s">
        <v>643</v>
      </c>
      <c r="R90" s="63" t="s">
        <v>211</v>
      </c>
      <c r="S90" s="52"/>
    </row>
    <row r="91" spans="2:19" s="34" customFormat="1" ht="33" customHeight="1">
      <c r="B91" s="47" t="s">
        <v>210</v>
      </c>
      <c r="C91" s="48" t="s">
        <v>4081</v>
      </c>
      <c r="D91" s="49" t="s">
        <v>526</v>
      </c>
      <c r="E91" s="50">
        <v>43507</v>
      </c>
      <c r="F91" s="52" t="s">
        <v>218</v>
      </c>
      <c r="G91" s="51">
        <v>640</v>
      </c>
      <c r="H91" s="52">
        <f t="shared" si="10"/>
        <v>32</v>
      </c>
      <c r="I91" s="52">
        <f t="shared" si="11"/>
        <v>1</v>
      </c>
      <c r="J91" s="52"/>
      <c r="K91" s="53">
        <v>43576</v>
      </c>
      <c r="L91" s="54" t="s">
        <v>448</v>
      </c>
      <c r="M91" s="55">
        <v>43578</v>
      </c>
      <c r="N91" s="56" t="s">
        <v>4047</v>
      </c>
      <c r="O91" s="55">
        <v>43583</v>
      </c>
      <c r="P91" s="58"/>
      <c r="Q91" s="52" t="s">
        <v>643</v>
      </c>
      <c r="R91" s="63" t="s">
        <v>211</v>
      </c>
      <c r="S91" s="52"/>
    </row>
    <row r="92" spans="2:19" s="34" customFormat="1" ht="33" customHeight="1">
      <c r="B92" s="47" t="s">
        <v>210</v>
      </c>
      <c r="C92" s="48" t="s">
        <v>331</v>
      </c>
      <c r="D92" s="49" t="s">
        <v>4082</v>
      </c>
      <c r="E92" s="50">
        <v>43519</v>
      </c>
      <c r="F92" s="52" t="s">
        <v>218</v>
      </c>
      <c r="G92" s="51">
        <v>3200</v>
      </c>
      <c r="H92" s="52">
        <f t="shared" si="10"/>
        <v>160</v>
      </c>
      <c r="I92" s="52">
        <f t="shared" si="11"/>
        <v>5</v>
      </c>
      <c r="J92" s="52"/>
      <c r="K92" s="53">
        <v>43562</v>
      </c>
      <c r="L92" s="54" t="s">
        <v>608</v>
      </c>
      <c r="M92" s="55">
        <v>43557</v>
      </c>
      <c r="N92" s="56" t="s">
        <v>4034</v>
      </c>
      <c r="O92" s="55">
        <v>43562</v>
      </c>
      <c r="P92" s="58"/>
      <c r="Q92" s="52" t="s">
        <v>642</v>
      </c>
      <c r="R92" s="63" t="s">
        <v>211</v>
      </c>
      <c r="S92" s="52"/>
    </row>
    <row r="93" spans="2:19" s="34" customFormat="1" ht="33" customHeight="1">
      <c r="B93" s="47" t="s">
        <v>210</v>
      </c>
      <c r="C93" s="48" t="s">
        <v>4083</v>
      </c>
      <c r="D93" s="49" t="s">
        <v>4082</v>
      </c>
      <c r="E93" s="50">
        <v>43519</v>
      </c>
      <c r="F93" s="52" t="s">
        <v>218</v>
      </c>
      <c r="G93" s="51">
        <v>640</v>
      </c>
      <c r="H93" s="52">
        <f t="shared" si="10"/>
        <v>32</v>
      </c>
      <c r="I93" s="52">
        <f t="shared" si="11"/>
        <v>1</v>
      </c>
      <c r="J93" s="52"/>
      <c r="K93" s="53">
        <v>43562</v>
      </c>
      <c r="L93" s="54" t="s">
        <v>480</v>
      </c>
      <c r="M93" s="55">
        <v>43564</v>
      </c>
      <c r="N93" s="56" t="s">
        <v>646</v>
      </c>
      <c r="O93" s="55">
        <v>43569</v>
      </c>
      <c r="P93" s="58"/>
      <c r="Q93" s="52" t="s">
        <v>642</v>
      </c>
      <c r="R93" s="63" t="s">
        <v>211</v>
      </c>
      <c r="S93" s="52"/>
    </row>
    <row r="94" spans="2:19" s="32" customFormat="1" ht="33" customHeight="1">
      <c r="B94" s="46" t="s">
        <v>210</v>
      </c>
      <c r="C94" s="35" t="s">
        <v>2527</v>
      </c>
      <c r="D94" s="190" t="s">
        <v>4084</v>
      </c>
      <c r="E94" s="37">
        <v>43609</v>
      </c>
      <c r="F94" s="38" t="s">
        <v>218</v>
      </c>
      <c r="G94" s="39">
        <v>120</v>
      </c>
      <c r="H94" s="38">
        <f t="shared" si="10"/>
        <v>6</v>
      </c>
      <c r="I94" s="38">
        <f t="shared" si="11"/>
        <v>0.1875</v>
      </c>
      <c r="J94" s="38"/>
      <c r="K94" s="40">
        <v>43646</v>
      </c>
      <c r="L94" s="41" t="s">
        <v>1083</v>
      </c>
      <c r="M94" s="42">
        <v>43634</v>
      </c>
      <c r="N94" s="43" t="s">
        <v>1084</v>
      </c>
      <c r="O94" s="42">
        <v>43639</v>
      </c>
      <c r="P94" s="45"/>
      <c r="Q94" s="66" t="s">
        <v>2543</v>
      </c>
      <c r="R94" s="66" t="s">
        <v>4085</v>
      </c>
      <c r="S94" s="38"/>
    </row>
    <row r="95" spans="2:19" s="32" customFormat="1" ht="33" customHeight="1">
      <c r="B95" s="46" t="s">
        <v>4086</v>
      </c>
      <c r="C95" s="35" t="s">
        <v>2531</v>
      </c>
      <c r="D95" s="190" t="s">
        <v>4084</v>
      </c>
      <c r="E95" s="37">
        <v>43609</v>
      </c>
      <c r="F95" s="38" t="s">
        <v>4087</v>
      </c>
      <c r="G95" s="39">
        <v>120</v>
      </c>
      <c r="H95" s="38">
        <f t="shared" si="10"/>
        <v>6</v>
      </c>
      <c r="I95" s="38">
        <f t="shared" si="11"/>
        <v>0.1875</v>
      </c>
      <c r="J95" s="38"/>
      <c r="K95" s="40">
        <v>43646</v>
      </c>
      <c r="L95" s="41" t="s">
        <v>1083</v>
      </c>
      <c r="M95" s="42">
        <v>43634</v>
      </c>
      <c r="N95" s="43" t="s">
        <v>1084</v>
      </c>
      <c r="O95" s="42">
        <v>43639</v>
      </c>
      <c r="P95" s="45"/>
      <c r="Q95" s="66" t="s">
        <v>2544</v>
      </c>
      <c r="R95" s="66" t="s">
        <v>4085</v>
      </c>
      <c r="S95" s="38"/>
    </row>
    <row r="96" spans="2:19" s="34" customFormat="1" ht="33" customHeight="1">
      <c r="B96" s="47" t="s">
        <v>210</v>
      </c>
      <c r="C96" s="48" t="s">
        <v>431</v>
      </c>
      <c r="D96" s="49" t="s">
        <v>4088</v>
      </c>
      <c r="E96" s="50">
        <v>43523</v>
      </c>
      <c r="F96" s="52" t="s">
        <v>218</v>
      </c>
      <c r="G96" s="51">
        <v>3200</v>
      </c>
      <c r="H96" s="52">
        <f t="shared" si="10"/>
        <v>160</v>
      </c>
      <c r="I96" s="52">
        <f t="shared" si="11"/>
        <v>5</v>
      </c>
      <c r="J96" s="52"/>
      <c r="K96" s="53">
        <v>43597</v>
      </c>
      <c r="L96" s="54" t="s">
        <v>605</v>
      </c>
      <c r="M96" s="55">
        <v>43594</v>
      </c>
      <c r="N96" s="56" t="s">
        <v>3994</v>
      </c>
      <c r="O96" s="55">
        <v>43598</v>
      </c>
      <c r="P96" s="58"/>
      <c r="Q96" s="52" t="s">
        <v>641</v>
      </c>
      <c r="R96" s="63" t="s">
        <v>211</v>
      </c>
      <c r="S96" s="52"/>
    </row>
    <row r="97" spans="2:19" s="34" customFormat="1" ht="33" customHeight="1">
      <c r="B97" s="47" t="s">
        <v>210</v>
      </c>
      <c r="C97" s="48" t="s">
        <v>4089</v>
      </c>
      <c r="D97" s="49" t="s">
        <v>4088</v>
      </c>
      <c r="E97" s="50">
        <v>43523</v>
      </c>
      <c r="F97" s="52" t="s">
        <v>218</v>
      </c>
      <c r="G97" s="51">
        <v>640</v>
      </c>
      <c r="H97" s="52">
        <f t="shared" si="10"/>
        <v>32</v>
      </c>
      <c r="I97" s="52">
        <f t="shared" si="11"/>
        <v>1</v>
      </c>
      <c r="J97" s="52"/>
      <c r="K97" s="53">
        <v>43618</v>
      </c>
      <c r="L97" s="54" t="s">
        <v>4004</v>
      </c>
      <c r="M97" s="55">
        <v>43613</v>
      </c>
      <c r="N97" s="56" t="s">
        <v>4005</v>
      </c>
      <c r="O97" s="55">
        <v>43618</v>
      </c>
      <c r="P97" s="58"/>
      <c r="Q97" s="52" t="s">
        <v>641</v>
      </c>
      <c r="R97" s="63" t="s">
        <v>211</v>
      </c>
      <c r="S97" s="52"/>
    </row>
    <row r="98" spans="2:19" s="34" customFormat="1" ht="33" customHeight="1">
      <c r="B98" s="47" t="s">
        <v>210</v>
      </c>
      <c r="C98" s="48" t="s">
        <v>4090</v>
      </c>
      <c r="D98" s="49" t="s">
        <v>739</v>
      </c>
      <c r="E98" s="50">
        <v>43532</v>
      </c>
      <c r="F98" s="52" t="s">
        <v>218</v>
      </c>
      <c r="G98" s="51">
        <v>2560</v>
      </c>
      <c r="H98" s="52">
        <f t="shared" si="10"/>
        <v>128</v>
      </c>
      <c r="I98" s="52">
        <f t="shared" si="11"/>
        <v>4</v>
      </c>
      <c r="J98" s="52"/>
      <c r="K98" s="53">
        <v>43618</v>
      </c>
      <c r="L98" s="54" t="s">
        <v>4004</v>
      </c>
      <c r="M98" s="55">
        <v>43613</v>
      </c>
      <c r="N98" s="56" t="s">
        <v>4005</v>
      </c>
      <c r="O98" s="55">
        <v>43618</v>
      </c>
      <c r="P98" s="58"/>
      <c r="Q98" s="52" t="s">
        <v>970</v>
      </c>
      <c r="R98" s="63" t="s">
        <v>211</v>
      </c>
      <c r="S98" s="52"/>
    </row>
    <row r="99" spans="2:19" s="32" customFormat="1" ht="33" customHeight="1">
      <c r="B99" s="46" t="s">
        <v>210</v>
      </c>
      <c r="C99" s="35" t="s">
        <v>589</v>
      </c>
      <c r="D99" s="36" t="s">
        <v>1260</v>
      </c>
      <c r="E99" s="37">
        <v>43558</v>
      </c>
      <c r="F99" s="38" t="s">
        <v>218</v>
      </c>
      <c r="G99" s="39">
        <v>3200</v>
      </c>
      <c r="H99" s="38">
        <f t="shared" si="10"/>
        <v>160</v>
      </c>
      <c r="I99" s="38">
        <f t="shared" si="11"/>
        <v>5</v>
      </c>
      <c r="J99" s="38"/>
      <c r="K99" s="40">
        <v>43639</v>
      </c>
      <c r="L99" s="41" t="s">
        <v>4091</v>
      </c>
      <c r="M99" s="42">
        <v>43634</v>
      </c>
      <c r="N99" s="43" t="s">
        <v>4092</v>
      </c>
      <c r="O99" s="42">
        <v>43639</v>
      </c>
      <c r="P99" s="45"/>
      <c r="Q99" s="38" t="s">
        <v>973</v>
      </c>
      <c r="R99" s="66" t="s">
        <v>211</v>
      </c>
      <c r="S99" s="38"/>
    </row>
    <row r="100" spans="2:19" s="32" customFormat="1" ht="33" customHeight="1">
      <c r="B100" s="46" t="s">
        <v>210</v>
      </c>
      <c r="C100" s="35" t="s">
        <v>2078</v>
      </c>
      <c r="D100" s="36" t="s">
        <v>2426</v>
      </c>
      <c r="E100" s="37">
        <v>43602</v>
      </c>
      <c r="F100" s="38" t="s">
        <v>218</v>
      </c>
      <c r="G100" s="39">
        <v>3200</v>
      </c>
      <c r="H100" s="38">
        <f t="shared" si="10"/>
        <v>160</v>
      </c>
      <c r="I100" s="38">
        <f t="shared" si="11"/>
        <v>5</v>
      </c>
      <c r="J100" s="38"/>
      <c r="K100" s="40">
        <v>43653</v>
      </c>
      <c r="L100" s="41" t="s">
        <v>1326</v>
      </c>
      <c r="M100" s="42">
        <v>43648</v>
      </c>
      <c r="N100" s="43" t="s">
        <v>3819</v>
      </c>
      <c r="O100" s="42">
        <v>43653</v>
      </c>
      <c r="P100" s="45"/>
      <c r="Q100" s="38" t="s">
        <v>2148</v>
      </c>
      <c r="R100" s="66" t="s">
        <v>211</v>
      </c>
      <c r="S100" s="38"/>
    </row>
    <row r="101" spans="2:19" s="32" customFormat="1" ht="33" customHeight="1">
      <c r="B101" s="46" t="s">
        <v>210</v>
      </c>
      <c r="C101" s="35" t="s">
        <v>2079</v>
      </c>
      <c r="D101" s="36" t="s">
        <v>2428</v>
      </c>
      <c r="E101" s="37">
        <v>43602</v>
      </c>
      <c r="F101" s="38" t="s">
        <v>218</v>
      </c>
      <c r="G101" s="39">
        <v>3200</v>
      </c>
      <c r="H101" s="38">
        <f t="shared" si="10"/>
        <v>160</v>
      </c>
      <c r="I101" s="38">
        <f t="shared" si="11"/>
        <v>5</v>
      </c>
      <c r="J101" s="38"/>
      <c r="K101" s="40">
        <v>43667</v>
      </c>
      <c r="L101" s="41" t="s">
        <v>2146</v>
      </c>
      <c r="M101" s="42">
        <v>43669</v>
      </c>
      <c r="N101" s="43" t="s">
        <v>2551</v>
      </c>
      <c r="O101" s="42">
        <v>43674</v>
      </c>
      <c r="P101" s="45"/>
      <c r="Q101" s="38" t="s">
        <v>2150</v>
      </c>
      <c r="R101" s="66" t="s">
        <v>211</v>
      </c>
      <c r="S101" s="38"/>
    </row>
    <row r="102" spans="2:19" s="32" customFormat="1" ht="33" customHeight="1">
      <c r="B102" s="46" t="s">
        <v>210</v>
      </c>
      <c r="C102" s="35" t="s">
        <v>2378</v>
      </c>
      <c r="D102" s="36" t="s">
        <v>4093</v>
      </c>
      <c r="E102" s="37">
        <v>43602</v>
      </c>
      <c r="F102" s="38" t="s">
        <v>218</v>
      </c>
      <c r="G102" s="39">
        <v>3200</v>
      </c>
      <c r="H102" s="38">
        <f t="shared" si="10"/>
        <v>160</v>
      </c>
      <c r="I102" s="38">
        <f t="shared" si="11"/>
        <v>5</v>
      </c>
      <c r="J102" s="38"/>
      <c r="K102" s="40">
        <v>43688</v>
      </c>
      <c r="L102" s="41" t="s">
        <v>2505</v>
      </c>
      <c r="M102" s="42">
        <v>43683</v>
      </c>
      <c r="N102" s="43" t="s">
        <v>4043</v>
      </c>
      <c r="O102" s="42">
        <v>43688</v>
      </c>
      <c r="P102" s="45"/>
      <c r="Q102" s="38" t="s">
        <v>2762</v>
      </c>
      <c r="R102" s="66" t="s">
        <v>211</v>
      </c>
      <c r="S102" s="46" t="s">
        <v>2764</v>
      </c>
    </row>
    <row r="103" spans="2:19" s="32" customFormat="1" ht="33" customHeight="1">
      <c r="B103" s="46" t="s">
        <v>210</v>
      </c>
      <c r="C103" s="35" t="s">
        <v>2430</v>
      </c>
      <c r="D103" s="190" t="s">
        <v>4094</v>
      </c>
      <c r="E103" s="37">
        <v>43602</v>
      </c>
      <c r="F103" s="38" t="s">
        <v>218</v>
      </c>
      <c r="G103" s="39">
        <v>3200</v>
      </c>
      <c r="H103" s="38">
        <f t="shared" si="10"/>
        <v>160</v>
      </c>
      <c r="I103" s="38">
        <f t="shared" si="11"/>
        <v>5</v>
      </c>
      <c r="J103" s="38"/>
      <c r="K103" s="40">
        <v>43702</v>
      </c>
      <c r="L103" s="41" t="s">
        <v>2509</v>
      </c>
      <c r="M103" s="42">
        <v>43697</v>
      </c>
      <c r="N103" s="43" t="s">
        <v>4061</v>
      </c>
      <c r="O103" s="42">
        <v>43702</v>
      </c>
      <c r="P103" s="45"/>
      <c r="Q103" s="38" t="s">
        <v>2517</v>
      </c>
      <c r="R103" s="66" t="s">
        <v>211</v>
      </c>
      <c r="S103" s="38"/>
    </row>
    <row r="104" spans="2:19" s="32" customFormat="1" ht="33" customHeight="1">
      <c r="B104" s="46" t="s">
        <v>210</v>
      </c>
      <c r="C104" s="35" t="s">
        <v>2528</v>
      </c>
      <c r="D104" s="190" t="s">
        <v>2704</v>
      </c>
      <c r="E104" s="37">
        <v>43609</v>
      </c>
      <c r="F104" s="38" t="s">
        <v>218</v>
      </c>
      <c r="G104" s="39">
        <v>3200</v>
      </c>
      <c r="H104" s="38">
        <f t="shared" si="10"/>
        <v>160</v>
      </c>
      <c r="I104" s="38">
        <f t="shared" si="11"/>
        <v>5</v>
      </c>
      <c r="J104" s="38"/>
      <c r="K104" s="40">
        <v>43660</v>
      </c>
      <c r="L104" s="41" t="s">
        <v>1326</v>
      </c>
      <c r="M104" s="42">
        <v>43648</v>
      </c>
      <c r="N104" s="43" t="s">
        <v>2540</v>
      </c>
      <c r="O104" s="42">
        <v>43653</v>
      </c>
      <c r="P104" s="45"/>
      <c r="Q104" s="38" t="s">
        <v>2148</v>
      </c>
      <c r="R104" s="66" t="s">
        <v>211</v>
      </c>
      <c r="S104" s="38"/>
    </row>
    <row r="105" spans="2:19" s="32" customFormat="1" ht="33" customHeight="1">
      <c r="B105" s="46" t="s">
        <v>210</v>
      </c>
      <c r="C105" s="35" t="s">
        <v>2529</v>
      </c>
      <c r="D105" s="190" t="s">
        <v>2705</v>
      </c>
      <c r="E105" s="37">
        <v>43609</v>
      </c>
      <c r="F105" s="38" t="s">
        <v>218</v>
      </c>
      <c r="G105" s="39">
        <v>3200</v>
      </c>
      <c r="H105" s="38">
        <f t="shared" si="10"/>
        <v>160</v>
      </c>
      <c r="I105" s="38">
        <f t="shared" si="11"/>
        <v>5</v>
      </c>
      <c r="J105" s="38"/>
      <c r="K105" s="40">
        <v>43675</v>
      </c>
      <c r="L105" s="41" t="s">
        <v>2146</v>
      </c>
      <c r="M105" s="42">
        <v>43669</v>
      </c>
      <c r="N105" s="43" t="s">
        <v>2551</v>
      </c>
      <c r="O105" s="42">
        <v>43674</v>
      </c>
      <c r="P105" s="45"/>
      <c r="Q105" s="38" t="s">
        <v>2150</v>
      </c>
      <c r="R105" s="66" t="s">
        <v>211</v>
      </c>
      <c r="S105" s="38"/>
    </row>
    <row r="106" spans="2:19" s="32" customFormat="1" ht="33" customHeight="1">
      <c r="B106" s="46" t="s">
        <v>4095</v>
      </c>
      <c r="C106" s="35" t="s">
        <v>3497</v>
      </c>
      <c r="D106" s="190" t="s">
        <v>3498</v>
      </c>
      <c r="E106" s="37">
        <v>43637</v>
      </c>
      <c r="F106" s="38" t="s">
        <v>218</v>
      </c>
      <c r="G106" s="39">
        <v>3200</v>
      </c>
      <c r="H106" s="38">
        <f t="shared" si="10"/>
        <v>160</v>
      </c>
      <c r="I106" s="38">
        <f t="shared" si="11"/>
        <v>5</v>
      </c>
      <c r="J106" s="38"/>
      <c r="K106" s="40">
        <v>43716</v>
      </c>
      <c r="L106" s="41" t="s">
        <v>4096</v>
      </c>
      <c r="M106" s="42">
        <v>43711</v>
      </c>
      <c r="N106" s="43" t="s">
        <v>4097</v>
      </c>
      <c r="O106" s="42">
        <v>43716</v>
      </c>
      <c r="P106" s="45"/>
      <c r="Q106" s="38"/>
      <c r="R106" s="66" t="s">
        <v>211</v>
      </c>
      <c r="S106" s="38"/>
    </row>
    <row r="107" spans="2:19" s="32" customFormat="1" ht="33" customHeight="1">
      <c r="B107" s="46" t="s">
        <v>4098</v>
      </c>
      <c r="C107" s="35" t="s">
        <v>3499</v>
      </c>
      <c r="D107" s="190" t="s">
        <v>3500</v>
      </c>
      <c r="E107" s="37">
        <v>43637</v>
      </c>
      <c r="F107" s="38" t="s">
        <v>218</v>
      </c>
      <c r="G107" s="39">
        <v>3200</v>
      </c>
      <c r="H107" s="38">
        <f t="shared" si="10"/>
        <v>160</v>
      </c>
      <c r="I107" s="38">
        <f t="shared" si="11"/>
        <v>5</v>
      </c>
      <c r="J107" s="38"/>
      <c r="K107" s="40">
        <v>43730</v>
      </c>
      <c r="L107" s="41" t="s">
        <v>4099</v>
      </c>
      <c r="M107" s="42">
        <v>43725</v>
      </c>
      <c r="N107" s="43" t="s">
        <v>4100</v>
      </c>
      <c r="O107" s="42">
        <v>43730</v>
      </c>
      <c r="P107" s="45"/>
      <c r="Q107" s="38"/>
      <c r="R107" s="66" t="s">
        <v>211</v>
      </c>
      <c r="S107" s="38"/>
    </row>
    <row r="108" spans="2:19" s="32" customFormat="1" ht="33" customHeight="1">
      <c r="B108" s="46" t="s">
        <v>3823</v>
      </c>
      <c r="C108" s="35" t="s">
        <v>3501</v>
      </c>
      <c r="D108" s="190" t="s">
        <v>3502</v>
      </c>
      <c r="E108" s="37">
        <v>43637</v>
      </c>
      <c r="F108" s="38" t="s">
        <v>218</v>
      </c>
      <c r="G108" s="39">
        <v>3200</v>
      </c>
      <c r="H108" s="38">
        <f t="shared" si="10"/>
        <v>160</v>
      </c>
      <c r="I108" s="38">
        <f t="shared" si="11"/>
        <v>5</v>
      </c>
      <c r="J108" s="38"/>
      <c r="K108" s="40">
        <v>43737</v>
      </c>
      <c r="L108" s="41" t="s">
        <v>4101</v>
      </c>
      <c r="M108" s="42">
        <v>43732</v>
      </c>
      <c r="N108" s="43" t="s">
        <v>4102</v>
      </c>
      <c r="O108" s="42">
        <v>43737</v>
      </c>
      <c r="P108" s="45"/>
      <c r="Q108" s="38"/>
      <c r="R108" s="66" t="s">
        <v>211</v>
      </c>
      <c r="S108" s="38"/>
    </row>
    <row r="109" spans="2:19" s="32" customFormat="1" ht="33" customHeight="1">
      <c r="B109" s="122" t="s">
        <v>4168</v>
      </c>
      <c r="C109" s="126" t="s">
        <v>4103</v>
      </c>
      <c r="D109" s="187"/>
      <c r="E109" s="128">
        <v>43657</v>
      </c>
      <c r="F109" s="124" t="s">
        <v>218</v>
      </c>
      <c r="G109" s="129">
        <v>3200</v>
      </c>
      <c r="H109" s="124">
        <f t="shared" si="10"/>
        <v>160</v>
      </c>
      <c r="I109" s="124">
        <f t="shared" si="11"/>
        <v>5</v>
      </c>
      <c r="J109" s="124"/>
      <c r="K109" s="130">
        <v>43723</v>
      </c>
      <c r="L109" s="119" t="s">
        <v>4166</v>
      </c>
      <c r="M109" s="120">
        <v>43718</v>
      </c>
      <c r="N109" s="121" t="s">
        <v>4020</v>
      </c>
      <c r="O109" s="120">
        <v>43723</v>
      </c>
      <c r="P109" s="123"/>
      <c r="Q109" s="124" t="s">
        <v>4167</v>
      </c>
      <c r="R109" s="134" t="s">
        <v>211</v>
      </c>
      <c r="S109" s="124"/>
    </row>
    <row r="110" spans="2:19" s="34" customFormat="1" ht="33" customHeight="1">
      <c r="B110" s="47" t="s">
        <v>831</v>
      </c>
      <c r="C110" s="48" t="s">
        <v>235</v>
      </c>
      <c r="D110" s="49" t="s">
        <v>744</v>
      </c>
      <c r="E110" s="50">
        <v>43532</v>
      </c>
      <c r="F110" s="52" t="s">
        <v>4104</v>
      </c>
      <c r="G110" s="51">
        <v>1280</v>
      </c>
      <c r="H110" s="52">
        <f t="shared" si="10"/>
        <v>64</v>
      </c>
      <c r="I110" s="52">
        <f t="shared" si="11"/>
        <v>2</v>
      </c>
      <c r="J110" s="52"/>
      <c r="K110" s="53">
        <v>43597</v>
      </c>
      <c r="L110" s="54" t="s">
        <v>605</v>
      </c>
      <c r="M110" s="55">
        <v>43594</v>
      </c>
      <c r="N110" s="56" t="s">
        <v>772</v>
      </c>
      <c r="O110" s="55">
        <v>43598</v>
      </c>
      <c r="P110" s="58"/>
      <c r="Q110" s="52" t="s">
        <v>641</v>
      </c>
      <c r="R110" s="63" t="s">
        <v>211</v>
      </c>
      <c r="S110" s="52"/>
    </row>
    <row r="111" spans="2:19" s="32" customFormat="1" ht="33" customHeight="1">
      <c r="B111" s="46" t="s">
        <v>831</v>
      </c>
      <c r="C111" s="35" t="s">
        <v>1569</v>
      </c>
      <c r="D111" s="36" t="s">
        <v>4105</v>
      </c>
      <c r="E111" s="37">
        <v>43581</v>
      </c>
      <c r="F111" s="38" t="s">
        <v>4104</v>
      </c>
      <c r="G111" s="39">
        <v>1280</v>
      </c>
      <c r="H111" s="38">
        <f t="shared" si="10"/>
        <v>64</v>
      </c>
      <c r="I111" s="38">
        <f t="shared" si="11"/>
        <v>2</v>
      </c>
      <c r="J111" s="38"/>
      <c r="K111" s="40">
        <v>43632</v>
      </c>
      <c r="L111" s="41" t="s">
        <v>807</v>
      </c>
      <c r="M111" s="42">
        <v>43627</v>
      </c>
      <c r="N111" s="43" t="s">
        <v>4106</v>
      </c>
      <c r="O111" s="42">
        <v>43632</v>
      </c>
      <c r="P111" s="45"/>
      <c r="Q111" s="38" t="s">
        <v>1810</v>
      </c>
      <c r="R111" s="66" t="s">
        <v>211</v>
      </c>
      <c r="S111" s="38"/>
    </row>
    <row r="112" spans="2:19" s="32" customFormat="1" ht="33" customHeight="1">
      <c r="B112" s="46" t="s">
        <v>831</v>
      </c>
      <c r="C112" s="35" t="s">
        <v>90</v>
      </c>
      <c r="D112" s="36" t="s">
        <v>4107</v>
      </c>
      <c r="E112" s="37">
        <v>43595</v>
      </c>
      <c r="F112" s="38" t="s">
        <v>4104</v>
      </c>
      <c r="G112" s="39">
        <v>1280</v>
      </c>
      <c r="H112" s="38">
        <f t="shared" si="10"/>
        <v>64</v>
      </c>
      <c r="I112" s="38">
        <f t="shared" si="11"/>
        <v>2</v>
      </c>
      <c r="J112" s="38"/>
      <c r="K112" s="40">
        <v>43646</v>
      </c>
      <c r="L112" s="41" t="s">
        <v>1326</v>
      </c>
      <c r="M112" s="42">
        <v>43648</v>
      </c>
      <c r="N112" s="43" t="s">
        <v>4108</v>
      </c>
      <c r="O112" s="42">
        <v>43653</v>
      </c>
      <c r="P112" s="45"/>
      <c r="Q112" s="38" t="s">
        <v>2148</v>
      </c>
      <c r="R112" s="66" t="s">
        <v>211</v>
      </c>
      <c r="S112" s="38"/>
    </row>
    <row r="113" spans="1:19" s="32" customFormat="1" ht="33" customHeight="1">
      <c r="B113" s="46" t="s">
        <v>831</v>
      </c>
      <c r="C113" s="35" t="s">
        <v>2088</v>
      </c>
      <c r="D113" s="36" t="s">
        <v>4109</v>
      </c>
      <c r="E113" s="37">
        <v>43595</v>
      </c>
      <c r="F113" s="38" t="s">
        <v>4104</v>
      </c>
      <c r="G113" s="39">
        <v>640</v>
      </c>
      <c r="H113" s="38">
        <f t="shared" si="10"/>
        <v>32</v>
      </c>
      <c r="I113" s="38">
        <f t="shared" si="11"/>
        <v>1</v>
      </c>
      <c r="J113" s="38"/>
      <c r="K113" s="40">
        <v>43709</v>
      </c>
      <c r="L113" s="41" t="s">
        <v>4110</v>
      </c>
      <c r="M113" s="42">
        <v>43706</v>
      </c>
      <c r="N113" s="43" t="s">
        <v>4111</v>
      </c>
      <c r="O113" s="42">
        <v>43710</v>
      </c>
      <c r="P113" s="45"/>
      <c r="Q113" s="66" t="s">
        <v>2548</v>
      </c>
      <c r="R113" s="66" t="s">
        <v>211</v>
      </c>
      <c r="S113" s="38"/>
    </row>
    <row r="114" spans="1:19" s="32" customFormat="1" ht="33" customHeight="1">
      <c r="B114" s="46" t="s">
        <v>4112</v>
      </c>
      <c r="C114" s="35" t="s">
        <v>208</v>
      </c>
      <c r="D114" s="190" t="s">
        <v>4113</v>
      </c>
      <c r="E114" s="37">
        <v>43602</v>
      </c>
      <c r="F114" s="38" t="s">
        <v>4104</v>
      </c>
      <c r="G114" s="39">
        <v>640</v>
      </c>
      <c r="H114" s="38">
        <f t="shared" si="10"/>
        <v>32</v>
      </c>
      <c r="I114" s="38">
        <f t="shared" si="11"/>
        <v>1</v>
      </c>
      <c r="J114" s="38"/>
      <c r="K114" s="196">
        <v>43744</v>
      </c>
      <c r="L114" s="41" t="s">
        <v>4114</v>
      </c>
      <c r="M114" s="42">
        <v>43739</v>
      </c>
      <c r="N114" s="43" t="s">
        <v>4115</v>
      </c>
      <c r="O114" s="42">
        <v>43744</v>
      </c>
      <c r="P114" s="45"/>
      <c r="Q114" s="66" t="s">
        <v>4116</v>
      </c>
      <c r="R114" s="66" t="s">
        <v>211</v>
      </c>
      <c r="S114" s="38"/>
    </row>
    <row r="115" spans="1:19" s="32" customFormat="1" ht="33" customHeight="1">
      <c r="B115" s="135" t="s">
        <v>831</v>
      </c>
      <c r="C115" s="136" t="s">
        <v>212</v>
      </c>
      <c r="D115" s="191" t="s">
        <v>4117</v>
      </c>
      <c r="E115" s="138">
        <v>43602</v>
      </c>
      <c r="F115" s="139" t="s">
        <v>4104</v>
      </c>
      <c r="G115" s="140">
        <v>640</v>
      </c>
      <c r="H115" s="139">
        <f t="shared" si="10"/>
        <v>32</v>
      </c>
      <c r="I115" s="139">
        <f t="shared" si="11"/>
        <v>1</v>
      </c>
      <c r="J115" s="139"/>
      <c r="K115" s="141" t="s">
        <v>2545</v>
      </c>
      <c r="L115" s="142"/>
      <c r="M115" s="143"/>
      <c r="N115" s="144"/>
      <c r="O115" s="143"/>
      <c r="P115" s="145"/>
      <c r="Q115" s="193" t="s">
        <v>2517</v>
      </c>
      <c r="R115" s="192" t="s">
        <v>211</v>
      </c>
      <c r="S115" s="139" t="s">
        <v>2541</v>
      </c>
    </row>
    <row r="116" spans="1:19" s="33" customFormat="1" ht="33" customHeight="1">
      <c r="A116" s="33" t="s">
        <v>4118</v>
      </c>
      <c r="B116" s="47" t="s">
        <v>4119</v>
      </c>
      <c r="C116" s="48" t="s">
        <v>225</v>
      </c>
      <c r="D116" s="49" t="s">
        <v>487</v>
      </c>
      <c r="E116" s="50">
        <v>43490</v>
      </c>
      <c r="F116" s="52" t="s">
        <v>4120</v>
      </c>
      <c r="G116" s="51">
        <v>1520</v>
      </c>
      <c r="H116" s="52">
        <f>SUM(G116/190)</f>
        <v>8</v>
      </c>
      <c r="I116" s="52">
        <f>SUM(H116/4)</f>
        <v>2</v>
      </c>
      <c r="J116" s="52"/>
      <c r="K116" s="53">
        <v>43569</v>
      </c>
      <c r="L116" s="54" t="s">
        <v>417</v>
      </c>
      <c r="M116" s="55">
        <v>43564</v>
      </c>
      <c r="N116" s="56" t="s">
        <v>4121</v>
      </c>
      <c r="O116" s="55">
        <v>43569</v>
      </c>
      <c r="P116" s="58"/>
      <c r="Q116" s="52"/>
      <c r="R116" s="63" t="s">
        <v>4122</v>
      </c>
      <c r="S116" s="47"/>
    </row>
    <row r="117" spans="1:19" s="30" customFormat="1" ht="33" customHeight="1">
      <c r="B117" s="46" t="s">
        <v>4119</v>
      </c>
      <c r="C117" s="35" t="s">
        <v>226</v>
      </c>
      <c r="D117" s="36" t="s">
        <v>833</v>
      </c>
      <c r="E117" s="37">
        <v>43546</v>
      </c>
      <c r="F117" s="38" t="s">
        <v>4120</v>
      </c>
      <c r="G117" s="39">
        <v>1520</v>
      </c>
      <c r="H117" s="38">
        <f>SUM(G117/190)</f>
        <v>8</v>
      </c>
      <c r="I117" s="38">
        <f>SUM(H117/4)</f>
        <v>2</v>
      </c>
      <c r="J117" s="38"/>
      <c r="K117" s="40">
        <v>43632</v>
      </c>
      <c r="L117" s="41" t="s">
        <v>4123</v>
      </c>
      <c r="M117" s="42">
        <v>43627</v>
      </c>
      <c r="N117" s="43" t="s">
        <v>4106</v>
      </c>
      <c r="O117" s="42">
        <v>43632</v>
      </c>
      <c r="P117" s="45"/>
      <c r="Q117" s="38"/>
      <c r="R117" s="66" t="s">
        <v>4124</v>
      </c>
      <c r="S117" s="46"/>
    </row>
    <row r="118" spans="1:19" s="30" customFormat="1" ht="33" customHeight="1">
      <c r="B118" s="46" t="s">
        <v>2514</v>
      </c>
      <c r="C118" s="35" t="s">
        <v>4125</v>
      </c>
      <c r="D118" s="36" t="s">
        <v>4126</v>
      </c>
      <c r="E118" s="37">
        <v>43602</v>
      </c>
      <c r="F118" s="38" t="s">
        <v>2516</v>
      </c>
      <c r="G118" s="39">
        <v>1520</v>
      </c>
      <c r="H118" s="38">
        <v>8</v>
      </c>
      <c r="I118" s="38">
        <v>2</v>
      </c>
      <c r="J118" s="38"/>
      <c r="K118" s="40">
        <v>43702</v>
      </c>
      <c r="L118" s="41" t="s">
        <v>4127</v>
      </c>
      <c r="M118" s="42">
        <v>43697</v>
      </c>
      <c r="N118" s="43" t="s">
        <v>4128</v>
      </c>
      <c r="O118" s="42">
        <v>43702</v>
      </c>
      <c r="P118" s="45"/>
      <c r="Q118" s="38"/>
      <c r="R118" s="66"/>
      <c r="S118" s="46"/>
    </row>
    <row r="119" spans="1:19" s="33" customFormat="1" ht="33" customHeight="1">
      <c r="B119" s="47" t="s">
        <v>238</v>
      </c>
      <c r="C119" s="48" t="s">
        <v>4129</v>
      </c>
      <c r="D119" s="49" t="s">
        <v>474</v>
      </c>
      <c r="E119" s="50"/>
      <c r="F119" s="52" t="s">
        <v>236</v>
      </c>
      <c r="G119" s="51">
        <v>3200</v>
      </c>
      <c r="H119" s="52">
        <f t="shared" ref="H119:H128" si="12">SUM(G119/200)</f>
        <v>16</v>
      </c>
      <c r="I119" s="52">
        <f t="shared" ref="I119:I128" si="13">SUM(H119/4)</f>
        <v>4</v>
      </c>
      <c r="J119" s="52"/>
      <c r="K119" s="53">
        <v>43562</v>
      </c>
      <c r="L119" s="54" t="s">
        <v>4130</v>
      </c>
      <c r="M119" s="55">
        <v>43557</v>
      </c>
      <c r="N119" s="56" t="s">
        <v>4131</v>
      </c>
      <c r="O119" s="55">
        <v>43562</v>
      </c>
      <c r="P119" s="58"/>
      <c r="Q119" s="52"/>
      <c r="R119" s="63"/>
      <c r="S119" s="47"/>
    </row>
    <row r="120" spans="1:19" s="33" customFormat="1" ht="33" customHeight="1">
      <c r="B120" s="47" t="s">
        <v>238</v>
      </c>
      <c r="C120" s="48" t="s">
        <v>4132</v>
      </c>
      <c r="D120" s="49" t="s">
        <v>475</v>
      </c>
      <c r="E120" s="50"/>
      <c r="F120" s="52" t="s">
        <v>236</v>
      </c>
      <c r="G120" s="51">
        <v>1600</v>
      </c>
      <c r="H120" s="52">
        <f t="shared" si="12"/>
        <v>8</v>
      </c>
      <c r="I120" s="52">
        <f t="shared" si="13"/>
        <v>2</v>
      </c>
      <c r="J120" s="52"/>
      <c r="K120" s="53">
        <v>43562</v>
      </c>
      <c r="L120" s="54" t="s">
        <v>4133</v>
      </c>
      <c r="M120" s="55">
        <v>43564</v>
      </c>
      <c r="N120" s="56" t="s">
        <v>4121</v>
      </c>
      <c r="O120" s="55">
        <v>43569</v>
      </c>
      <c r="P120" s="58"/>
      <c r="Q120" s="52"/>
      <c r="R120" s="63"/>
      <c r="S120" s="47"/>
    </row>
    <row r="121" spans="1:19" s="33" customFormat="1" ht="33" customHeight="1">
      <c r="B121" s="47" t="s">
        <v>238</v>
      </c>
      <c r="C121" s="48" t="s">
        <v>4134</v>
      </c>
      <c r="D121" s="49" t="s">
        <v>488</v>
      </c>
      <c r="E121" s="50">
        <v>43495</v>
      </c>
      <c r="F121" s="52" t="s">
        <v>236</v>
      </c>
      <c r="G121" s="51">
        <v>1600</v>
      </c>
      <c r="H121" s="52">
        <f t="shared" si="12"/>
        <v>8</v>
      </c>
      <c r="I121" s="52">
        <f t="shared" si="13"/>
        <v>2</v>
      </c>
      <c r="J121" s="52"/>
      <c r="K121" s="53">
        <v>43583</v>
      </c>
      <c r="L121" s="54" t="s">
        <v>4135</v>
      </c>
      <c r="M121" s="55">
        <v>43578</v>
      </c>
      <c r="N121" s="56" t="s">
        <v>4136</v>
      </c>
      <c r="O121" s="55">
        <v>43583</v>
      </c>
      <c r="P121" s="58"/>
      <c r="Q121" s="52"/>
      <c r="R121" s="63"/>
      <c r="S121" s="47"/>
    </row>
    <row r="122" spans="1:19" s="33" customFormat="1" ht="33" customHeight="1">
      <c r="B122" s="47" t="s">
        <v>238</v>
      </c>
      <c r="C122" s="48" t="s">
        <v>4137</v>
      </c>
      <c r="D122" s="49" t="s">
        <v>598</v>
      </c>
      <c r="E122" s="50">
        <v>43519</v>
      </c>
      <c r="F122" s="52" t="s">
        <v>236</v>
      </c>
      <c r="G122" s="51">
        <v>1600</v>
      </c>
      <c r="H122" s="52">
        <f t="shared" si="12"/>
        <v>8</v>
      </c>
      <c r="I122" s="52">
        <f t="shared" si="13"/>
        <v>2</v>
      </c>
      <c r="J122" s="52"/>
      <c r="K122" s="53">
        <v>43597</v>
      </c>
      <c r="L122" s="54" t="s">
        <v>4138</v>
      </c>
      <c r="M122" s="55">
        <v>43592</v>
      </c>
      <c r="N122" s="56" t="s">
        <v>4139</v>
      </c>
      <c r="O122" s="55">
        <v>43597</v>
      </c>
      <c r="P122" s="58"/>
      <c r="Q122" s="52"/>
      <c r="R122" s="63"/>
      <c r="S122" s="47"/>
    </row>
    <row r="123" spans="1:19" s="33" customFormat="1" ht="33" customHeight="1">
      <c r="B123" s="47" t="s">
        <v>238</v>
      </c>
      <c r="C123" s="48" t="s">
        <v>4140</v>
      </c>
      <c r="D123" s="49" t="s">
        <v>598</v>
      </c>
      <c r="E123" s="50">
        <v>43519</v>
      </c>
      <c r="F123" s="52" t="s">
        <v>236</v>
      </c>
      <c r="G123" s="51">
        <v>1600</v>
      </c>
      <c r="H123" s="52">
        <f t="shared" si="12"/>
        <v>8</v>
      </c>
      <c r="I123" s="52">
        <f t="shared" si="13"/>
        <v>2</v>
      </c>
      <c r="J123" s="52"/>
      <c r="K123" s="53">
        <v>43597</v>
      </c>
      <c r="L123" s="54" t="s">
        <v>4141</v>
      </c>
      <c r="M123" s="55">
        <v>43606</v>
      </c>
      <c r="N123" s="56" t="s">
        <v>4142</v>
      </c>
      <c r="O123" s="55">
        <v>43613</v>
      </c>
      <c r="P123" s="58"/>
      <c r="Q123" s="52"/>
      <c r="R123" s="63"/>
      <c r="S123" s="47"/>
    </row>
    <row r="124" spans="1:19" s="30" customFormat="1" ht="33" customHeight="1">
      <c r="B124" s="46" t="s">
        <v>238</v>
      </c>
      <c r="C124" s="35" t="s">
        <v>226</v>
      </c>
      <c r="D124" s="36" t="s">
        <v>749</v>
      </c>
      <c r="E124" s="37">
        <v>43532</v>
      </c>
      <c r="F124" s="38" t="s">
        <v>236</v>
      </c>
      <c r="G124" s="39">
        <v>3200</v>
      </c>
      <c r="H124" s="38">
        <f t="shared" si="12"/>
        <v>16</v>
      </c>
      <c r="I124" s="38">
        <f t="shared" si="13"/>
        <v>4</v>
      </c>
      <c r="J124" s="38"/>
      <c r="K124" s="40">
        <v>43625</v>
      </c>
      <c r="L124" s="41" t="s">
        <v>2538</v>
      </c>
      <c r="M124" s="42">
        <v>43627</v>
      </c>
      <c r="N124" s="43" t="s">
        <v>808</v>
      </c>
      <c r="O124" s="42">
        <v>43632</v>
      </c>
      <c r="P124" s="45"/>
      <c r="Q124" s="38"/>
      <c r="R124" s="66"/>
      <c r="S124" s="46" t="s">
        <v>2539</v>
      </c>
    </row>
    <row r="125" spans="1:19" s="30" customFormat="1" ht="33" customHeight="1">
      <c r="B125" s="46" t="s">
        <v>238</v>
      </c>
      <c r="C125" s="35" t="s">
        <v>233</v>
      </c>
      <c r="D125" s="36" t="s">
        <v>750</v>
      </c>
      <c r="E125" s="37">
        <v>43532</v>
      </c>
      <c r="F125" s="38" t="s">
        <v>236</v>
      </c>
      <c r="G125" s="39">
        <v>3200</v>
      </c>
      <c r="H125" s="38">
        <f t="shared" si="12"/>
        <v>16</v>
      </c>
      <c r="I125" s="38">
        <f t="shared" si="13"/>
        <v>4</v>
      </c>
      <c r="J125" s="38"/>
      <c r="K125" s="40">
        <v>43646</v>
      </c>
      <c r="L125" s="41" t="s">
        <v>4143</v>
      </c>
      <c r="M125" s="42">
        <v>43641</v>
      </c>
      <c r="N125" s="43" t="s">
        <v>4144</v>
      </c>
      <c r="O125" s="42">
        <v>43646</v>
      </c>
      <c r="P125" s="45"/>
      <c r="Q125" s="38"/>
      <c r="R125" s="66"/>
      <c r="S125" s="46"/>
    </row>
    <row r="126" spans="1:19" s="30" customFormat="1" ht="33" customHeight="1">
      <c r="B126" s="46" t="s">
        <v>238</v>
      </c>
      <c r="C126" s="35" t="s">
        <v>285</v>
      </c>
      <c r="D126" s="36" t="s">
        <v>1305</v>
      </c>
      <c r="E126" s="37">
        <v>43567</v>
      </c>
      <c r="F126" s="38" t="s">
        <v>236</v>
      </c>
      <c r="G126" s="39">
        <v>3200</v>
      </c>
      <c r="H126" s="38">
        <f t="shared" si="12"/>
        <v>16</v>
      </c>
      <c r="I126" s="38">
        <f t="shared" si="13"/>
        <v>4</v>
      </c>
      <c r="J126" s="38"/>
      <c r="K126" s="40">
        <v>43660</v>
      </c>
      <c r="L126" s="41" t="s">
        <v>4145</v>
      </c>
      <c r="M126" s="42">
        <v>43655</v>
      </c>
      <c r="N126" s="43" t="s">
        <v>4146</v>
      </c>
      <c r="O126" s="42">
        <v>43660</v>
      </c>
      <c r="P126" s="45"/>
      <c r="Q126" s="38"/>
      <c r="R126" s="66"/>
      <c r="S126" s="46"/>
    </row>
    <row r="127" spans="1:19" s="30" customFormat="1" ht="33" customHeight="1">
      <c r="B127" s="46" t="s">
        <v>238</v>
      </c>
      <c r="C127" s="35" t="s">
        <v>331</v>
      </c>
      <c r="D127" s="36" t="s">
        <v>1306</v>
      </c>
      <c r="E127" s="37">
        <v>43567</v>
      </c>
      <c r="F127" s="38" t="s">
        <v>236</v>
      </c>
      <c r="G127" s="39">
        <v>3200</v>
      </c>
      <c r="H127" s="38">
        <f t="shared" si="12"/>
        <v>16</v>
      </c>
      <c r="I127" s="38">
        <f t="shared" si="13"/>
        <v>4</v>
      </c>
      <c r="J127" s="38"/>
      <c r="K127" s="40">
        <v>43674</v>
      </c>
      <c r="L127" s="41" t="s">
        <v>4147</v>
      </c>
      <c r="M127" s="42">
        <v>43669</v>
      </c>
      <c r="N127" s="43" t="s">
        <v>4148</v>
      </c>
      <c r="O127" s="42">
        <v>43674</v>
      </c>
      <c r="P127" s="45"/>
      <c r="Q127" s="38"/>
      <c r="R127" s="66"/>
      <c r="S127" s="46"/>
    </row>
    <row r="128" spans="1:19" s="30" customFormat="1" ht="33" customHeight="1">
      <c r="B128" s="46" t="s">
        <v>4149</v>
      </c>
      <c r="C128" s="35" t="s">
        <v>431</v>
      </c>
      <c r="D128" s="36" t="s">
        <v>4150</v>
      </c>
      <c r="E128" s="37">
        <v>43637</v>
      </c>
      <c r="F128" s="38" t="s">
        <v>236</v>
      </c>
      <c r="G128" s="39">
        <v>3200</v>
      </c>
      <c r="H128" s="38">
        <f t="shared" si="12"/>
        <v>16</v>
      </c>
      <c r="I128" s="38">
        <f t="shared" si="13"/>
        <v>4</v>
      </c>
      <c r="J128" s="38"/>
      <c r="K128" s="40">
        <v>43730</v>
      </c>
      <c r="L128" s="41" t="s">
        <v>4063</v>
      </c>
      <c r="M128" s="42">
        <v>43725</v>
      </c>
      <c r="N128" s="43" t="s">
        <v>4064</v>
      </c>
      <c r="O128" s="42">
        <v>43730</v>
      </c>
      <c r="P128" s="45"/>
      <c r="Q128" s="38"/>
      <c r="R128" s="66"/>
      <c r="S128" s="46"/>
    </row>
    <row r="129" spans="2:19" s="19" customFormat="1">
      <c r="B129"/>
      <c r="C129" s="15"/>
      <c r="D129" s="1"/>
      <c r="E129" s="174"/>
      <c r="F129"/>
      <c r="G129" s="11"/>
      <c r="H129"/>
      <c r="I129"/>
      <c r="J129"/>
      <c r="K129" s="13"/>
      <c r="L129"/>
      <c r="N129" s="28"/>
      <c r="P129"/>
      <c r="Q129"/>
      <c r="R129" s="17"/>
      <c r="S129"/>
    </row>
    <row r="130" spans="2:19" s="19" customFormat="1" ht="26.4" hidden="1">
      <c r="B130"/>
      <c r="C130" s="15"/>
      <c r="D130" s="1"/>
      <c r="F130" s="177"/>
      <c r="L130" s="176" t="s">
        <v>1821</v>
      </c>
      <c r="M130" s="177"/>
      <c r="N130" s="177"/>
      <c r="O130"/>
      <c r="P130" s="13"/>
      <c r="Q130"/>
      <c r="S130" s="28"/>
    </row>
    <row r="131" spans="2:19" ht="26.4" hidden="1">
      <c r="F131" s="177"/>
      <c r="L131" s="176" t="s">
        <v>1822</v>
      </c>
      <c r="M131" s="177"/>
      <c r="N131" s="177"/>
      <c r="O131"/>
      <c r="P131" s="13"/>
      <c r="R131" s="19"/>
      <c r="S131" s="28"/>
    </row>
    <row r="132" spans="2:19" ht="26.4" hidden="1">
      <c r="F132" s="177"/>
      <c r="L132" s="176" t="s">
        <v>1823</v>
      </c>
      <c r="M132" s="177"/>
      <c r="N132" s="177"/>
      <c r="O132"/>
      <c r="P132" s="13"/>
      <c r="R132" s="19"/>
      <c r="S132" s="28"/>
    </row>
    <row r="133" spans="2:19" hidden="1">
      <c r="E133" s="175"/>
      <c r="L133" s="11"/>
      <c r="M133"/>
      <c r="N133"/>
      <c r="O133"/>
      <c r="P133" s="13"/>
      <c r="R133" s="19"/>
      <c r="S133" s="28"/>
    </row>
    <row r="134" spans="2:19" s="19" customFormat="1" hidden="1">
      <c r="B134"/>
      <c r="C134" s="15"/>
      <c r="D134" s="1"/>
      <c r="L134" s="178" t="s">
        <v>1825</v>
      </c>
      <c r="M134" s="178" t="s">
        <v>1826</v>
      </c>
      <c r="N134" s="178" t="s">
        <v>1827</v>
      </c>
      <c r="O134" s="178" t="s">
        <v>1828</v>
      </c>
      <c r="P134" s="179" t="s">
        <v>4151</v>
      </c>
      <c r="Q134" s="179" t="s">
        <v>4152</v>
      </c>
      <c r="R134" s="179" t="s">
        <v>1831</v>
      </c>
      <c r="S134" s="179"/>
    </row>
    <row r="135" spans="2:19" s="19" customFormat="1" hidden="1">
      <c r="B135"/>
      <c r="C135" s="15"/>
      <c r="D135" s="1"/>
      <c r="L135" s="180" t="s">
        <v>4153</v>
      </c>
      <c r="M135" s="181" t="s">
        <v>1833</v>
      </c>
      <c r="N135" s="181" t="s">
        <v>1834</v>
      </c>
      <c r="O135" s="182" t="s">
        <v>1835</v>
      </c>
      <c r="P135" s="183">
        <v>1000</v>
      </c>
      <c r="Q135" s="183">
        <v>4</v>
      </c>
      <c r="R135" s="184">
        <v>43598</v>
      </c>
      <c r="S135" s="181" t="s">
        <v>99</v>
      </c>
    </row>
    <row r="136" spans="2:19" s="19" customFormat="1" hidden="1">
      <c r="B136"/>
      <c r="C136" s="15"/>
      <c r="D136" s="1"/>
      <c r="L136" s="180" t="s">
        <v>4153</v>
      </c>
      <c r="M136" s="181" t="s">
        <v>1836</v>
      </c>
      <c r="N136" s="181" t="s">
        <v>1834</v>
      </c>
      <c r="O136" s="182" t="s">
        <v>1835</v>
      </c>
      <c r="P136" s="183">
        <v>6000</v>
      </c>
      <c r="Q136" s="183">
        <v>24</v>
      </c>
      <c r="R136" s="184">
        <v>43598</v>
      </c>
      <c r="S136" s="181" t="s">
        <v>99</v>
      </c>
    </row>
    <row r="137" spans="2:19" s="19" customFormat="1" hidden="1">
      <c r="B137"/>
      <c r="C137" s="15"/>
      <c r="D137" s="1"/>
      <c r="L137" s="180" t="s">
        <v>4153</v>
      </c>
      <c r="M137" s="181" t="s">
        <v>1837</v>
      </c>
      <c r="N137" s="181" t="s">
        <v>1834</v>
      </c>
      <c r="O137" s="182" t="s">
        <v>1835</v>
      </c>
      <c r="P137" s="183">
        <v>5000</v>
      </c>
      <c r="Q137" s="183">
        <v>20</v>
      </c>
      <c r="R137" s="185" t="s">
        <v>4154</v>
      </c>
      <c r="S137" s="180" t="s">
        <v>4155</v>
      </c>
    </row>
    <row r="138" spans="2:19" s="19" customFormat="1" hidden="1">
      <c r="B138"/>
      <c r="C138" s="15"/>
      <c r="D138" s="1"/>
      <c r="L138" s="180" t="s">
        <v>4153</v>
      </c>
      <c r="M138" s="181" t="s">
        <v>1840</v>
      </c>
      <c r="N138" s="181" t="s">
        <v>1834</v>
      </c>
      <c r="O138" s="182" t="s">
        <v>1835</v>
      </c>
      <c r="P138" s="183">
        <v>5000</v>
      </c>
      <c r="Q138" s="183">
        <v>20</v>
      </c>
      <c r="R138" s="184">
        <v>43605</v>
      </c>
      <c r="S138" s="181" t="s">
        <v>99</v>
      </c>
    </row>
    <row r="139" spans="2:19" s="19" customFormat="1" hidden="1">
      <c r="B139"/>
      <c r="C139" s="15"/>
      <c r="D139" s="1"/>
      <c r="L139" s="180" t="s">
        <v>4153</v>
      </c>
      <c r="M139" s="181" t="s">
        <v>1841</v>
      </c>
      <c r="N139" s="181" t="s">
        <v>1834</v>
      </c>
      <c r="O139" s="182" t="s">
        <v>1835</v>
      </c>
      <c r="P139" s="183">
        <v>7000</v>
      </c>
      <c r="Q139" s="183">
        <v>28</v>
      </c>
      <c r="R139" s="184">
        <v>43605</v>
      </c>
      <c r="S139" s="181" t="s">
        <v>99</v>
      </c>
    </row>
    <row r="140" spans="2:19" hidden="1">
      <c r="L140" s="180" t="s">
        <v>4156</v>
      </c>
      <c r="M140" s="181" t="s">
        <v>1843</v>
      </c>
      <c r="N140" s="181" t="s">
        <v>1844</v>
      </c>
      <c r="O140" s="182" t="s">
        <v>1835</v>
      </c>
      <c r="P140" s="183">
        <v>2000</v>
      </c>
      <c r="Q140" s="183">
        <v>8</v>
      </c>
      <c r="R140" s="184">
        <v>43598</v>
      </c>
      <c r="S140" s="181" t="s">
        <v>99</v>
      </c>
    </row>
    <row r="141" spans="2:19" hidden="1">
      <c r="L141" s="180" t="s">
        <v>4156</v>
      </c>
      <c r="M141" s="181" t="s">
        <v>1845</v>
      </c>
      <c r="N141" s="181" t="s">
        <v>1844</v>
      </c>
      <c r="O141" s="182" t="s">
        <v>1835</v>
      </c>
      <c r="P141" s="183">
        <v>2000</v>
      </c>
      <c r="Q141" s="183">
        <v>8</v>
      </c>
      <c r="R141" s="184">
        <v>43598</v>
      </c>
      <c r="S141" s="181" t="s">
        <v>99</v>
      </c>
    </row>
    <row r="142" spans="2:19" hidden="1">
      <c r="L142" s="180" t="s">
        <v>4156</v>
      </c>
      <c r="M142" s="181" t="s">
        <v>1846</v>
      </c>
      <c r="N142" s="181" t="s">
        <v>1844</v>
      </c>
      <c r="O142" s="182" t="s">
        <v>1835</v>
      </c>
      <c r="P142" s="183">
        <v>10000</v>
      </c>
      <c r="Q142" s="183">
        <v>40</v>
      </c>
      <c r="R142" s="184">
        <v>43598</v>
      </c>
      <c r="S142" s="181" t="s">
        <v>99</v>
      </c>
    </row>
    <row r="143" spans="2:19" hidden="1">
      <c r="L143" s="180" t="s">
        <v>4156</v>
      </c>
      <c r="M143" s="181" t="s">
        <v>1847</v>
      </c>
      <c r="N143" s="181" t="s">
        <v>1844</v>
      </c>
      <c r="O143" s="182" t="s">
        <v>1835</v>
      </c>
      <c r="P143" s="183">
        <v>8000</v>
      </c>
      <c r="Q143" s="183">
        <v>32</v>
      </c>
      <c r="R143" s="184">
        <v>43598</v>
      </c>
      <c r="S143" s="180"/>
    </row>
    <row r="144" spans="2:19" hidden="1">
      <c r="L144" s="180" t="s">
        <v>4156</v>
      </c>
      <c r="M144" s="181" t="s">
        <v>1848</v>
      </c>
      <c r="N144" s="181" t="s">
        <v>1844</v>
      </c>
      <c r="O144" s="182" t="s">
        <v>1835</v>
      </c>
      <c r="P144" s="183">
        <v>10000</v>
      </c>
      <c r="Q144" s="183">
        <v>40</v>
      </c>
      <c r="R144" s="185" t="s">
        <v>4157</v>
      </c>
      <c r="S144" s="180" t="s">
        <v>4155</v>
      </c>
    </row>
    <row r="145" spans="12:19" hidden="1">
      <c r="L145" s="182" t="s">
        <v>4158</v>
      </c>
      <c r="M145" s="181" t="s">
        <v>1851</v>
      </c>
      <c r="N145" s="181" t="s">
        <v>1834</v>
      </c>
      <c r="O145" s="182" t="s">
        <v>1852</v>
      </c>
      <c r="P145" s="183">
        <v>5000</v>
      </c>
      <c r="Q145" s="183">
        <v>20</v>
      </c>
      <c r="R145" s="184">
        <v>43605</v>
      </c>
      <c r="S145" s="181" t="s">
        <v>99</v>
      </c>
    </row>
    <row r="146" spans="12:19" hidden="1">
      <c r="L146" s="180" t="s">
        <v>4159</v>
      </c>
      <c r="M146" s="181" t="s">
        <v>1851</v>
      </c>
      <c r="N146" s="181" t="s">
        <v>1844</v>
      </c>
      <c r="O146" s="182" t="s">
        <v>1835</v>
      </c>
      <c r="P146" s="183">
        <v>2000</v>
      </c>
      <c r="Q146" s="183">
        <v>8</v>
      </c>
      <c r="R146" s="184">
        <v>43605</v>
      </c>
      <c r="S146" s="181" t="s">
        <v>99</v>
      </c>
    </row>
    <row r="147" spans="12:19" hidden="1">
      <c r="L147" s="182" t="s">
        <v>4160</v>
      </c>
      <c r="M147" s="181" t="s">
        <v>1855</v>
      </c>
      <c r="N147" s="181" t="s">
        <v>1834</v>
      </c>
      <c r="O147" s="182" t="s">
        <v>1852</v>
      </c>
      <c r="P147" s="183">
        <v>6000</v>
      </c>
      <c r="Q147" s="183">
        <v>24</v>
      </c>
      <c r="R147" s="184">
        <v>43605</v>
      </c>
      <c r="S147" s="181" t="s">
        <v>99</v>
      </c>
    </row>
    <row r="148" spans="12:19" hidden="1">
      <c r="L148" s="182" t="s">
        <v>4160</v>
      </c>
      <c r="M148" s="181" t="s">
        <v>1856</v>
      </c>
      <c r="N148" s="181" t="s">
        <v>1834</v>
      </c>
      <c r="O148" s="182" t="s">
        <v>1852</v>
      </c>
      <c r="P148" s="183">
        <v>6000</v>
      </c>
      <c r="Q148" s="183">
        <v>24</v>
      </c>
      <c r="R148" s="185">
        <v>43605</v>
      </c>
      <c r="S148" s="180"/>
    </row>
    <row r="149" spans="12:19" hidden="1">
      <c r="L149" s="182" t="s">
        <v>4160</v>
      </c>
      <c r="M149" s="181" t="s">
        <v>1857</v>
      </c>
      <c r="N149" s="181" t="s">
        <v>1834</v>
      </c>
      <c r="O149" s="182" t="s">
        <v>1852</v>
      </c>
      <c r="P149" s="183">
        <v>6000</v>
      </c>
      <c r="Q149" s="183">
        <v>24</v>
      </c>
      <c r="R149" s="184" t="s">
        <v>4161</v>
      </c>
      <c r="S149" s="181" t="s">
        <v>4162</v>
      </c>
    </row>
    <row r="152" spans="12:19" ht="16.2">
      <c r="L152" s="186"/>
    </row>
    <row r="153" spans="12:19" ht="16.2">
      <c r="L153" s="186"/>
    </row>
    <row r="154" spans="12:19" ht="16.2">
      <c r="L154" s="186"/>
    </row>
    <row r="155" spans="12:19">
      <c r="Q155" t="s">
        <v>4163</v>
      </c>
    </row>
  </sheetData>
  <autoFilter ref="B2:R128" xr:uid="{00000000-0009-0000-0000-00000F000000}"/>
  <phoneticPr fontId="1"/>
  <pageMargins left="0.23622047244094491" right="0.23622047244094491" top="0.35433070866141736" bottom="0.35433070866141736" header="0.31496062992125984" footer="0.31496062992125984"/>
  <pageSetup paperSize="9" scale="77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67">
    <pageSetUpPr fitToPage="1"/>
  </sheetPr>
  <dimension ref="A1:S155"/>
  <sheetViews>
    <sheetView zoomScale="77" zoomScaleNormal="77" workbookViewId="0">
      <pane xSplit="1" ySplit="2" topLeftCell="B99" activePane="bottomRight" state="frozen"/>
      <selection pane="topRight" activeCell="B1" sqref="B1"/>
      <selection pane="bottomLeft" activeCell="A3" sqref="A3"/>
      <selection pane="bottomRight" activeCell="G120" sqref="G120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7.12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B2" s="194"/>
      <c r="C2" s="14" t="s">
        <v>3882</v>
      </c>
      <c r="D2" s="5" t="s">
        <v>0</v>
      </c>
      <c r="E2" s="6" t="s">
        <v>3883</v>
      </c>
      <c r="F2" s="6" t="s">
        <v>3884</v>
      </c>
      <c r="G2" s="10" t="s">
        <v>1</v>
      </c>
      <c r="H2" s="6" t="s">
        <v>15</v>
      </c>
      <c r="I2" s="6" t="s">
        <v>16</v>
      </c>
      <c r="J2" s="6" t="s">
        <v>3885</v>
      </c>
      <c r="K2" s="12" t="s">
        <v>3886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3887</v>
      </c>
      <c r="Q2" s="6" t="s">
        <v>3888</v>
      </c>
      <c r="R2" s="16" t="s">
        <v>6</v>
      </c>
      <c r="S2" s="16" t="s">
        <v>3889</v>
      </c>
    </row>
    <row r="3" spans="2:19" s="33" customFormat="1" ht="33" customHeight="1">
      <c r="B3" s="47" t="s">
        <v>220</v>
      </c>
      <c r="C3" s="48" t="s">
        <v>377</v>
      </c>
      <c r="D3" s="49" t="s">
        <v>378</v>
      </c>
      <c r="E3" s="50">
        <v>43455</v>
      </c>
      <c r="F3" s="49" t="s">
        <v>3890</v>
      </c>
      <c r="G3" s="51">
        <v>14000</v>
      </c>
      <c r="H3" s="52">
        <f t="shared" ref="H3:H37" si="0">SUM(G3/250)</f>
        <v>56</v>
      </c>
      <c r="I3" s="52">
        <f t="shared" ref="I3:I61" si="1">SUM(H3/4)</f>
        <v>14</v>
      </c>
      <c r="J3" s="49"/>
      <c r="K3" s="53">
        <v>43548</v>
      </c>
      <c r="L3" s="54" t="s">
        <v>1881</v>
      </c>
      <c r="M3" s="55">
        <v>43563</v>
      </c>
      <c r="N3" s="56" t="s">
        <v>1113</v>
      </c>
      <c r="O3" s="55">
        <v>43569</v>
      </c>
      <c r="P3" s="54" t="s">
        <v>839</v>
      </c>
      <c r="Q3" s="49"/>
      <c r="R3" s="57" t="s">
        <v>1115</v>
      </c>
      <c r="S3" s="47"/>
    </row>
    <row r="4" spans="2:19" s="33" customFormat="1" ht="33" customHeight="1">
      <c r="B4" s="47" t="s">
        <v>220</v>
      </c>
      <c r="C4" s="48" t="s">
        <v>421</v>
      </c>
      <c r="D4" s="49" t="s">
        <v>453</v>
      </c>
      <c r="E4" s="50">
        <v>43483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43576</v>
      </c>
      <c r="L4" s="54" t="s">
        <v>443</v>
      </c>
      <c r="M4" s="55">
        <v>43570</v>
      </c>
      <c r="N4" s="56" t="s">
        <v>1342</v>
      </c>
      <c r="O4" s="55">
        <v>43576</v>
      </c>
      <c r="P4" s="54" t="s">
        <v>981</v>
      </c>
      <c r="Q4" s="49"/>
      <c r="R4" s="57" t="s">
        <v>2192</v>
      </c>
      <c r="S4" s="47"/>
    </row>
    <row r="5" spans="2:19" s="33" customFormat="1" ht="33" customHeight="1">
      <c r="B5" s="47" t="s">
        <v>78</v>
      </c>
      <c r="C5" s="48" t="s">
        <v>422</v>
      </c>
      <c r="D5" s="49" t="s">
        <v>455</v>
      </c>
      <c r="E5" s="50">
        <v>43483</v>
      </c>
      <c r="F5" s="49" t="s">
        <v>91</v>
      </c>
      <c r="G5" s="51">
        <v>10000</v>
      </c>
      <c r="H5" s="52">
        <f t="shared" si="0"/>
        <v>40</v>
      </c>
      <c r="I5" s="52">
        <f t="shared" si="1"/>
        <v>10</v>
      </c>
      <c r="J5" s="49"/>
      <c r="K5" s="53">
        <v>43618</v>
      </c>
      <c r="L5" s="54" t="s">
        <v>442</v>
      </c>
      <c r="M5" s="55">
        <v>43612</v>
      </c>
      <c r="N5" s="56" t="s">
        <v>677</v>
      </c>
      <c r="O5" s="55">
        <v>43618</v>
      </c>
      <c r="P5" s="54" t="s">
        <v>2558</v>
      </c>
      <c r="Q5" s="49" t="s">
        <v>82</v>
      </c>
      <c r="R5" s="57" t="s">
        <v>2790</v>
      </c>
      <c r="S5" s="47"/>
    </row>
    <row r="6" spans="2:19" s="33" customFormat="1" ht="33" customHeight="1">
      <c r="B6" s="47" t="s">
        <v>78</v>
      </c>
      <c r="C6" s="48" t="s">
        <v>617</v>
      </c>
      <c r="D6" s="49" t="s">
        <v>455</v>
      </c>
      <c r="E6" s="50">
        <v>43523</v>
      </c>
      <c r="F6" s="49" t="s">
        <v>91</v>
      </c>
      <c r="G6" s="51">
        <v>10000</v>
      </c>
      <c r="H6" s="52">
        <f t="shared" si="0"/>
        <v>40</v>
      </c>
      <c r="I6" s="52">
        <f t="shared" si="1"/>
        <v>10</v>
      </c>
      <c r="J6" s="49"/>
      <c r="K6" s="53">
        <v>43618</v>
      </c>
      <c r="L6" s="54" t="s">
        <v>638</v>
      </c>
      <c r="M6" s="55">
        <v>43612</v>
      </c>
      <c r="N6" s="56" t="s">
        <v>636</v>
      </c>
      <c r="O6" s="55">
        <v>43618</v>
      </c>
      <c r="P6" s="54" t="s">
        <v>3277</v>
      </c>
      <c r="Q6" s="49" t="s">
        <v>82</v>
      </c>
      <c r="R6" s="57" t="s">
        <v>680</v>
      </c>
      <c r="S6" s="47"/>
    </row>
    <row r="7" spans="2:19" s="33" customFormat="1" ht="33" customHeight="1">
      <c r="B7" s="47" t="s">
        <v>78</v>
      </c>
      <c r="C7" s="48" t="s">
        <v>1898</v>
      </c>
      <c r="D7" s="49" t="s">
        <v>1337</v>
      </c>
      <c r="E7" s="50">
        <v>43483</v>
      </c>
      <c r="F7" s="49" t="s">
        <v>91</v>
      </c>
      <c r="G7" s="51">
        <v>20000</v>
      </c>
      <c r="H7" s="52">
        <f t="shared" si="0"/>
        <v>80</v>
      </c>
      <c r="I7" s="52">
        <f t="shared" si="1"/>
        <v>20</v>
      </c>
      <c r="J7" s="49"/>
      <c r="K7" s="53">
        <v>43618</v>
      </c>
      <c r="L7" s="54" t="s">
        <v>442</v>
      </c>
      <c r="M7" s="55">
        <v>43612</v>
      </c>
      <c r="N7" s="56" t="s">
        <v>677</v>
      </c>
      <c r="O7" s="55">
        <v>43618</v>
      </c>
      <c r="P7" s="54" t="s">
        <v>2202</v>
      </c>
      <c r="Q7" s="49" t="s">
        <v>82</v>
      </c>
      <c r="R7" s="57" t="s">
        <v>2790</v>
      </c>
      <c r="S7" s="47" t="s">
        <v>479</v>
      </c>
    </row>
    <row r="8" spans="2:19" s="33" customFormat="1" ht="33" customHeight="1">
      <c r="B8" s="47" t="s">
        <v>78</v>
      </c>
      <c r="C8" s="48" t="s">
        <v>423</v>
      </c>
      <c r="D8" s="49" t="s">
        <v>457</v>
      </c>
      <c r="E8" s="50">
        <v>43483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43576</v>
      </c>
      <c r="L8" s="54" t="s">
        <v>3891</v>
      </c>
      <c r="M8" s="55">
        <v>43570</v>
      </c>
      <c r="N8" s="56" t="s">
        <v>3892</v>
      </c>
      <c r="O8" s="55">
        <v>43576</v>
      </c>
      <c r="P8" s="54" t="s">
        <v>3893</v>
      </c>
      <c r="Q8" s="49" t="s">
        <v>82</v>
      </c>
      <c r="R8" s="57" t="s">
        <v>3894</v>
      </c>
      <c r="S8" s="47"/>
    </row>
    <row r="9" spans="2:19" s="33" customFormat="1" ht="33" customHeight="1">
      <c r="B9" s="47" t="s">
        <v>220</v>
      </c>
      <c r="C9" s="48" t="s">
        <v>425</v>
      </c>
      <c r="D9" s="49" t="s">
        <v>459</v>
      </c>
      <c r="E9" s="50">
        <v>43483</v>
      </c>
      <c r="F9" s="49" t="s">
        <v>79</v>
      </c>
      <c r="G9" s="51">
        <v>20000</v>
      </c>
      <c r="H9" s="52">
        <f t="shared" si="0"/>
        <v>80</v>
      </c>
      <c r="I9" s="52">
        <f t="shared" si="1"/>
        <v>20</v>
      </c>
      <c r="J9" s="49"/>
      <c r="K9" s="53">
        <v>43583</v>
      </c>
      <c r="L9" s="54" t="s">
        <v>3895</v>
      </c>
      <c r="M9" s="55">
        <v>43577</v>
      </c>
      <c r="N9" s="56" t="s">
        <v>3896</v>
      </c>
      <c r="O9" s="55">
        <v>43583</v>
      </c>
      <c r="P9" s="54" t="s">
        <v>3897</v>
      </c>
      <c r="Q9" s="49"/>
      <c r="R9" s="57" t="s">
        <v>3898</v>
      </c>
      <c r="S9" s="47"/>
    </row>
    <row r="10" spans="2:19" s="33" customFormat="1" ht="33" customHeight="1">
      <c r="B10" s="47" t="s">
        <v>78</v>
      </c>
      <c r="C10" s="48" t="s">
        <v>462</v>
      </c>
      <c r="D10" s="49" t="s">
        <v>483</v>
      </c>
      <c r="E10" s="50">
        <v>43490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43583</v>
      </c>
      <c r="L10" s="54" t="s">
        <v>3895</v>
      </c>
      <c r="M10" s="55">
        <v>43577</v>
      </c>
      <c r="N10" s="56" t="s">
        <v>3896</v>
      </c>
      <c r="O10" s="55">
        <v>43583</v>
      </c>
      <c r="P10" s="54" t="s">
        <v>3899</v>
      </c>
      <c r="Q10" s="49" t="s">
        <v>82</v>
      </c>
      <c r="R10" s="57" t="s">
        <v>3900</v>
      </c>
      <c r="S10" s="47"/>
    </row>
    <row r="11" spans="2:19" s="33" customFormat="1" ht="33" customHeight="1">
      <c r="B11" s="47" t="s">
        <v>78</v>
      </c>
      <c r="C11" s="48" t="s">
        <v>570</v>
      </c>
      <c r="D11" s="49" t="s">
        <v>571</v>
      </c>
      <c r="E11" s="50">
        <v>43519</v>
      </c>
      <c r="F11" s="49" t="s">
        <v>79</v>
      </c>
      <c r="G11" s="51">
        <v>20000</v>
      </c>
      <c r="H11" s="52">
        <f t="shared" si="0"/>
        <v>80</v>
      </c>
      <c r="I11" s="52">
        <f t="shared" si="1"/>
        <v>20</v>
      </c>
      <c r="J11" s="49"/>
      <c r="K11" s="53">
        <v>43590</v>
      </c>
      <c r="L11" s="54" t="s">
        <v>602</v>
      </c>
      <c r="M11" s="55">
        <v>43577</v>
      </c>
      <c r="N11" s="56" t="s">
        <v>3896</v>
      </c>
      <c r="O11" s="55">
        <v>43583</v>
      </c>
      <c r="P11" s="54" t="s">
        <v>3901</v>
      </c>
      <c r="Q11" s="49" t="s">
        <v>82</v>
      </c>
      <c r="R11" s="57" t="s">
        <v>3902</v>
      </c>
      <c r="S11" s="47"/>
    </row>
    <row r="12" spans="2:19" s="33" customFormat="1" ht="33" customHeight="1">
      <c r="B12" s="47" t="s">
        <v>78</v>
      </c>
      <c r="C12" s="48" t="s">
        <v>573</v>
      </c>
      <c r="D12" s="49" t="s">
        <v>574</v>
      </c>
      <c r="E12" s="50">
        <v>43519</v>
      </c>
      <c r="F12" s="49" t="s">
        <v>79</v>
      </c>
      <c r="G12" s="51">
        <v>20000</v>
      </c>
      <c r="H12" s="52">
        <f t="shared" si="0"/>
        <v>80</v>
      </c>
      <c r="I12" s="52">
        <f t="shared" si="1"/>
        <v>20</v>
      </c>
      <c r="J12" s="49"/>
      <c r="K12" s="53">
        <v>43604</v>
      </c>
      <c r="L12" s="54" t="s">
        <v>3903</v>
      </c>
      <c r="M12" s="55">
        <v>43598</v>
      </c>
      <c r="N12" s="56" t="s">
        <v>3904</v>
      </c>
      <c r="O12" s="55">
        <v>43604</v>
      </c>
      <c r="P12" s="54" t="s">
        <v>3905</v>
      </c>
      <c r="Q12" s="49" t="s">
        <v>82</v>
      </c>
      <c r="R12" s="57" t="s">
        <v>3906</v>
      </c>
      <c r="S12" s="47"/>
    </row>
    <row r="13" spans="2:19" s="33" customFormat="1" ht="33" customHeight="1">
      <c r="B13" s="47" t="s">
        <v>78</v>
      </c>
      <c r="C13" s="48" t="s">
        <v>3907</v>
      </c>
      <c r="D13" s="49" t="s">
        <v>577</v>
      </c>
      <c r="E13" s="50">
        <v>43519</v>
      </c>
      <c r="F13" s="49" t="s">
        <v>3908</v>
      </c>
      <c r="G13" s="51">
        <v>10000</v>
      </c>
      <c r="H13" s="52">
        <f t="shared" si="0"/>
        <v>40</v>
      </c>
      <c r="I13" s="52">
        <f t="shared" si="1"/>
        <v>10</v>
      </c>
      <c r="J13" s="49"/>
      <c r="K13" s="53">
        <v>43598</v>
      </c>
      <c r="L13" s="54" t="s">
        <v>803</v>
      </c>
      <c r="M13" s="55">
        <v>43598</v>
      </c>
      <c r="N13" s="56" t="s">
        <v>804</v>
      </c>
      <c r="O13" s="55">
        <v>43604</v>
      </c>
      <c r="P13" s="54" t="s">
        <v>3909</v>
      </c>
      <c r="Q13" s="49" t="s">
        <v>82</v>
      </c>
      <c r="R13" s="57" t="s">
        <v>3910</v>
      </c>
      <c r="S13" s="47"/>
    </row>
    <row r="14" spans="2:19" s="33" customFormat="1" ht="33" customHeight="1">
      <c r="B14" s="47" t="s">
        <v>220</v>
      </c>
      <c r="C14" s="48" t="s">
        <v>579</v>
      </c>
      <c r="D14" s="49" t="s">
        <v>580</v>
      </c>
      <c r="E14" s="50">
        <v>43519</v>
      </c>
      <c r="F14" s="49" t="s">
        <v>79</v>
      </c>
      <c r="G14" s="51">
        <v>10000</v>
      </c>
      <c r="H14" s="52">
        <f t="shared" si="0"/>
        <v>40</v>
      </c>
      <c r="I14" s="52">
        <f t="shared" si="1"/>
        <v>10</v>
      </c>
      <c r="J14" s="49"/>
      <c r="K14" s="53">
        <v>43598</v>
      </c>
      <c r="L14" s="54" t="s">
        <v>803</v>
      </c>
      <c r="M14" s="55">
        <v>43598</v>
      </c>
      <c r="N14" s="56" t="s">
        <v>804</v>
      </c>
      <c r="O14" s="55">
        <v>43604</v>
      </c>
      <c r="P14" s="54" t="s">
        <v>3911</v>
      </c>
      <c r="Q14" s="49"/>
      <c r="R14" s="57" t="s">
        <v>3912</v>
      </c>
      <c r="S14" s="47"/>
    </row>
    <row r="15" spans="2:19" s="33" customFormat="1" ht="33" customHeight="1">
      <c r="B15" s="47" t="s">
        <v>78</v>
      </c>
      <c r="C15" s="48" t="s">
        <v>576</v>
      </c>
      <c r="D15" s="49" t="s">
        <v>577</v>
      </c>
      <c r="E15" s="50">
        <v>43519</v>
      </c>
      <c r="F15" s="49" t="s">
        <v>79</v>
      </c>
      <c r="G15" s="51">
        <v>20000</v>
      </c>
      <c r="H15" s="52">
        <f t="shared" si="0"/>
        <v>80</v>
      </c>
      <c r="I15" s="52">
        <f t="shared" si="1"/>
        <v>20</v>
      </c>
      <c r="J15" s="49"/>
      <c r="K15" s="53">
        <v>43611</v>
      </c>
      <c r="L15" s="54" t="s">
        <v>3913</v>
      </c>
      <c r="M15" s="55">
        <v>43605</v>
      </c>
      <c r="N15" s="56" t="s">
        <v>3914</v>
      </c>
      <c r="O15" s="55">
        <v>43611</v>
      </c>
      <c r="P15" s="54" t="s">
        <v>3915</v>
      </c>
      <c r="Q15" s="49" t="s">
        <v>82</v>
      </c>
      <c r="R15" s="57" t="s">
        <v>3916</v>
      </c>
      <c r="S15" s="47"/>
    </row>
    <row r="16" spans="2:19" s="30" customFormat="1" ht="33" customHeight="1">
      <c r="B16" s="46" t="s">
        <v>78</v>
      </c>
      <c r="C16" s="35" t="s">
        <v>685</v>
      </c>
      <c r="D16" s="36" t="s">
        <v>686</v>
      </c>
      <c r="E16" s="37">
        <v>43532</v>
      </c>
      <c r="F16" s="36" t="s">
        <v>79</v>
      </c>
      <c r="G16" s="39">
        <v>20000</v>
      </c>
      <c r="H16" s="38">
        <f t="shared" si="0"/>
        <v>80</v>
      </c>
      <c r="I16" s="38">
        <f t="shared" si="1"/>
        <v>20</v>
      </c>
      <c r="J16" s="36"/>
      <c r="K16" s="40">
        <v>43625</v>
      </c>
      <c r="L16" s="41" t="s">
        <v>3917</v>
      </c>
      <c r="M16" s="42">
        <v>43619</v>
      </c>
      <c r="N16" s="43" t="s">
        <v>3918</v>
      </c>
      <c r="O16" s="42">
        <v>43625</v>
      </c>
      <c r="P16" s="41"/>
      <c r="Q16" s="36" t="s">
        <v>82</v>
      </c>
      <c r="R16" s="44" t="s">
        <v>3919</v>
      </c>
      <c r="S16" s="46"/>
    </row>
    <row r="17" spans="2:19" s="30" customFormat="1" ht="33" customHeight="1">
      <c r="B17" s="46" t="s">
        <v>78</v>
      </c>
      <c r="C17" s="35" t="s">
        <v>3920</v>
      </c>
      <c r="D17" s="36" t="s">
        <v>1366</v>
      </c>
      <c r="E17" s="37">
        <v>43532</v>
      </c>
      <c r="F17" s="36" t="s">
        <v>79</v>
      </c>
      <c r="G17" s="39">
        <v>20000</v>
      </c>
      <c r="H17" s="38">
        <f t="shared" si="0"/>
        <v>80</v>
      </c>
      <c r="I17" s="38">
        <f t="shared" si="1"/>
        <v>20</v>
      </c>
      <c r="J17" s="36"/>
      <c r="K17" s="40">
        <v>43625</v>
      </c>
      <c r="L17" s="41" t="s">
        <v>3917</v>
      </c>
      <c r="M17" s="42">
        <v>43619</v>
      </c>
      <c r="N17" s="43" t="s">
        <v>3918</v>
      </c>
      <c r="O17" s="42">
        <v>43625</v>
      </c>
      <c r="P17" s="41"/>
      <c r="Q17" s="36" t="s">
        <v>82</v>
      </c>
      <c r="R17" s="44" t="s">
        <v>3919</v>
      </c>
      <c r="S17" s="46" t="s">
        <v>479</v>
      </c>
    </row>
    <row r="18" spans="2:19" s="30" customFormat="1" ht="33" customHeight="1">
      <c r="B18" s="46" t="s">
        <v>220</v>
      </c>
      <c r="C18" s="35" t="s">
        <v>688</v>
      </c>
      <c r="D18" s="36" t="s">
        <v>689</v>
      </c>
      <c r="E18" s="37">
        <v>43532</v>
      </c>
      <c r="F18" s="36" t="s">
        <v>79</v>
      </c>
      <c r="G18" s="39">
        <v>20000</v>
      </c>
      <c r="H18" s="38">
        <f t="shared" si="0"/>
        <v>80</v>
      </c>
      <c r="I18" s="38">
        <f t="shared" si="1"/>
        <v>20</v>
      </c>
      <c r="J18" s="36"/>
      <c r="K18" s="40">
        <v>43632</v>
      </c>
      <c r="L18" s="41" t="s">
        <v>3921</v>
      </c>
      <c r="M18" s="42">
        <v>43626</v>
      </c>
      <c r="N18" s="43" t="s">
        <v>3922</v>
      </c>
      <c r="O18" s="42">
        <v>43632</v>
      </c>
      <c r="P18" s="41" t="s">
        <v>3923</v>
      </c>
      <c r="Q18" s="36"/>
      <c r="R18" s="44" t="s">
        <v>3924</v>
      </c>
      <c r="S18" s="46"/>
    </row>
    <row r="19" spans="2:19" s="30" customFormat="1" ht="33" customHeight="1">
      <c r="B19" s="46" t="s">
        <v>78</v>
      </c>
      <c r="C19" s="35" t="s">
        <v>691</v>
      </c>
      <c r="D19" s="36" t="s">
        <v>692</v>
      </c>
      <c r="E19" s="37">
        <v>43532</v>
      </c>
      <c r="F19" s="36" t="s">
        <v>79</v>
      </c>
      <c r="G19" s="39">
        <v>20000</v>
      </c>
      <c r="H19" s="38">
        <f t="shared" si="0"/>
        <v>80</v>
      </c>
      <c r="I19" s="38">
        <f t="shared" si="1"/>
        <v>20</v>
      </c>
      <c r="J19" s="36"/>
      <c r="K19" s="40">
        <v>43639</v>
      </c>
      <c r="L19" s="41" t="s">
        <v>3925</v>
      </c>
      <c r="M19" s="42">
        <v>43633</v>
      </c>
      <c r="N19" s="43" t="s">
        <v>3926</v>
      </c>
      <c r="O19" s="42">
        <v>43639</v>
      </c>
      <c r="P19" s="41"/>
      <c r="Q19" s="36" t="s">
        <v>82</v>
      </c>
      <c r="R19" s="44" t="s">
        <v>3927</v>
      </c>
      <c r="S19" s="46"/>
    </row>
    <row r="20" spans="2:19" s="33" customFormat="1" ht="33" customHeight="1">
      <c r="B20" s="47" t="s">
        <v>78</v>
      </c>
      <c r="C20" s="48" t="s">
        <v>3928</v>
      </c>
      <c r="D20" s="49" t="s">
        <v>3929</v>
      </c>
      <c r="E20" s="50">
        <v>43566</v>
      </c>
      <c r="F20" s="49" t="s">
        <v>79</v>
      </c>
      <c r="G20" s="51">
        <v>6000</v>
      </c>
      <c r="H20" s="52">
        <f t="shared" si="0"/>
        <v>24</v>
      </c>
      <c r="I20" s="52">
        <f t="shared" si="1"/>
        <v>6</v>
      </c>
      <c r="J20" s="49"/>
      <c r="K20" s="53">
        <v>43611</v>
      </c>
      <c r="L20" s="54" t="s">
        <v>603</v>
      </c>
      <c r="M20" s="55">
        <v>43605</v>
      </c>
      <c r="N20" s="56" t="s">
        <v>1080</v>
      </c>
      <c r="O20" s="55">
        <v>43611</v>
      </c>
      <c r="P20" s="54" t="s">
        <v>3930</v>
      </c>
      <c r="Q20" s="49" t="s">
        <v>82</v>
      </c>
      <c r="R20" s="57" t="s">
        <v>3931</v>
      </c>
      <c r="S20" s="47"/>
    </row>
    <row r="21" spans="2:19" s="33" customFormat="1" ht="33" customHeight="1">
      <c r="B21" s="47" t="s">
        <v>3932</v>
      </c>
      <c r="C21" s="48" t="s">
        <v>986</v>
      </c>
      <c r="D21" s="49" t="s">
        <v>3929</v>
      </c>
      <c r="E21" s="50">
        <v>43566</v>
      </c>
      <c r="F21" s="49" t="s">
        <v>79</v>
      </c>
      <c r="G21" s="51">
        <v>14000</v>
      </c>
      <c r="H21" s="52">
        <f t="shared" si="0"/>
        <v>56</v>
      </c>
      <c r="I21" s="52">
        <f t="shared" si="1"/>
        <v>14</v>
      </c>
      <c r="J21" s="49"/>
      <c r="K21" s="53">
        <v>43611</v>
      </c>
      <c r="L21" s="54" t="s">
        <v>603</v>
      </c>
      <c r="M21" s="55">
        <v>43605</v>
      </c>
      <c r="N21" s="56" t="s">
        <v>1080</v>
      </c>
      <c r="O21" s="55">
        <v>43611</v>
      </c>
      <c r="P21" s="54" t="s">
        <v>3933</v>
      </c>
      <c r="Q21" s="49"/>
      <c r="R21" s="57" t="s">
        <v>3931</v>
      </c>
      <c r="S21" s="47"/>
    </row>
    <row r="22" spans="2:19" s="30" customFormat="1" ht="33" customHeight="1">
      <c r="B22" s="46" t="s">
        <v>78</v>
      </c>
      <c r="C22" s="35" t="s">
        <v>988</v>
      </c>
      <c r="D22" s="36" t="s">
        <v>3934</v>
      </c>
      <c r="E22" s="37">
        <v>43566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43632</v>
      </c>
      <c r="L22" s="41" t="s">
        <v>1081</v>
      </c>
      <c r="M22" s="42">
        <v>43626</v>
      </c>
      <c r="N22" s="43" t="s">
        <v>1082</v>
      </c>
      <c r="O22" s="42">
        <v>43632</v>
      </c>
      <c r="P22" s="41"/>
      <c r="Q22" s="36" t="s">
        <v>82</v>
      </c>
      <c r="R22" s="44" t="s">
        <v>3935</v>
      </c>
      <c r="S22" s="46"/>
    </row>
    <row r="23" spans="2:19" s="30" customFormat="1" ht="33" customHeight="1">
      <c r="B23" s="46" t="s">
        <v>78</v>
      </c>
      <c r="C23" s="35" t="s">
        <v>1160</v>
      </c>
      <c r="D23" s="36" t="s">
        <v>1161</v>
      </c>
      <c r="E23" s="37">
        <v>43567</v>
      </c>
      <c r="F23" s="36" t="s">
        <v>3936</v>
      </c>
      <c r="G23" s="39">
        <v>40000</v>
      </c>
      <c r="H23" s="38">
        <f t="shared" si="0"/>
        <v>160</v>
      </c>
      <c r="I23" s="38">
        <f t="shared" si="1"/>
        <v>40</v>
      </c>
      <c r="J23" s="36"/>
      <c r="K23" s="40">
        <v>43646</v>
      </c>
      <c r="L23" s="41" t="s">
        <v>3937</v>
      </c>
      <c r="M23" s="42">
        <v>43640</v>
      </c>
      <c r="N23" s="43" t="s">
        <v>3938</v>
      </c>
      <c r="O23" s="42">
        <v>43646</v>
      </c>
      <c r="P23" s="41"/>
      <c r="Q23" s="36" t="s">
        <v>82</v>
      </c>
      <c r="R23" s="44" t="s">
        <v>3939</v>
      </c>
      <c r="S23" s="46" t="s">
        <v>2140</v>
      </c>
    </row>
    <row r="24" spans="2:19" s="30" customFormat="1" ht="33" customHeight="1">
      <c r="B24" s="46" t="s">
        <v>220</v>
      </c>
      <c r="C24" s="35" t="s">
        <v>1163</v>
      </c>
      <c r="D24" s="36" t="s">
        <v>1164</v>
      </c>
      <c r="E24" s="37">
        <v>43567</v>
      </c>
      <c r="F24" s="36" t="s">
        <v>79</v>
      </c>
      <c r="G24" s="39">
        <v>20000</v>
      </c>
      <c r="H24" s="38">
        <f t="shared" si="0"/>
        <v>80</v>
      </c>
      <c r="I24" s="38">
        <f t="shared" si="1"/>
        <v>20</v>
      </c>
      <c r="J24" s="36"/>
      <c r="K24" s="40">
        <v>43646</v>
      </c>
      <c r="L24" s="41" t="s">
        <v>3937</v>
      </c>
      <c r="M24" s="42">
        <v>43640</v>
      </c>
      <c r="N24" s="43" t="s">
        <v>3938</v>
      </c>
      <c r="O24" s="42">
        <v>43646</v>
      </c>
      <c r="P24" s="41"/>
      <c r="Q24" s="36"/>
      <c r="R24" s="44" t="s">
        <v>3940</v>
      </c>
      <c r="S24" s="46" t="s">
        <v>2140</v>
      </c>
    </row>
    <row r="25" spans="2:19" s="30" customFormat="1" ht="33" customHeight="1">
      <c r="B25" s="46" t="s">
        <v>78</v>
      </c>
      <c r="C25" s="35" t="s">
        <v>1166</v>
      </c>
      <c r="D25" s="36" t="s">
        <v>1167</v>
      </c>
      <c r="E25" s="37">
        <v>43567</v>
      </c>
      <c r="F25" s="36" t="s">
        <v>79</v>
      </c>
      <c r="G25" s="39">
        <v>20000</v>
      </c>
      <c r="H25" s="38">
        <f t="shared" si="0"/>
        <v>80</v>
      </c>
      <c r="I25" s="38">
        <f t="shared" si="1"/>
        <v>20</v>
      </c>
      <c r="J25" s="36"/>
      <c r="K25" s="40">
        <v>43653</v>
      </c>
      <c r="L25" s="41" t="s">
        <v>3941</v>
      </c>
      <c r="M25" s="42">
        <v>43647</v>
      </c>
      <c r="N25" s="43" t="s">
        <v>3942</v>
      </c>
      <c r="O25" s="42">
        <v>43653</v>
      </c>
      <c r="P25" s="41"/>
      <c r="Q25" s="36" t="s">
        <v>82</v>
      </c>
      <c r="R25" s="44" t="s">
        <v>3943</v>
      </c>
      <c r="S25" s="46" t="s">
        <v>2140</v>
      </c>
    </row>
    <row r="26" spans="2:19" s="30" customFormat="1" ht="33" customHeight="1">
      <c r="B26" s="46" t="s">
        <v>78</v>
      </c>
      <c r="C26" s="35" t="s">
        <v>1169</v>
      </c>
      <c r="D26" s="36" t="s">
        <v>1170</v>
      </c>
      <c r="E26" s="37">
        <v>43567</v>
      </c>
      <c r="F26" s="36" t="s">
        <v>79</v>
      </c>
      <c r="G26" s="39">
        <v>20000</v>
      </c>
      <c r="H26" s="38">
        <f t="shared" si="0"/>
        <v>80</v>
      </c>
      <c r="I26" s="38">
        <f t="shared" si="1"/>
        <v>20</v>
      </c>
      <c r="J26" s="36"/>
      <c r="K26" s="40">
        <v>43660</v>
      </c>
      <c r="L26" s="41" t="s">
        <v>3944</v>
      </c>
      <c r="M26" s="42">
        <v>43654</v>
      </c>
      <c r="N26" s="43" t="s">
        <v>3945</v>
      </c>
      <c r="O26" s="42">
        <v>43660</v>
      </c>
      <c r="P26" s="41"/>
      <c r="Q26" s="36" t="s">
        <v>82</v>
      </c>
      <c r="R26" s="44" t="s">
        <v>3946</v>
      </c>
      <c r="S26" s="46" t="s">
        <v>2140</v>
      </c>
    </row>
    <row r="27" spans="2:19" s="30" customFormat="1" ht="33" customHeight="1">
      <c r="B27" s="46" t="s">
        <v>78</v>
      </c>
      <c r="C27" s="35" t="s">
        <v>1172</v>
      </c>
      <c r="D27" s="36" t="s">
        <v>1173</v>
      </c>
      <c r="E27" s="37">
        <v>43567</v>
      </c>
      <c r="F27" s="36" t="s">
        <v>79</v>
      </c>
      <c r="G27" s="39">
        <v>20000</v>
      </c>
      <c r="H27" s="38">
        <f t="shared" si="0"/>
        <v>80</v>
      </c>
      <c r="I27" s="38">
        <f t="shared" si="1"/>
        <v>20</v>
      </c>
      <c r="J27" s="36"/>
      <c r="K27" s="40">
        <v>43667</v>
      </c>
      <c r="L27" s="41" t="s">
        <v>3947</v>
      </c>
      <c r="M27" s="42">
        <v>43658</v>
      </c>
      <c r="N27" s="43" t="s">
        <v>3948</v>
      </c>
      <c r="O27" s="42">
        <v>43667</v>
      </c>
      <c r="P27" s="41"/>
      <c r="Q27" s="36" t="s">
        <v>82</v>
      </c>
      <c r="R27" s="44" t="s">
        <v>3949</v>
      </c>
      <c r="S27" s="46" t="s">
        <v>2140</v>
      </c>
    </row>
    <row r="28" spans="2:19" s="30" customFormat="1" ht="33" customHeight="1">
      <c r="B28" s="46" t="s">
        <v>220</v>
      </c>
      <c r="C28" s="35" t="s">
        <v>1175</v>
      </c>
      <c r="D28" s="36" t="s">
        <v>1176</v>
      </c>
      <c r="E28" s="37">
        <v>43567</v>
      </c>
      <c r="F28" s="36" t="s">
        <v>79</v>
      </c>
      <c r="G28" s="39">
        <v>20000</v>
      </c>
      <c r="H28" s="38">
        <f t="shared" si="0"/>
        <v>80</v>
      </c>
      <c r="I28" s="38">
        <f t="shared" si="1"/>
        <v>20</v>
      </c>
      <c r="J28" s="36"/>
      <c r="K28" s="40">
        <v>43667</v>
      </c>
      <c r="L28" s="119" t="s">
        <v>3950</v>
      </c>
      <c r="M28" s="120">
        <v>43668</v>
      </c>
      <c r="N28" s="121" t="s">
        <v>3951</v>
      </c>
      <c r="O28" s="120">
        <v>43674</v>
      </c>
      <c r="P28" s="41"/>
      <c r="Q28" s="36"/>
      <c r="R28" s="44" t="s">
        <v>3952</v>
      </c>
      <c r="S28" s="46"/>
    </row>
    <row r="29" spans="2:19" s="30" customFormat="1" ht="33" customHeight="1">
      <c r="B29" s="46" t="s">
        <v>78</v>
      </c>
      <c r="C29" s="35" t="s">
        <v>1178</v>
      </c>
      <c r="D29" s="36" t="s">
        <v>1179</v>
      </c>
      <c r="E29" s="37">
        <v>43567</v>
      </c>
      <c r="F29" s="36" t="s">
        <v>3908</v>
      </c>
      <c r="G29" s="39">
        <v>10000</v>
      </c>
      <c r="H29" s="38">
        <f t="shared" si="0"/>
        <v>40</v>
      </c>
      <c r="I29" s="38">
        <f t="shared" si="1"/>
        <v>10</v>
      </c>
      <c r="J29" s="36"/>
      <c r="K29" s="40">
        <v>43674</v>
      </c>
      <c r="L29" s="41" t="s">
        <v>3950</v>
      </c>
      <c r="M29" s="42">
        <v>43668</v>
      </c>
      <c r="N29" s="43" t="s">
        <v>3951</v>
      </c>
      <c r="O29" s="42">
        <v>43674</v>
      </c>
      <c r="P29" s="41"/>
      <c r="Q29" s="36" t="s">
        <v>82</v>
      </c>
      <c r="R29" s="44" t="s">
        <v>3953</v>
      </c>
      <c r="S29" s="46"/>
    </row>
    <row r="30" spans="2:19" s="30" customFormat="1" ht="33" customHeight="1">
      <c r="B30" s="46" t="s">
        <v>220</v>
      </c>
      <c r="C30" s="35" t="s">
        <v>1181</v>
      </c>
      <c r="D30" s="36" t="s">
        <v>1182</v>
      </c>
      <c r="E30" s="37">
        <v>43567</v>
      </c>
      <c r="F30" s="36" t="s">
        <v>3908</v>
      </c>
      <c r="G30" s="39">
        <v>10000</v>
      </c>
      <c r="H30" s="38">
        <f t="shared" si="0"/>
        <v>40</v>
      </c>
      <c r="I30" s="38">
        <f t="shared" si="1"/>
        <v>10</v>
      </c>
      <c r="J30" s="36"/>
      <c r="K30" s="40">
        <v>43674</v>
      </c>
      <c r="L30" s="41" t="s">
        <v>1321</v>
      </c>
      <c r="M30" s="42">
        <v>43668</v>
      </c>
      <c r="N30" s="43" t="s">
        <v>3951</v>
      </c>
      <c r="O30" s="42">
        <v>43674</v>
      </c>
      <c r="P30" s="41"/>
      <c r="Q30" s="36"/>
      <c r="R30" s="44" t="s">
        <v>3954</v>
      </c>
      <c r="S30" s="46"/>
    </row>
    <row r="31" spans="2:19" s="30" customFormat="1" ht="33" customHeight="1">
      <c r="B31" s="46" t="s">
        <v>78</v>
      </c>
      <c r="C31" s="35" t="s">
        <v>2273</v>
      </c>
      <c r="D31" s="36" t="s">
        <v>2274</v>
      </c>
      <c r="E31" s="37">
        <v>43602</v>
      </c>
      <c r="F31" s="36" t="s">
        <v>79</v>
      </c>
      <c r="G31" s="39">
        <v>20000</v>
      </c>
      <c r="H31" s="38">
        <f t="shared" si="0"/>
        <v>80</v>
      </c>
      <c r="I31" s="38">
        <f t="shared" si="1"/>
        <v>20</v>
      </c>
      <c r="J31" s="36"/>
      <c r="K31" s="40">
        <v>43688</v>
      </c>
      <c r="L31" s="41" t="s">
        <v>3955</v>
      </c>
      <c r="M31" s="42">
        <v>43682</v>
      </c>
      <c r="N31" s="43" t="s">
        <v>3956</v>
      </c>
      <c r="O31" s="42">
        <v>43688</v>
      </c>
      <c r="P31" s="41"/>
      <c r="Q31" s="36" t="s">
        <v>82</v>
      </c>
      <c r="R31" s="44" t="s">
        <v>3957</v>
      </c>
      <c r="S31" s="46"/>
    </row>
    <row r="32" spans="2:19" s="30" customFormat="1" ht="33" customHeight="1">
      <c r="B32" s="46" t="s">
        <v>78</v>
      </c>
      <c r="C32" s="35" t="s">
        <v>2276</v>
      </c>
      <c r="D32" s="36" t="s">
        <v>2277</v>
      </c>
      <c r="E32" s="37">
        <v>43602</v>
      </c>
      <c r="F32" s="36" t="s">
        <v>79</v>
      </c>
      <c r="G32" s="39">
        <v>20000</v>
      </c>
      <c r="H32" s="38">
        <f t="shared" si="0"/>
        <v>80</v>
      </c>
      <c r="I32" s="38">
        <f t="shared" si="1"/>
        <v>20</v>
      </c>
      <c r="J32" s="36"/>
      <c r="K32" s="40">
        <v>43695</v>
      </c>
      <c r="L32" s="41" t="s">
        <v>3955</v>
      </c>
      <c r="M32" s="42">
        <v>43682</v>
      </c>
      <c r="N32" s="43" t="s">
        <v>3956</v>
      </c>
      <c r="O32" s="42">
        <v>43688</v>
      </c>
      <c r="P32" s="41"/>
      <c r="Q32" s="36" t="s">
        <v>82</v>
      </c>
      <c r="R32" s="44" t="s">
        <v>3958</v>
      </c>
      <c r="S32" s="46"/>
    </row>
    <row r="33" spans="2:19" s="30" customFormat="1" ht="33" customHeight="1">
      <c r="B33" s="46" t="s">
        <v>220</v>
      </c>
      <c r="C33" s="35" t="s">
        <v>2279</v>
      </c>
      <c r="D33" s="36" t="s">
        <v>2280</v>
      </c>
      <c r="E33" s="37">
        <v>43602</v>
      </c>
      <c r="F33" s="36" t="s">
        <v>79</v>
      </c>
      <c r="G33" s="39">
        <v>20000</v>
      </c>
      <c r="H33" s="38">
        <f t="shared" si="0"/>
        <v>80</v>
      </c>
      <c r="I33" s="38">
        <f t="shared" si="1"/>
        <v>20</v>
      </c>
      <c r="J33" s="36"/>
      <c r="K33" s="40">
        <v>43695</v>
      </c>
      <c r="L33" s="41" t="s">
        <v>3955</v>
      </c>
      <c r="M33" s="42">
        <v>43682</v>
      </c>
      <c r="N33" s="43" t="s">
        <v>3956</v>
      </c>
      <c r="O33" s="42">
        <v>43688</v>
      </c>
      <c r="P33" s="41"/>
      <c r="Q33" s="36"/>
      <c r="R33" s="44" t="s">
        <v>3959</v>
      </c>
      <c r="S33" s="46"/>
    </row>
    <row r="34" spans="2:19" s="30" customFormat="1" ht="33" customHeight="1">
      <c r="B34" s="46" t="s">
        <v>78</v>
      </c>
      <c r="C34" s="35" t="s">
        <v>2282</v>
      </c>
      <c r="D34" s="36" t="s">
        <v>2283</v>
      </c>
      <c r="E34" s="37">
        <v>43602</v>
      </c>
      <c r="F34" s="36" t="s">
        <v>79</v>
      </c>
      <c r="G34" s="39">
        <v>20000</v>
      </c>
      <c r="H34" s="38">
        <f t="shared" si="0"/>
        <v>80</v>
      </c>
      <c r="I34" s="38">
        <f t="shared" si="1"/>
        <v>20</v>
      </c>
      <c r="J34" s="36"/>
      <c r="K34" s="40">
        <v>43709</v>
      </c>
      <c r="L34" s="41" t="s">
        <v>3960</v>
      </c>
      <c r="M34" s="42">
        <v>43703</v>
      </c>
      <c r="N34" s="43" t="s">
        <v>3961</v>
      </c>
      <c r="O34" s="42">
        <v>43709</v>
      </c>
      <c r="P34" s="41"/>
      <c r="Q34" s="36" t="s">
        <v>82</v>
      </c>
      <c r="R34" s="44" t="s">
        <v>3962</v>
      </c>
      <c r="S34" s="46"/>
    </row>
    <row r="35" spans="2:19" s="30" customFormat="1" ht="33" customHeight="1">
      <c r="B35" s="46" t="s">
        <v>220</v>
      </c>
      <c r="C35" s="35" t="s">
        <v>3353</v>
      </c>
      <c r="D35" s="36" t="s">
        <v>3354</v>
      </c>
      <c r="E35" s="37">
        <v>43637</v>
      </c>
      <c r="F35" s="36" t="s">
        <v>79</v>
      </c>
      <c r="G35" s="39">
        <v>20000</v>
      </c>
      <c r="H35" s="38">
        <f t="shared" si="0"/>
        <v>80</v>
      </c>
      <c r="I35" s="38">
        <f t="shared" si="1"/>
        <v>20</v>
      </c>
      <c r="J35" s="36"/>
      <c r="K35" s="40">
        <v>43716</v>
      </c>
      <c r="L35" s="41" t="s">
        <v>3963</v>
      </c>
      <c r="M35" s="42">
        <v>43710</v>
      </c>
      <c r="N35" s="43" t="s">
        <v>3964</v>
      </c>
      <c r="O35" s="42">
        <v>43716</v>
      </c>
      <c r="P35" s="41"/>
      <c r="Q35" s="36"/>
      <c r="R35" s="44" t="s">
        <v>3965</v>
      </c>
      <c r="S35" s="46"/>
    </row>
    <row r="36" spans="2:19" s="30" customFormat="1" ht="33" customHeight="1">
      <c r="B36" s="46" t="s">
        <v>78</v>
      </c>
      <c r="C36" s="35" t="s">
        <v>3356</v>
      </c>
      <c r="D36" s="36" t="s">
        <v>3357</v>
      </c>
      <c r="E36" s="37">
        <v>43637</v>
      </c>
      <c r="F36" s="36" t="s">
        <v>79</v>
      </c>
      <c r="G36" s="39">
        <v>20000</v>
      </c>
      <c r="H36" s="38">
        <f t="shared" si="0"/>
        <v>80</v>
      </c>
      <c r="I36" s="38">
        <f t="shared" si="1"/>
        <v>20</v>
      </c>
      <c r="J36" s="36"/>
      <c r="K36" s="40">
        <v>43723</v>
      </c>
      <c r="L36" s="41" t="s">
        <v>3555</v>
      </c>
      <c r="M36" s="42">
        <v>43717</v>
      </c>
      <c r="N36" s="43" t="s">
        <v>3966</v>
      </c>
      <c r="O36" s="42">
        <v>43723</v>
      </c>
      <c r="P36" s="41"/>
      <c r="Q36" s="36" t="s">
        <v>82</v>
      </c>
      <c r="R36" s="44" t="s">
        <v>3967</v>
      </c>
      <c r="S36" s="46"/>
    </row>
    <row r="37" spans="2:19" s="30" customFormat="1" ht="33" customHeight="1">
      <c r="B37" s="46" t="s">
        <v>78</v>
      </c>
      <c r="C37" s="35" t="s">
        <v>3359</v>
      </c>
      <c r="D37" s="36" t="s">
        <v>3360</v>
      </c>
      <c r="E37" s="37">
        <v>43637</v>
      </c>
      <c r="F37" s="36" t="s">
        <v>79</v>
      </c>
      <c r="G37" s="39">
        <v>20000</v>
      </c>
      <c r="H37" s="38">
        <f t="shared" si="0"/>
        <v>80</v>
      </c>
      <c r="I37" s="38">
        <f t="shared" si="1"/>
        <v>20</v>
      </c>
      <c r="J37" s="36"/>
      <c r="K37" s="109">
        <v>43737</v>
      </c>
      <c r="L37" s="41" t="s">
        <v>3556</v>
      </c>
      <c r="M37" s="42">
        <v>43721</v>
      </c>
      <c r="N37" s="43" t="s">
        <v>3968</v>
      </c>
      <c r="O37" s="42">
        <v>43730</v>
      </c>
      <c r="P37" s="41"/>
      <c r="Q37" s="36" t="s">
        <v>82</v>
      </c>
      <c r="R37" s="114" t="s">
        <v>3969</v>
      </c>
      <c r="S37" s="46"/>
    </row>
    <row r="38" spans="2:19" s="96" customFormat="1" ht="33" customHeight="1">
      <c r="B38" s="47" t="s">
        <v>17</v>
      </c>
      <c r="C38" s="48" t="s">
        <v>427</v>
      </c>
      <c r="D38" s="49" t="s">
        <v>3970</v>
      </c>
      <c r="E38" s="50">
        <v>43483</v>
      </c>
      <c r="F38" s="52" t="s">
        <v>84</v>
      </c>
      <c r="G38" s="51">
        <v>9200</v>
      </c>
      <c r="H38" s="52">
        <f t="shared" ref="H38:H61" si="2">SUM(G38/230)</f>
        <v>40</v>
      </c>
      <c r="I38" s="52">
        <f t="shared" si="1"/>
        <v>10</v>
      </c>
      <c r="J38" s="49"/>
      <c r="K38" s="53">
        <v>43576</v>
      </c>
      <c r="L38" s="54" t="s">
        <v>3971</v>
      </c>
      <c r="M38" s="55">
        <v>43571</v>
      </c>
      <c r="N38" s="56" t="s">
        <v>3972</v>
      </c>
      <c r="O38" s="55">
        <v>43576</v>
      </c>
      <c r="P38" s="58"/>
      <c r="Q38" s="52" t="s">
        <v>82</v>
      </c>
      <c r="R38" s="57" t="s">
        <v>3973</v>
      </c>
      <c r="S38" s="47"/>
    </row>
    <row r="39" spans="2:19" s="67" customFormat="1" ht="33" customHeight="1">
      <c r="B39" s="46" t="s">
        <v>17</v>
      </c>
      <c r="C39" s="35" t="s">
        <v>581</v>
      </c>
      <c r="D39" s="36" t="s">
        <v>582</v>
      </c>
      <c r="E39" s="37">
        <v>43519</v>
      </c>
      <c r="F39" s="38" t="s">
        <v>84</v>
      </c>
      <c r="G39" s="39">
        <v>9200</v>
      </c>
      <c r="H39" s="38">
        <f t="shared" si="2"/>
        <v>40</v>
      </c>
      <c r="I39" s="38">
        <f t="shared" si="1"/>
        <v>10</v>
      </c>
      <c r="J39" s="36"/>
      <c r="K39" s="40">
        <v>43632</v>
      </c>
      <c r="L39" s="41" t="s">
        <v>3974</v>
      </c>
      <c r="M39" s="42">
        <v>43620</v>
      </c>
      <c r="N39" s="43" t="s">
        <v>3975</v>
      </c>
      <c r="O39" s="42">
        <v>43625</v>
      </c>
      <c r="P39" s="45"/>
      <c r="Q39" s="38" t="s">
        <v>82</v>
      </c>
      <c r="R39" s="44" t="s">
        <v>3976</v>
      </c>
      <c r="S39" s="46"/>
    </row>
    <row r="40" spans="2:19" s="67" customFormat="1" ht="33" customHeight="1">
      <c r="B40" s="46" t="s">
        <v>17</v>
      </c>
      <c r="C40" s="35" t="s">
        <v>694</v>
      </c>
      <c r="D40" s="36" t="s">
        <v>695</v>
      </c>
      <c r="E40" s="37">
        <v>43532</v>
      </c>
      <c r="F40" s="38" t="s">
        <v>3977</v>
      </c>
      <c r="G40" s="39">
        <v>9200</v>
      </c>
      <c r="H40" s="38">
        <f t="shared" si="2"/>
        <v>40</v>
      </c>
      <c r="I40" s="38">
        <f t="shared" si="1"/>
        <v>10</v>
      </c>
      <c r="J40" s="36"/>
      <c r="K40" s="40">
        <v>43653</v>
      </c>
      <c r="L40" s="41" t="s">
        <v>1326</v>
      </c>
      <c r="M40" s="42">
        <v>43648</v>
      </c>
      <c r="N40" s="43" t="s">
        <v>2540</v>
      </c>
      <c r="O40" s="42">
        <v>43653</v>
      </c>
      <c r="P40" s="45"/>
      <c r="Q40" s="38" t="s">
        <v>82</v>
      </c>
      <c r="R40" s="44" t="s">
        <v>3978</v>
      </c>
      <c r="S40" s="46"/>
    </row>
    <row r="41" spans="2:19" s="67" customFormat="1" ht="33" customHeight="1">
      <c r="B41" s="46" t="s">
        <v>17</v>
      </c>
      <c r="C41" s="35" t="s">
        <v>2299</v>
      </c>
      <c r="D41" s="36" t="s">
        <v>2641</v>
      </c>
      <c r="E41" s="37">
        <v>43609</v>
      </c>
      <c r="F41" s="38" t="s">
        <v>3977</v>
      </c>
      <c r="G41" s="39">
        <v>2760</v>
      </c>
      <c r="H41" s="38">
        <f t="shared" si="2"/>
        <v>12</v>
      </c>
      <c r="I41" s="38">
        <f t="shared" si="1"/>
        <v>3</v>
      </c>
      <c r="J41" s="36"/>
      <c r="K41" s="40">
        <v>43653</v>
      </c>
      <c r="L41" s="41" t="s">
        <v>1326</v>
      </c>
      <c r="M41" s="42">
        <v>43648</v>
      </c>
      <c r="N41" s="43" t="s">
        <v>2540</v>
      </c>
      <c r="O41" s="42">
        <v>43653</v>
      </c>
      <c r="P41" s="45"/>
      <c r="Q41" s="38" t="s">
        <v>82</v>
      </c>
      <c r="R41" s="44" t="s">
        <v>3978</v>
      </c>
      <c r="S41" s="46"/>
    </row>
    <row r="42" spans="2:19" s="67" customFormat="1" ht="33" customHeight="1">
      <c r="B42" s="46" t="s">
        <v>17</v>
      </c>
      <c r="C42" s="35" t="s">
        <v>3979</v>
      </c>
      <c r="D42" s="36" t="s">
        <v>2300</v>
      </c>
      <c r="E42" s="37">
        <v>43602</v>
      </c>
      <c r="F42" s="38" t="s">
        <v>3977</v>
      </c>
      <c r="G42" s="39">
        <v>9200</v>
      </c>
      <c r="H42" s="38">
        <f t="shared" si="2"/>
        <v>40</v>
      </c>
      <c r="I42" s="38">
        <f t="shared" si="1"/>
        <v>10</v>
      </c>
      <c r="J42" s="36"/>
      <c r="K42" s="40">
        <v>43695</v>
      </c>
      <c r="L42" s="41" t="s">
        <v>3980</v>
      </c>
      <c r="M42" s="42">
        <v>43683</v>
      </c>
      <c r="N42" s="43" t="s">
        <v>3981</v>
      </c>
      <c r="O42" s="42">
        <v>43688</v>
      </c>
      <c r="P42" s="45"/>
      <c r="Q42" s="38" t="s">
        <v>82</v>
      </c>
      <c r="R42" s="44" t="s">
        <v>3982</v>
      </c>
      <c r="S42" s="46" t="s">
        <v>2764</v>
      </c>
    </row>
    <row r="43" spans="2:19" s="67" customFormat="1" ht="33" customHeight="1">
      <c r="B43" s="122" t="s">
        <v>17</v>
      </c>
      <c r="C43" s="126" t="s">
        <v>3702</v>
      </c>
      <c r="D43" s="127" t="s">
        <v>3703</v>
      </c>
      <c r="E43" s="128">
        <v>43643</v>
      </c>
      <c r="F43" s="124" t="s">
        <v>3977</v>
      </c>
      <c r="G43" s="129">
        <v>4600</v>
      </c>
      <c r="H43" s="124">
        <f t="shared" si="2"/>
        <v>20</v>
      </c>
      <c r="I43" s="124">
        <f t="shared" si="1"/>
        <v>5</v>
      </c>
      <c r="J43" s="127"/>
      <c r="K43" s="130">
        <v>43688</v>
      </c>
      <c r="L43" s="119" t="s">
        <v>3980</v>
      </c>
      <c r="M43" s="120">
        <v>43683</v>
      </c>
      <c r="N43" s="121" t="s">
        <v>3981</v>
      </c>
      <c r="O43" s="120">
        <v>43688</v>
      </c>
      <c r="P43" s="123"/>
      <c r="Q43" s="124" t="s">
        <v>82</v>
      </c>
      <c r="R43" s="125"/>
      <c r="S43" s="122"/>
    </row>
    <row r="44" spans="2:19" s="67" customFormat="1" ht="33" customHeight="1">
      <c r="B44" s="46" t="s">
        <v>17</v>
      </c>
      <c r="C44" s="35" t="s">
        <v>3983</v>
      </c>
      <c r="D44" s="36" t="s">
        <v>3377</v>
      </c>
      <c r="E44" s="37">
        <v>43637</v>
      </c>
      <c r="F44" s="38" t="s">
        <v>3977</v>
      </c>
      <c r="G44" s="39">
        <v>9200</v>
      </c>
      <c r="H44" s="38">
        <f t="shared" si="2"/>
        <v>40</v>
      </c>
      <c r="I44" s="38">
        <f t="shared" si="1"/>
        <v>10</v>
      </c>
      <c r="J44" s="36"/>
      <c r="K44" s="40">
        <v>43716</v>
      </c>
      <c r="L44" s="41" t="s">
        <v>3984</v>
      </c>
      <c r="M44" s="42">
        <v>43711</v>
      </c>
      <c r="N44" s="43" t="s">
        <v>3985</v>
      </c>
      <c r="O44" s="42">
        <v>43716</v>
      </c>
      <c r="P44" s="45"/>
      <c r="Q44" s="38"/>
      <c r="R44" s="44" t="s">
        <v>3986</v>
      </c>
      <c r="S44" s="46"/>
    </row>
    <row r="45" spans="2:19" s="67" customFormat="1" ht="33" customHeight="1">
      <c r="B45" s="46" t="s">
        <v>17</v>
      </c>
      <c r="C45" s="35" t="s">
        <v>3987</v>
      </c>
      <c r="D45" s="36" t="s">
        <v>3380</v>
      </c>
      <c r="E45" s="37">
        <v>43637</v>
      </c>
      <c r="F45" s="38" t="s">
        <v>3988</v>
      </c>
      <c r="G45" s="39">
        <v>9200</v>
      </c>
      <c r="H45" s="38">
        <f t="shared" si="2"/>
        <v>40</v>
      </c>
      <c r="I45" s="38">
        <f t="shared" si="1"/>
        <v>10</v>
      </c>
      <c r="J45" s="36"/>
      <c r="K45" s="40">
        <v>43744</v>
      </c>
      <c r="L45" s="41" t="s">
        <v>3989</v>
      </c>
      <c r="M45" s="42">
        <v>43739</v>
      </c>
      <c r="N45" s="43" t="s">
        <v>3990</v>
      </c>
      <c r="O45" s="42">
        <v>43744</v>
      </c>
      <c r="P45" s="45"/>
      <c r="Q45" s="38"/>
      <c r="R45" s="44" t="s">
        <v>3991</v>
      </c>
      <c r="S45" s="46"/>
    </row>
    <row r="46" spans="2:19" s="96" customFormat="1" ht="33" customHeight="1">
      <c r="B46" s="47" t="s">
        <v>81</v>
      </c>
      <c r="C46" s="48" t="s">
        <v>279</v>
      </c>
      <c r="D46" s="49" t="s">
        <v>3992</v>
      </c>
      <c r="E46" s="50">
        <v>43392</v>
      </c>
      <c r="F46" s="52" t="s">
        <v>84</v>
      </c>
      <c r="G46" s="51">
        <v>11960</v>
      </c>
      <c r="H46" s="52">
        <f t="shared" si="2"/>
        <v>52</v>
      </c>
      <c r="I46" s="52">
        <f t="shared" si="1"/>
        <v>13</v>
      </c>
      <c r="J46" s="52"/>
      <c r="K46" s="53">
        <v>43597</v>
      </c>
      <c r="L46" s="54" t="s">
        <v>3993</v>
      </c>
      <c r="M46" s="55">
        <v>43594</v>
      </c>
      <c r="N46" s="56" t="s">
        <v>3994</v>
      </c>
      <c r="O46" s="55">
        <v>43598</v>
      </c>
      <c r="P46" s="58" t="s">
        <v>3995</v>
      </c>
      <c r="Q46" s="47"/>
      <c r="R46" s="57" t="s">
        <v>3996</v>
      </c>
      <c r="S46" s="47"/>
    </row>
    <row r="47" spans="2:19" s="96" customFormat="1" ht="33" customHeight="1">
      <c r="B47" s="47" t="s">
        <v>81</v>
      </c>
      <c r="C47" s="48" t="s">
        <v>3997</v>
      </c>
      <c r="D47" s="49" t="s">
        <v>3992</v>
      </c>
      <c r="E47" s="50">
        <v>43392</v>
      </c>
      <c r="F47" s="52" t="s">
        <v>84</v>
      </c>
      <c r="G47" s="51">
        <v>1840</v>
      </c>
      <c r="H47" s="52">
        <f t="shared" si="2"/>
        <v>8</v>
      </c>
      <c r="I47" s="52">
        <f t="shared" si="1"/>
        <v>2</v>
      </c>
      <c r="J47" s="52"/>
      <c r="K47" s="53">
        <v>43597</v>
      </c>
      <c r="L47" s="54" t="s">
        <v>773</v>
      </c>
      <c r="M47" s="55">
        <v>43601</v>
      </c>
      <c r="N47" s="56" t="s">
        <v>3998</v>
      </c>
      <c r="O47" s="55">
        <v>43605</v>
      </c>
      <c r="P47" s="58" t="s">
        <v>3995</v>
      </c>
      <c r="Q47" s="47"/>
      <c r="R47" s="57" t="s">
        <v>3996</v>
      </c>
      <c r="S47" s="47" t="s">
        <v>1329</v>
      </c>
    </row>
    <row r="48" spans="2:19" s="96" customFormat="1" ht="33" customHeight="1">
      <c r="B48" s="47" t="s">
        <v>81</v>
      </c>
      <c r="C48" s="48" t="s">
        <v>318</v>
      </c>
      <c r="D48" s="49" t="s">
        <v>319</v>
      </c>
      <c r="E48" s="50">
        <v>43420</v>
      </c>
      <c r="F48" s="52" t="s">
        <v>3999</v>
      </c>
      <c r="G48" s="51">
        <v>17940</v>
      </c>
      <c r="H48" s="52">
        <f t="shared" si="2"/>
        <v>78</v>
      </c>
      <c r="I48" s="52">
        <f t="shared" si="1"/>
        <v>19.5</v>
      </c>
      <c r="J48" s="52"/>
      <c r="K48" s="53">
        <v>43576</v>
      </c>
      <c r="L48" s="54" t="s">
        <v>480</v>
      </c>
      <c r="M48" s="55">
        <v>43564</v>
      </c>
      <c r="N48" s="56" t="s">
        <v>4000</v>
      </c>
      <c r="O48" s="55">
        <v>43569</v>
      </c>
      <c r="P48" s="58"/>
      <c r="Q48" s="47"/>
      <c r="R48" s="57" t="s">
        <v>4001</v>
      </c>
      <c r="S48" s="47" t="s">
        <v>4002</v>
      </c>
    </row>
    <row r="49" spans="2:19" s="96" customFormat="1" ht="33" customHeight="1">
      <c r="B49" s="47" t="s">
        <v>81</v>
      </c>
      <c r="C49" s="48" t="s">
        <v>4003</v>
      </c>
      <c r="D49" s="49" t="s">
        <v>701</v>
      </c>
      <c r="E49" s="50">
        <v>43532</v>
      </c>
      <c r="F49" s="52" t="s">
        <v>3999</v>
      </c>
      <c r="G49" s="51">
        <v>13800</v>
      </c>
      <c r="H49" s="52">
        <f t="shared" si="2"/>
        <v>60</v>
      </c>
      <c r="I49" s="52">
        <f t="shared" si="1"/>
        <v>15</v>
      </c>
      <c r="J49" s="52"/>
      <c r="K49" s="53">
        <v>43615</v>
      </c>
      <c r="L49" s="54" t="s">
        <v>4004</v>
      </c>
      <c r="M49" s="55">
        <v>43613</v>
      </c>
      <c r="N49" s="56" t="s">
        <v>4005</v>
      </c>
      <c r="O49" s="55">
        <v>43618</v>
      </c>
      <c r="P49" s="58"/>
      <c r="Q49" s="47"/>
      <c r="R49" s="57" t="s">
        <v>4006</v>
      </c>
      <c r="S49" s="47"/>
    </row>
    <row r="50" spans="2:19" s="67" customFormat="1" ht="33" customHeight="1">
      <c r="B50" s="46" t="s">
        <v>81</v>
      </c>
      <c r="C50" s="35" t="s">
        <v>4007</v>
      </c>
      <c r="D50" s="36" t="s">
        <v>4008</v>
      </c>
      <c r="E50" s="37">
        <v>43532</v>
      </c>
      <c r="F50" s="38" t="s">
        <v>3999</v>
      </c>
      <c r="G50" s="39">
        <v>4600</v>
      </c>
      <c r="H50" s="38">
        <f t="shared" si="2"/>
        <v>20</v>
      </c>
      <c r="I50" s="38">
        <f t="shared" si="1"/>
        <v>5</v>
      </c>
      <c r="J50" s="38"/>
      <c r="K50" s="40">
        <v>43615</v>
      </c>
      <c r="L50" s="41" t="s">
        <v>4009</v>
      </c>
      <c r="M50" s="42">
        <v>43620</v>
      </c>
      <c r="N50" s="43" t="s">
        <v>4010</v>
      </c>
      <c r="O50" s="42">
        <v>43625</v>
      </c>
      <c r="P50" s="45"/>
      <c r="Q50" s="46"/>
      <c r="R50" s="44" t="s">
        <v>4006</v>
      </c>
      <c r="S50" s="46"/>
    </row>
    <row r="51" spans="2:19" s="67" customFormat="1" ht="33" customHeight="1">
      <c r="B51" s="46" t="s">
        <v>81</v>
      </c>
      <c r="C51" s="35" t="s">
        <v>702</v>
      </c>
      <c r="D51" s="36" t="s">
        <v>703</v>
      </c>
      <c r="E51" s="37">
        <v>43532</v>
      </c>
      <c r="F51" s="38" t="s">
        <v>3999</v>
      </c>
      <c r="G51" s="39">
        <v>9200</v>
      </c>
      <c r="H51" s="38">
        <f t="shared" si="2"/>
        <v>40</v>
      </c>
      <c r="I51" s="38">
        <f t="shared" si="1"/>
        <v>10</v>
      </c>
      <c r="J51" s="38"/>
      <c r="K51" s="40">
        <v>43632</v>
      </c>
      <c r="L51" s="41" t="s">
        <v>807</v>
      </c>
      <c r="M51" s="42">
        <v>43627</v>
      </c>
      <c r="N51" s="43" t="s">
        <v>808</v>
      </c>
      <c r="O51" s="42">
        <v>43632</v>
      </c>
      <c r="P51" s="45"/>
      <c r="Q51" s="46"/>
      <c r="R51" s="44" t="s">
        <v>4011</v>
      </c>
      <c r="S51" s="46"/>
    </row>
    <row r="52" spans="2:19" s="67" customFormat="1" ht="33" customHeight="1">
      <c r="B52" s="46" t="s">
        <v>81</v>
      </c>
      <c r="C52" s="35" t="s">
        <v>852</v>
      </c>
      <c r="D52" s="36" t="s">
        <v>1990</v>
      </c>
      <c r="E52" s="37">
        <v>43558</v>
      </c>
      <c r="F52" s="38" t="s">
        <v>3999</v>
      </c>
      <c r="G52" s="39">
        <v>9200</v>
      </c>
      <c r="H52" s="38">
        <f t="shared" si="2"/>
        <v>40</v>
      </c>
      <c r="I52" s="38">
        <f t="shared" si="1"/>
        <v>10</v>
      </c>
      <c r="J52" s="38"/>
      <c r="K52" s="40">
        <v>43639</v>
      </c>
      <c r="L52" s="41" t="s">
        <v>1083</v>
      </c>
      <c r="M52" s="42">
        <v>43634</v>
      </c>
      <c r="N52" s="43" t="s">
        <v>1084</v>
      </c>
      <c r="O52" s="42">
        <v>43639</v>
      </c>
      <c r="P52" s="45"/>
      <c r="Q52" s="46"/>
      <c r="R52" s="44" t="s">
        <v>4011</v>
      </c>
      <c r="S52" s="46"/>
    </row>
    <row r="53" spans="2:19" s="67" customFormat="1" ht="33" customHeight="1">
      <c r="B53" s="46" t="s">
        <v>81</v>
      </c>
      <c r="C53" s="35" t="s">
        <v>1435</v>
      </c>
      <c r="D53" s="36" t="s">
        <v>1436</v>
      </c>
      <c r="E53" s="37">
        <v>43574</v>
      </c>
      <c r="F53" s="38" t="s">
        <v>3999</v>
      </c>
      <c r="G53" s="39">
        <v>18400</v>
      </c>
      <c r="H53" s="38">
        <f t="shared" si="2"/>
        <v>80</v>
      </c>
      <c r="I53" s="38">
        <f t="shared" si="1"/>
        <v>20</v>
      </c>
      <c r="J53" s="38"/>
      <c r="K53" s="40">
        <v>43646</v>
      </c>
      <c r="L53" s="41" t="s">
        <v>4012</v>
      </c>
      <c r="M53" s="42">
        <v>43641</v>
      </c>
      <c r="N53" s="43" t="s">
        <v>4013</v>
      </c>
      <c r="O53" s="42">
        <v>43646</v>
      </c>
      <c r="P53" s="45"/>
      <c r="Q53" s="46"/>
      <c r="R53" s="44" t="s">
        <v>4014</v>
      </c>
      <c r="S53" s="46" t="s">
        <v>3251</v>
      </c>
    </row>
    <row r="54" spans="2:19" s="67" customFormat="1" ht="33" customHeight="1">
      <c r="B54" s="46" t="s">
        <v>81</v>
      </c>
      <c r="C54" s="35" t="s">
        <v>2322</v>
      </c>
      <c r="D54" s="36" t="s">
        <v>2323</v>
      </c>
      <c r="E54" s="37">
        <v>43602</v>
      </c>
      <c r="F54" s="38" t="s">
        <v>3999</v>
      </c>
      <c r="G54" s="39">
        <v>18400</v>
      </c>
      <c r="H54" s="38">
        <f t="shared" si="2"/>
        <v>80</v>
      </c>
      <c r="I54" s="38">
        <f t="shared" si="1"/>
        <v>20</v>
      </c>
      <c r="J54" s="38"/>
      <c r="K54" s="40">
        <v>43674</v>
      </c>
      <c r="L54" s="41" t="s">
        <v>2146</v>
      </c>
      <c r="M54" s="42">
        <v>43669</v>
      </c>
      <c r="N54" s="43" t="s">
        <v>2551</v>
      </c>
      <c r="O54" s="42">
        <v>43674</v>
      </c>
      <c r="P54" s="45"/>
      <c r="Q54" s="46"/>
      <c r="R54" s="44" t="s">
        <v>4015</v>
      </c>
      <c r="S54" s="46"/>
    </row>
    <row r="55" spans="2:19" s="67" customFormat="1" ht="33" customHeight="1">
      <c r="B55" s="46" t="s">
        <v>81</v>
      </c>
      <c r="C55" s="35" t="s">
        <v>2325</v>
      </c>
      <c r="D55" s="36" t="s">
        <v>2326</v>
      </c>
      <c r="E55" s="37">
        <v>43602</v>
      </c>
      <c r="F55" s="38" t="s">
        <v>3999</v>
      </c>
      <c r="G55" s="39">
        <v>10580</v>
      </c>
      <c r="H55" s="38">
        <f t="shared" si="2"/>
        <v>46</v>
      </c>
      <c r="I55" s="38">
        <f t="shared" si="1"/>
        <v>11.5</v>
      </c>
      <c r="J55" s="38"/>
      <c r="K55" s="40">
        <v>43681</v>
      </c>
      <c r="L55" s="41" t="s">
        <v>4016</v>
      </c>
      <c r="M55" s="42">
        <v>43676</v>
      </c>
      <c r="N55" s="43" t="s">
        <v>4017</v>
      </c>
      <c r="O55" s="42">
        <v>43681</v>
      </c>
      <c r="P55" s="45"/>
      <c r="Q55" s="46"/>
      <c r="R55" s="44" t="s">
        <v>4018</v>
      </c>
      <c r="S55" s="46" t="s">
        <v>3549</v>
      </c>
    </row>
    <row r="56" spans="2:19" s="67" customFormat="1" ht="33" customHeight="1">
      <c r="B56" s="46" t="s">
        <v>81</v>
      </c>
      <c r="C56" s="35" t="s">
        <v>3406</v>
      </c>
      <c r="D56" s="36" t="s">
        <v>3407</v>
      </c>
      <c r="E56" s="37">
        <v>43637</v>
      </c>
      <c r="F56" s="38" t="s">
        <v>3999</v>
      </c>
      <c r="G56" s="39">
        <v>12880</v>
      </c>
      <c r="H56" s="38">
        <f t="shared" si="2"/>
        <v>56</v>
      </c>
      <c r="I56" s="38">
        <f t="shared" si="1"/>
        <v>14</v>
      </c>
      <c r="J56" s="38"/>
      <c r="K56" s="40">
        <v>43723</v>
      </c>
      <c r="L56" s="41" t="s">
        <v>4019</v>
      </c>
      <c r="M56" s="42">
        <v>43718</v>
      </c>
      <c r="N56" s="43" t="s">
        <v>4020</v>
      </c>
      <c r="O56" s="42">
        <v>43723</v>
      </c>
      <c r="P56" s="45"/>
      <c r="Q56" s="46"/>
      <c r="R56" s="44" t="s">
        <v>4021</v>
      </c>
      <c r="S56" s="46"/>
    </row>
    <row r="57" spans="2:19" s="67" customFormat="1" ht="33" customHeight="1">
      <c r="B57" s="46" t="s">
        <v>81</v>
      </c>
      <c r="C57" s="35" t="s">
        <v>4022</v>
      </c>
      <c r="D57" s="36" t="s">
        <v>3407</v>
      </c>
      <c r="E57" s="37">
        <v>43637</v>
      </c>
      <c r="F57" s="38" t="s">
        <v>3999</v>
      </c>
      <c r="G57" s="39">
        <v>920</v>
      </c>
      <c r="H57" s="38">
        <f>SUM(G57/230)</f>
        <v>4</v>
      </c>
      <c r="I57" s="38">
        <v>1</v>
      </c>
      <c r="J57" s="38"/>
      <c r="K57" s="40">
        <v>43723</v>
      </c>
      <c r="L57" s="41" t="s">
        <v>4023</v>
      </c>
      <c r="M57" s="42">
        <v>43711</v>
      </c>
      <c r="N57" s="43" t="s">
        <v>4024</v>
      </c>
      <c r="O57" s="42">
        <v>43716</v>
      </c>
      <c r="P57" s="45"/>
      <c r="Q57" s="46"/>
      <c r="R57" s="44" t="s">
        <v>4021</v>
      </c>
      <c r="S57" s="46"/>
    </row>
    <row r="58" spans="2:19" s="67" customFormat="1" ht="33" customHeight="1">
      <c r="B58" s="46" t="s">
        <v>81</v>
      </c>
      <c r="C58" s="35" t="s">
        <v>3409</v>
      </c>
      <c r="D58" s="36" t="s">
        <v>3743</v>
      </c>
      <c r="E58" s="37">
        <v>43637</v>
      </c>
      <c r="F58" s="38" t="s">
        <v>3999</v>
      </c>
      <c r="G58" s="39">
        <v>9200</v>
      </c>
      <c r="H58" s="38">
        <f t="shared" si="2"/>
        <v>40</v>
      </c>
      <c r="I58" s="38">
        <f t="shared" si="1"/>
        <v>10</v>
      </c>
      <c r="J58" s="38"/>
      <c r="K58" s="40">
        <v>43667</v>
      </c>
      <c r="L58" s="41" t="s">
        <v>4025</v>
      </c>
      <c r="M58" s="42">
        <v>43662</v>
      </c>
      <c r="N58" s="43" t="s">
        <v>4026</v>
      </c>
      <c r="O58" s="42">
        <v>43667</v>
      </c>
      <c r="P58" s="45"/>
      <c r="Q58" s="46"/>
      <c r="R58" s="44"/>
      <c r="S58" s="46"/>
    </row>
    <row r="59" spans="2:19" s="96" customFormat="1" ht="33" customHeight="1">
      <c r="B59" s="47" t="s">
        <v>4027</v>
      </c>
      <c r="C59" s="48" t="s">
        <v>4028</v>
      </c>
      <c r="D59" s="49" t="s">
        <v>705</v>
      </c>
      <c r="E59" s="50">
        <v>43532</v>
      </c>
      <c r="F59" s="52" t="s">
        <v>3999</v>
      </c>
      <c r="G59" s="51">
        <v>920</v>
      </c>
      <c r="H59" s="52">
        <f t="shared" si="2"/>
        <v>4</v>
      </c>
      <c r="I59" s="52">
        <f t="shared" si="1"/>
        <v>1</v>
      </c>
      <c r="J59" s="52"/>
      <c r="K59" s="53">
        <v>43609</v>
      </c>
      <c r="L59" s="54" t="s">
        <v>773</v>
      </c>
      <c r="M59" s="55">
        <v>43601</v>
      </c>
      <c r="N59" s="56" t="s">
        <v>774</v>
      </c>
      <c r="O59" s="55">
        <v>43605</v>
      </c>
      <c r="P59" s="58"/>
      <c r="Q59" s="47"/>
      <c r="R59" s="57"/>
      <c r="S59" s="47" t="s">
        <v>4029</v>
      </c>
    </row>
    <row r="60" spans="2:19" s="96" customFormat="1" ht="33" customHeight="1">
      <c r="B60" s="47" t="s">
        <v>4030</v>
      </c>
      <c r="C60" s="48" t="s">
        <v>4028</v>
      </c>
      <c r="D60" s="49" t="s">
        <v>4031</v>
      </c>
      <c r="E60" s="50">
        <v>43511</v>
      </c>
      <c r="F60" s="52" t="s">
        <v>3999</v>
      </c>
      <c r="G60" s="51">
        <v>460</v>
      </c>
      <c r="H60" s="52">
        <f t="shared" si="2"/>
        <v>2</v>
      </c>
      <c r="I60" s="52">
        <f t="shared" si="1"/>
        <v>0.5</v>
      </c>
      <c r="J60" s="52"/>
      <c r="K60" s="53">
        <v>43576</v>
      </c>
      <c r="L60" s="54" t="s">
        <v>480</v>
      </c>
      <c r="M60" s="55">
        <v>43564</v>
      </c>
      <c r="N60" s="56" t="s">
        <v>646</v>
      </c>
      <c r="O60" s="55">
        <v>43569</v>
      </c>
      <c r="P60" s="58"/>
      <c r="Q60" s="47"/>
      <c r="R60" s="57" t="s">
        <v>4001</v>
      </c>
      <c r="S60" s="47"/>
    </row>
    <row r="61" spans="2:19" s="67" customFormat="1" ht="33" customHeight="1">
      <c r="B61" s="46" t="s">
        <v>4030</v>
      </c>
      <c r="C61" s="35" t="s">
        <v>2333</v>
      </c>
      <c r="D61" s="36" t="s">
        <v>2334</v>
      </c>
      <c r="E61" s="37">
        <v>43602</v>
      </c>
      <c r="F61" s="38" t="s">
        <v>3999</v>
      </c>
      <c r="G61" s="39">
        <v>460</v>
      </c>
      <c r="H61" s="38">
        <f t="shared" si="2"/>
        <v>2</v>
      </c>
      <c r="I61" s="38">
        <f t="shared" si="1"/>
        <v>0.5</v>
      </c>
      <c r="J61" s="38"/>
      <c r="K61" s="40">
        <v>43681</v>
      </c>
      <c r="L61" s="41" t="s">
        <v>4016</v>
      </c>
      <c r="M61" s="42">
        <v>43676</v>
      </c>
      <c r="N61" s="43" t="s">
        <v>4017</v>
      </c>
      <c r="O61" s="42">
        <v>43681</v>
      </c>
      <c r="P61" s="45"/>
      <c r="Q61" s="46"/>
      <c r="R61" s="44" t="s">
        <v>4018</v>
      </c>
      <c r="S61" s="46" t="s">
        <v>3549</v>
      </c>
    </row>
    <row r="62" spans="2:19" s="33" customFormat="1" ht="33" customHeight="1">
      <c r="B62" s="47" t="s">
        <v>4032</v>
      </c>
      <c r="C62" s="48" t="s">
        <v>430</v>
      </c>
      <c r="D62" s="49" t="s">
        <v>470</v>
      </c>
      <c r="E62" s="50">
        <v>43473</v>
      </c>
      <c r="F62" s="52" t="s">
        <v>3999</v>
      </c>
      <c r="G62" s="51">
        <v>1920</v>
      </c>
      <c r="H62" s="52">
        <f t="shared" ref="H62:H71" si="3">SUM(G62/20)</f>
        <v>96</v>
      </c>
      <c r="I62" s="52">
        <f t="shared" ref="I62:I71" si="4">SUM(H62/32)</f>
        <v>3</v>
      </c>
      <c r="J62" s="59"/>
      <c r="K62" s="53">
        <v>43555</v>
      </c>
      <c r="L62" s="54" t="s">
        <v>480</v>
      </c>
      <c r="M62" s="55">
        <v>43564</v>
      </c>
      <c r="N62" s="56" t="s">
        <v>4000</v>
      </c>
      <c r="O62" s="55">
        <v>43569</v>
      </c>
      <c r="P62" s="58"/>
      <c r="Q62" s="60" t="s">
        <v>89</v>
      </c>
      <c r="R62" s="57" t="s">
        <v>4033</v>
      </c>
      <c r="S62" s="47"/>
    </row>
    <row r="63" spans="2:19" s="33" customFormat="1" ht="33" customHeight="1">
      <c r="B63" s="47" t="s">
        <v>4032</v>
      </c>
      <c r="C63" s="48" t="s">
        <v>519</v>
      </c>
      <c r="D63" s="49" t="s">
        <v>710</v>
      </c>
      <c r="E63" s="50">
        <v>43511</v>
      </c>
      <c r="F63" s="52" t="s">
        <v>3999</v>
      </c>
      <c r="G63" s="51">
        <v>640</v>
      </c>
      <c r="H63" s="52">
        <f t="shared" si="3"/>
        <v>32</v>
      </c>
      <c r="I63" s="52">
        <f t="shared" si="4"/>
        <v>1</v>
      </c>
      <c r="J63" s="59"/>
      <c r="K63" s="53">
        <v>43555</v>
      </c>
      <c r="L63" s="54" t="s">
        <v>608</v>
      </c>
      <c r="M63" s="55">
        <v>43557</v>
      </c>
      <c r="N63" s="56" t="s">
        <v>4034</v>
      </c>
      <c r="O63" s="55">
        <v>43562</v>
      </c>
      <c r="P63" s="58"/>
      <c r="Q63" s="60" t="s">
        <v>89</v>
      </c>
      <c r="R63" s="57" t="s">
        <v>4033</v>
      </c>
      <c r="S63" s="47"/>
    </row>
    <row r="64" spans="2:19" s="33" customFormat="1" ht="33" customHeight="1">
      <c r="B64" s="47" t="s">
        <v>4032</v>
      </c>
      <c r="C64" s="48" t="s">
        <v>520</v>
      </c>
      <c r="D64" s="49" t="s">
        <v>584</v>
      </c>
      <c r="E64" s="50">
        <v>43511</v>
      </c>
      <c r="F64" s="52" t="s">
        <v>3999</v>
      </c>
      <c r="G64" s="51">
        <v>1920</v>
      </c>
      <c r="H64" s="52">
        <f t="shared" si="3"/>
        <v>96</v>
      </c>
      <c r="I64" s="52">
        <f t="shared" si="4"/>
        <v>3</v>
      </c>
      <c r="J64" s="59"/>
      <c r="K64" s="53">
        <v>43576</v>
      </c>
      <c r="L64" s="54" t="s">
        <v>503</v>
      </c>
      <c r="M64" s="55">
        <v>43571</v>
      </c>
      <c r="N64" s="56" t="s">
        <v>4035</v>
      </c>
      <c r="O64" s="55">
        <v>43576</v>
      </c>
      <c r="P64" s="58"/>
      <c r="Q64" s="60" t="s">
        <v>89</v>
      </c>
      <c r="R64" s="57" t="s">
        <v>4036</v>
      </c>
      <c r="S64" s="47"/>
    </row>
    <row r="65" spans="2:19" s="33" customFormat="1" ht="33" customHeight="1">
      <c r="B65" s="47" t="s">
        <v>4032</v>
      </c>
      <c r="C65" s="48" t="s">
        <v>586</v>
      </c>
      <c r="D65" s="49" t="s">
        <v>640</v>
      </c>
      <c r="E65" s="50">
        <v>43519</v>
      </c>
      <c r="F65" s="52" t="s">
        <v>3999</v>
      </c>
      <c r="G65" s="51">
        <v>2560</v>
      </c>
      <c r="H65" s="52">
        <f t="shared" si="3"/>
        <v>128</v>
      </c>
      <c r="I65" s="52">
        <f t="shared" si="4"/>
        <v>4</v>
      </c>
      <c r="J65" s="59"/>
      <c r="K65" s="53">
        <v>43611</v>
      </c>
      <c r="L65" s="54" t="s">
        <v>773</v>
      </c>
      <c r="M65" s="55">
        <v>43601</v>
      </c>
      <c r="N65" s="56" t="s">
        <v>3998</v>
      </c>
      <c r="O65" s="55">
        <v>43605</v>
      </c>
      <c r="P65" s="58"/>
      <c r="Q65" s="60" t="s">
        <v>89</v>
      </c>
      <c r="R65" s="57" t="s">
        <v>4037</v>
      </c>
      <c r="S65" s="47" t="s">
        <v>980</v>
      </c>
    </row>
    <row r="66" spans="2:19" s="30" customFormat="1" ht="33" customHeight="1">
      <c r="B66" s="46" t="s">
        <v>4032</v>
      </c>
      <c r="C66" s="35" t="s">
        <v>713</v>
      </c>
      <c r="D66" s="36" t="s">
        <v>714</v>
      </c>
      <c r="E66" s="37">
        <v>43532</v>
      </c>
      <c r="F66" s="38" t="s">
        <v>3999</v>
      </c>
      <c r="G66" s="39">
        <v>1920</v>
      </c>
      <c r="H66" s="38">
        <f t="shared" si="3"/>
        <v>96</v>
      </c>
      <c r="I66" s="38">
        <f t="shared" si="4"/>
        <v>3</v>
      </c>
      <c r="J66" s="61"/>
      <c r="K66" s="40">
        <v>43639</v>
      </c>
      <c r="L66" s="41" t="s">
        <v>1083</v>
      </c>
      <c r="M66" s="42">
        <v>43634</v>
      </c>
      <c r="N66" s="43" t="s">
        <v>1084</v>
      </c>
      <c r="O66" s="42">
        <v>43639</v>
      </c>
      <c r="P66" s="45"/>
      <c r="Q66" s="62" t="s">
        <v>89</v>
      </c>
      <c r="R66" s="44" t="s">
        <v>4038</v>
      </c>
      <c r="S66" s="46"/>
    </row>
    <row r="67" spans="2:19" s="30" customFormat="1" ht="33" customHeight="1">
      <c r="B67" s="46" t="s">
        <v>4032</v>
      </c>
      <c r="C67" s="35" t="s">
        <v>1184</v>
      </c>
      <c r="D67" s="36" t="s">
        <v>1185</v>
      </c>
      <c r="E67" s="37">
        <v>43567</v>
      </c>
      <c r="F67" s="38" t="s">
        <v>3999</v>
      </c>
      <c r="G67" s="39">
        <v>2560</v>
      </c>
      <c r="H67" s="38">
        <f t="shared" si="3"/>
        <v>128</v>
      </c>
      <c r="I67" s="38">
        <f t="shared" si="4"/>
        <v>4</v>
      </c>
      <c r="J67" s="61"/>
      <c r="K67" s="40">
        <v>43653</v>
      </c>
      <c r="L67" s="41" t="s">
        <v>1326</v>
      </c>
      <c r="M67" s="42">
        <v>43648</v>
      </c>
      <c r="N67" s="43" t="s">
        <v>2540</v>
      </c>
      <c r="O67" s="42">
        <v>43653</v>
      </c>
      <c r="P67" s="45"/>
      <c r="Q67" s="62" t="s">
        <v>89</v>
      </c>
      <c r="R67" s="44" t="s">
        <v>4039</v>
      </c>
      <c r="S67" s="46"/>
    </row>
    <row r="68" spans="2:19" s="30" customFormat="1" ht="33" customHeight="1">
      <c r="B68" s="46" t="s">
        <v>4032</v>
      </c>
      <c r="C68" s="35" t="s">
        <v>4040</v>
      </c>
      <c r="D68" s="36" t="s">
        <v>2685</v>
      </c>
      <c r="E68" s="37">
        <v>43609</v>
      </c>
      <c r="F68" s="38" t="s">
        <v>3999</v>
      </c>
      <c r="G68" s="39">
        <v>1280</v>
      </c>
      <c r="H68" s="38">
        <f t="shared" si="3"/>
        <v>64</v>
      </c>
      <c r="I68" s="38">
        <f t="shared" si="4"/>
        <v>2</v>
      </c>
      <c r="J68" s="61"/>
      <c r="K68" s="40">
        <v>43653</v>
      </c>
      <c r="L68" s="41" t="s">
        <v>1326</v>
      </c>
      <c r="M68" s="42">
        <v>43648</v>
      </c>
      <c r="N68" s="43" t="s">
        <v>2540</v>
      </c>
      <c r="O68" s="42">
        <v>43653</v>
      </c>
      <c r="P68" s="45"/>
      <c r="Q68" s="62" t="s">
        <v>89</v>
      </c>
      <c r="R68" s="44" t="s">
        <v>4039</v>
      </c>
      <c r="S68" s="46"/>
    </row>
    <row r="69" spans="2:19" s="30" customFormat="1" ht="33" customHeight="1">
      <c r="B69" s="46" t="s">
        <v>4032</v>
      </c>
      <c r="C69" s="35" t="s">
        <v>2357</v>
      </c>
      <c r="D69" s="36" t="s">
        <v>2358</v>
      </c>
      <c r="E69" s="37">
        <v>43602</v>
      </c>
      <c r="F69" s="38" t="s">
        <v>3999</v>
      </c>
      <c r="G69" s="39">
        <v>2560</v>
      </c>
      <c r="H69" s="38">
        <f t="shared" si="3"/>
        <v>128</v>
      </c>
      <c r="I69" s="38">
        <f t="shared" si="4"/>
        <v>4</v>
      </c>
      <c r="J69" s="61"/>
      <c r="K69" s="40">
        <v>43674</v>
      </c>
      <c r="L69" s="41" t="s">
        <v>2146</v>
      </c>
      <c r="M69" s="42">
        <v>43669</v>
      </c>
      <c r="N69" s="43" t="s">
        <v>2551</v>
      </c>
      <c r="O69" s="42">
        <v>43674</v>
      </c>
      <c r="P69" s="45"/>
      <c r="Q69" s="62" t="s">
        <v>89</v>
      </c>
      <c r="R69" s="44" t="s">
        <v>4041</v>
      </c>
      <c r="S69" s="46"/>
    </row>
    <row r="70" spans="2:19" s="30" customFormat="1" ht="33" customHeight="1">
      <c r="B70" s="46" t="s">
        <v>4032</v>
      </c>
      <c r="C70" s="35" t="s">
        <v>2360</v>
      </c>
      <c r="D70" s="36" t="s">
        <v>4042</v>
      </c>
      <c r="E70" s="37">
        <v>43602</v>
      </c>
      <c r="F70" s="38" t="s">
        <v>3999</v>
      </c>
      <c r="G70" s="39">
        <v>2560</v>
      </c>
      <c r="H70" s="38">
        <f t="shared" si="3"/>
        <v>128</v>
      </c>
      <c r="I70" s="38">
        <f t="shared" si="4"/>
        <v>4</v>
      </c>
      <c r="J70" s="61"/>
      <c r="K70" s="40">
        <v>43695</v>
      </c>
      <c r="L70" s="41" t="s">
        <v>2505</v>
      </c>
      <c r="M70" s="42">
        <v>43683</v>
      </c>
      <c r="N70" s="43" t="s">
        <v>4043</v>
      </c>
      <c r="O70" s="42">
        <v>43688</v>
      </c>
      <c r="P70" s="45"/>
      <c r="Q70" s="62" t="s">
        <v>89</v>
      </c>
      <c r="R70" s="44" t="s">
        <v>4044</v>
      </c>
      <c r="S70" s="46"/>
    </row>
    <row r="71" spans="2:19" s="30" customFormat="1" ht="33" customHeight="1">
      <c r="B71" s="46" t="s">
        <v>4032</v>
      </c>
      <c r="C71" s="35" t="s">
        <v>3429</v>
      </c>
      <c r="D71" s="36" t="s">
        <v>3430</v>
      </c>
      <c r="E71" s="37">
        <v>43637</v>
      </c>
      <c r="F71" s="38" t="s">
        <v>3999</v>
      </c>
      <c r="G71" s="39">
        <v>3840</v>
      </c>
      <c r="H71" s="38">
        <f t="shared" si="3"/>
        <v>192</v>
      </c>
      <c r="I71" s="38">
        <f t="shared" si="4"/>
        <v>6</v>
      </c>
      <c r="J71" s="61"/>
      <c r="K71" s="40">
        <v>43723</v>
      </c>
      <c r="L71" s="41" t="s">
        <v>4019</v>
      </c>
      <c r="M71" s="42">
        <v>43718</v>
      </c>
      <c r="N71" s="43" t="s">
        <v>4020</v>
      </c>
      <c r="O71" s="42">
        <v>43723</v>
      </c>
      <c r="P71" s="45"/>
      <c r="Q71" s="62" t="s">
        <v>89</v>
      </c>
      <c r="R71" s="44" t="s">
        <v>4045</v>
      </c>
      <c r="S71" s="46"/>
    </row>
    <row r="72" spans="2:19" s="33" customFormat="1" ht="33" customHeight="1">
      <c r="B72" s="47" t="s">
        <v>38</v>
      </c>
      <c r="C72" s="48" t="s">
        <v>225</v>
      </c>
      <c r="D72" s="49" t="s">
        <v>587</v>
      </c>
      <c r="E72" s="50">
        <v>43519</v>
      </c>
      <c r="F72" s="52" t="s">
        <v>4046</v>
      </c>
      <c r="G72" s="64">
        <v>640</v>
      </c>
      <c r="H72" s="52">
        <f>SUBTOTAL(9,G72)/20</f>
        <v>32</v>
      </c>
      <c r="I72" s="52">
        <f>H72/32</f>
        <v>1</v>
      </c>
      <c r="J72" s="52"/>
      <c r="K72" s="53">
        <v>43583</v>
      </c>
      <c r="L72" s="54" t="s">
        <v>565</v>
      </c>
      <c r="M72" s="55">
        <v>43578</v>
      </c>
      <c r="N72" s="56" t="s">
        <v>4047</v>
      </c>
      <c r="O72" s="55">
        <v>43583</v>
      </c>
      <c r="P72" s="58"/>
      <c r="Q72" s="52"/>
      <c r="R72" s="63" t="s">
        <v>3996</v>
      </c>
      <c r="S72" s="47"/>
    </row>
    <row r="73" spans="2:19" s="30" customFormat="1" ht="33" customHeight="1">
      <c r="B73" s="46" t="s">
        <v>38</v>
      </c>
      <c r="C73" s="35" t="s">
        <v>226</v>
      </c>
      <c r="D73" s="36" t="s">
        <v>1194</v>
      </c>
      <c r="E73" s="37">
        <v>43567</v>
      </c>
      <c r="F73" s="38" t="s">
        <v>4046</v>
      </c>
      <c r="G73" s="65">
        <v>640</v>
      </c>
      <c r="H73" s="38">
        <f>SUBTOTAL(9,G73)/20</f>
        <v>32</v>
      </c>
      <c r="I73" s="38">
        <f>H73/32</f>
        <v>1</v>
      </c>
      <c r="J73" s="38"/>
      <c r="K73" s="109">
        <v>43772</v>
      </c>
      <c r="L73" s="119" t="s">
        <v>4048</v>
      </c>
      <c r="M73" s="120">
        <v>43760</v>
      </c>
      <c r="N73" s="121" t="s">
        <v>4049</v>
      </c>
      <c r="O73" s="120">
        <v>43765</v>
      </c>
      <c r="P73" s="45"/>
      <c r="Q73" s="38"/>
      <c r="R73" s="116" t="s">
        <v>4050</v>
      </c>
      <c r="S73" s="46"/>
    </row>
    <row r="74" spans="2:19" s="33" customFormat="1" ht="33" customHeight="1">
      <c r="B74" s="47" t="s">
        <v>88</v>
      </c>
      <c r="C74" s="48" t="s">
        <v>431</v>
      </c>
      <c r="D74" s="49" t="s">
        <v>471</v>
      </c>
      <c r="E74" s="50">
        <v>43483</v>
      </c>
      <c r="F74" s="52" t="s">
        <v>4046</v>
      </c>
      <c r="G74" s="64">
        <v>760</v>
      </c>
      <c r="H74" s="52">
        <f t="shared" ref="H74:H81" si="5">SUBTOTAL(9,G74)/190</f>
        <v>4</v>
      </c>
      <c r="I74" s="52">
        <f t="shared" ref="I74:I81" si="6">H74/4</f>
        <v>1</v>
      </c>
      <c r="J74" s="52"/>
      <c r="K74" s="53">
        <v>43569</v>
      </c>
      <c r="L74" s="54" t="s">
        <v>417</v>
      </c>
      <c r="M74" s="55">
        <v>43564</v>
      </c>
      <c r="N74" s="56" t="s">
        <v>4000</v>
      </c>
      <c r="O74" s="55">
        <v>43569</v>
      </c>
      <c r="P74" s="58"/>
      <c r="Q74" s="52"/>
      <c r="R74" s="63" t="s">
        <v>4051</v>
      </c>
      <c r="S74" s="47"/>
    </row>
    <row r="75" spans="2:19" s="33" customFormat="1" ht="33" customHeight="1">
      <c r="B75" s="47" t="s">
        <v>88</v>
      </c>
      <c r="C75" s="48" t="s">
        <v>523</v>
      </c>
      <c r="D75" s="49" t="s">
        <v>588</v>
      </c>
      <c r="E75" s="50">
        <v>43511</v>
      </c>
      <c r="F75" s="52" t="s">
        <v>4046</v>
      </c>
      <c r="G75" s="64">
        <v>760</v>
      </c>
      <c r="H75" s="52">
        <f t="shared" si="5"/>
        <v>4</v>
      </c>
      <c r="I75" s="52">
        <f t="shared" si="6"/>
        <v>1</v>
      </c>
      <c r="J75" s="52"/>
      <c r="K75" s="53">
        <v>43583</v>
      </c>
      <c r="L75" s="54" t="s">
        <v>565</v>
      </c>
      <c r="M75" s="55">
        <v>43578</v>
      </c>
      <c r="N75" s="56" t="s">
        <v>4047</v>
      </c>
      <c r="O75" s="55">
        <v>43583</v>
      </c>
      <c r="P75" s="58"/>
      <c r="Q75" s="52"/>
      <c r="R75" s="63" t="s">
        <v>4052</v>
      </c>
      <c r="S75" s="47"/>
    </row>
    <row r="76" spans="2:19" s="33" customFormat="1" ht="33" customHeight="1">
      <c r="B76" s="47" t="s">
        <v>88</v>
      </c>
      <c r="C76" s="48" t="s">
        <v>589</v>
      </c>
      <c r="D76" s="49" t="s">
        <v>590</v>
      </c>
      <c r="E76" s="50">
        <v>43519</v>
      </c>
      <c r="F76" s="52" t="s">
        <v>4046</v>
      </c>
      <c r="G76" s="64">
        <v>760</v>
      </c>
      <c r="H76" s="52">
        <f t="shared" si="5"/>
        <v>4</v>
      </c>
      <c r="I76" s="52">
        <f t="shared" si="6"/>
        <v>1</v>
      </c>
      <c r="J76" s="52"/>
      <c r="K76" s="53">
        <v>43597</v>
      </c>
      <c r="L76" s="54" t="s">
        <v>4053</v>
      </c>
      <c r="M76" s="55">
        <v>43592</v>
      </c>
      <c r="N76" s="56" t="s">
        <v>4054</v>
      </c>
      <c r="O76" s="55">
        <v>43597</v>
      </c>
      <c r="P76" s="58"/>
      <c r="Q76" s="52"/>
      <c r="R76" s="63" t="s">
        <v>3781</v>
      </c>
      <c r="S76" s="47"/>
    </row>
    <row r="77" spans="2:19" s="30" customFormat="1" ht="33" customHeight="1">
      <c r="B77" s="46" t="s">
        <v>88</v>
      </c>
      <c r="C77" s="35" t="s">
        <v>4055</v>
      </c>
      <c r="D77" s="36" t="s">
        <v>1207</v>
      </c>
      <c r="E77" s="37">
        <v>43567</v>
      </c>
      <c r="F77" s="38" t="s">
        <v>4046</v>
      </c>
      <c r="G77" s="65">
        <v>760</v>
      </c>
      <c r="H77" s="38">
        <f t="shared" si="5"/>
        <v>4</v>
      </c>
      <c r="I77" s="38">
        <f t="shared" si="6"/>
        <v>1</v>
      </c>
      <c r="J77" s="38"/>
      <c r="K77" s="40">
        <v>43667</v>
      </c>
      <c r="L77" s="41" t="s">
        <v>4056</v>
      </c>
      <c r="M77" s="42">
        <v>43655</v>
      </c>
      <c r="N77" s="43" t="s">
        <v>4057</v>
      </c>
      <c r="O77" s="42">
        <v>43660</v>
      </c>
      <c r="P77" s="45"/>
      <c r="Q77" s="38"/>
      <c r="R77" s="66" t="s">
        <v>4058</v>
      </c>
      <c r="S77" s="46" t="s">
        <v>980</v>
      </c>
    </row>
    <row r="78" spans="2:19" s="30" customFormat="1" ht="33" customHeight="1">
      <c r="B78" s="46" t="s">
        <v>88</v>
      </c>
      <c r="C78" s="35" t="s">
        <v>2079</v>
      </c>
      <c r="D78" s="36" t="s">
        <v>4059</v>
      </c>
      <c r="E78" s="37">
        <v>43602</v>
      </c>
      <c r="F78" s="38" t="s">
        <v>4046</v>
      </c>
      <c r="G78" s="65">
        <v>760</v>
      </c>
      <c r="H78" s="38">
        <f t="shared" si="5"/>
        <v>4</v>
      </c>
      <c r="I78" s="38">
        <f t="shared" si="6"/>
        <v>1</v>
      </c>
      <c r="J78" s="38"/>
      <c r="K78" s="40">
        <v>43667</v>
      </c>
      <c r="L78" s="41" t="s">
        <v>4056</v>
      </c>
      <c r="M78" s="42">
        <v>43655</v>
      </c>
      <c r="N78" s="43" t="s">
        <v>4057</v>
      </c>
      <c r="O78" s="42">
        <v>43660</v>
      </c>
      <c r="P78" s="45"/>
      <c r="Q78" s="38"/>
      <c r="R78" s="66" t="s">
        <v>4058</v>
      </c>
      <c r="S78" s="46" t="s">
        <v>980</v>
      </c>
    </row>
    <row r="79" spans="2:19" s="30" customFormat="1" ht="33" customHeight="1">
      <c r="B79" s="46" t="s">
        <v>88</v>
      </c>
      <c r="C79" s="35" t="s">
        <v>2378</v>
      </c>
      <c r="D79" s="36" t="s">
        <v>2379</v>
      </c>
      <c r="E79" s="37">
        <v>43602</v>
      </c>
      <c r="F79" s="38" t="s">
        <v>4046</v>
      </c>
      <c r="G79" s="65">
        <v>760</v>
      </c>
      <c r="H79" s="38">
        <f t="shared" si="5"/>
        <v>4</v>
      </c>
      <c r="I79" s="38">
        <f t="shared" si="6"/>
        <v>1</v>
      </c>
      <c r="J79" s="38"/>
      <c r="K79" s="40">
        <v>43702</v>
      </c>
      <c r="L79" s="41" t="s">
        <v>4060</v>
      </c>
      <c r="M79" s="42">
        <v>43697</v>
      </c>
      <c r="N79" s="43" t="s">
        <v>4061</v>
      </c>
      <c r="O79" s="42">
        <v>43702</v>
      </c>
      <c r="P79" s="45"/>
      <c r="Q79" s="38"/>
      <c r="R79" s="66" t="s">
        <v>4062</v>
      </c>
      <c r="S79" s="46"/>
    </row>
    <row r="80" spans="2:19" s="30" customFormat="1" ht="33" customHeight="1">
      <c r="B80" s="46" t="s">
        <v>88</v>
      </c>
      <c r="C80" s="35" t="s">
        <v>2430</v>
      </c>
      <c r="D80" s="36" t="s">
        <v>3457</v>
      </c>
      <c r="E80" s="37">
        <v>43637</v>
      </c>
      <c r="F80" s="38" t="s">
        <v>4046</v>
      </c>
      <c r="G80" s="65">
        <v>760</v>
      </c>
      <c r="H80" s="38">
        <f t="shared" si="5"/>
        <v>4</v>
      </c>
      <c r="I80" s="38">
        <f t="shared" si="6"/>
        <v>1</v>
      </c>
      <c r="J80" s="38"/>
      <c r="K80" s="40">
        <v>43731</v>
      </c>
      <c r="L80" s="41" t="s">
        <v>4063</v>
      </c>
      <c r="M80" s="42">
        <v>43725</v>
      </c>
      <c r="N80" s="43" t="s">
        <v>4064</v>
      </c>
      <c r="O80" s="42">
        <v>43730</v>
      </c>
      <c r="P80" s="45"/>
      <c r="Q80" s="38"/>
      <c r="R80" s="66" t="s">
        <v>4065</v>
      </c>
      <c r="S80" s="46"/>
    </row>
    <row r="81" spans="2:19" s="147" customFormat="1" ht="33" customHeight="1">
      <c r="B81" s="103" t="s">
        <v>88</v>
      </c>
      <c r="C81" s="104" t="s">
        <v>2527</v>
      </c>
      <c r="D81" s="105"/>
      <c r="E81" s="106">
        <v>43657</v>
      </c>
      <c r="F81" s="107" t="s">
        <v>4046</v>
      </c>
      <c r="G81" s="151">
        <v>760</v>
      </c>
      <c r="H81" s="107">
        <f t="shared" si="5"/>
        <v>4</v>
      </c>
      <c r="I81" s="107">
        <f t="shared" si="6"/>
        <v>1</v>
      </c>
      <c r="J81" s="107"/>
      <c r="K81" s="109">
        <v>43772</v>
      </c>
      <c r="L81" s="110"/>
      <c r="M81" s="111"/>
      <c r="N81" s="112"/>
      <c r="O81" s="111"/>
      <c r="P81" s="113"/>
      <c r="Q81" s="107"/>
      <c r="R81" s="116" t="s">
        <v>4066</v>
      </c>
      <c r="S81" s="103"/>
    </row>
    <row r="82" spans="2:19" s="33" customFormat="1" ht="33" customHeight="1">
      <c r="B82" s="47" t="s">
        <v>83</v>
      </c>
      <c r="C82" s="48" t="s">
        <v>244</v>
      </c>
      <c r="D82" s="49" t="s">
        <v>722</v>
      </c>
      <c r="E82" s="50">
        <v>43483</v>
      </c>
      <c r="F82" s="52" t="s">
        <v>77</v>
      </c>
      <c r="G82" s="51">
        <v>6720</v>
      </c>
      <c r="H82" s="52">
        <f t="shared" ref="H82:H87" si="7">SUM(G82/240)</f>
        <v>28</v>
      </c>
      <c r="I82" s="52">
        <f t="shared" ref="I82:I88" si="8">SUM(H82/4)</f>
        <v>7</v>
      </c>
      <c r="J82" s="52"/>
      <c r="K82" s="53">
        <v>43569</v>
      </c>
      <c r="L82" s="54" t="s">
        <v>480</v>
      </c>
      <c r="M82" s="55">
        <v>43564</v>
      </c>
      <c r="N82" s="56" t="s">
        <v>646</v>
      </c>
      <c r="O82" s="55">
        <v>43569</v>
      </c>
      <c r="P82" s="58" t="s">
        <v>4067</v>
      </c>
      <c r="Q82" s="52"/>
      <c r="R82" s="118" t="s">
        <v>4068</v>
      </c>
      <c r="S82" s="47"/>
    </row>
    <row r="83" spans="2:19" s="33" customFormat="1" ht="33" customHeight="1">
      <c r="B83" s="47" t="s">
        <v>83</v>
      </c>
      <c r="C83" s="48" t="s">
        <v>4069</v>
      </c>
      <c r="D83" s="49" t="s">
        <v>472</v>
      </c>
      <c r="E83" s="50">
        <v>43483</v>
      </c>
      <c r="F83" s="52" t="s">
        <v>77</v>
      </c>
      <c r="G83" s="51">
        <v>5760</v>
      </c>
      <c r="H83" s="52">
        <f t="shared" si="7"/>
        <v>24</v>
      </c>
      <c r="I83" s="52">
        <f t="shared" si="8"/>
        <v>6</v>
      </c>
      <c r="J83" s="52"/>
      <c r="K83" s="53">
        <v>43583</v>
      </c>
      <c r="L83" s="54" t="s">
        <v>448</v>
      </c>
      <c r="M83" s="55">
        <v>43578</v>
      </c>
      <c r="N83" s="56" t="s">
        <v>4047</v>
      </c>
      <c r="O83" s="55">
        <v>43583</v>
      </c>
      <c r="P83" s="58" t="s">
        <v>4070</v>
      </c>
      <c r="Q83" s="52"/>
      <c r="R83" s="118" t="s">
        <v>4068</v>
      </c>
      <c r="S83" s="47"/>
    </row>
    <row r="84" spans="2:19" s="33" customFormat="1" ht="33" customHeight="1">
      <c r="B84" s="47" t="s">
        <v>83</v>
      </c>
      <c r="C84" s="48" t="s">
        <v>258</v>
      </c>
      <c r="D84" s="49" t="s">
        <v>591</v>
      </c>
      <c r="E84" s="50">
        <v>43519</v>
      </c>
      <c r="F84" s="52" t="s">
        <v>77</v>
      </c>
      <c r="G84" s="51">
        <v>5760</v>
      </c>
      <c r="H84" s="52">
        <f t="shared" si="7"/>
        <v>24</v>
      </c>
      <c r="I84" s="52">
        <f t="shared" si="8"/>
        <v>6</v>
      </c>
      <c r="J84" s="52"/>
      <c r="K84" s="53">
        <v>43605</v>
      </c>
      <c r="L84" s="54" t="s">
        <v>4071</v>
      </c>
      <c r="M84" s="55">
        <v>43601</v>
      </c>
      <c r="N84" s="56" t="s">
        <v>3998</v>
      </c>
      <c r="O84" s="55">
        <v>43605</v>
      </c>
      <c r="P84" s="58" t="s">
        <v>4072</v>
      </c>
      <c r="Q84" s="52"/>
      <c r="R84" s="118" t="s">
        <v>4073</v>
      </c>
      <c r="S84" s="47"/>
    </row>
    <row r="85" spans="2:19" s="30" customFormat="1" ht="33" customHeight="1">
      <c r="B85" s="46" t="s">
        <v>83</v>
      </c>
      <c r="C85" s="35" t="s">
        <v>321</v>
      </c>
      <c r="D85" s="36" t="s">
        <v>727</v>
      </c>
      <c r="E85" s="37">
        <v>43532</v>
      </c>
      <c r="F85" s="38" t="s">
        <v>77</v>
      </c>
      <c r="G85" s="39">
        <v>6720</v>
      </c>
      <c r="H85" s="38">
        <f t="shared" si="7"/>
        <v>28</v>
      </c>
      <c r="I85" s="38">
        <f t="shared" si="8"/>
        <v>7</v>
      </c>
      <c r="J85" s="38"/>
      <c r="K85" s="40">
        <v>43633</v>
      </c>
      <c r="L85" s="41" t="s">
        <v>807</v>
      </c>
      <c r="M85" s="42">
        <v>43627</v>
      </c>
      <c r="N85" s="43" t="s">
        <v>808</v>
      </c>
      <c r="O85" s="42">
        <v>43632</v>
      </c>
      <c r="P85" s="45"/>
      <c r="Q85" s="38"/>
      <c r="R85" s="115" t="s">
        <v>4074</v>
      </c>
      <c r="S85" s="46"/>
    </row>
    <row r="86" spans="2:19" s="30" customFormat="1" ht="33" customHeight="1">
      <c r="B86" s="46" t="s">
        <v>83</v>
      </c>
      <c r="C86" s="35" t="s">
        <v>324</v>
      </c>
      <c r="D86" s="36" t="s">
        <v>1234</v>
      </c>
      <c r="E86" s="37">
        <v>43567</v>
      </c>
      <c r="F86" s="38" t="s">
        <v>77</v>
      </c>
      <c r="G86" s="39">
        <v>5760</v>
      </c>
      <c r="H86" s="38">
        <f t="shared" si="7"/>
        <v>24</v>
      </c>
      <c r="I86" s="38">
        <f t="shared" si="8"/>
        <v>6</v>
      </c>
      <c r="J86" s="38"/>
      <c r="K86" s="40">
        <v>43674</v>
      </c>
      <c r="L86" s="41" t="s">
        <v>4075</v>
      </c>
      <c r="M86" s="42">
        <v>43669</v>
      </c>
      <c r="N86" s="43" t="s">
        <v>2144</v>
      </c>
      <c r="O86" s="42">
        <v>43674</v>
      </c>
      <c r="P86" s="45"/>
      <c r="Q86" s="38"/>
      <c r="R86" s="115" t="s">
        <v>4076</v>
      </c>
      <c r="S86" s="46"/>
    </row>
    <row r="87" spans="2:19" s="30" customFormat="1" ht="33" customHeight="1">
      <c r="B87" s="46" t="s">
        <v>83</v>
      </c>
      <c r="C87" s="35" t="s">
        <v>430</v>
      </c>
      <c r="D87" s="36" t="s">
        <v>2696</v>
      </c>
      <c r="E87" s="37">
        <v>43609</v>
      </c>
      <c r="F87" s="38" t="s">
        <v>77</v>
      </c>
      <c r="G87" s="39">
        <v>7680</v>
      </c>
      <c r="H87" s="38">
        <f t="shared" si="7"/>
        <v>32</v>
      </c>
      <c r="I87" s="38">
        <f t="shared" si="8"/>
        <v>8</v>
      </c>
      <c r="J87" s="38"/>
      <c r="K87" s="40">
        <v>43702</v>
      </c>
      <c r="L87" s="41" t="s">
        <v>2509</v>
      </c>
      <c r="M87" s="42">
        <v>43697</v>
      </c>
      <c r="N87" s="43" t="s">
        <v>2498</v>
      </c>
      <c r="O87" s="42">
        <v>43702</v>
      </c>
      <c r="P87" s="45"/>
      <c r="Q87" s="38"/>
      <c r="R87" s="115" t="s">
        <v>4077</v>
      </c>
      <c r="S87" s="46"/>
    </row>
    <row r="88" spans="2:19" s="30" customFormat="1" ht="33" customHeight="1">
      <c r="B88" s="46" t="s">
        <v>4078</v>
      </c>
      <c r="C88" s="35" t="s">
        <v>519</v>
      </c>
      <c r="D88" s="36" t="s">
        <v>3473</v>
      </c>
      <c r="E88" s="37">
        <v>43637</v>
      </c>
      <c r="F88" s="38" t="s">
        <v>77</v>
      </c>
      <c r="G88" s="39">
        <v>9600</v>
      </c>
      <c r="H88" s="38">
        <f t="shared" ref="H88" si="9">SUM(G88/240)</f>
        <v>40</v>
      </c>
      <c r="I88" s="38">
        <f t="shared" si="8"/>
        <v>10</v>
      </c>
      <c r="J88" s="38"/>
      <c r="K88" s="40">
        <v>43716</v>
      </c>
      <c r="L88" s="41" t="s">
        <v>4023</v>
      </c>
      <c r="M88" s="42">
        <v>43711</v>
      </c>
      <c r="N88" s="43" t="s">
        <v>4024</v>
      </c>
      <c r="O88" s="42">
        <v>43716</v>
      </c>
      <c r="P88" s="45"/>
      <c r="Q88" s="38"/>
      <c r="R88" s="115" t="s">
        <v>4079</v>
      </c>
      <c r="S88" s="46"/>
    </row>
    <row r="89" spans="2:19" s="34" customFormat="1" ht="33" customHeight="1">
      <c r="B89" s="47" t="s">
        <v>210</v>
      </c>
      <c r="C89" s="48" t="s">
        <v>226</v>
      </c>
      <c r="D89" s="49" t="s">
        <v>593</v>
      </c>
      <c r="E89" s="50">
        <v>43483</v>
      </c>
      <c r="F89" s="52" t="s">
        <v>218</v>
      </c>
      <c r="G89" s="51">
        <v>640</v>
      </c>
      <c r="H89" s="52">
        <f t="shared" ref="H89:H115" si="10">SUM(G89/20)</f>
        <v>32</v>
      </c>
      <c r="I89" s="52">
        <f t="shared" ref="I89:I115" si="11">SUM(H89/32)</f>
        <v>1</v>
      </c>
      <c r="J89" s="52"/>
      <c r="K89" s="53">
        <v>43534</v>
      </c>
      <c r="L89" s="54" t="s">
        <v>4080</v>
      </c>
      <c r="M89" s="55"/>
      <c r="N89" s="56"/>
      <c r="O89" s="55">
        <v>43520</v>
      </c>
      <c r="P89" s="58" t="s">
        <v>651</v>
      </c>
      <c r="Q89" s="52"/>
      <c r="R89" s="63" t="s">
        <v>211</v>
      </c>
      <c r="S89" s="52"/>
    </row>
    <row r="90" spans="2:19" s="34" customFormat="1" ht="33" customHeight="1">
      <c r="B90" s="47" t="s">
        <v>210</v>
      </c>
      <c r="C90" s="48" t="s">
        <v>285</v>
      </c>
      <c r="D90" s="49" t="s">
        <v>526</v>
      </c>
      <c r="E90" s="50">
        <v>43507</v>
      </c>
      <c r="F90" s="52" t="s">
        <v>218</v>
      </c>
      <c r="G90" s="51">
        <v>3200</v>
      </c>
      <c r="H90" s="52">
        <f t="shared" si="10"/>
        <v>160</v>
      </c>
      <c r="I90" s="52">
        <f t="shared" si="11"/>
        <v>5</v>
      </c>
      <c r="J90" s="52"/>
      <c r="K90" s="53">
        <v>43576</v>
      </c>
      <c r="L90" s="54" t="s">
        <v>503</v>
      </c>
      <c r="M90" s="55">
        <v>43571</v>
      </c>
      <c r="N90" s="56" t="s">
        <v>4035</v>
      </c>
      <c r="O90" s="55">
        <v>43576</v>
      </c>
      <c r="P90" s="58"/>
      <c r="Q90" s="52" t="s">
        <v>643</v>
      </c>
      <c r="R90" s="63" t="s">
        <v>211</v>
      </c>
      <c r="S90" s="52"/>
    </row>
    <row r="91" spans="2:19" s="34" customFormat="1" ht="33" customHeight="1">
      <c r="B91" s="47" t="s">
        <v>210</v>
      </c>
      <c r="C91" s="48" t="s">
        <v>4081</v>
      </c>
      <c r="D91" s="49" t="s">
        <v>526</v>
      </c>
      <c r="E91" s="50">
        <v>43507</v>
      </c>
      <c r="F91" s="52" t="s">
        <v>218</v>
      </c>
      <c r="G91" s="51">
        <v>640</v>
      </c>
      <c r="H91" s="52">
        <f t="shared" si="10"/>
        <v>32</v>
      </c>
      <c r="I91" s="52">
        <f t="shared" si="11"/>
        <v>1</v>
      </c>
      <c r="J91" s="52"/>
      <c r="K91" s="53">
        <v>43576</v>
      </c>
      <c r="L91" s="54" t="s">
        <v>448</v>
      </c>
      <c r="M91" s="55">
        <v>43578</v>
      </c>
      <c r="N91" s="56" t="s">
        <v>4047</v>
      </c>
      <c r="O91" s="55">
        <v>43583</v>
      </c>
      <c r="P91" s="58"/>
      <c r="Q91" s="52" t="s">
        <v>643</v>
      </c>
      <c r="R91" s="63" t="s">
        <v>211</v>
      </c>
      <c r="S91" s="52"/>
    </row>
    <row r="92" spans="2:19" s="34" customFormat="1" ht="33" customHeight="1">
      <c r="B92" s="47" t="s">
        <v>210</v>
      </c>
      <c r="C92" s="48" t="s">
        <v>331</v>
      </c>
      <c r="D92" s="49" t="s">
        <v>4082</v>
      </c>
      <c r="E92" s="50">
        <v>43519</v>
      </c>
      <c r="F92" s="52" t="s">
        <v>218</v>
      </c>
      <c r="G92" s="51">
        <v>3200</v>
      </c>
      <c r="H92" s="52">
        <f t="shared" si="10"/>
        <v>160</v>
      </c>
      <c r="I92" s="52">
        <f t="shared" si="11"/>
        <v>5</v>
      </c>
      <c r="J92" s="52"/>
      <c r="K92" s="53">
        <v>43562</v>
      </c>
      <c r="L92" s="54" t="s">
        <v>608</v>
      </c>
      <c r="M92" s="55">
        <v>43557</v>
      </c>
      <c r="N92" s="56" t="s">
        <v>4034</v>
      </c>
      <c r="O92" s="55">
        <v>43562</v>
      </c>
      <c r="P92" s="58"/>
      <c r="Q92" s="52" t="s">
        <v>642</v>
      </c>
      <c r="R92" s="63" t="s">
        <v>211</v>
      </c>
      <c r="S92" s="52"/>
    </row>
    <row r="93" spans="2:19" s="34" customFormat="1" ht="33" customHeight="1">
      <c r="B93" s="47" t="s">
        <v>210</v>
      </c>
      <c r="C93" s="48" t="s">
        <v>4083</v>
      </c>
      <c r="D93" s="49" t="s">
        <v>4082</v>
      </c>
      <c r="E93" s="50">
        <v>43519</v>
      </c>
      <c r="F93" s="52" t="s">
        <v>218</v>
      </c>
      <c r="G93" s="51">
        <v>640</v>
      </c>
      <c r="H93" s="52">
        <f t="shared" si="10"/>
        <v>32</v>
      </c>
      <c r="I93" s="52">
        <f t="shared" si="11"/>
        <v>1</v>
      </c>
      <c r="J93" s="52"/>
      <c r="K93" s="53">
        <v>43562</v>
      </c>
      <c r="L93" s="54" t="s">
        <v>480</v>
      </c>
      <c r="M93" s="55">
        <v>43564</v>
      </c>
      <c r="N93" s="56" t="s">
        <v>646</v>
      </c>
      <c r="O93" s="55">
        <v>43569</v>
      </c>
      <c r="P93" s="58"/>
      <c r="Q93" s="52" t="s">
        <v>642</v>
      </c>
      <c r="R93" s="63" t="s">
        <v>211</v>
      </c>
      <c r="S93" s="52"/>
    </row>
    <row r="94" spans="2:19" s="32" customFormat="1" ht="33" customHeight="1">
      <c r="B94" s="46" t="s">
        <v>210</v>
      </c>
      <c r="C94" s="35" t="s">
        <v>2527</v>
      </c>
      <c r="D94" s="190" t="s">
        <v>4084</v>
      </c>
      <c r="E94" s="37">
        <v>43609</v>
      </c>
      <c r="F94" s="38" t="s">
        <v>218</v>
      </c>
      <c r="G94" s="39">
        <v>120</v>
      </c>
      <c r="H94" s="38">
        <f t="shared" si="10"/>
        <v>6</v>
      </c>
      <c r="I94" s="38">
        <f t="shared" si="11"/>
        <v>0.1875</v>
      </c>
      <c r="J94" s="38"/>
      <c r="K94" s="40">
        <v>43646</v>
      </c>
      <c r="L94" s="41" t="s">
        <v>1083</v>
      </c>
      <c r="M94" s="42">
        <v>43634</v>
      </c>
      <c r="N94" s="43" t="s">
        <v>1084</v>
      </c>
      <c r="O94" s="42">
        <v>43639</v>
      </c>
      <c r="P94" s="45"/>
      <c r="Q94" s="66" t="s">
        <v>2543</v>
      </c>
      <c r="R94" s="66" t="s">
        <v>4085</v>
      </c>
      <c r="S94" s="38"/>
    </row>
    <row r="95" spans="2:19" s="32" customFormat="1" ht="33" customHeight="1">
      <c r="B95" s="46" t="s">
        <v>4086</v>
      </c>
      <c r="C95" s="35" t="s">
        <v>2531</v>
      </c>
      <c r="D95" s="190" t="s">
        <v>4084</v>
      </c>
      <c r="E95" s="37">
        <v>43609</v>
      </c>
      <c r="F95" s="38" t="s">
        <v>4087</v>
      </c>
      <c r="G95" s="39">
        <v>120</v>
      </c>
      <c r="H95" s="38">
        <f t="shared" si="10"/>
        <v>6</v>
      </c>
      <c r="I95" s="38">
        <f t="shared" si="11"/>
        <v>0.1875</v>
      </c>
      <c r="J95" s="38"/>
      <c r="K95" s="40">
        <v>43646</v>
      </c>
      <c r="L95" s="41" t="s">
        <v>1083</v>
      </c>
      <c r="M95" s="42">
        <v>43634</v>
      </c>
      <c r="N95" s="43" t="s">
        <v>1084</v>
      </c>
      <c r="O95" s="42">
        <v>43639</v>
      </c>
      <c r="P95" s="45"/>
      <c r="Q95" s="66" t="s">
        <v>2544</v>
      </c>
      <c r="R95" s="66" t="s">
        <v>4085</v>
      </c>
      <c r="S95" s="38"/>
    </row>
    <row r="96" spans="2:19" s="34" customFormat="1" ht="33" customHeight="1">
      <c r="B96" s="47" t="s">
        <v>210</v>
      </c>
      <c r="C96" s="48" t="s">
        <v>431</v>
      </c>
      <c r="D96" s="49" t="s">
        <v>4088</v>
      </c>
      <c r="E96" s="50">
        <v>43523</v>
      </c>
      <c r="F96" s="52" t="s">
        <v>218</v>
      </c>
      <c r="G96" s="51">
        <v>3200</v>
      </c>
      <c r="H96" s="52">
        <f t="shared" si="10"/>
        <v>160</v>
      </c>
      <c r="I96" s="52">
        <f t="shared" si="11"/>
        <v>5</v>
      </c>
      <c r="J96" s="52"/>
      <c r="K96" s="53">
        <v>43597</v>
      </c>
      <c r="L96" s="54" t="s">
        <v>605</v>
      </c>
      <c r="M96" s="55">
        <v>43594</v>
      </c>
      <c r="N96" s="56" t="s">
        <v>3994</v>
      </c>
      <c r="O96" s="55">
        <v>43598</v>
      </c>
      <c r="P96" s="58"/>
      <c r="Q96" s="52" t="s">
        <v>641</v>
      </c>
      <c r="R96" s="63" t="s">
        <v>211</v>
      </c>
      <c r="S96" s="52"/>
    </row>
    <row r="97" spans="2:19" s="34" customFormat="1" ht="33" customHeight="1">
      <c r="B97" s="47" t="s">
        <v>210</v>
      </c>
      <c r="C97" s="48" t="s">
        <v>4089</v>
      </c>
      <c r="D97" s="49" t="s">
        <v>4088</v>
      </c>
      <c r="E97" s="50">
        <v>43523</v>
      </c>
      <c r="F97" s="52" t="s">
        <v>218</v>
      </c>
      <c r="G97" s="51">
        <v>640</v>
      </c>
      <c r="H97" s="52">
        <f t="shared" si="10"/>
        <v>32</v>
      </c>
      <c r="I97" s="52">
        <f t="shared" si="11"/>
        <v>1</v>
      </c>
      <c r="J97" s="52"/>
      <c r="K97" s="53">
        <v>43618</v>
      </c>
      <c r="L97" s="54" t="s">
        <v>4004</v>
      </c>
      <c r="M97" s="55">
        <v>43613</v>
      </c>
      <c r="N97" s="56" t="s">
        <v>4005</v>
      </c>
      <c r="O97" s="55">
        <v>43618</v>
      </c>
      <c r="P97" s="58"/>
      <c r="Q97" s="52" t="s">
        <v>641</v>
      </c>
      <c r="R97" s="63" t="s">
        <v>211</v>
      </c>
      <c r="S97" s="52"/>
    </row>
    <row r="98" spans="2:19" s="34" customFormat="1" ht="33" customHeight="1">
      <c r="B98" s="47" t="s">
        <v>210</v>
      </c>
      <c r="C98" s="48" t="s">
        <v>4090</v>
      </c>
      <c r="D98" s="49" t="s">
        <v>739</v>
      </c>
      <c r="E98" s="50">
        <v>43532</v>
      </c>
      <c r="F98" s="52" t="s">
        <v>218</v>
      </c>
      <c r="G98" s="51">
        <v>2560</v>
      </c>
      <c r="H98" s="52">
        <f t="shared" si="10"/>
        <v>128</v>
      </c>
      <c r="I98" s="52">
        <f t="shared" si="11"/>
        <v>4</v>
      </c>
      <c r="J98" s="52"/>
      <c r="K98" s="53">
        <v>43618</v>
      </c>
      <c r="L98" s="54" t="s">
        <v>4004</v>
      </c>
      <c r="M98" s="55">
        <v>43613</v>
      </c>
      <c r="N98" s="56" t="s">
        <v>4005</v>
      </c>
      <c r="O98" s="55">
        <v>43618</v>
      </c>
      <c r="P98" s="58"/>
      <c r="Q98" s="52" t="s">
        <v>970</v>
      </c>
      <c r="R98" s="63" t="s">
        <v>211</v>
      </c>
      <c r="S98" s="52"/>
    </row>
    <row r="99" spans="2:19" s="32" customFormat="1" ht="33" customHeight="1">
      <c r="B99" s="46" t="s">
        <v>210</v>
      </c>
      <c r="C99" s="35" t="s">
        <v>589</v>
      </c>
      <c r="D99" s="36" t="s">
        <v>1260</v>
      </c>
      <c r="E99" s="37">
        <v>43558</v>
      </c>
      <c r="F99" s="38" t="s">
        <v>218</v>
      </c>
      <c r="G99" s="39">
        <v>3200</v>
      </c>
      <c r="H99" s="38">
        <f t="shared" si="10"/>
        <v>160</v>
      </c>
      <c r="I99" s="38">
        <f t="shared" si="11"/>
        <v>5</v>
      </c>
      <c r="J99" s="38"/>
      <c r="K99" s="40">
        <v>43639</v>
      </c>
      <c r="L99" s="41" t="s">
        <v>4091</v>
      </c>
      <c r="M99" s="42">
        <v>43634</v>
      </c>
      <c r="N99" s="43" t="s">
        <v>4092</v>
      </c>
      <c r="O99" s="42">
        <v>43639</v>
      </c>
      <c r="P99" s="45"/>
      <c r="Q99" s="38" t="s">
        <v>973</v>
      </c>
      <c r="R99" s="66" t="s">
        <v>211</v>
      </c>
      <c r="S99" s="38"/>
    </row>
    <row r="100" spans="2:19" s="32" customFormat="1" ht="33" customHeight="1">
      <c r="B100" s="46" t="s">
        <v>210</v>
      </c>
      <c r="C100" s="35" t="s">
        <v>2078</v>
      </c>
      <c r="D100" s="36" t="s">
        <v>2426</v>
      </c>
      <c r="E100" s="37">
        <v>43602</v>
      </c>
      <c r="F100" s="38" t="s">
        <v>218</v>
      </c>
      <c r="G100" s="39">
        <v>3200</v>
      </c>
      <c r="H100" s="38">
        <f t="shared" si="10"/>
        <v>160</v>
      </c>
      <c r="I100" s="38">
        <f t="shared" si="11"/>
        <v>5</v>
      </c>
      <c r="J100" s="38"/>
      <c r="K100" s="40">
        <v>43653</v>
      </c>
      <c r="L100" s="41" t="s">
        <v>1326</v>
      </c>
      <c r="M100" s="42">
        <v>43648</v>
      </c>
      <c r="N100" s="43" t="s">
        <v>3819</v>
      </c>
      <c r="O100" s="42">
        <v>43653</v>
      </c>
      <c r="P100" s="45"/>
      <c r="Q100" s="38" t="s">
        <v>2148</v>
      </c>
      <c r="R100" s="66" t="s">
        <v>211</v>
      </c>
      <c r="S100" s="38"/>
    </row>
    <row r="101" spans="2:19" s="32" customFormat="1" ht="33" customHeight="1">
      <c r="B101" s="46" t="s">
        <v>210</v>
      </c>
      <c r="C101" s="35" t="s">
        <v>2079</v>
      </c>
      <c r="D101" s="36" t="s">
        <v>2428</v>
      </c>
      <c r="E101" s="37">
        <v>43602</v>
      </c>
      <c r="F101" s="38" t="s">
        <v>218</v>
      </c>
      <c r="G101" s="39">
        <v>3200</v>
      </c>
      <c r="H101" s="38">
        <f t="shared" si="10"/>
        <v>160</v>
      </c>
      <c r="I101" s="38">
        <f t="shared" si="11"/>
        <v>5</v>
      </c>
      <c r="J101" s="38"/>
      <c r="K101" s="40">
        <v>43667</v>
      </c>
      <c r="L101" s="41" t="s">
        <v>2146</v>
      </c>
      <c r="M101" s="42">
        <v>43669</v>
      </c>
      <c r="N101" s="43" t="s">
        <v>2551</v>
      </c>
      <c r="O101" s="42">
        <v>43674</v>
      </c>
      <c r="P101" s="45"/>
      <c r="Q101" s="38" t="s">
        <v>2150</v>
      </c>
      <c r="R101" s="66" t="s">
        <v>211</v>
      </c>
      <c r="S101" s="38"/>
    </row>
    <row r="102" spans="2:19" s="32" customFormat="1" ht="33" customHeight="1">
      <c r="B102" s="46" t="s">
        <v>210</v>
      </c>
      <c r="C102" s="35" t="s">
        <v>2378</v>
      </c>
      <c r="D102" s="36" t="s">
        <v>4093</v>
      </c>
      <c r="E102" s="37">
        <v>43602</v>
      </c>
      <c r="F102" s="38" t="s">
        <v>218</v>
      </c>
      <c r="G102" s="39">
        <v>3200</v>
      </c>
      <c r="H102" s="38">
        <f t="shared" si="10"/>
        <v>160</v>
      </c>
      <c r="I102" s="38">
        <f t="shared" si="11"/>
        <v>5</v>
      </c>
      <c r="J102" s="38"/>
      <c r="K102" s="40">
        <v>43688</v>
      </c>
      <c r="L102" s="41" t="s">
        <v>2505</v>
      </c>
      <c r="M102" s="42">
        <v>43683</v>
      </c>
      <c r="N102" s="43" t="s">
        <v>4043</v>
      </c>
      <c r="O102" s="42">
        <v>43688</v>
      </c>
      <c r="P102" s="45"/>
      <c r="Q102" s="38" t="s">
        <v>2762</v>
      </c>
      <c r="R102" s="66" t="s">
        <v>211</v>
      </c>
      <c r="S102" s="46" t="s">
        <v>2764</v>
      </c>
    </row>
    <row r="103" spans="2:19" s="32" customFormat="1" ht="33" customHeight="1">
      <c r="B103" s="46" t="s">
        <v>210</v>
      </c>
      <c r="C103" s="35" t="s">
        <v>2430</v>
      </c>
      <c r="D103" s="190" t="s">
        <v>4094</v>
      </c>
      <c r="E103" s="37">
        <v>43602</v>
      </c>
      <c r="F103" s="38" t="s">
        <v>218</v>
      </c>
      <c r="G103" s="39">
        <v>3200</v>
      </c>
      <c r="H103" s="38">
        <f t="shared" si="10"/>
        <v>160</v>
      </c>
      <c r="I103" s="38">
        <f t="shared" si="11"/>
        <v>5</v>
      </c>
      <c r="J103" s="38"/>
      <c r="K103" s="40">
        <v>43702</v>
      </c>
      <c r="L103" s="41" t="s">
        <v>2509</v>
      </c>
      <c r="M103" s="42">
        <v>43697</v>
      </c>
      <c r="N103" s="43" t="s">
        <v>4061</v>
      </c>
      <c r="O103" s="42">
        <v>43702</v>
      </c>
      <c r="P103" s="45"/>
      <c r="Q103" s="38" t="s">
        <v>2517</v>
      </c>
      <c r="R103" s="66" t="s">
        <v>211</v>
      </c>
      <c r="S103" s="38"/>
    </row>
    <row r="104" spans="2:19" s="32" customFormat="1" ht="33" customHeight="1">
      <c r="B104" s="46" t="s">
        <v>210</v>
      </c>
      <c r="C104" s="35" t="s">
        <v>2528</v>
      </c>
      <c r="D104" s="190" t="s">
        <v>2704</v>
      </c>
      <c r="E104" s="37">
        <v>43609</v>
      </c>
      <c r="F104" s="38" t="s">
        <v>218</v>
      </c>
      <c r="G104" s="39">
        <v>3200</v>
      </c>
      <c r="H104" s="38">
        <f t="shared" si="10"/>
        <v>160</v>
      </c>
      <c r="I104" s="38">
        <f t="shared" si="11"/>
        <v>5</v>
      </c>
      <c r="J104" s="38"/>
      <c r="K104" s="40">
        <v>43660</v>
      </c>
      <c r="L104" s="41" t="s">
        <v>1326</v>
      </c>
      <c r="M104" s="42">
        <v>43648</v>
      </c>
      <c r="N104" s="43" t="s">
        <v>2540</v>
      </c>
      <c r="O104" s="42">
        <v>43653</v>
      </c>
      <c r="P104" s="45"/>
      <c r="Q104" s="38" t="s">
        <v>2148</v>
      </c>
      <c r="R104" s="66" t="s">
        <v>211</v>
      </c>
      <c r="S104" s="38"/>
    </row>
    <row r="105" spans="2:19" s="32" customFormat="1" ht="33" customHeight="1">
      <c r="B105" s="46" t="s">
        <v>210</v>
      </c>
      <c r="C105" s="35" t="s">
        <v>2529</v>
      </c>
      <c r="D105" s="190" t="s">
        <v>2705</v>
      </c>
      <c r="E105" s="37">
        <v>43609</v>
      </c>
      <c r="F105" s="38" t="s">
        <v>218</v>
      </c>
      <c r="G105" s="39">
        <v>3200</v>
      </c>
      <c r="H105" s="38">
        <f t="shared" si="10"/>
        <v>160</v>
      </c>
      <c r="I105" s="38">
        <f t="shared" si="11"/>
        <v>5</v>
      </c>
      <c r="J105" s="38"/>
      <c r="K105" s="40">
        <v>43675</v>
      </c>
      <c r="L105" s="41" t="s">
        <v>2146</v>
      </c>
      <c r="M105" s="42">
        <v>43669</v>
      </c>
      <c r="N105" s="43" t="s">
        <v>2551</v>
      </c>
      <c r="O105" s="42">
        <v>43674</v>
      </c>
      <c r="P105" s="45"/>
      <c r="Q105" s="38" t="s">
        <v>2150</v>
      </c>
      <c r="R105" s="66" t="s">
        <v>211</v>
      </c>
      <c r="S105" s="38"/>
    </row>
    <row r="106" spans="2:19" s="32" customFormat="1" ht="33" customHeight="1">
      <c r="B106" s="46" t="s">
        <v>4095</v>
      </c>
      <c r="C106" s="35" t="s">
        <v>3497</v>
      </c>
      <c r="D106" s="190" t="s">
        <v>3498</v>
      </c>
      <c r="E106" s="37">
        <v>43637</v>
      </c>
      <c r="F106" s="38" t="s">
        <v>218</v>
      </c>
      <c r="G106" s="39">
        <v>3200</v>
      </c>
      <c r="H106" s="38">
        <f t="shared" si="10"/>
        <v>160</v>
      </c>
      <c r="I106" s="38">
        <f t="shared" si="11"/>
        <v>5</v>
      </c>
      <c r="J106" s="38"/>
      <c r="K106" s="40">
        <v>43716</v>
      </c>
      <c r="L106" s="41" t="s">
        <v>4096</v>
      </c>
      <c r="M106" s="42">
        <v>43711</v>
      </c>
      <c r="N106" s="43" t="s">
        <v>4097</v>
      </c>
      <c r="O106" s="42">
        <v>43716</v>
      </c>
      <c r="P106" s="45"/>
      <c r="Q106" s="38"/>
      <c r="R106" s="66" t="s">
        <v>211</v>
      </c>
      <c r="S106" s="38"/>
    </row>
    <row r="107" spans="2:19" s="32" customFormat="1" ht="33" customHeight="1">
      <c r="B107" s="46" t="s">
        <v>4098</v>
      </c>
      <c r="C107" s="35" t="s">
        <v>3499</v>
      </c>
      <c r="D107" s="190" t="s">
        <v>3500</v>
      </c>
      <c r="E107" s="37">
        <v>43637</v>
      </c>
      <c r="F107" s="38" t="s">
        <v>218</v>
      </c>
      <c r="G107" s="39">
        <v>3200</v>
      </c>
      <c r="H107" s="38">
        <f t="shared" si="10"/>
        <v>160</v>
      </c>
      <c r="I107" s="38">
        <f t="shared" si="11"/>
        <v>5</v>
      </c>
      <c r="J107" s="38"/>
      <c r="K107" s="40">
        <v>43730</v>
      </c>
      <c r="L107" s="41" t="s">
        <v>4099</v>
      </c>
      <c r="M107" s="42">
        <v>43725</v>
      </c>
      <c r="N107" s="43" t="s">
        <v>4100</v>
      </c>
      <c r="O107" s="42">
        <v>43730</v>
      </c>
      <c r="P107" s="45"/>
      <c r="Q107" s="38"/>
      <c r="R107" s="66" t="s">
        <v>211</v>
      </c>
      <c r="S107" s="38"/>
    </row>
    <row r="108" spans="2:19" s="32" customFormat="1" ht="33" customHeight="1">
      <c r="B108" s="46" t="s">
        <v>4098</v>
      </c>
      <c r="C108" s="35" t="s">
        <v>3501</v>
      </c>
      <c r="D108" s="190" t="s">
        <v>3502</v>
      </c>
      <c r="E108" s="37">
        <v>43637</v>
      </c>
      <c r="F108" s="38" t="s">
        <v>218</v>
      </c>
      <c r="G108" s="39">
        <v>3200</v>
      </c>
      <c r="H108" s="38">
        <f t="shared" si="10"/>
        <v>160</v>
      </c>
      <c r="I108" s="38">
        <f t="shared" si="11"/>
        <v>5</v>
      </c>
      <c r="J108" s="38"/>
      <c r="K108" s="40">
        <v>43737</v>
      </c>
      <c r="L108" s="41" t="s">
        <v>4101</v>
      </c>
      <c r="M108" s="42">
        <v>43732</v>
      </c>
      <c r="N108" s="43" t="s">
        <v>4102</v>
      </c>
      <c r="O108" s="42">
        <v>43737</v>
      </c>
      <c r="P108" s="45"/>
      <c r="Q108" s="38"/>
      <c r="R108" s="66" t="s">
        <v>211</v>
      </c>
      <c r="S108" s="38"/>
    </row>
    <row r="109" spans="2:19" s="153" customFormat="1" ht="33" customHeight="1">
      <c r="B109" s="103" t="s">
        <v>210</v>
      </c>
      <c r="C109" s="104" t="s">
        <v>4103</v>
      </c>
      <c r="D109" s="189"/>
      <c r="E109" s="106">
        <v>43657</v>
      </c>
      <c r="F109" s="107" t="s">
        <v>218</v>
      </c>
      <c r="G109" s="108">
        <v>3200</v>
      </c>
      <c r="H109" s="107">
        <f t="shared" si="10"/>
        <v>160</v>
      </c>
      <c r="I109" s="107">
        <f t="shared" si="11"/>
        <v>5</v>
      </c>
      <c r="J109" s="107"/>
      <c r="K109" s="109">
        <v>43723</v>
      </c>
      <c r="L109" s="110"/>
      <c r="M109" s="111"/>
      <c r="N109" s="112"/>
      <c r="O109" s="111"/>
      <c r="P109" s="113"/>
      <c r="Q109" s="107"/>
      <c r="R109" s="116" t="s">
        <v>211</v>
      </c>
      <c r="S109" s="107"/>
    </row>
    <row r="110" spans="2:19" s="34" customFormat="1" ht="33" customHeight="1">
      <c r="B110" s="47" t="s">
        <v>831</v>
      </c>
      <c r="C110" s="48" t="s">
        <v>235</v>
      </c>
      <c r="D110" s="49" t="s">
        <v>744</v>
      </c>
      <c r="E110" s="50">
        <v>43532</v>
      </c>
      <c r="F110" s="52" t="s">
        <v>4104</v>
      </c>
      <c r="G110" s="51">
        <v>1280</v>
      </c>
      <c r="H110" s="52">
        <f t="shared" si="10"/>
        <v>64</v>
      </c>
      <c r="I110" s="52">
        <f t="shared" si="11"/>
        <v>2</v>
      </c>
      <c r="J110" s="52"/>
      <c r="K110" s="53">
        <v>43597</v>
      </c>
      <c r="L110" s="54" t="s">
        <v>605</v>
      </c>
      <c r="M110" s="55">
        <v>43594</v>
      </c>
      <c r="N110" s="56" t="s">
        <v>772</v>
      </c>
      <c r="O110" s="55">
        <v>43598</v>
      </c>
      <c r="P110" s="58"/>
      <c r="Q110" s="52" t="s">
        <v>641</v>
      </c>
      <c r="R110" s="63" t="s">
        <v>211</v>
      </c>
      <c r="S110" s="52"/>
    </row>
    <row r="111" spans="2:19" s="32" customFormat="1" ht="33" customHeight="1">
      <c r="B111" s="46" t="s">
        <v>831</v>
      </c>
      <c r="C111" s="35" t="s">
        <v>1569</v>
      </c>
      <c r="D111" s="36" t="s">
        <v>4105</v>
      </c>
      <c r="E111" s="37">
        <v>43581</v>
      </c>
      <c r="F111" s="38" t="s">
        <v>4104</v>
      </c>
      <c r="G111" s="39">
        <v>1280</v>
      </c>
      <c r="H111" s="38">
        <f t="shared" si="10"/>
        <v>64</v>
      </c>
      <c r="I111" s="38">
        <f t="shared" si="11"/>
        <v>2</v>
      </c>
      <c r="J111" s="38"/>
      <c r="K111" s="40">
        <v>43632</v>
      </c>
      <c r="L111" s="41" t="s">
        <v>807</v>
      </c>
      <c r="M111" s="42">
        <v>43627</v>
      </c>
      <c r="N111" s="43" t="s">
        <v>4106</v>
      </c>
      <c r="O111" s="42">
        <v>43632</v>
      </c>
      <c r="P111" s="45"/>
      <c r="Q111" s="38" t="s">
        <v>1810</v>
      </c>
      <c r="R111" s="66" t="s">
        <v>211</v>
      </c>
      <c r="S111" s="38"/>
    </row>
    <row r="112" spans="2:19" s="32" customFormat="1" ht="33" customHeight="1">
      <c r="B112" s="46" t="s">
        <v>831</v>
      </c>
      <c r="C112" s="35" t="s">
        <v>90</v>
      </c>
      <c r="D112" s="36" t="s">
        <v>4107</v>
      </c>
      <c r="E112" s="37">
        <v>43595</v>
      </c>
      <c r="F112" s="38" t="s">
        <v>4104</v>
      </c>
      <c r="G112" s="39">
        <v>1280</v>
      </c>
      <c r="H112" s="38">
        <f t="shared" si="10"/>
        <v>64</v>
      </c>
      <c r="I112" s="38">
        <f t="shared" si="11"/>
        <v>2</v>
      </c>
      <c r="J112" s="38"/>
      <c r="K112" s="40">
        <v>43646</v>
      </c>
      <c r="L112" s="41" t="s">
        <v>1326</v>
      </c>
      <c r="M112" s="42">
        <v>43648</v>
      </c>
      <c r="N112" s="43" t="s">
        <v>4108</v>
      </c>
      <c r="O112" s="42">
        <v>43653</v>
      </c>
      <c r="P112" s="45"/>
      <c r="Q112" s="38" t="s">
        <v>2148</v>
      </c>
      <c r="R112" s="66" t="s">
        <v>211</v>
      </c>
      <c r="S112" s="38"/>
    </row>
    <row r="113" spans="1:19" s="32" customFormat="1" ht="33" customHeight="1">
      <c r="B113" s="46" t="s">
        <v>831</v>
      </c>
      <c r="C113" s="35" t="s">
        <v>2088</v>
      </c>
      <c r="D113" s="36" t="s">
        <v>4109</v>
      </c>
      <c r="E113" s="37">
        <v>43595</v>
      </c>
      <c r="F113" s="38" t="s">
        <v>4104</v>
      </c>
      <c r="G113" s="39">
        <v>640</v>
      </c>
      <c r="H113" s="38">
        <f t="shared" si="10"/>
        <v>32</v>
      </c>
      <c r="I113" s="38">
        <f t="shared" si="11"/>
        <v>1</v>
      </c>
      <c r="J113" s="38"/>
      <c r="K113" s="40">
        <v>43709</v>
      </c>
      <c r="L113" s="41" t="s">
        <v>4110</v>
      </c>
      <c r="M113" s="42">
        <v>43706</v>
      </c>
      <c r="N113" s="43" t="s">
        <v>4111</v>
      </c>
      <c r="O113" s="42">
        <v>43710</v>
      </c>
      <c r="P113" s="45"/>
      <c r="Q113" s="66" t="s">
        <v>2548</v>
      </c>
      <c r="R113" s="66" t="s">
        <v>211</v>
      </c>
      <c r="S113" s="38"/>
    </row>
    <row r="114" spans="1:19" s="32" customFormat="1" ht="33" customHeight="1">
      <c r="B114" s="46" t="s">
        <v>4112</v>
      </c>
      <c r="C114" s="35" t="s">
        <v>208</v>
      </c>
      <c r="D114" s="190" t="s">
        <v>4113</v>
      </c>
      <c r="E114" s="37">
        <v>43602</v>
      </c>
      <c r="F114" s="38" t="s">
        <v>4104</v>
      </c>
      <c r="G114" s="39">
        <v>640</v>
      </c>
      <c r="H114" s="38">
        <f t="shared" si="10"/>
        <v>32</v>
      </c>
      <c r="I114" s="38">
        <f t="shared" si="11"/>
        <v>1</v>
      </c>
      <c r="J114" s="38"/>
      <c r="K114" s="195">
        <v>43744</v>
      </c>
      <c r="L114" s="119" t="s">
        <v>4114</v>
      </c>
      <c r="M114" s="120">
        <v>43739</v>
      </c>
      <c r="N114" s="121" t="s">
        <v>4115</v>
      </c>
      <c r="O114" s="120">
        <v>43744</v>
      </c>
      <c r="P114" s="45"/>
      <c r="Q114" s="134" t="s">
        <v>4116</v>
      </c>
      <c r="R114" s="66" t="s">
        <v>211</v>
      </c>
      <c r="S114" s="38"/>
    </row>
    <row r="115" spans="1:19" s="32" customFormat="1" ht="33" customHeight="1">
      <c r="B115" s="135" t="s">
        <v>831</v>
      </c>
      <c r="C115" s="136" t="s">
        <v>212</v>
      </c>
      <c r="D115" s="191" t="s">
        <v>4117</v>
      </c>
      <c r="E115" s="138">
        <v>43602</v>
      </c>
      <c r="F115" s="139" t="s">
        <v>4104</v>
      </c>
      <c r="G115" s="140">
        <v>640</v>
      </c>
      <c r="H115" s="139">
        <f t="shared" si="10"/>
        <v>32</v>
      </c>
      <c r="I115" s="139">
        <f t="shared" si="11"/>
        <v>1</v>
      </c>
      <c r="J115" s="139"/>
      <c r="K115" s="141" t="s">
        <v>2545</v>
      </c>
      <c r="L115" s="142"/>
      <c r="M115" s="143"/>
      <c r="N115" s="144"/>
      <c r="O115" s="143"/>
      <c r="P115" s="145"/>
      <c r="Q115" s="193" t="s">
        <v>2517</v>
      </c>
      <c r="R115" s="192" t="s">
        <v>211</v>
      </c>
      <c r="S115" s="139" t="s">
        <v>2541</v>
      </c>
    </row>
    <row r="116" spans="1:19" s="33" customFormat="1" ht="33" customHeight="1">
      <c r="A116" s="33" t="s">
        <v>4118</v>
      </c>
      <c r="B116" s="47" t="s">
        <v>4119</v>
      </c>
      <c r="C116" s="48" t="s">
        <v>225</v>
      </c>
      <c r="D116" s="49" t="s">
        <v>487</v>
      </c>
      <c r="E116" s="50">
        <v>43490</v>
      </c>
      <c r="F116" s="52" t="s">
        <v>4120</v>
      </c>
      <c r="G116" s="51">
        <v>1520</v>
      </c>
      <c r="H116" s="52">
        <f>SUM(G116/190)</f>
        <v>8</v>
      </c>
      <c r="I116" s="52">
        <f>SUM(H116/4)</f>
        <v>2</v>
      </c>
      <c r="J116" s="52"/>
      <c r="K116" s="53">
        <v>43569</v>
      </c>
      <c r="L116" s="54" t="s">
        <v>417</v>
      </c>
      <c r="M116" s="55">
        <v>43564</v>
      </c>
      <c r="N116" s="56" t="s">
        <v>4121</v>
      </c>
      <c r="O116" s="55">
        <v>43569</v>
      </c>
      <c r="P116" s="58"/>
      <c r="Q116" s="52"/>
      <c r="R116" s="63" t="s">
        <v>4122</v>
      </c>
      <c r="S116" s="47"/>
    </row>
    <row r="117" spans="1:19" s="30" customFormat="1" ht="33" customHeight="1">
      <c r="B117" s="46" t="s">
        <v>4119</v>
      </c>
      <c r="C117" s="35" t="s">
        <v>226</v>
      </c>
      <c r="D117" s="36" t="s">
        <v>833</v>
      </c>
      <c r="E117" s="37">
        <v>43546</v>
      </c>
      <c r="F117" s="38" t="s">
        <v>4120</v>
      </c>
      <c r="G117" s="39">
        <v>1520</v>
      </c>
      <c r="H117" s="38">
        <f>SUM(G117/190)</f>
        <v>8</v>
      </c>
      <c r="I117" s="38">
        <f>SUM(H117/4)</f>
        <v>2</v>
      </c>
      <c r="J117" s="38"/>
      <c r="K117" s="40">
        <v>43632</v>
      </c>
      <c r="L117" s="41" t="s">
        <v>4123</v>
      </c>
      <c r="M117" s="42">
        <v>43627</v>
      </c>
      <c r="N117" s="43" t="s">
        <v>4106</v>
      </c>
      <c r="O117" s="42">
        <v>43632</v>
      </c>
      <c r="P117" s="45"/>
      <c r="Q117" s="38"/>
      <c r="R117" s="66" t="s">
        <v>4124</v>
      </c>
      <c r="S117" s="46"/>
    </row>
    <row r="118" spans="1:19" s="30" customFormat="1" ht="33" customHeight="1">
      <c r="B118" s="46" t="s">
        <v>2514</v>
      </c>
      <c r="C118" s="35" t="s">
        <v>4125</v>
      </c>
      <c r="D118" s="36" t="s">
        <v>4126</v>
      </c>
      <c r="E118" s="37">
        <v>43602</v>
      </c>
      <c r="F118" s="38" t="s">
        <v>2516</v>
      </c>
      <c r="G118" s="39">
        <v>1520</v>
      </c>
      <c r="H118" s="38">
        <v>8</v>
      </c>
      <c r="I118" s="38">
        <v>2</v>
      </c>
      <c r="J118" s="38"/>
      <c r="K118" s="40">
        <v>43702</v>
      </c>
      <c r="L118" s="41" t="s">
        <v>4127</v>
      </c>
      <c r="M118" s="42">
        <v>43697</v>
      </c>
      <c r="N118" s="43" t="s">
        <v>4128</v>
      </c>
      <c r="O118" s="42">
        <v>43702</v>
      </c>
      <c r="P118" s="45"/>
      <c r="Q118" s="38"/>
      <c r="R118" s="66"/>
      <c r="S118" s="46"/>
    </row>
    <row r="119" spans="1:19" s="33" customFormat="1" ht="33" customHeight="1">
      <c r="B119" s="47" t="s">
        <v>238</v>
      </c>
      <c r="C119" s="48" t="s">
        <v>4129</v>
      </c>
      <c r="D119" s="49" t="s">
        <v>474</v>
      </c>
      <c r="E119" s="50"/>
      <c r="F119" s="52" t="s">
        <v>236</v>
      </c>
      <c r="G119" s="51">
        <v>3200</v>
      </c>
      <c r="H119" s="52">
        <f t="shared" ref="H119:H128" si="12">SUM(G119/200)</f>
        <v>16</v>
      </c>
      <c r="I119" s="52">
        <f t="shared" ref="I119:I128" si="13">SUM(H119/4)</f>
        <v>4</v>
      </c>
      <c r="J119" s="52"/>
      <c r="K119" s="53">
        <v>43562</v>
      </c>
      <c r="L119" s="54" t="s">
        <v>4130</v>
      </c>
      <c r="M119" s="55">
        <v>43557</v>
      </c>
      <c r="N119" s="56" t="s">
        <v>4131</v>
      </c>
      <c r="O119" s="55">
        <v>43562</v>
      </c>
      <c r="P119" s="58"/>
      <c r="Q119" s="52"/>
      <c r="R119" s="63"/>
      <c r="S119" s="47"/>
    </row>
    <row r="120" spans="1:19" s="33" customFormat="1" ht="33" customHeight="1">
      <c r="B120" s="47" t="s">
        <v>238</v>
      </c>
      <c r="C120" s="48" t="s">
        <v>4132</v>
      </c>
      <c r="D120" s="49" t="s">
        <v>475</v>
      </c>
      <c r="E120" s="50"/>
      <c r="F120" s="52" t="s">
        <v>236</v>
      </c>
      <c r="G120" s="51">
        <v>1600</v>
      </c>
      <c r="H120" s="52">
        <f t="shared" si="12"/>
        <v>8</v>
      </c>
      <c r="I120" s="52">
        <f t="shared" si="13"/>
        <v>2</v>
      </c>
      <c r="J120" s="52"/>
      <c r="K120" s="53">
        <v>43562</v>
      </c>
      <c r="L120" s="54" t="s">
        <v>4133</v>
      </c>
      <c r="M120" s="55">
        <v>43564</v>
      </c>
      <c r="N120" s="56" t="s">
        <v>4121</v>
      </c>
      <c r="O120" s="55">
        <v>43569</v>
      </c>
      <c r="P120" s="58"/>
      <c r="Q120" s="52"/>
      <c r="R120" s="63"/>
      <c r="S120" s="47"/>
    </row>
    <row r="121" spans="1:19" s="33" customFormat="1" ht="33" customHeight="1">
      <c r="B121" s="47" t="s">
        <v>238</v>
      </c>
      <c r="C121" s="48" t="s">
        <v>4134</v>
      </c>
      <c r="D121" s="49" t="s">
        <v>488</v>
      </c>
      <c r="E121" s="50">
        <v>43495</v>
      </c>
      <c r="F121" s="52" t="s">
        <v>236</v>
      </c>
      <c r="G121" s="51">
        <v>1600</v>
      </c>
      <c r="H121" s="52">
        <f t="shared" si="12"/>
        <v>8</v>
      </c>
      <c r="I121" s="52">
        <f t="shared" si="13"/>
        <v>2</v>
      </c>
      <c r="J121" s="52"/>
      <c r="K121" s="53">
        <v>43583</v>
      </c>
      <c r="L121" s="54" t="s">
        <v>4135</v>
      </c>
      <c r="M121" s="55">
        <v>43578</v>
      </c>
      <c r="N121" s="56" t="s">
        <v>4136</v>
      </c>
      <c r="O121" s="55">
        <v>43583</v>
      </c>
      <c r="P121" s="58"/>
      <c r="Q121" s="52"/>
      <c r="R121" s="63"/>
      <c r="S121" s="47"/>
    </row>
    <row r="122" spans="1:19" s="33" customFormat="1" ht="33" customHeight="1">
      <c r="B122" s="47" t="s">
        <v>238</v>
      </c>
      <c r="C122" s="48" t="s">
        <v>4137</v>
      </c>
      <c r="D122" s="49" t="s">
        <v>598</v>
      </c>
      <c r="E122" s="50">
        <v>43519</v>
      </c>
      <c r="F122" s="52" t="s">
        <v>236</v>
      </c>
      <c r="G122" s="51">
        <v>1600</v>
      </c>
      <c r="H122" s="52">
        <f t="shared" si="12"/>
        <v>8</v>
      </c>
      <c r="I122" s="52">
        <f t="shared" si="13"/>
        <v>2</v>
      </c>
      <c r="J122" s="52"/>
      <c r="K122" s="53">
        <v>43597</v>
      </c>
      <c r="L122" s="54" t="s">
        <v>4138</v>
      </c>
      <c r="M122" s="55">
        <v>43592</v>
      </c>
      <c r="N122" s="56" t="s">
        <v>4139</v>
      </c>
      <c r="O122" s="55">
        <v>43597</v>
      </c>
      <c r="P122" s="58"/>
      <c r="Q122" s="52"/>
      <c r="R122" s="63"/>
      <c r="S122" s="47"/>
    </row>
    <row r="123" spans="1:19" s="33" customFormat="1" ht="33" customHeight="1">
      <c r="B123" s="47" t="s">
        <v>238</v>
      </c>
      <c r="C123" s="48" t="s">
        <v>4140</v>
      </c>
      <c r="D123" s="49" t="s">
        <v>598</v>
      </c>
      <c r="E123" s="50">
        <v>43519</v>
      </c>
      <c r="F123" s="52" t="s">
        <v>236</v>
      </c>
      <c r="G123" s="51">
        <v>1600</v>
      </c>
      <c r="H123" s="52">
        <f t="shared" si="12"/>
        <v>8</v>
      </c>
      <c r="I123" s="52">
        <f t="shared" si="13"/>
        <v>2</v>
      </c>
      <c r="J123" s="52"/>
      <c r="K123" s="53">
        <v>43597</v>
      </c>
      <c r="L123" s="54" t="s">
        <v>4141</v>
      </c>
      <c r="M123" s="55">
        <v>43606</v>
      </c>
      <c r="N123" s="56" t="s">
        <v>4142</v>
      </c>
      <c r="O123" s="55">
        <v>43613</v>
      </c>
      <c r="P123" s="58"/>
      <c r="Q123" s="52"/>
      <c r="R123" s="63"/>
      <c r="S123" s="47"/>
    </row>
    <row r="124" spans="1:19" s="30" customFormat="1" ht="33" customHeight="1">
      <c r="B124" s="46" t="s">
        <v>238</v>
      </c>
      <c r="C124" s="35" t="s">
        <v>226</v>
      </c>
      <c r="D124" s="36" t="s">
        <v>749</v>
      </c>
      <c r="E124" s="37">
        <v>43532</v>
      </c>
      <c r="F124" s="38" t="s">
        <v>236</v>
      </c>
      <c r="G124" s="39">
        <v>3200</v>
      </c>
      <c r="H124" s="38">
        <f t="shared" si="12"/>
        <v>16</v>
      </c>
      <c r="I124" s="38">
        <f t="shared" si="13"/>
        <v>4</v>
      </c>
      <c r="J124" s="38"/>
      <c r="K124" s="40">
        <v>43625</v>
      </c>
      <c r="L124" s="41" t="s">
        <v>2538</v>
      </c>
      <c r="M124" s="42">
        <v>43627</v>
      </c>
      <c r="N124" s="43" t="s">
        <v>808</v>
      </c>
      <c r="O124" s="42">
        <v>43632</v>
      </c>
      <c r="P124" s="45"/>
      <c r="Q124" s="38"/>
      <c r="R124" s="66"/>
      <c r="S124" s="46" t="s">
        <v>2539</v>
      </c>
    </row>
    <row r="125" spans="1:19" s="30" customFormat="1" ht="33" customHeight="1">
      <c r="B125" s="46" t="s">
        <v>238</v>
      </c>
      <c r="C125" s="35" t="s">
        <v>233</v>
      </c>
      <c r="D125" s="36" t="s">
        <v>750</v>
      </c>
      <c r="E125" s="37">
        <v>43532</v>
      </c>
      <c r="F125" s="38" t="s">
        <v>236</v>
      </c>
      <c r="G125" s="39">
        <v>3200</v>
      </c>
      <c r="H125" s="38">
        <f t="shared" si="12"/>
        <v>16</v>
      </c>
      <c r="I125" s="38">
        <f t="shared" si="13"/>
        <v>4</v>
      </c>
      <c r="J125" s="38"/>
      <c r="K125" s="40">
        <v>43646</v>
      </c>
      <c r="L125" s="41" t="s">
        <v>4143</v>
      </c>
      <c r="M125" s="42">
        <v>43641</v>
      </c>
      <c r="N125" s="43" t="s">
        <v>4144</v>
      </c>
      <c r="O125" s="42">
        <v>43646</v>
      </c>
      <c r="P125" s="45"/>
      <c r="Q125" s="38"/>
      <c r="R125" s="66"/>
      <c r="S125" s="46"/>
    </row>
    <row r="126" spans="1:19" s="30" customFormat="1" ht="33" customHeight="1">
      <c r="B126" s="46" t="s">
        <v>238</v>
      </c>
      <c r="C126" s="35" t="s">
        <v>285</v>
      </c>
      <c r="D126" s="36" t="s">
        <v>1305</v>
      </c>
      <c r="E126" s="37">
        <v>43567</v>
      </c>
      <c r="F126" s="38" t="s">
        <v>236</v>
      </c>
      <c r="G126" s="39">
        <v>3200</v>
      </c>
      <c r="H126" s="38">
        <f t="shared" si="12"/>
        <v>16</v>
      </c>
      <c r="I126" s="38">
        <f t="shared" si="13"/>
        <v>4</v>
      </c>
      <c r="J126" s="38"/>
      <c r="K126" s="40">
        <v>43660</v>
      </c>
      <c r="L126" s="41" t="s">
        <v>4145</v>
      </c>
      <c r="M126" s="42">
        <v>43655</v>
      </c>
      <c r="N126" s="43" t="s">
        <v>4146</v>
      </c>
      <c r="O126" s="42">
        <v>43660</v>
      </c>
      <c r="P126" s="45"/>
      <c r="Q126" s="38"/>
      <c r="R126" s="66"/>
      <c r="S126" s="46"/>
    </row>
    <row r="127" spans="1:19" s="30" customFormat="1" ht="33" customHeight="1">
      <c r="B127" s="46" t="s">
        <v>238</v>
      </c>
      <c r="C127" s="35" t="s">
        <v>331</v>
      </c>
      <c r="D127" s="36" t="s">
        <v>1306</v>
      </c>
      <c r="E127" s="37">
        <v>43567</v>
      </c>
      <c r="F127" s="38" t="s">
        <v>236</v>
      </c>
      <c r="G127" s="39">
        <v>3200</v>
      </c>
      <c r="H127" s="38">
        <f t="shared" si="12"/>
        <v>16</v>
      </c>
      <c r="I127" s="38">
        <f t="shared" si="13"/>
        <v>4</v>
      </c>
      <c r="J127" s="38"/>
      <c r="K127" s="40">
        <v>43674</v>
      </c>
      <c r="L127" s="41" t="s">
        <v>4147</v>
      </c>
      <c r="M127" s="42">
        <v>43669</v>
      </c>
      <c r="N127" s="43" t="s">
        <v>4148</v>
      </c>
      <c r="O127" s="42">
        <v>43674</v>
      </c>
      <c r="P127" s="45"/>
      <c r="Q127" s="38"/>
      <c r="R127" s="66"/>
      <c r="S127" s="46"/>
    </row>
    <row r="128" spans="1:19" s="30" customFormat="1" ht="33" customHeight="1">
      <c r="B128" s="46" t="s">
        <v>4149</v>
      </c>
      <c r="C128" s="35" t="s">
        <v>431</v>
      </c>
      <c r="D128" s="36" t="s">
        <v>4150</v>
      </c>
      <c r="E128" s="37">
        <v>43637</v>
      </c>
      <c r="F128" s="38" t="s">
        <v>236</v>
      </c>
      <c r="G128" s="39">
        <v>3200</v>
      </c>
      <c r="H128" s="38">
        <f t="shared" si="12"/>
        <v>16</v>
      </c>
      <c r="I128" s="38">
        <f t="shared" si="13"/>
        <v>4</v>
      </c>
      <c r="J128" s="38"/>
      <c r="K128" s="40">
        <v>43730</v>
      </c>
      <c r="L128" s="41" t="s">
        <v>4063</v>
      </c>
      <c r="M128" s="42">
        <v>43725</v>
      </c>
      <c r="N128" s="43" t="s">
        <v>4064</v>
      </c>
      <c r="O128" s="42">
        <v>43730</v>
      </c>
      <c r="P128" s="45"/>
      <c r="Q128" s="38"/>
      <c r="R128" s="66"/>
      <c r="S128" s="46"/>
    </row>
    <row r="129" spans="2:19" s="19" customFormat="1">
      <c r="B129"/>
      <c r="C129" s="15"/>
      <c r="D129" s="1"/>
      <c r="E129" s="174"/>
      <c r="F129"/>
      <c r="G129" s="11"/>
      <c r="H129"/>
      <c r="I129"/>
      <c r="J129"/>
      <c r="K129" s="13"/>
      <c r="L129"/>
      <c r="N129" s="28"/>
      <c r="P129"/>
      <c r="Q129"/>
      <c r="R129" s="17"/>
      <c r="S129"/>
    </row>
    <row r="130" spans="2:19" s="19" customFormat="1" ht="26.4" hidden="1">
      <c r="B130"/>
      <c r="C130" s="15"/>
      <c r="D130" s="1"/>
      <c r="F130" s="177"/>
      <c r="L130" s="176" t="s">
        <v>1821</v>
      </c>
      <c r="M130" s="177"/>
      <c r="N130" s="177"/>
      <c r="O130"/>
      <c r="P130" s="13"/>
      <c r="Q130"/>
      <c r="S130" s="28"/>
    </row>
    <row r="131" spans="2:19" ht="26.4" hidden="1">
      <c r="F131" s="177"/>
      <c r="L131" s="176" t="s">
        <v>1822</v>
      </c>
      <c r="M131" s="177"/>
      <c r="N131" s="177"/>
      <c r="O131"/>
      <c r="P131" s="13"/>
      <c r="R131" s="19"/>
      <c r="S131" s="28"/>
    </row>
    <row r="132" spans="2:19" ht="26.4" hidden="1">
      <c r="F132" s="177"/>
      <c r="L132" s="176" t="s">
        <v>1823</v>
      </c>
      <c r="M132" s="177"/>
      <c r="N132" s="177"/>
      <c r="O132"/>
      <c r="P132" s="13"/>
      <c r="R132" s="19"/>
      <c r="S132" s="28"/>
    </row>
    <row r="133" spans="2:19" hidden="1">
      <c r="E133" s="175"/>
      <c r="L133" s="11"/>
      <c r="M133"/>
      <c r="N133"/>
      <c r="O133"/>
      <c r="P133" s="13"/>
      <c r="R133" s="19"/>
      <c r="S133" s="28"/>
    </row>
    <row r="134" spans="2:19" s="19" customFormat="1" hidden="1">
      <c r="B134"/>
      <c r="C134" s="15"/>
      <c r="D134" s="1"/>
      <c r="L134" s="178" t="s">
        <v>1825</v>
      </c>
      <c r="M134" s="178" t="s">
        <v>1826</v>
      </c>
      <c r="N134" s="178" t="s">
        <v>1827</v>
      </c>
      <c r="O134" s="178" t="s">
        <v>1828</v>
      </c>
      <c r="P134" s="179" t="s">
        <v>4151</v>
      </c>
      <c r="Q134" s="179" t="s">
        <v>4152</v>
      </c>
      <c r="R134" s="179" t="s">
        <v>1831</v>
      </c>
      <c r="S134" s="179"/>
    </row>
    <row r="135" spans="2:19" s="19" customFormat="1" hidden="1">
      <c r="B135"/>
      <c r="C135" s="15"/>
      <c r="D135" s="1"/>
      <c r="L135" s="180" t="s">
        <v>4153</v>
      </c>
      <c r="M135" s="181" t="s">
        <v>1833</v>
      </c>
      <c r="N135" s="181" t="s">
        <v>1834</v>
      </c>
      <c r="O135" s="182" t="s">
        <v>1835</v>
      </c>
      <c r="P135" s="183">
        <v>1000</v>
      </c>
      <c r="Q135" s="183">
        <v>4</v>
      </c>
      <c r="R135" s="184">
        <v>43598</v>
      </c>
      <c r="S135" s="181" t="s">
        <v>99</v>
      </c>
    </row>
    <row r="136" spans="2:19" s="19" customFormat="1" hidden="1">
      <c r="B136"/>
      <c r="C136" s="15"/>
      <c r="D136" s="1"/>
      <c r="L136" s="180" t="s">
        <v>4153</v>
      </c>
      <c r="M136" s="181" t="s">
        <v>1836</v>
      </c>
      <c r="N136" s="181" t="s">
        <v>1834</v>
      </c>
      <c r="O136" s="182" t="s">
        <v>1835</v>
      </c>
      <c r="P136" s="183">
        <v>6000</v>
      </c>
      <c r="Q136" s="183">
        <v>24</v>
      </c>
      <c r="R136" s="184">
        <v>43598</v>
      </c>
      <c r="S136" s="181" t="s">
        <v>99</v>
      </c>
    </row>
    <row r="137" spans="2:19" s="19" customFormat="1" hidden="1">
      <c r="B137"/>
      <c r="C137" s="15"/>
      <c r="D137" s="1"/>
      <c r="L137" s="180" t="s">
        <v>4153</v>
      </c>
      <c r="M137" s="181" t="s">
        <v>1837</v>
      </c>
      <c r="N137" s="181" t="s">
        <v>1834</v>
      </c>
      <c r="O137" s="182" t="s">
        <v>1835</v>
      </c>
      <c r="P137" s="183">
        <v>5000</v>
      </c>
      <c r="Q137" s="183">
        <v>20</v>
      </c>
      <c r="R137" s="185" t="s">
        <v>4154</v>
      </c>
      <c r="S137" s="180" t="s">
        <v>4155</v>
      </c>
    </row>
    <row r="138" spans="2:19" s="19" customFormat="1" hidden="1">
      <c r="B138"/>
      <c r="C138" s="15"/>
      <c r="D138" s="1"/>
      <c r="L138" s="180" t="s">
        <v>4153</v>
      </c>
      <c r="M138" s="181" t="s">
        <v>1840</v>
      </c>
      <c r="N138" s="181" t="s">
        <v>1834</v>
      </c>
      <c r="O138" s="182" t="s">
        <v>1835</v>
      </c>
      <c r="P138" s="183">
        <v>5000</v>
      </c>
      <c r="Q138" s="183">
        <v>20</v>
      </c>
      <c r="R138" s="184">
        <v>43605</v>
      </c>
      <c r="S138" s="181" t="s">
        <v>99</v>
      </c>
    </row>
    <row r="139" spans="2:19" s="19" customFormat="1" hidden="1">
      <c r="B139"/>
      <c r="C139" s="15"/>
      <c r="D139" s="1"/>
      <c r="L139" s="180" t="s">
        <v>4153</v>
      </c>
      <c r="M139" s="181" t="s">
        <v>1841</v>
      </c>
      <c r="N139" s="181" t="s">
        <v>1834</v>
      </c>
      <c r="O139" s="182" t="s">
        <v>1835</v>
      </c>
      <c r="P139" s="183">
        <v>7000</v>
      </c>
      <c r="Q139" s="183">
        <v>28</v>
      </c>
      <c r="R139" s="184">
        <v>43605</v>
      </c>
      <c r="S139" s="181" t="s">
        <v>99</v>
      </c>
    </row>
    <row r="140" spans="2:19" hidden="1">
      <c r="L140" s="180" t="s">
        <v>4156</v>
      </c>
      <c r="M140" s="181" t="s">
        <v>1843</v>
      </c>
      <c r="N140" s="181" t="s">
        <v>1844</v>
      </c>
      <c r="O140" s="182" t="s">
        <v>1835</v>
      </c>
      <c r="P140" s="183">
        <v>2000</v>
      </c>
      <c r="Q140" s="183">
        <v>8</v>
      </c>
      <c r="R140" s="184">
        <v>43598</v>
      </c>
      <c r="S140" s="181" t="s">
        <v>99</v>
      </c>
    </row>
    <row r="141" spans="2:19" hidden="1">
      <c r="L141" s="180" t="s">
        <v>4156</v>
      </c>
      <c r="M141" s="181" t="s">
        <v>1845</v>
      </c>
      <c r="N141" s="181" t="s">
        <v>1844</v>
      </c>
      <c r="O141" s="182" t="s">
        <v>1835</v>
      </c>
      <c r="P141" s="183">
        <v>2000</v>
      </c>
      <c r="Q141" s="183">
        <v>8</v>
      </c>
      <c r="R141" s="184">
        <v>43598</v>
      </c>
      <c r="S141" s="181" t="s">
        <v>99</v>
      </c>
    </row>
    <row r="142" spans="2:19" hidden="1">
      <c r="L142" s="180" t="s">
        <v>4156</v>
      </c>
      <c r="M142" s="181" t="s">
        <v>1846</v>
      </c>
      <c r="N142" s="181" t="s">
        <v>1844</v>
      </c>
      <c r="O142" s="182" t="s">
        <v>1835</v>
      </c>
      <c r="P142" s="183">
        <v>10000</v>
      </c>
      <c r="Q142" s="183">
        <v>40</v>
      </c>
      <c r="R142" s="184">
        <v>43598</v>
      </c>
      <c r="S142" s="181" t="s">
        <v>99</v>
      </c>
    </row>
    <row r="143" spans="2:19" hidden="1">
      <c r="L143" s="180" t="s">
        <v>4156</v>
      </c>
      <c r="M143" s="181" t="s">
        <v>1847</v>
      </c>
      <c r="N143" s="181" t="s">
        <v>1844</v>
      </c>
      <c r="O143" s="182" t="s">
        <v>1835</v>
      </c>
      <c r="P143" s="183">
        <v>8000</v>
      </c>
      <c r="Q143" s="183">
        <v>32</v>
      </c>
      <c r="R143" s="184">
        <v>43598</v>
      </c>
      <c r="S143" s="180"/>
    </row>
    <row r="144" spans="2:19" hidden="1">
      <c r="L144" s="180" t="s">
        <v>4156</v>
      </c>
      <c r="M144" s="181" t="s">
        <v>1848</v>
      </c>
      <c r="N144" s="181" t="s">
        <v>1844</v>
      </c>
      <c r="O144" s="182" t="s">
        <v>1835</v>
      </c>
      <c r="P144" s="183">
        <v>10000</v>
      </c>
      <c r="Q144" s="183">
        <v>40</v>
      </c>
      <c r="R144" s="185" t="s">
        <v>4157</v>
      </c>
      <c r="S144" s="180" t="s">
        <v>4155</v>
      </c>
    </row>
    <row r="145" spans="12:19" hidden="1">
      <c r="L145" s="182" t="s">
        <v>4158</v>
      </c>
      <c r="M145" s="181" t="s">
        <v>1851</v>
      </c>
      <c r="N145" s="181" t="s">
        <v>1834</v>
      </c>
      <c r="O145" s="182" t="s">
        <v>1852</v>
      </c>
      <c r="P145" s="183">
        <v>5000</v>
      </c>
      <c r="Q145" s="183">
        <v>20</v>
      </c>
      <c r="R145" s="184">
        <v>43605</v>
      </c>
      <c r="S145" s="181" t="s">
        <v>99</v>
      </c>
    </row>
    <row r="146" spans="12:19" hidden="1">
      <c r="L146" s="180" t="s">
        <v>4159</v>
      </c>
      <c r="M146" s="181" t="s">
        <v>1851</v>
      </c>
      <c r="N146" s="181" t="s">
        <v>1844</v>
      </c>
      <c r="O146" s="182" t="s">
        <v>1835</v>
      </c>
      <c r="P146" s="183">
        <v>2000</v>
      </c>
      <c r="Q146" s="183">
        <v>8</v>
      </c>
      <c r="R146" s="184">
        <v>43605</v>
      </c>
      <c r="S146" s="181" t="s">
        <v>99</v>
      </c>
    </row>
    <row r="147" spans="12:19" hidden="1">
      <c r="L147" s="182" t="s">
        <v>4160</v>
      </c>
      <c r="M147" s="181" t="s">
        <v>1855</v>
      </c>
      <c r="N147" s="181" t="s">
        <v>1834</v>
      </c>
      <c r="O147" s="182" t="s">
        <v>1852</v>
      </c>
      <c r="P147" s="183">
        <v>6000</v>
      </c>
      <c r="Q147" s="183">
        <v>24</v>
      </c>
      <c r="R147" s="184">
        <v>43605</v>
      </c>
      <c r="S147" s="181" t="s">
        <v>99</v>
      </c>
    </row>
    <row r="148" spans="12:19" hidden="1">
      <c r="L148" s="182" t="s">
        <v>4160</v>
      </c>
      <c r="M148" s="181" t="s">
        <v>1856</v>
      </c>
      <c r="N148" s="181" t="s">
        <v>1834</v>
      </c>
      <c r="O148" s="182" t="s">
        <v>1852</v>
      </c>
      <c r="P148" s="183">
        <v>6000</v>
      </c>
      <c r="Q148" s="183">
        <v>24</v>
      </c>
      <c r="R148" s="185">
        <v>43605</v>
      </c>
      <c r="S148" s="180"/>
    </row>
    <row r="149" spans="12:19" hidden="1">
      <c r="L149" s="182" t="s">
        <v>4160</v>
      </c>
      <c r="M149" s="181" t="s">
        <v>1857</v>
      </c>
      <c r="N149" s="181" t="s">
        <v>1834</v>
      </c>
      <c r="O149" s="182" t="s">
        <v>1852</v>
      </c>
      <c r="P149" s="183">
        <v>6000</v>
      </c>
      <c r="Q149" s="183">
        <v>24</v>
      </c>
      <c r="R149" s="184" t="s">
        <v>4161</v>
      </c>
      <c r="S149" s="181" t="s">
        <v>4162</v>
      </c>
    </row>
    <row r="152" spans="12:19" ht="16.2">
      <c r="L152" s="186"/>
    </row>
    <row r="153" spans="12:19" ht="16.2">
      <c r="L153" s="186"/>
    </row>
    <row r="154" spans="12:19" ht="16.2">
      <c r="L154" s="186"/>
    </row>
    <row r="155" spans="12:19">
      <c r="Q155" t="s">
        <v>4163</v>
      </c>
    </row>
  </sheetData>
  <autoFilter ref="B2:R128" xr:uid="{00000000-0009-0000-0000-000010000000}"/>
  <phoneticPr fontId="1"/>
  <pageMargins left="0.23622047244094491" right="0.23622047244094491" top="0.35433070866141736" bottom="0.35433070866141736" header="0.31496062992125984" footer="0.31496062992125984"/>
  <pageSetup paperSize="9" scale="77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66">
    <pageSetUpPr fitToPage="1"/>
  </sheetPr>
  <dimension ref="A1:S153"/>
  <sheetViews>
    <sheetView zoomScale="77" zoomScaleNormal="77" workbookViewId="0">
      <pane xSplit="1" ySplit="2" topLeftCell="B54" activePane="bottomRight" state="frozen"/>
      <selection pane="topRight" activeCell="B1" sqref="B1"/>
      <selection pane="bottomLeft" activeCell="A3" sqref="A3"/>
      <selection pane="bottomRight" activeCell="M27" sqref="M27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7.12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B2" s="194"/>
      <c r="C2" s="14" t="s">
        <v>3582</v>
      </c>
      <c r="D2" s="5" t="s">
        <v>0</v>
      </c>
      <c r="E2" s="6" t="s">
        <v>3583</v>
      </c>
      <c r="F2" s="6" t="s">
        <v>3584</v>
      </c>
      <c r="G2" s="10" t="s">
        <v>1</v>
      </c>
      <c r="H2" s="6" t="s">
        <v>15</v>
      </c>
      <c r="I2" s="6" t="s">
        <v>16</v>
      </c>
      <c r="J2" s="6" t="s">
        <v>3585</v>
      </c>
      <c r="K2" s="12" t="s">
        <v>3586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3587</v>
      </c>
      <c r="Q2" s="6" t="s">
        <v>3588</v>
      </c>
      <c r="R2" s="16" t="s">
        <v>6</v>
      </c>
      <c r="S2" s="16" t="s">
        <v>3589</v>
      </c>
    </row>
    <row r="3" spans="2:19" s="33" customFormat="1" ht="33" customHeight="1">
      <c r="B3" s="47" t="s">
        <v>220</v>
      </c>
      <c r="C3" s="48" t="s">
        <v>377</v>
      </c>
      <c r="D3" s="49" t="s">
        <v>378</v>
      </c>
      <c r="E3" s="50">
        <v>43455</v>
      </c>
      <c r="F3" s="49" t="s">
        <v>3590</v>
      </c>
      <c r="G3" s="51">
        <v>14000</v>
      </c>
      <c r="H3" s="52">
        <f t="shared" ref="H3:H37" si="0">SUM(G3/250)</f>
        <v>56</v>
      </c>
      <c r="I3" s="52">
        <f t="shared" ref="I3:I61" si="1">SUM(H3/4)</f>
        <v>14</v>
      </c>
      <c r="J3" s="49"/>
      <c r="K3" s="53">
        <v>43548</v>
      </c>
      <c r="L3" s="54" t="s">
        <v>3591</v>
      </c>
      <c r="M3" s="55">
        <v>43563</v>
      </c>
      <c r="N3" s="56" t="s">
        <v>3592</v>
      </c>
      <c r="O3" s="55">
        <v>43569</v>
      </c>
      <c r="P3" s="54" t="s">
        <v>3593</v>
      </c>
      <c r="Q3" s="49"/>
      <c r="R3" s="57" t="s">
        <v>3594</v>
      </c>
      <c r="S3" s="47"/>
    </row>
    <row r="4" spans="2:19" s="33" customFormat="1" ht="33" customHeight="1">
      <c r="B4" s="47" t="s">
        <v>220</v>
      </c>
      <c r="C4" s="48" t="s">
        <v>421</v>
      </c>
      <c r="D4" s="49" t="s">
        <v>453</v>
      </c>
      <c r="E4" s="50">
        <v>43483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43576</v>
      </c>
      <c r="L4" s="54" t="s">
        <v>3595</v>
      </c>
      <c r="M4" s="55">
        <v>43570</v>
      </c>
      <c r="N4" s="56" t="s">
        <v>3596</v>
      </c>
      <c r="O4" s="55">
        <v>43576</v>
      </c>
      <c r="P4" s="54" t="s">
        <v>3597</v>
      </c>
      <c r="Q4" s="49"/>
      <c r="R4" s="57" t="s">
        <v>3598</v>
      </c>
      <c r="S4" s="47"/>
    </row>
    <row r="5" spans="2:19" s="33" customFormat="1" ht="33" customHeight="1">
      <c r="B5" s="47" t="s">
        <v>78</v>
      </c>
      <c r="C5" s="48" t="s">
        <v>422</v>
      </c>
      <c r="D5" s="49" t="s">
        <v>455</v>
      </c>
      <c r="E5" s="50">
        <v>43483</v>
      </c>
      <c r="F5" s="49" t="s">
        <v>3590</v>
      </c>
      <c r="G5" s="51">
        <v>10000</v>
      </c>
      <c r="H5" s="52">
        <f t="shared" si="0"/>
        <v>40</v>
      </c>
      <c r="I5" s="52">
        <f t="shared" si="1"/>
        <v>10</v>
      </c>
      <c r="J5" s="49"/>
      <c r="K5" s="53">
        <v>43618</v>
      </c>
      <c r="L5" s="54" t="s">
        <v>3599</v>
      </c>
      <c r="M5" s="55">
        <v>43612</v>
      </c>
      <c r="N5" s="56" t="s">
        <v>3600</v>
      </c>
      <c r="O5" s="55">
        <v>43618</v>
      </c>
      <c r="P5" s="54" t="s">
        <v>3601</v>
      </c>
      <c r="Q5" s="49" t="s">
        <v>82</v>
      </c>
      <c r="R5" s="57" t="s">
        <v>3602</v>
      </c>
      <c r="S5" s="47"/>
    </row>
    <row r="6" spans="2:19" s="33" customFormat="1" ht="33" customHeight="1">
      <c r="B6" s="47" t="s">
        <v>78</v>
      </c>
      <c r="C6" s="48" t="s">
        <v>3603</v>
      </c>
      <c r="D6" s="49" t="s">
        <v>455</v>
      </c>
      <c r="E6" s="50">
        <v>43523</v>
      </c>
      <c r="F6" s="49" t="s">
        <v>3590</v>
      </c>
      <c r="G6" s="51">
        <v>10000</v>
      </c>
      <c r="H6" s="52">
        <f t="shared" si="0"/>
        <v>40</v>
      </c>
      <c r="I6" s="52">
        <f t="shared" si="1"/>
        <v>10</v>
      </c>
      <c r="J6" s="49"/>
      <c r="K6" s="53">
        <v>43618</v>
      </c>
      <c r="L6" s="54" t="s">
        <v>638</v>
      </c>
      <c r="M6" s="55">
        <v>43612</v>
      </c>
      <c r="N6" s="56" t="s">
        <v>636</v>
      </c>
      <c r="O6" s="55">
        <v>43618</v>
      </c>
      <c r="P6" s="54" t="s">
        <v>3604</v>
      </c>
      <c r="Q6" s="49" t="s">
        <v>82</v>
      </c>
      <c r="R6" s="57" t="s">
        <v>3605</v>
      </c>
      <c r="S6" s="47"/>
    </row>
    <row r="7" spans="2:19" s="33" customFormat="1" ht="33" customHeight="1">
      <c r="B7" s="47" t="s">
        <v>78</v>
      </c>
      <c r="C7" s="48" t="s">
        <v>3606</v>
      </c>
      <c r="D7" s="49" t="s">
        <v>1337</v>
      </c>
      <c r="E7" s="50">
        <v>43483</v>
      </c>
      <c r="F7" s="49" t="s">
        <v>3590</v>
      </c>
      <c r="G7" s="51">
        <v>20000</v>
      </c>
      <c r="H7" s="52">
        <f t="shared" si="0"/>
        <v>80</v>
      </c>
      <c r="I7" s="52">
        <f t="shared" si="1"/>
        <v>20</v>
      </c>
      <c r="J7" s="49"/>
      <c r="K7" s="53">
        <v>43618</v>
      </c>
      <c r="L7" s="54" t="s">
        <v>3599</v>
      </c>
      <c r="M7" s="55">
        <v>43612</v>
      </c>
      <c r="N7" s="56" t="s">
        <v>3600</v>
      </c>
      <c r="O7" s="55">
        <v>43618</v>
      </c>
      <c r="P7" s="54" t="s">
        <v>3607</v>
      </c>
      <c r="Q7" s="49" t="s">
        <v>82</v>
      </c>
      <c r="R7" s="57" t="s">
        <v>3602</v>
      </c>
      <c r="S7" s="47" t="s">
        <v>479</v>
      </c>
    </row>
    <row r="8" spans="2:19" s="33" customFormat="1" ht="33" customHeight="1">
      <c r="B8" s="47" t="s">
        <v>78</v>
      </c>
      <c r="C8" s="48" t="s">
        <v>423</v>
      </c>
      <c r="D8" s="49" t="s">
        <v>457</v>
      </c>
      <c r="E8" s="50">
        <v>43483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43576</v>
      </c>
      <c r="L8" s="54" t="s">
        <v>3608</v>
      </c>
      <c r="M8" s="55">
        <v>43570</v>
      </c>
      <c r="N8" s="56" t="s">
        <v>3609</v>
      </c>
      <c r="O8" s="55">
        <v>43576</v>
      </c>
      <c r="P8" s="54" t="s">
        <v>3610</v>
      </c>
      <c r="Q8" s="49" t="s">
        <v>82</v>
      </c>
      <c r="R8" s="57" t="s">
        <v>3611</v>
      </c>
      <c r="S8" s="47"/>
    </row>
    <row r="9" spans="2:19" s="33" customFormat="1" ht="33" customHeight="1">
      <c r="B9" s="47" t="s">
        <v>220</v>
      </c>
      <c r="C9" s="48" t="s">
        <v>425</v>
      </c>
      <c r="D9" s="49" t="s">
        <v>459</v>
      </c>
      <c r="E9" s="50">
        <v>43483</v>
      </c>
      <c r="F9" s="49" t="s">
        <v>79</v>
      </c>
      <c r="G9" s="51">
        <v>20000</v>
      </c>
      <c r="H9" s="52">
        <f t="shared" si="0"/>
        <v>80</v>
      </c>
      <c r="I9" s="52">
        <f t="shared" si="1"/>
        <v>20</v>
      </c>
      <c r="J9" s="49"/>
      <c r="K9" s="53">
        <v>43583</v>
      </c>
      <c r="L9" s="54" t="s">
        <v>3612</v>
      </c>
      <c r="M9" s="55">
        <v>43577</v>
      </c>
      <c r="N9" s="56" t="s">
        <v>3613</v>
      </c>
      <c r="O9" s="55">
        <v>43583</v>
      </c>
      <c r="P9" s="54" t="s">
        <v>3614</v>
      </c>
      <c r="Q9" s="49"/>
      <c r="R9" s="57" t="s">
        <v>3615</v>
      </c>
      <c r="S9" s="47"/>
    </row>
    <row r="10" spans="2:19" s="33" customFormat="1" ht="33" customHeight="1">
      <c r="B10" s="47" t="s">
        <v>78</v>
      </c>
      <c r="C10" s="48" t="s">
        <v>462</v>
      </c>
      <c r="D10" s="49" t="s">
        <v>483</v>
      </c>
      <c r="E10" s="50">
        <v>43490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43583</v>
      </c>
      <c r="L10" s="54" t="s">
        <v>3612</v>
      </c>
      <c r="M10" s="55">
        <v>43577</v>
      </c>
      <c r="N10" s="56" t="s">
        <v>3613</v>
      </c>
      <c r="O10" s="55">
        <v>43583</v>
      </c>
      <c r="P10" s="54" t="s">
        <v>3616</v>
      </c>
      <c r="Q10" s="49" t="s">
        <v>82</v>
      </c>
      <c r="R10" s="57" t="s">
        <v>3617</v>
      </c>
      <c r="S10" s="47"/>
    </row>
    <row r="11" spans="2:19" s="33" customFormat="1" ht="33" customHeight="1">
      <c r="B11" s="47" t="s">
        <v>78</v>
      </c>
      <c r="C11" s="48" t="s">
        <v>570</v>
      </c>
      <c r="D11" s="49" t="s">
        <v>571</v>
      </c>
      <c r="E11" s="50">
        <v>43519</v>
      </c>
      <c r="F11" s="49" t="s">
        <v>79</v>
      </c>
      <c r="G11" s="51">
        <v>20000</v>
      </c>
      <c r="H11" s="52">
        <f t="shared" si="0"/>
        <v>80</v>
      </c>
      <c r="I11" s="52">
        <f t="shared" si="1"/>
        <v>20</v>
      </c>
      <c r="J11" s="49"/>
      <c r="K11" s="53">
        <v>43590</v>
      </c>
      <c r="L11" s="54" t="s">
        <v>602</v>
      </c>
      <c r="M11" s="55">
        <v>43577</v>
      </c>
      <c r="N11" s="56" t="s">
        <v>3613</v>
      </c>
      <c r="O11" s="55">
        <v>43583</v>
      </c>
      <c r="P11" s="54" t="s">
        <v>3618</v>
      </c>
      <c r="Q11" s="49" t="s">
        <v>82</v>
      </c>
      <c r="R11" s="57" t="s">
        <v>3619</v>
      </c>
      <c r="S11" s="47"/>
    </row>
    <row r="12" spans="2:19" s="33" customFormat="1" ht="33" customHeight="1">
      <c r="B12" s="47" t="s">
        <v>78</v>
      </c>
      <c r="C12" s="48" t="s">
        <v>573</v>
      </c>
      <c r="D12" s="49" t="s">
        <v>574</v>
      </c>
      <c r="E12" s="50">
        <v>43519</v>
      </c>
      <c r="F12" s="49" t="s">
        <v>79</v>
      </c>
      <c r="G12" s="51">
        <v>20000</v>
      </c>
      <c r="H12" s="52">
        <f t="shared" si="0"/>
        <v>80</v>
      </c>
      <c r="I12" s="52">
        <f t="shared" si="1"/>
        <v>20</v>
      </c>
      <c r="J12" s="49"/>
      <c r="K12" s="53">
        <v>43604</v>
      </c>
      <c r="L12" s="54" t="s">
        <v>3620</v>
      </c>
      <c r="M12" s="55">
        <v>43598</v>
      </c>
      <c r="N12" s="56" t="s">
        <v>3621</v>
      </c>
      <c r="O12" s="55">
        <v>43604</v>
      </c>
      <c r="P12" s="54" t="s">
        <v>3622</v>
      </c>
      <c r="Q12" s="49" t="s">
        <v>82</v>
      </c>
      <c r="R12" s="57" t="s">
        <v>3623</v>
      </c>
      <c r="S12" s="47"/>
    </row>
    <row r="13" spans="2:19" s="33" customFormat="1" ht="33" customHeight="1">
      <c r="B13" s="47" t="s">
        <v>78</v>
      </c>
      <c r="C13" s="48" t="s">
        <v>3624</v>
      </c>
      <c r="D13" s="49" t="s">
        <v>577</v>
      </c>
      <c r="E13" s="50">
        <v>43519</v>
      </c>
      <c r="F13" s="49" t="s">
        <v>3625</v>
      </c>
      <c r="G13" s="51">
        <v>10000</v>
      </c>
      <c r="H13" s="52">
        <f t="shared" si="0"/>
        <v>40</v>
      </c>
      <c r="I13" s="52">
        <f t="shared" si="1"/>
        <v>10</v>
      </c>
      <c r="J13" s="49"/>
      <c r="K13" s="53">
        <v>43598</v>
      </c>
      <c r="L13" s="54" t="s">
        <v>803</v>
      </c>
      <c r="M13" s="55">
        <v>43598</v>
      </c>
      <c r="N13" s="56" t="s">
        <v>804</v>
      </c>
      <c r="O13" s="55">
        <v>43604</v>
      </c>
      <c r="P13" s="54" t="s">
        <v>3626</v>
      </c>
      <c r="Q13" s="49" t="s">
        <v>82</v>
      </c>
      <c r="R13" s="57" t="s">
        <v>3627</v>
      </c>
      <c r="S13" s="47"/>
    </row>
    <row r="14" spans="2:19" s="33" customFormat="1" ht="33" customHeight="1">
      <c r="B14" s="47" t="s">
        <v>220</v>
      </c>
      <c r="C14" s="48" t="s">
        <v>579</v>
      </c>
      <c r="D14" s="49" t="s">
        <v>580</v>
      </c>
      <c r="E14" s="50">
        <v>43519</v>
      </c>
      <c r="F14" s="49" t="s">
        <v>79</v>
      </c>
      <c r="G14" s="51">
        <v>10000</v>
      </c>
      <c r="H14" s="52">
        <f t="shared" si="0"/>
        <v>40</v>
      </c>
      <c r="I14" s="52">
        <f t="shared" si="1"/>
        <v>10</v>
      </c>
      <c r="J14" s="49"/>
      <c r="K14" s="53">
        <v>43598</v>
      </c>
      <c r="L14" s="54" t="s">
        <v>803</v>
      </c>
      <c r="M14" s="55">
        <v>43598</v>
      </c>
      <c r="N14" s="56" t="s">
        <v>804</v>
      </c>
      <c r="O14" s="55">
        <v>43604</v>
      </c>
      <c r="P14" s="54" t="s">
        <v>3628</v>
      </c>
      <c r="Q14" s="49"/>
      <c r="R14" s="57" t="s">
        <v>3629</v>
      </c>
      <c r="S14" s="47"/>
    </row>
    <row r="15" spans="2:19" s="33" customFormat="1" ht="33" customHeight="1">
      <c r="B15" s="47" t="s">
        <v>78</v>
      </c>
      <c r="C15" s="48" t="s">
        <v>576</v>
      </c>
      <c r="D15" s="49" t="s">
        <v>577</v>
      </c>
      <c r="E15" s="50">
        <v>43519</v>
      </c>
      <c r="F15" s="49" t="s">
        <v>79</v>
      </c>
      <c r="G15" s="51">
        <v>20000</v>
      </c>
      <c r="H15" s="52">
        <f t="shared" si="0"/>
        <v>80</v>
      </c>
      <c r="I15" s="52">
        <f t="shared" si="1"/>
        <v>20</v>
      </c>
      <c r="J15" s="49"/>
      <c r="K15" s="53">
        <v>43611</v>
      </c>
      <c r="L15" s="54" t="s">
        <v>3630</v>
      </c>
      <c r="M15" s="55">
        <v>43605</v>
      </c>
      <c r="N15" s="56" t="s">
        <v>3631</v>
      </c>
      <c r="O15" s="55">
        <v>43611</v>
      </c>
      <c r="P15" s="54" t="s">
        <v>3632</v>
      </c>
      <c r="Q15" s="49" t="s">
        <v>82</v>
      </c>
      <c r="R15" s="57" t="s">
        <v>3633</v>
      </c>
      <c r="S15" s="47"/>
    </row>
    <row r="16" spans="2:19" s="30" customFormat="1" ht="33" customHeight="1">
      <c r="B16" s="46" t="s">
        <v>78</v>
      </c>
      <c r="C16" s="35" t="s">
        <v>685</v>
      </c>
      <c r="D16" s="36" t="s">
        <v>686</v>
      </c>
      <c r="E16" s="37">
        <v>43532</v>
      </c>
      <c r="F16" s="36" t="s">
        <v>79</v>
      </c>
      <c r="G16" s="39">
        <v>20000</v>
      </c>
      <c r="H16" s="38">
        <f t="shared" si="0"/>
        <v>80</v>
      </c>
      <c r="I16" s="38">
        <f t="shared" si="1"/>
        <v>20</v>
      </c>
      <c r="J16" s="36"/>
      <c r="K16" s="40">
        <v>43625</v>
      </c>
      <c r="L16" s="41" t="s">
        <v>3634</v>
      </c>
      <c r="M16" s="42">
        <v>43619</v>
      </c>
      <c r="N16" s="43" t="s">
        <v>3635</v>
      </c>
      <c r="O16" s="42">
        <v>43625</v>
      </c>
      <c r="P16" s="41"/>
      <c r="Q16" s="36" t="s">
        <v>82</v>
      </c>
      <c r="R16" s="44" t="s">
        <v>3636</v>
      </c>
      <c r="S16" s="46"/>
    </row>
    <row r="17" spans="2:19" s="30" customFormat="1" ht="33" customHeight="1">
      <c r="B17" s="46" t="s">
        <v>78</v>
      </c>
      <c r="C17" s="35" t="s">
        <v>3637</v>
      </c>
      <c r="D17" s="36" t="s">
        <v>1366</v>
      </c>
      <c r="E17" s="37">
        <v>43532</v>
      </c>
      <c r="F17" s="36" t="s">
        <v>79</v>
      </c>
      <c r="G17" s="39">
        <v>20000</v>
      </c>
      <c r="H17" s="38">
        <f t="shared" si="0"/>
        <v>80</v>
      </c>
      <c r="I17" s="38">
        <f t="shared" si="1"/>
        <v>20</v>
      </c>
      <c r="J17" s="36"/>
      <c r="K17" s="40">
        <v>43625</v>
      </c>
      <c r="L17" s="41" t="s">
        <v>3634</v>
      </c>
      <c r="M17" s="42">
        <v>43619</v>
      </c>
      <c r="N17" s="43" t="s">
        <v>3635</v>
      </c>
      <c r="O17" s="42">
        <v>43625</v>
      </c>
      <c r="P17" s="41"/>
      <c r="Q17" s="36" t="s">
        <v>82</v>
      </c>
      <c r="R17" s="44" t="s">
        <v>3636</v>
      </c>
      <c r="S17" s="46" t="s">
        <v>479</v>
      </c>
    </row>
    <row r="18" spans="2:19" s="30" customFormat="1" ht="33" customHeight="1">
      <c r="B18" s="46" t="s">
        <v>220</v>
      </c>
      <c r="C18" s="35" t="s">
        <v>688</v>
      </c>
      <c r="D18" s="36" t="s">
        <v>689</v>
      </c>
      <c r="E18" s="37">
        <v>43532</v>
      </c>
      <c r="F18" s="36" t="s">
        <v>79</v>
      </c>
      <c r="G18" s="39">
        <v>20000</v>
      </c>
      <c r="H18" s="38">
        <f t="shared" si="0"/>
        <v>80</v>
      </c>
      <c r="I18" s="38">
        <f t="shared" si="1"/>
        <v>20</v>
      </c>
      <c r="J18" s="36"/>
      <c r="K18" s="40">
        <v>43632</v>
      </c>
      <c r="L18" s="41" t="s">
        <v>3638</v>
      </c>
      <c r="M18" s="42">
        <v>43626</v>
      </c>
      <c r="N18" s="43" t="s">
        <v>3639</v>
      </c>
      <c r="O18" s="42">
        <v>43632</v>
      </c>
      <c r="P18" s="41" t="s">
        <v>3640</v>
      </c>
      <c r="Q18" s="36"/>
      <c r="R18" s="44" t="s">
        <v>3641</v>
      </c>
      <c r="S18" s="46"/>
    </row>
    <row r="19" spans="2:19" s="30" customFormat="1" ht="33" customHeight="1">
      <c r="B19" s="46" t="s">
        <v>78</v>
      </c>
      <c r="C19" s="35" t="s">
        <v>691</v>
      </c>
      <c r="D19" s="36" t="s">
        <v>692</v>
      </c>
      <c r="E19" s="37">
        <v>43532</v>
      </c>
      <c r="F19" s="36" t="s">
        <v>79</v>
      </c>
      <c r="G19" s="39">
        <v>20000</v>
      </c>
      <c r="H19" s="38">
        <f t="shared" si="0"/>
        <v>80</v>
      </c>
      <c r="I19" s="38">
        <f t="shared" si="1"/>
        <v>20</v>
      </c>
      <c r="J19" s="36"/>
      <c r="K19" s="40">
        <v>43639</v>
      </c>
      <c r="L19" s="41" t="s">
        <v>3642</v>
      </c>
      <c r="M19" s="42">
        <v>43633</v>
      </c>
      <c r="N19" s="43" t="s">
        <v>3643</v>
      </c>
      <c r="O19" s="42">
        <v>43639</v>
      </c>
      <c r="P19" s="41"/>
      <c r="Q19" s="36" t="s">
        <v>82</v>
      </c>
      <c r="R19" s="44" t="s">
        <v>3644</v>
      </c>
      <c r="S19" s="46"/>
    </row>
    <row r="20" spans="2:19" s="33" customFormat="1" ht="33" customHeight="1">
      <c r="B20" s="47" t="s">
        <v>78</v>
      </c>
      <c r="C20" s="48" t="s">
        <v>3645</v>
      </c>
      <c r="D20" s="49" t="s">
        <v>3646</v>
      </c>
      <c r="E20" s="50">
        <v>43566</v>
      </c>
      <c r="F20" s="49" t="s">
        <v>79</v>
      </c>
      <c r="G20" s="51">
        <v>6000</v>
      </c>
      <c r="H20" s="52">
        <f t="shared" si="0"/>
        <v>24</v>
      </c>
      <c r="I20" s="52">
        <f t="shared" si="1"/>
        <v>6</v>
      </c>
      <c r="J20" s="49"/>
      <c r="K20" s="53">
        <v>43611</v>
      </c>
      <c r="L20" s="54" t="s">
        <v>603</v>
      </c>
      <c r="M20" s="55">
        <v>43605</v>
      </c>
      <c r="N20" s="56" t="s">
        <v>1080</v>
      </c>
      <c r="O20" s="55">
        <v>43611</v>
      </c>
      <c r="P20" s="54" t="s">
        <v>3647</v>
      </c>
      <c r="Q20" s="49" t="s">
        <v>82</v>
      </c>
      <c r="R20" s="57" t="s">
        <v>3648</v>
      </c>
      <c r="S20" s="47"/>
    </row>
    <row r="21" spans="2:19" s="33" customFormat="1" ht="33" customHeight="1">
      <c r="B21" s="47" t="s">
        <v>3649</v>
      </c>
      <c r="C21" s="48" t="s">
        <v>986</v>
      </c>
      <c r="D21" s="49" t="s">
        <v>3646</v>
      </c>
      <c r="E21" s="50">
        <v>43566</v>
      </c>
      <c r="F21" s="49" t="s">
        <v>79</v>
      </c>
      <c r="G21" s="51">
        <v>14000</v>
      </c>
      <c r="H21" s="52">
        <f t="shared" si="0"/>
        <v>56</v>
      </c>
      <c r="I21" s="52">
        <f t="shared" si="1"/>
        <v>14</v>
      </c>
      <c r="J21" s="49"/>
      <c r="K21" s="53">
        <v>43611</v>
      </c>
      <c r="L21" s="54" t="s">
        <v>603</v>
      </c>
      <c r="M21" s="55">
        <v>43605</v>
      </c>
      <c r="N21" s="56" t="s">
        <v>1080</v>
      </c>
      <c r="O21" s="55">
        <v>43611</v>
      </c>
      <c r="P21" s="54" t="s">
        <v>3650</v>
      </c>
      <c r="Q21" s="49"/>
      <c r="R21" s="57" t="s">
        <v>3648</v>
      </c>
      <c r="S21" s="47"/>
    </row>
    <row r="22" spans="2:19" s="30" customFormat="1" ht="33" customHeight="1">
      <c r="B22" s="46" t="s">
        <v>78</v>
      </c>
      <c r="C22" s="35" t="s">
        <v>988</v>
      </c>
      <c r="D22" s="36" t="s">
        <v>3651</v>
      </c>
      <c r="E22" s="37">
        <v>43566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43632</v>
      </c>
      <c r="L22" s="41" t="s">
        <v>1081</v>
      </c>
      <c r="M22" s="42">
        <v>43626</v>
      </c>
      <c r="N22" s="43" t="s">
        <v>1082</v>
      </c>
      <c r="O22" s="42">
        <v>43632</v>
      </c>
      <c r="P22" s="41"/>
      <c r="Q22" s="36" t="s">
        <v>82</v>
      </c>
      <c r="R22" s="44" t="s">
        <v>3652</v>
      </c>
      <c r="S22" s="46"/>
    </row>
    <row r="23" spans="2:19" s="30" customFormat="1" ht="33" customHeight="1">
      <c r="B23" s="46" t="s">
        <v>78</v>
      </c>
      <c r="C23" s="35" t="s">
        <v>1160</v>
      </c>
      <c r="D23" s="36" t="s">
        <v>1161</v>
      </c>
      <c r="E23" s="37">
        <v>43567</v>
      </c>
      <c r="F23" s="36" t="s">
        <v>3653</v>
      </c>
      <c r="G23" s="39">
        <v>40000</v>
      </c>
      <c r="H23" s="38">
        <f t="shared" si="0"/>
        <v>160</v>
      </c>
      <c r="I23" s="38">
        <f t="shared" si="1"/>
        <v>40</v>
      </c>
      <c r="J23" s="36"/>
      <c r="K23" s="40">
        <v>43646</v>
      </c>
      <c r="L23" s="41" t="s">
        <v>3654</v>
      </c>
      <c r="M23" s="42">
        <v>43640</v>
      </c>
      <c r="N23" s="43" t="s">
        <v>3655</v>
      </c>
      <c r="O23" s="42">
        <v>43646</v>
      </c>
      <c r="P23" s="41"/>
      <c r="Q23" s="36" t="s">
        <v>82</v>
      </c>
      <c r="R23" s="44" t="s">
        <v>3656</v>
      </c>
      <c r="S23" s="46" t="s">
        <v>2140</v>
      </c>
    </row>
    <row r="24" spans="2:19" s="30" customFormat="1" ht="33" customHeight="1">
      <c r="B24" s="46" t="s">
        <v>220</v>
      </c>
      <c r="C24" s="35" t="s">
        <v>1163</v>
      </c>
      <c r="D24" s="36" t="s">
        <v>1164</v>
      </c>
      <c r="E24" s="37">
        <v>43567</v>
      </c>
      <c r="F24" s="36" t="s">
        <v>79</v>
      </c>
      <c r="G24" s="39">
        <v>20000</v>
      </c>
      <c r="H24" s="38">
        <f t="shared" si="0"/>
        <v>80</v>
      </c>
      <c r="I24" s="38">
        <f t="shared" si="1"/>
        <v>20</v>
      </c>
      <c r="J24" s="36"/>
      <c r="K24" s="40">
        <v>43646</v>
      </c>
      <c r="L24" s="41" t="s">
        <v>3654</v>
      </c>
      <c r="M24" s="42">
        <v>43640</v>
      </c>
      <c r="N24" s="43" t="s">
        <v>3655</v>
      </c>
      <c r="O24" s="42">
        <v>43646</v>
      </c>
      <c r="P24" s="41"/>
      <c r="Q24" s="36"/>
      <c r="R24" s="44" t="s">
        <v>3657</v>
      </c>
      <c r="S24" s="46" t="s">
        <v>2140</v>
      </c>
    </row>
    <row r="25" spans="2:19" s="30" customFormat="1" ht="33" customHeight="1">
      <c r="B25" s="46" t="s">
        <v>78</v>
      </c>
      <c r="C25" s="35" t="s">
        <v>1166</v>
      </c>
      <c r="D25" s="36" t="s">
        <v>1167</v>
      </c>
      <c r="E25" s="37">
        <v>43567</v>
      </c>
      <c r="F25" s="36" t="s">
        <v>79</v>
      </c>
      <c r="G25" s="39">
        <v>20000</v>
      </c>
      <c r="H25" s="38">
        <f t="shared" si="0"/>
        <v>80</v>
      </c>
      <c r="I25" s="38">
        <f t="shared" si="1"/>
        <v>20</v>
      </c>
      <c r="J25" s="36"/>
      <c r="K25" s="40">
        <v>43653</v>
      </c>
      <c r="L25" s="41" t="s">
        <v>3658</v>
      </c>
      <c r="M25" s="42">
        <v>43647</v>
      </c>
      <c r="N25" s="43" t="s">
        <v>3659</v>
      </c>
      <c r="O25" s="42">
        <v>43653</v>
      </c>
      <c r="P25" s="41"/>
      <c r="Q25" s="36" t="s">
        <v>82</v>
      </c>
      <c r="R25" s="44" t="s">
        <v>3660</v>
      </c>
      <c r="S25" s="46" t="s">
        <v>2140</v>
      </c>
    </row>
    <row r="26" spans="2:19" s="30" customFormat="1" ht="33" customHeight="1">
      <c r="B26" s="46" t="s">
        <v>78</v>
      </c>
      <c r="C26" s="35" t="s">
        <v>1169</v>
      </c>
      <c r="D26" s="36" t="s">
        <v>1170</v>
      </c>
      <c r="E26" s="37">
        <v>43567</v>
      </c>
      <c r="F26" s="36" t="s">
        <v>79</v>
      </c>
      <c r="G26" s="39">
        <v>20000</v>
      </c>
      <c r="H26" s="38">
        <f t="shared" si="0"/>
        <v>80</v>
      </c>
      <c r="I26" s="38">
        <f t="shared" si="1"/>
        <v>20</v>
      </c>
      <c r="J26" s="36"/>
      <c r="K26" s="40">
        <v>43660</v>
      </c>
      <c r="L26" s="41" t="s">
        <v>3661</v>
      </c>
      <c r="M26" s="42">
        <v>43654</v>
      </c>
      <c r="N26" s="43" t="s">
        <v>3662</v>
      </c>
      <c r="O26" s="42">
        <v>43660</v>
      </c>
      <c r="P26" s="41"/>
      <c r="Q26" s="36" t="s">
        <v>82</v>
      </c>
      <c r="R26" s="44" t="s">
        <v>3663</v>
      </c>
      <c r="S26" s="46" t="s">
        <v>2140</v>
      </c>
    </row>
    <row r="27" spans="2:19" s="30" customFormat="1" ht="33" customHeight="1">
      <c r="B27" s="46" t="s">
        <v>78</v>
      </c>
      <c r="C27" s="35" t="s">
        <v>1172</v>
      </c>
      <c r="D27" s="36" t="s">
        <v>1173</v>
      </c>
      <c r="E27" s="37">
        <v>43567</v>
      </c>
      <c r="F27" s="36" t="s">
        <v>79</v>
      </c>
      <c r="G27" s="39">
        <v>20000</v>
      </c>
      <c r="H27" s="38">
        <f t="shared" si="0"/>
        <v>80</v>
      </c>
      <c r="I27" s="38">
        <f t="shared" si="1"/>
        <v>20</v>
      </c>
      <c r="J27" s="36"/>
      <c r="K27" s="40">
        <v>43667</v>
      </c>
      <c r="L27" s="41" t="s">
        <v>3664</v>
      </c>
      <c r="M27" s="42">
        <v>43658</v>
      </c>
      <c r="N27" s="43" t="s">
        <v>3665</v>
      </c>
      <c r="O27" s="42">
        <v>43667</v>
      </c>
      <c r="P27" s="41"/>
      <c r="Q27" s="36" t="s">
        <v>82</v>
      </c>
      <c r="R27" s="44" t="s">
        <v>3666</v>
      </c>
      <c r="S27" s="46" t="s">
        <v>2140</v>
      </c>
    </row>
    <row r="28" spans="2:19" s="30" customFormat="1" ht="33" customHeight="1">
      <c r="B28" s="46" t="s">
        <v>220</v>
      </c>
      <c r="C28" s="35" t="s">
        <v>1175</v>
      </c>
      <c r="D28" s="36" t="s">
        <v>1176</v>
      </c>
      <c r="E28" s="37">
        <v>43567</v>
      </c>
      <c r="F28" s="36" t="s">
        <v>79</v>
      </c>
      <c r="G28" s="39">
        <v>20000</v>
      </c>
      <c r="H28" s="38">
        <f t="shared" si="0"/>
        <v>80</v>
      </c>
      <c r="I28" s="38">
        <f t="shared" si="1"/>
        <v>20</v>
      </c>
      <c r="J28" s="36"/>
      <c r="K28" s="40">
        <v>43667</v>
      </c>
      <c r="L28" s="119" t="s">
        <v>3877</v>
      </c>
      <c r="M28" s="120">
        <v>43668</v>
      </c>
      <c r="N28" s="121" t="s">
        <v>3876</v>
      </c>
      <c r="O28" s="120">
        <v>43674</v>
      </c>
      <c r="P28" s="41"/>
      <c r="Q28" s="36"/>
      <c r="R28" s="44" t="s">
        <v>3668</v>
      </c>
      <c r="S28" s="46"/>
    </row>
    <row r="29" spans="2:19" s="30" customFormat="1" ht="33" customHeight="1">
      <c r="B29" s="46" t="s">
        <v>78</v>
      </c>
      <c r="C29" s="35" t="s">
        <v>1178</v>
      </c>
      <c r="D29" s="36" t="s">
        <v>1179</v>
      </c>
      <c r="E29" s="37">
        <v>43567</v>
      </c>
      <c r="F29" s="36" t="s">
        <v>3669</v>
      </c>
      <c r="G29" s="39">
        <v>10000</v>
      </c>
      <c r="H29" s="38">
        <f t="shared" si="0"/>
        <v>40</v>
      </c>
      <c r="I29" s="38">
        <f t="shared" si="1"/>
        <v>10</v>
      </c>
      <c r="J29" s="36"/>
      <c r="K29" s="40">
        <v>43674</v>
      </c>
      <c r="L29" s="41" t="s">
        <v>3670</v>
      </c>
      <c r="M29" s="42">
        <v>43668</v>
      </c>
      <c r="N29" s="43" t="s">
        <v>3671</v>
      </c>
      <c r="O29" s="42">
        <v>43674</v>
      </c>
      <c r="P29" s="41"/>
      <c r="Q29" s="36" t="s">
        <v>82</v>
      </c>
      <c r="R29" s="44" t="s">
        <v>3672</v>
      </c>
      <c r="S29" s="46"/>
    </row>
    <row r="30" spans="2:19" s="30" customFormat="1" ht="33" customHeight="1">
      <c r="B30" s="46" t="s">
        <v>220</v>
      </c>
      <c r="C30" s="35" t="s">
        <v>1181</v>
      </c>
      <c r="D30" s="36" t="s">
        <v>1182</v>
      </c>
      <c r="E30" s="37">
        <v>43567</v>
      </c>
      <c r="F30" s="36" t="s">
        <v>3669</v>
      </c>
      <c r="G30" s="39">
        <v>10000</v>
      </c>
      <c r="H30" s="38">
        <f t="shared" si="0"/>
        <v>40</v>
      </c>
      <c r="I30" s="38">
        <f t="shared" si="1"/>
        <v>10</v>
      </c>
      <c r="J30" s="36"/>
      <c r="K30" s="40">
        <v>43674</v>
      </c>
      <c r="L30" s="41" t="s">
        <v>1321</v>
      </c>
      <c r="M30" s="42">
        <v>43668</v>
      </c>
      <c r="N30" s="43" t="s">
        <v>3671</v>
      </c>
      <c r="O30" s="42">
        <v>43674</v>
      </c>
      <c r="P30" s="41"/>
      <c r="Q30" s="36"/>
      <c r="R30" s="44" t="s">
        <v>3673</v>
      </c>
      <c r="S30" s="46"/>
    </row>
    <row r="31" spans="2:19" s="30" customFormat="1" ht="33" customHeight="1">
      <c r="B31" s="46" t="s">
        <v>78</v>
      </c>
      <c r="C31" s="35" t="s">
        <v>2273</v>
      </c>
      <c r="D31" s="36" t="s">
        <v>2274</v>
      </c>
      <c r="E31" s="37">
        <v>43602</v>
      </c>
      <c r="F31" s="36" t="s">
        <v>79</v>
      </c>
      <c r="G31" s="39">
        <v>20000</v>
      </c>
      <c r="H31" s="38">
        <f t="shared" si="0"/>
        <v>80</v>
      </c>
      <c r="I31" s="38">
        <f t="shared" si="1"/>
        <v>20</v>
      </c>
      <c r="J31" s="36"/>
      <c r="K31" s="40">
        <v>43688</v>
      </c>
      <c r="L31" s="41" t="s">
        <v>3674</v>
      </c>
      <c r="M31" s="42">
        <v>43682</v>
      </c>
      <c r="N31" s="43" t="s">
        <v>3675</v>
      </c>
      <c r="O31" s="42">
        <v>43688</v>
      </c>
      <c r="P31" s="41"/>
      <c r="Q31" s="36" t="s">
        <v>82</v>
      </c>
      <c r="R31" s="44" t="s">
        <v>3676</v>
      </c>
      <c r="S31" s="46"/>
    </row>
    <row r="32" spans="2:19" s="30" customFormat="1" ht="33" customHeight="1">
      <c r="B32" s="46" t="s">
        <v>78</v>
      </c>
      <c r="C32" s="35" t="s">
        <v>2276</v>
      </c>
      <c r="D32" s="36" t="s">
        <v>2277</v>
      </c>
      <c r="E32" s="37">
        <v>43602</v>
      </c>
      <c r="F32" s="36" t="s">
        <v>79</v>
      </c>
      <c r="G32" s="39">
        <v>20000</v>
      </c>
      <c r="H32" s="38">
        <f t="shared" si="0"/>
        <v>80</v>
      </c>
      <c r="I32" s="38">
        <f t="shared" si="1"/>
        <v>20</v>
      </c>
      <c r="J32" s="36"/>
      <c r="K32" s="40">
        <v>43695</v>
      </c>
      <c r="L32" s="41" t="s">
        <v>3674</v>
      </c>
      <c r="M32" s="42">
        <v>43682</v>
      </c>
      <c r="N32" s="43" t="s">
        <v>3675</v>
      </c>
      <c r="O32" s="42">
        <v>43688</v>
      </c>
      <c r="P32" s="41"/>
      <c r="Q32" s="36" t="s">
        <v>82</v>
      </c>
      <c r="R32" s="44" t="s">
        <v>3677</v>
      </c>
      <c r="S32" s="46"/>
    </row>
    <row r="33" spans="2:19" s="30" customFormat="1" ht="33" customHeight="1">
      <c r="B33" s="46" t="s">
        <v>220</v>
      </c>
      <c r="C33" s="35" t="s">
        <v>2279</v>
      </c>
      <c r="D33" s="36" t="s">
        <v>2280</v>
      </c>
      <c r="E33" s="37">
        <v>43602</v>
      </c>
      <c r="F33" s="36" t="s">
        <v>79</v>
      </c>
      <c r="G33" s="39">
        <v>20000</v>
      </c>
      <c r="H33" s="38">
        <f t="shared" si="0"/>
        <v>80</v>
      </c>
      <c r="I33" s="38">
        <f t="shared" si="1"/>
        <v>20</v>
      </c>
      <c r="J33" s="36"/>
      <c r="K33" s="40">
        <v>43695</v>
      </c>
      <c r="L33" s="41" t="s">
        <v>3674</v>
      </c>
      <c r="M33" s="42">
        <v>43682</v>
      </c>
      <c r="N33" s="43" t="s">
        <v>3675</v>
      </c>
      <c r="O33" s="42">
        <v>43688</v>
      </c>
      <c r="P33" s="41"/>
      <c r="Q33" s="36"/>
      <c r="R33" s="44" t="s">
        <v>3678</v>
      </c>
      <c r="S33" s="46"/>
    </row>
    <row r="34" spans="2:19" s="30" customFormat="1" ht="33" customHeight="1">
      <c r="B34" s="46" t="s">
        <v>78</v>
      </c>
      <c r="C34" s="35" t="s">
        <v>2282</v>
      </c>
      <c r="D34" s="36" t="s">
        <v>2283</v>
      </c>
      <c r="E34" s="37">
        <v>43602</v>
      </c>
      <c r="F34" s="36" t="s">
        <v>79</v>
      </c>
      <c r="G34" s="39">
        <v>20000</v>
      </c>
      <c r="H34" s="38">
        <f t="shared" si="0"/>
        <v>80</v>
      </c>
      <c r="I34" s="38">
        <f t="shared" si="1"/>
        <v>20</v>
      </c>
      <c r="J34" s="36"/>
      <c r="K34" s="40">
        <v>43709</v>
      </c>
      <c r="L34" s="41" t="s">
        <v>3679</v>
      </c>
      <c r="M34" s="42">
        <v>43703</v>
      </c>
      <c r="N34" s="43" t="s">
        <v>3680</v>
      </c>
      <c r="O34" s="42">
        <v>43709</v>
      </c>
      <c r="P34" s="41"/>
      <c r="Q34" s="36" t="s">
        <v>82</v>
      </c>
      <c r="R34" s="44" t="s">
        <v>3681</v>
      </c>
      <c r="S34" s="46"/>
    </row>
    <row r="35" spans="2:19" s="30" customFormat="1" ht="33" customHeight="1">
      <c r="B35" s="46" t="s">
        <v>220</v>
      </c>
      <c r="C35" s="35" t="s">
        <v>3353</v>
      </c>
      <c r="D35" s="36" t="s">
        <v>3354</v>
      </c>
      <c r="E35" s="37">
        <v>43637</v>
      </c>
      <c r="F35" s="36" t="s">
        <v>79</v>
      </c>
      <c r="G35" s="39">
        <v>20000</v>
      </c>
      <c r="H35" s="38">
        <f t="shared" si="0"/>
        <v>80</v>
      </c>
      <c r="I35" s="38">
        <f t="shared" si="1"/>
        <v>20</v>
      </c>
      <c r="J35" s="36"/>
      <c r="K35" s="40">
        <v>43716</v>
      </c>
      <c r="L35" s="41" t="s">
        <v>3682</v>
      </c>
      <c r="M35" s="42">
        <v>43710</v>
      </c>
      <c r="N35" s="43" t="s">
        <v>3683</v>
      </c>
      <c r="O35" s="42">
        <v>43716</v>
      </c>
      <c r="P35" s="41"/>
      <c r="Q35" s="36"/>
      <c r="R35" s="44" t="s">
        <v>3684</v>
      </c>
      <c r="S35" s="46"/>
    </row>
    <row r="36" spans="2:19" s="30" customFormat="1" ht="33" customHeight="1">
      <c r="B36" s="46" t="s">
        <v>78</v>
      </c>
      <c r="C36" s="35" t="s">
        <v>3356</v>
      </c>
      <c r="D36" s="36" t="s">
        <v>3357</v>
      </c>
      <c r="E36" s="37">
        <v>43637</v>
      </c>
      <c r="F36" s="36" t="s">
        <v>79</v>
      </c>
      <c r="G36" s="39">
        <v>20000</v>
      </c>
      <c r="H36" s="38">
        <f t="shared" si="0"/>
        <v>80</v>
      </c>
      <c r="I36" s="38">
        <f t="shared" si="1"/>
        <v>20</v>
      </c>
      <c r="J36" s="36"/>
      <c r="K36" s="40">
        <v>43723</v>
      </c>
      <c r="L36" s="41" t="s">
        <v>3555</v>
      </c>
      <c r="M36" s="42">
        <v>43717</v>
      </c>
      <c r="N36" s="43" t="s">
        <v>3685</v>
      </c>
      <c r="O36" s="42">
        <v>43723</v>
      </c>
      <c r="P36" s="41"/>
      <c r="Q36" s="36" t="s">
        <v>82</v>
      </c>
      <c r="R36" s="44" t="s">
        <v>3686</v>
      </c>
      <c r="S36" s="46"/>
    </row>
    <row r="37" spans="2:19" s="30" customFormat="1" ht="33" customHeight="1">
      <c r="B37" s="46" t="s">
        <v>78</v>
      </c>
      <c r="C37" s="35" t="s">
        <v>3359</v>
      </c>
      <c r="D37" s="36" t="s">
        <v>3360</v>
      </c>
      <c r="E37" s="37">
        <v>43637</v>
      </c>
      <c r="F37" s="36" t="s">
        <v>79</v>
      </c>
      <c r="G37" s="39">
        <v>20000</v>
      </c>
      <c r="H37" s="38">
        <f t="shared" si="0"/>
        <v>80</v>
      </c>
      <c r="I37" s="38">
        <f t="shared" si="1"/>
        <v>20</v>
      </c>
      <c r="J37" s="36"/>
      <c r="K37" s="40">
        <v>43730</v>
      </c>
      <c r="L37" s="41" t="s">
        <v>3556</v>
      </c>
      <c r="M37" s="42">
        <v>43721</v>
      </c>
      <c r="N37" s="43" t="s">
        <v>3687</v>
      </c>
      <c r="O37" s="42">
        <v>43730</v>
      </c>
      <c r="P37" s="41"/>
      <c r="Q37" s="36" t="s">
        <v>82</v>
      </c>
      <c r="R37" s="44" t="s">
        <v>3688</v>
      </c>
      <c r="S37" s="46"/>
    </row>
    <row r="38" spans="2:19" s="96" customFormat="1" ht="33" customHeight="1">
      <c r="B38" s="47" t="s">
        <v>17</v>
      </c>
      <c r="C38" s="48" t="s">
        <v>427</v>
      </c>
      <c r="D38" s="49" t="s">
        <v>3689</v>
      </c>
      <c r="E38" s="50">
        <v>43483</v>
      </c>
      <c r="F38" s="52" t="s">
        <v>84</v>
      </c>
      <c r="G38" s="51">
        <v>9200</v>
      </c>
      <c r="H38" s="52">
        <f t="shared" ref="H38:H61" si="2">SUM(G38/230)</f>
        <v>40</v>
      </c>
      <c r="I38" s="52">
        <f t="shared" si="1"/>
        <v>10</v>
      </c>
      <c r="J38" s="49"/>
      <c r="K38" s="53">
        <v>43576</v>
      </c>
      <c r="L38" s="54" t="s">
        <v>3690</v>
      </c>
      <c r="M38" s="55">
        <v>43571</v>
      </c>
      <c r="N38" s="56" t="s">
        <v>3691</v>
      </c>
      <c r="O38" s="55">
        <v>43576</v>
      </c>
      <c r="P38" s="58"/>
      <c r="Q38" s="52" t="s">
        <v>82</v>
      </c>
      <c r="R38" s="57" t="s">
        <v>3692</v>
      </c>
      <c r="S38" s="47"/>
    </row>
    <row r="39" spans="2:19" s="67" customFormat="1" ht="33" customHeight="1">
      <c r="B39" s="46" t="s">
        <v>17</v>
      </c>
      <c r="C39" s="35" t="s">
        <v>581</v>
      </c>
      <c r="D39" s="36" t="s">
        <v>582</v>
      </c>
      <c r="E39" s="37">
        <v>43519</v>
      </c>
      <c r="F39" s="38" t="s">
        <v>84</v>
      </c>
      <c r="G39" s="39">
        <v>9200</v>
      </c>
      <c r="H39" s="38">
        <f t="shared" si="2"/>
        <v>40</v>
      </c>
      <c r="I39" s="38">
        <f t="shared" si="1"/>
        <v>10</v>
      </c>
      <c r="J39" s="36"/>
      <c r="K39" s="40">
        <v>43632</v>
      </c>
      <c r="L39" s="41" t="s">
        <v>3693</v>
      </c>
      <c r="M39" s="42">
        <v>43620</v>
      </c>
      <c r="N39" s="43" t="s">
        <v>3694</v>
      </c>
      <c r="O39" s="42">
        <v>43625</v>
      </c>
      <c r="P39" s="45"/>
      <c r="Q39" s="38" t="s">
        <v>82</v>
      </c>
      <c r="R39" s="44" t="s">
        <v>3695</v>
      </c>
      <c r="S39" s="46"/>
    </row>
    <row r="40" spans="2:19" s="67" customFormat="1" ht="33" customHeight="1">
      <c r="B40" s="46" t="s">
        <v>17</v>
      </c>
      <c r="C40" s="35" t="s">
        <v>694</v>
      </c>
      <c r="D40" s="36" t="s">
        <v>695</v>
      </c>
      <c r="E40" s="37">
        <v>43532</v>
      </c>
      <c r="F40" s="38" t="s">
        <v>3696</v>
      </c>
      <c r="G40" s="39">
        <v>9200</v>
      </c>
      <c r="H40" s="38">
        <f t="shared" si="2"/>
        <v>40</v>
      </c>
      <c r="I40" s="38">
        <f t="shared" si="1"/>
        <v>10</v>
      </c>
      <c r="J40" s="36"/>
      <c r="K40" s="40">
        <v>43653</v>
      </c>
      <c r="L40" s="41" t="s">
        <v>1326</v>
      </c>
      <c r="M40" s="42">
        <v>43648</v>
      </c>
      <c r="N40" s="43" t="s">
        <v>2540</v>
      </c>
      <c r="O40" s="42">
        <v>43653</v>
      </c>
      <c r="P40" s="45"/>
      <c r="Q40" s="38" t="s">
        <v>82</v>
      </c>
      <c r="R40" s="44" t="s">
        <v>3697</v>
      </c>
      <c r="S40" s="46"/>
    </row>
    <row r="41" spans="2:19" s="67" customFormat="1" ht="33" customHeight="1">
      <c r="B41" s="46" t="s">
        <v>17</v>
      </c>
      <c r="C41" s="35" t="s">
        <v>2299</v>
      </c>
      <c r="D41" s="36" t="s">
        <v>2641</v>
      </c>
      <c r="E41" s="37">
        <v>43609</v>
      </c>
      <c r="F41" s="38" t="s">
        <v>3696</v>
      </c>
      <c r="G41" s="39">
        <v>2760</v>
      </c>
      <c r="H41" s="38">
        <f t="shared" si="2"/>
        <v>12</v>
      </c>
      <c r="I41" s="38">
        <f t="shared" si="1"/>
        <v>3</v>
      </c>
      <c r="J41" s="36"/>
      <c r="K41" s="40">
        <v>43653</v>
      </c>
      <c r="L41" s="41" t="s">
        <v>1326</v>
      </c>
      <c r="M41" s="42">
        <v>43648</v>
      </c>
      <c r="N41" s="43" t="s">
        <v>2540</v>
      </c>
      <c r="O41" s="42">
        <v>43653</v>
      </c>
      <c r="P41" s="45"/>
      <c r="Q41" s="38" t="s">
        <v>82</v>
      </c>
      <c r="R41" s="44" t="s">
        <v>3697</v>
      </c>
      <c r="S41" s="46"/>
    </row>
    <row r="42" spans="2:19" s="67" customFormat="1" ht="33" customHeight="1">
      <c r="B42" s="46" t="s">
        <v>17</v>
      </c>
      <c r="C42" s="35" t="s">
        <v>3698</v>
      </c>
      <c r="D42" s="36" t="s">
        <v>2300</v>
      </c>
      <c r="E42" s="37">
        <v>43602</v>
      </c>
      <c r="F42" s="38" t="s">
        <v>3696</v>
      </c>
      <c r="G42" s="39">
        <v>9200</v>
      </c>
      <c r="H42" s="38">
        <f t="shared" si="2"/>
        <v>40</v>
      </c>
      <c r="I42" s="38">
        <f t="shared" si="1"/>
        <v>10</v>
      </c>
      <c r="J42" s="36"/>
      <c r="K42" s="40">
        <v>43695</v>
      </c>
      <c r="L42" s="41" t="s">
        <v>3699</v>
      </c>
      <c r="M42" s="42">
        <v>43683</v>
      </c>
      <c r="N42" s="43" t="s">
        <v>3700</v>
      </c>
      <c r="O42" s="42">
        <v>43688</v>
      </c>
      <c r="P42" s="45"/>
      <c r="Q42" s="38" t="s">
        <v>82</v>
      </c>
      <c r="R42" s="44" t="s">
        <v>3701</v>
      </c>
      <c r="S42" s="46" t="s">
        <v>2764</v>
      </c>
    </row>
    <row r="43" spans="2:19" s="67" customFormat="1" ht="33" customHeight="1">
      <c r="B43" s="122" t="s">
        <v>17</v>
      </c>
      <c r="C43" s="126" t="s">
        <v>3702</v>
      </c>
      <c r="D43" s="127" t="s">
        <v>3703</v>
      </c>
      <c r="E43" s="128">
        <v>43643</v>
      </c>
      <c r="F43" s="124" t="s">
        <v>3696</v>
      </c>
      <c r="G43" s="129">
        <v>4600</v>
      </c>
      <c r="H43" s="124">
        <f t="shared" ref="H43" si="3">SUM(G43/230)</f>
        <v>20</v>
      </c>
      <c r="I43" s="124">
        <f t="shared" ref="I43" si="4">SUM(H43/4)</f>
        <v>5</v>
      </c>
      <c r="J43" s="127"/>
      <c r="K43" s="130">
        <v>43688</v>
      </c>
      <c r="L43" s="119" t="s">
        <v>3699</v>
      </c>
      <c r="M43" s="120">
        <v>43683</v>
      </c>
      <c r="N43" s="121" t="s">
        <v>3700</v>
      </c>
      <c r="O43" s="120">
        <v>43688</v>
      </c>
      <c r="P43" s="123"/>
      <c r="Q43" s="124" t="s">
        <v>82</v>
      </c>
      <c r="R43" s="125"/>
      <c r="S43" s="122"/>
    </row>
    <row r="44" spans="2:19" s="67" customFormat="1" ht="33" customHeight="1">
      <c r="B44" s="46" t="s">
        <v>17</v>
      </c>
      <c r="C44" s="35" t="s">
        <v>3704</v>
      </c>
      <c r="D44" s="36" t="s">
        <v>3377</v>
      </c>
      <c r="E44" s="37">
        <v>43637</v>
      </c>
      <c r="F44" s="38" t="s">
        <v>3696</v>
      </c>
      <c r="G44" s="39">
        <v>9200</v>
      </c>
      <c r="H44" s="38">
        <f t="shared" si="2"/>
        <v>40</v>
      </c>
      <c r="I44" s="38">
        <f t="shared" si="1"/>
        <v>10</v>
      </c>
      <c r="J44" s="36"/>
      <c r="K44" s="40">
        <v>43716</v>
      </c>
      <c r="L44" s="41" t="s">
        <v>3705</v>
      </c>
      <c r="M44" s="42">
        <v>43711</v>
      </c>
      <c r="N44" s="43" t="s">
        <v>3706</v>
      </c>
      <c r="O44" s="42">
        <v>43716</v>
      </c>
      <c r="P44" s="45"/>
      <c r="Q44" s="38"/>
      <c r="R44" s="44" t="s">
        <v>3707</v>
      </c>
      <c r="S44" s="46"/>
    </row>
    <row r="45" spans="2:19" s="67" customFormat="1" ht="33" customHeight="1">
      <c r="B45" s="46" t="s">
        <v>17</v>
      </c>
      <c r="C45" s="35" t="s">
        <v>3708</v>
      </c>
      <c r="D45" s="36" t="s">
        <v>3380</v>
      </c>
      <c r="E45" s="37">
        <v>43637</v>
      </c>
      <c r="F45" s="38" t="s">
        <v>3696</v>
      </c>
      <c r="G45" s="39">
        <v>9200</v>
      </c>
      <c r="H45" s="38">
        <f t="shared" si="2"/>
        <v>40</v>
      </c>
      <c r="I45" s="38">
        <f t="shared" si="1"/>
        <v>10</v>
      </c>
      <c r="J45" s="36"/>
      <c r="K45" s="40">
        <v>43744</v>
      </c>
      <c r="L45" s="41" t="s">
        <v>3709</v>
      </c>
      <c r="M45" s="42">
        <v>43739</v>
      </c>
      <c r="N45" s="43" t="s">
        <v>3710</v>
      </c>
      <c r="O45" s="42">
        <v>43744</v>
      </c>
      <c r="P45" s="45"/>
      <c r="Q45" s="38"/>
      <c r="R45" s="44" t="s">
        <v>3711</v>
      </c>
      <c r="S45" s="46"/>
    </row>
    <row r="46" spans="2:19" s="96" customFormat="1" ht="33" customHeight="1">
      <c r="B46" s="47" t="s">
        <v>81</v>
      </c>
      <c r="C46" s="48" t="s">
        <v>279</v>
      </c>
      <c r="D46" s="49" t="s">
        <v>3712</v>
      </c>
      <c r="E46" s="50">
        <v>43392</v>
      </c>
      <c r="F46" s="52" t="s">
        <v>84</v>
      </c>
      <c r="G46" s="51">
        <v>11960</v>
      </c>
      <c r="H46" s="52">
        <f t="shared" si="2"/>
        <v>52</v>
      </c>
      <c r="I46" s="52">
        <f t="shared" si="1"/>
        <v>13</v>
      </c>
      <c r="J46" s="52"/>
      <c r="K46" s="53">
        <v>43597</v>
      </c>
      <c r="L46" s="54" t="s">
        <v>3713</v>
      </c>
      <c r="M46" s="55">
        <v>43594</v>
      </c>
      <c r="N46" s="56" t="s">
        <v>3714</v>
      </c>
      <c r="O46" s="55">
        <v>43598</v>
      </c>
      <c r="P46" s="58" t="s">
        <v>3715</v>
      </c>
      <c r="Q46" s="47"/>
      <c r="R46" s="57" t="s">
        <v>3716</v>
      </c>
      <c r="S46" s="47"/>
    </row>
    <row r="47" spans="2:19" s="96" customFormat="1" ht="33" customHeight="1">
      <c r="B47" s="47" t="s">
        <v>81</v>
      </c>
      <c r="C47" s="48" t="s">
        <v>3717</v>
      </c>
      <c r="D47" s="49" t="s">
        <v>3712</v>
      </c>
      <c r="E47" s="50">
        <v>43392</v>
      </c>
      <c r="F47" s="52" t="s">
        <v>84</v>
      </c>
      <c r="G47" s="51">
        <v>1840</v>
      </c>
      <c r="H47" s="52">
        <f t="shared" si="2"/>
        <v>8</v>
      </c>
      <c r="I47" s="52">
        <f t="shared" si="1"/>
        <v>2</v>
      </c>
      <c r="J47" s="52"/>
      <c r="K47" s="53">
        <v>43597</v>
      </c>
      <c r="L47" s="54" t="s">
        <v>773</v>
      </c>
      <c r="M47" s="55">
        <v>43601</v>
      </c>
      <c r="N47" s="56" t="s">
        <v>3718</v>
      </c>
      <c r="O47" s="55">
        <v>43605</v>
      </c>
      <c r="P47" s="58" t="s">
        <v>3715</v>
      </c>
      <c r="Q47" s="47"/>
      <c r="R47" s="57" t="s">
        <v>3716</v>
      </c>
      <c r="S47" s="47" t="s">
        <v>1329</v>
      </c>
    </row>
    <row r="48" spans="2:19" s="96" customFormat="1" ht="33" customHeight="1">
      <c r="B48" s="47" t="s">
        <v>81</v>
      </c>
      <c r="C48" s="48" t="s">
        <v>318</v>
      </c>
      <c r="D48" s="49" t="s">
        <v>319</v>
      </c>
      <c r="E48" s="50">
        <v>43420</v>
      </c>
      <c r="F48" s="52" t="s">
        <v>3696</v>
      </c>
      <c r="G48" s="51">
        <v>17940</v>
      </c>
      <c r="H48" s="52">
        <f t="shared" si="2"/>
        <v>78</v>
      </c>
      <c r="I48" s="52">
        <f t="shared" si="1"/>
        <v>19.5</v>
      </c>
      <c r="J48" s="52"/>
      <c r="K48" s="53">
        <v>43576</v>
      </c>
      <c r="L48" s="54" t="s">
        <v>480</v>
      </c>
      <c r="M48" s="55">
        <v>43564</v>
      </c>
      <c r="N48" s="56" t="s">
        <v>3719</v>
      </c>
      <c r="O48" s="55">
        <v>43569</v>
      </c>
      <c r="P48" s="58"/>
      <c r="Q48" s="47"/>
      <c r="R48" s="57" t="s">
        <v>3720</v>
      </c>
      <c r="S48" s="47" t="s">
        <v>3721</v>
      </c>
    </row>
    <row r="49" spans="2:19" s="96" customFormat="1" ht="33" customHeight="1">
      <c r="B49" s="47" t="s">
        <v>81</v>
      </c>
      <c r="C49" s="48" t="s">
        <v>3722</v>
      </c>
      <c r="D49" s="49" t="s">
        <v>701</v>
      </c>
      <c r="E49" s="50">
        <v>43532</v>
      </c>
      <c r="F49" s="52" t="s">
        <v>3696</v>
      </c>
      <c r="G49" s="51">
        <v>13800</v>
      </c>
      <c r="H49" s="52">
        <f t="shared" si="2"/>
        <v>60</v>
      </c>
      <c r="I49" s="52">
        <f t="shared" si="1"/>
        <v>15</v>
      </c>
      <c r="J49" s="52"/>
      <c r="K49" s="53">
        <v>43615</v>
      </c>
      <c r="L49" s="54" t="s">
        <v>3723</v>
      </c>
      <c r="M49" s="55">
        <v>43613</v>
      </c>
      <c r="N49" s="56" t="s">
        <v>3724</v>
      </c>
      <c r="O49" s="55">
        <v>43618</v>
      </c>
      <c r="P49" s="58"/>
      <c r="Q49" s="47"/>
      <c r="R49" s="57" t="s">
        <v>3725</v>
      </c>
      <c r="S49" s="47"/>
    </row>
    <row r="50" spans="2:19" s="67" customFormat="1" ht="33" customHeight="1">
      <c r="B50" s="46" t="s">
        <v>81</v>
      </c>
      <c r="C50" s="35" t="s">
        <v>3726</v>
      </c>
      <c r="D50" s="36" t="s">
        <v>3727</v>
      </c>
      <c r="E50" s="37">
        <v>43532</v>
      </c>
      <c r="F50" s="38" t="s">
        <v>3696</v>
      </c>
      <c r="G50" s="39">
        <v>4600</v>
      </c>
      <c r="H50" s="38">
        <f t="shared" si="2"/>
        <v>20</v>
      </c>
      <c r="I50" s="38">
        <f t="shared" si="1"/>
        <v>5</v>
      </c>
      <c r="J50" s="38"/>
      <c r="K50" s="40">
        <v>43615</v>
      </c>
      <c r="L50" s="41" t="s">
        <v>3693</v>
      </c>
      <c r="M50" s="42">
        <v>43620</v>
      </c>
      <c r="N50" s="43" t="s">
        <v>3694</v>
      </c>
      <c r="O50" s="42">
        <v>43625</v>
      </c>
      <c r="P50" s="45"/>
      <c r="Q50" s="46"/>
      <c r="R50" s="44" t="s">
        <v>3725</v>
      </c>
      <c r="S50" s="46"/>
    </row>
    <row r="51" spans="2:19" s="67" customFormat="1" ht="33" customHeight="1">
      <c r="B51" s="46" t="s">
        <v>81</v>
      </c>
      <c r="C51" s="35" t="s">
        <v>702</v>
      </c>
      <c r="D51" s="36" t="s">
        <v>703</v>
      </c>
      <c r="E51" s="37">
        <v>43532</v>
      </c>
      <c r="F51" s="38" t="s">
        <v>3696</v>
      </c>
      <c r="G51" s="39">
        <v>9200</v>
      </c>
      <c r="H51" s="38">
        <f t="shared" si="2"/>
        <v>40</v>
      </c>
      <c r="I51" s="38">
        <f t="shared" si="1"/>
        <v>10</v>
      </c>
      <c r="J51" s="38"/>
      <c r="K51" s="40">
        <v>43632</v>
      </c>
      <c r="L51" s="41" t="s">
        <v>807</v>
      </c>
      <c r="M51" s="42">
        <v>43627</v>
      </c>
      <c r="N51" s="43" t="s">
        <v>808</v>
      </c>
      <c r="O51" s="42">
        <v>43632</v>
      </c>
      <c r="P51" s="45"/>
      <c r="Q51" s="46"/>
      <c r="R51" s="44" t="s">
        <v>3728</v>
      </c>
      <c r="S51" s="46"/>
    </row>
    <row r="52" spans="2:19" s="67" customFormat="1" ht="33" customHeight="1">
      <c r="B52" s="46" t="s">
        <v>81</v>
      </c>
      <c r="C52" s="35" t="s">
        <v>852</v>
      </c>
      <c r="D52" s="36" t="s">
        <v>1990</v>
      </c>
      <c r="E52" s="37">
        <v>43558</v>
      </c>
      <c r="F52" s="38" t="s">
        <v>3696</v>
      </c>
      <c r="G52" s="39">
        <v>9200</v>
      </c>
      <c r="H52" s="38">
        <f t="shared" si="2"/>
        <v>40</v>
      </c>
      <c r="I52" s="38">
        <f t="shared" si="1"/>
        <v>10</v>
      </c>
      <c r="J52" s="38"/>
      <c r="K52" s="40">
        <v>43639</v>
      </c>
      <c r="L52" s="41" t="s">
        <v>1083</v>
      </c>
      <c r="M52" s="42">
        <v>43634</v>
      </c>
      <c r="N52" s="43" t="s">
        <v>1084</v>
      </c>
      <c r="O52" s="42">
        <v>43639</v>
      </c>
      <c r="P52" s="45"/>
      <c r="Q52" s="46"/>
      <c r="R52" s="44" t="s">
        <v>3728</v>
      </c>
      <c r="S52" s="46"/>
    </row>
    <row r="53" spans="2:19" s="67" customFormat="1" ht="33" customHeight="1">
      <c r="B53" s="46" t="s">
        <v>81</v>
      </c>
      <c r="C53" s="35" t="s">
        <v>1435</v>
      </c>
      <c r="D53" s="36" t="s">
        <v>1436</v>
      </c>
      <c r="E53" s="37">
        <v>43574</v>
      </c>
      <c r="F53" s="38" t="s">
        <v>3696</v>
      </c>
      <c r="G53" s="39">
        <v>18400</v>
      </c>
      <c r="H53" s="38">
        <f t="shared" si="2"/>
        <v>80</v>
      </c>
      <c r="I53" s="38">
        <f t="shared" si="1"/>
        <v>20</v>
      </c>
      <c r="J53" s="38"/>
      <c r="K53" s="40">
        <v>43646</v>
      </c>
      <c r="L53" s="41" t="s">
        <v>3729</v>
      </c>
      <c r="M53" s="42">
        <v>43641</v>
      </c>
      <c r="N53" s="43" t="s">
        <v>3730</v>
      </c>
      <c r="O53" s="42">
        <v>43646</v>
      </c>
      <c r="P53" s="45"/>
      <c r="Q53" s="46"/>
      <c r="R53" s="44" t="s">
        <v>3731</v>
      </c>
      <c r="S53" s="46" t="s">
        <v>3251</v>
      </c>
    </row>
    <row r="54" spans="2:19" s="67" customFormat="1" ht="33" customHeight="1">
      <c r="B54" s="46" t="s">
        <v>81</v>
      </c>
      <c r="C54" s="35" t="s">
        <v>2322</v>
      </c>
      <c r="D54" s="36" t="s">
        <v>2323</v>
      </c>
      <c r="E54" s="37">
        <v>43602</v>
      </c>
      <c r="F54" s="38" t="s">
        <v>3696</v>
      </c>
      <c r="G54" s="39">
        <v>18400</v>
      </c>
      <c r="H54" s="38">
        <f t="shared" si="2"/>
        <v>80</v>
      </c>
      <c r="I54" s="38">
        <f t="shared" si="1"/>
        <v>20</v>
      </c>
      <c r="J54" s="38"/>
      <c r="K54" s="40">
        <v>43674</v>
      </c>
      <c r="L54" s="41" t="s">
        <v>2146</v>
      </c>
      <c r="M54" s="42">
        <v>43669</v>
      </c>
      <c r="N54" s="43" t="s">
        <v>2551</v>
      </c>
      <c r="O54" s="42">
        <v>43674</v>
      </c>
      <c r="P54" s="45"/>
      <c r="Q54" s="46"/>
      <c r="R54" s="44" t="s">
        <v>3732</v>
      </c>
      <c r="S54" s="46"/>
    </row>
    <row r="55" spans="2:19" s="67" customFormat="1" ht="33" customHeight="1">
      <c r="B55" s="46" t="s">
        <v>81</v>
      </c>
      <c r="C55" s="35" t="s">
        <v>2325</v>
      </c>
      <c r="D55" s="36" t="s">
        <v>2326</v>
      </c>
      <c r="E55" s="37">
        <v>43602</v>
      </c>
      <c r="F55" s="38" t="s">
        <v>3733</v>
      </c>
      <c r="G55" s="39">
        <v>10580</v>
      </c>
      <c r="H55" s="38">
        <f t="shared" si="2"/>
        <v>46</v>
      </c>
      <c r="I55" s="38">
        <f t="shared" si="1"/>
        <v>11.5</v>
      </c>
      <c r="J55" s="38"/>
      <c r="K55" s="40">
        <v>43681</v>
      </c>
      <c r="L55" s="41" t="s">
        <v>3734</v>
      </c>
      <c r="M55" s="42">
        <v>43676</v>
      </c>
      <c r="N55" s="43" t="s">
        <v>3735</v>
      </c>
      <c r="O55" s="42">
        <v>43681</v>
      </c>
      <c r="P55" s="45"/>
      <c r="Q55" s="46"/>
      <c r="R55" s="44" t="s">
        <v>3736</v>
      </c>
      <c r="S55" s="46" t="s">
        <v>3549</v>
      </c>
    </row>
    <row r="56" spans="2:19" s="67" customFormat="1" ht="33" customHeight="1">
      <c r="B56" s="46" t="s">
        <v>81</v>
      </c>
      <c r="C56" s="35" t="s">
        <v>3406</v>
      </c>
      <c r="D56" s="36" t="s">
        <v>3407</v>
      </c>
      <c r="E56" s="37">
        <v>43637</v>
      </c>
      <c r="F56" s="38" t="s">
        <v>3733</v>
      </c>
      <c r="G56" s="39">
        <v>12880</v>
      </c>
      <c r="H56" s="38">
        <f t="shared" si="2"/>
        <v>56</v>
      </c>
      <c r="I56" s="38">
        <f t="shared" si="1"/>
        <v>14</v>
      </c>
      <c r="J56" s="38"/>
      <c r="K56" s="40">
        <v>43723</v>
      </c>
      <c r="L56" s="41" t="s">
        <v>3737</v>
      </c>
      <c r="M56" s="42">
        <v>43718</v>
      </c>
      <c r="N56" s="43" t="s">
        <v>3738</v>
      </c>
      <c r="O56" s="42">
        <v>43723</v>
      </c>
      <c r="P56" s="45"/>
      <c r="Q56" s="46"/>
      <c r="R56" s="44" t="s">
        <v>3739</v>
      </c>
      <c r="S56" s="46"/>
    </row>
    <row r="57" spans="2:19" s="67" customFormat="1" ht="33" customHeight="1">
      <c r="B57" s="46" t="s">
        <v>81</v>
      </c>
      <c r="C57" s="35" t="s">
        <v>3740</v>
      </c>
      <c r="D57" s="36" t="s">
        <v>3407</v>
      </c>
      <c r="E57" s="37">
        <v>43637</v>
      </c>
      <c r="F57" s="38" t="s">
        <v>3733</v>
      </c>
      <c r="G57" s="39">
        <v>920</v>
      </c>
      <c r="H57" s="38">
        <f>SUM(G57/230)</f>
        <v>4</v>
      </c>
      <c r="I57" s="38">
        <v>1</v>
      </c>
      <c r="J57" s="38"/>
      <c r="K57" s="40">
        <v>43723</v>
      </c>
      <c r="L57" s="41" t="s">
        <v>3741</v>
      </c>
      <c r="M57" s="42">
        <v>43711</v>
      </c>
      <c r="N57" s="43" t="s">
        <v>3742</v>
      </c>
      <c r="O57" s="42">
        <v>43716</v>
      </c>
      <c r="P57" s="45"/>
      <c r="Q57" s="46"/>
      <c r="R57" s="44" t="s">
        <v>3739</v>
      </c>
      <c r="S57" s="46"/>
    </row>
    <row r="58" spans="2:19" s="67" customFormat="1" ht="33" customHeight="1">
      <c r="B58" s="46" t="s">
        <v>81</v>
      </c>
      <c r="C58" s="35" t="s">
        <v>3409</v>
      </c>
      <c r="D58" s="36" t="s">
        <v>3743</v>
      </c>
      <c r="E58" s="37">
        <v>43637</v>
      </c>
      <c r="F58" s="38" t="s">
        <v>3733</v>
      </c>
      <c r="G58" s="39">
        <v>9200</v>
      </c>
      <c r="H58" s="38">
        <f t="shared" si="2"/>
        <v>40</v>
      </c>
      <c r="I58" s="38">
        <f t="shared" si="1"/>
        <v>10</v>
      </c>
      <c r="J58" s="38"/>
      <c r="K58" s="40">
        <v>43667</v>
      </c>
      <c r="L58" s="41" t="s">
        <v>3744</v>
      </c>
      <c r="M58" s="42">
        <v>43662</v>
      </c>
      <c r="N58" s="43" t="s">
        <v>3745</v>
      </c>
      <c r="O58" s="42">
        <v>43667</v>
      </c>
      <c r="P58" s="45"/>
      <c r="Q58" s="46"/>
      <c r="R58" s="44"/>
      <c r="S58" s="46"/>
    </row>
    <row r="59" spans="2:19" s="96" customFormat="1" ht="33" customHeight="1">
      <c r="B59" s="47" t="s">
        <v>3746</v>
      </c>
      <c r="C59" s="48" t="s">
        <v>3747</v>
      </c>
      <c r="D59" s="49" t="s">
        <v>705</v>
      </c>
      <c r="E59" s="50">
        <v>43532</v>
      </c>
      <c r="F59" s="52" t="s">
        <v>3733</v>
      </c>
      <c r="G59" s="51">
        <v>920</v>
      </c>
      <c r="H59" s="52">
        <f t="shared" si="2"/>
        <v>4</v>
      </c>
      <c r="I59" s="52">
        <f t="shared" si="1"/>
        <v>1</v>
      </c>
      <c r="J59" s="52"/>
      <c r="K59" s="53">
        <v>43609</v>
      </c>
      <c r="L59" s="54" t="s">
        <v>773</v>
      </c>
      <c r="M59" s="55">
        <v>43601</v>
      </c>
      <c r="N59" s="56" t="s">
        <v>774</v>
      </c>
      <c r="O59" s="55">
        <v>43605</v>
      </c>
      <c r="P59" s="58"/>
      <c r="Q59" s="47"/>
      <c r="R59" s="57"/>
      <c r="S59" s="47" t="s">
        <v>3748</v>
      </c>
    </row>
    <row r="60" spans="2:19" s="96" customFormat="1" ht="33" customHeight="1">
      <c r="B60" s="47" t="s">
        <v>3749</v>
      </c>
      <c r="C60" s="48" t="s">
        <v>3747</v>
      </c>
      <c r="D60" s="49" t="s">
        <v>3750</v>
      </c>
      <c r="E60" s="50">
        <v>43511</v>
      </c>
      <c r="F60" s="52" t="s">
        <v>3733</v>
      </c>
      <c r="G60" s="51">
        <v>460</v>
      </c>
      <c r="H60" s="52">
        <f t="shared" si="2"/>
        <v>2</v>
      </c>
      <c r="I60" s="52">
        <f t="shared" si="1"/>
        <v>0.5</v>
      </c>
      <c r="J60" s="52"/>
      <c r="K60" s="53">
        <v>43576</v>
      </c>
      <c r="L60" s="54" t="s">
        <v>480</v>
      </c>
      <c r="M60" s="55">
        <v>43564</v>
      </c>
      <c r="N60" s="56" t="s">
        <v>646</v>
      </c>
      <c r="O60" s="55">
        <v>43569</v>
      </c>
      <c r="P60" s="58"/>
      <c r="Q60" s="47"/>
      <c r="R60" s="57" t="s">
        <v>3751</v>
      </c>
      <c r="S60" s="47"/>
    </row>
    <row r="61" spans="2:19" s="67" customFormat="1" ht="33" customHeight="1">
      <c r="B61" s="46" t="s">
        <v>3749</v>
      </c>
      <c r="C61" s="35" t="s">
        <v>2333</v>
      </c>
      <c r="D61" s="36" t="s">
        <v>2334</v>
      </c>
      <c r="E61" s="37">
        <v>43602</v>
      </c>
      <c r="F61" s="38" t="s">
        <v>3733</v>
      </c>
      <c r="G61" s="39">
        <v>460</v>
      </c>
      <c r="H61" s="38">
        <f t="shared" si="2"/>
        <v>2</v>
      </c>
      <c r="I61" s="38">
        <f t="shared" si="1"/>
        <v>0.5</v>
      </c>
      <c r="J61" s="38"/>
      <c r="K61" s="40">
        <v>43681</v>
      </c>
      <c r="L61" s="41" t="s">
        <v>3734</v>
      </c>
      <c r="M61" s="42">
        <v>43676</v>
      </c>
      <c r="N61" s="43" t="s">
        <v>3735</v>
      </c>
      <c r="O61" s="42">
        <v>43681</v>
      </c>
      <c r="P61" s="45"/>
      <c r="Q61" s="46"/>
      <c r="R61" s="44" t="s">
        <v>3736</v>
      </c>
      <c r="S61" s="46" t="s">
        <v>3549</v>
      </c>
    </row>
    <row r="62" spans="2:19" s="33" customFormat="1" ht="33" customHeight="1">
      <c r="B62" s="47" t="s">
        <v>3752</v>
      </c>
      <c r="C62" s="48" t="s">
        <v>430</v>
      </c>
      <c r="D62" s="49" t="s">
        <v>470</v>
      </c>
      <c r="E62" s="50">
        <v>43473</v>
      </c>
      <c r="F62" s="52" t="s">
        <v>3733</v>
      </c>
      <c r="G62" s="51">
        <v>1920</v>
      </c>
      <c r="H62" s="52">
        <f t="shared" ref="H62:H71" si="5">SUM(G62/20)</f>
        <v>96</v>
      </c>
      <c r="I62" s="52">
        <f t="shared" ref="I62:I71" si="6">SUM(H62/32)</f>
        <v>3</v>
      </c>
      <c r="J62" s="59"/>
      <c r="K62" s="53">
        <v>43555</v>
      </c>
      <c r="L62" s="54" t="s">
        <v>480</v>
      </c>
      <c r="M62" s="55">
        <v>43564</v>
      </c>
      <c r="N62" s="56" t="s">
        <v>3753</v>
      </c>
      <c r="O62" s="55">
        <v>43569</v>
      </c>
      <c r="P62" s="58"/>
      <c r="Q62" s="60" t="s">
        <v>89</v>
      </c>
      <c r="R62" s="57" t="s">
        <v>3754</v>
      </c>
      <c r="S62" s="47"/>
    </row>
    <row r="63" spans="2:19" s="33" customFormat="1" ht="33" customHeight="1">
      <c r="B63" s="47" t="s">
        <v>3752</v>
      </c>
      <c r="C63" s="48" t="s">
        <v>519</v>
      </c>
      <c r="D63" s="49" t="s">
        <v>710</v>
      </c>
      <c r="E63" s="50">
        <v>43511</v>
      </c>
      <c r="F63" s="52" t="s">
        <v>3733</v>
      </c>
      <c r="G63" s="51">
        <v>640</v>
      </c>
      <c r="H63" s="52">
        <f t="shared" si="5"/>
        <v>32</v>
      </c>
      <c r="I63" s="52">
        <f t="shared" si="6"/>
        <v>1</v>
      </c>
      <c r="J63" s="59"/>
      <c r="K63" s="53">
        <v>43555</v>
      </c>
      <c r="L63" s="54" t="s">
        <v>608</v>
      </c>
      <c r="M63" s="55">
        <v>43557</v>
      </c>
      <c r="N63" s="56" t="s">
        <v>3755</v>
      </c>
      <c r="O63" s="55">
        <v>43562</v>
      </c>
      <c r="P63" s="58"/>
      <c r="Q63" s="60" t="s">
        <v>89</v>
      </c>
      <c r="R63" s="57" t="s">
        <v>3754</v>
      </c>
      <c r="S63" s="47"/>
    </row>
    <row r="64" spans="2:19" s="33" customFormat="1" ht="33" customHeight="1">
      <c r="B64" s="47" t="s">
        <v>3752</v>
      </c>
      <c r="C64" s="48" t="s">
        <v>520</v>
      </c>
      <c r="D64" s="49" t="s">
        <v>584</v>
      </c>
      <c r="E64" s="50">
        <v>43511</v>
      </c>
      <c r="F64" s="52" t="s">
        <v>3733</v>
      </c>
      <c r="G64" s="51">
        <v>1920</v>
      </c>
      <c r="H64" s="52">
        <f t="shared" si="5"/>
        <v>96</v>
      </c>
      <c r="I64" s="52">
        <f t="shared" si="6"/>
        <v>3</v>
      </c>
      <c r="J64" s="59"/>
      <c r="K64" s="53">
        <v>43576</v>
      </c>
      <c r="L64" s="54" t="s">
        <v>503</v>
      </c>
      <c r="M64" s="55">
        <v>43571</v>
      </c>
      <c r="N64" s="56" t="s">
        <v>3756</v>
      </c>
      <c r="O64" s="55">
        <v>43576</v>
      </c>
      <c r="P64" s="58"/>
      <c r="Q64" s="60" t="s">
        <v>89</v>
      </c>
      <c r="R64" s="57" t="s">
        <v>3757</v>
      </c>
      <c r="S64" s="47"/>
    </row>
    <row r="65" spans="2:19" s="33" customFormat="1" ht="33" customHeight="1">
      <c r="B65" s="47" t="s">
        <v>3752</v>
      </c>
      <c r="C65" s="48" t="s">
        <v>586</v>
      </c>
      <c r="D65" s="49" t="s">
        <v>640</v>
      </c>
      <c r="E65" s="50">
        <v>43519</v>
      </c>
      <c r="F65" s="52" t="s">
        <v>3733</v>
      </c>
      <c r="G65" s="51">
        <v>2560</v>
      </c>
      <c r="H65" s="52">
        <f t="shared" si="5"/>
        <v>128</v>
      </c>
      <c r="I65" s="52">
        <f t="shared" si="6"/>
        <v>4</v>
      </c>
      <c r="J65" s="59"/>
      <c r="K65" s="53">
        <v>43611</v>
      </c>
      <c r="L65" s="54" t="s">
        <v>773</v>
      </c>
      <c r="M65" s="55">
        <v>43601</v>
      </c>
      <c r="N65" s="56" t="s">
        <v>3758</v>
      </c>
      <c r="O65" s="55">
        <v>43605</v>
      </c>
      <c r="P65" s="58"/>
      <c r="Q65" s="60" t="s">
        <v>89</v>
      </c>
      <c r="R65" s="57" t="s">
        <v>3759</v>
      </c>
      <c r="S65" s="47" t="s">
        <v>980</v>
      </c>
    </row>
    <row r="66" spans="2:19" s="30" customFormat="1" ht="33" customHeight="1">
      <c r="B66" s="46" t="s">
        <v>3752</v>
      </c>
      <c r="C66" s="35" t="s">
        <v>713</v>
      </c>
      <c r="D66" s="36" t="s">
        <v>714</v>
      </c>
      <c r="E66" s="37">
        <v>43532</v>
      </c>
      <c r="F66" s="38" t="s">
        <v>3733</v>
      </c>
      <c r="G66" s="39">
        <v>1920</v>
      </c>
      <c r="H66" s="38">
        <f t="shared" si="5"/>
        <v>96</v>
      </c>
      <c r="I66" s="38">
        <f t="shared" si="6"/>
        <v>3</v>
      </c>
      <c r="J66" s="61"/>
      <c r="K66" s="40">
        <v>43639</v>
      </c>
      <c r="L66" s="41" t="s">
        <v>1083</v>
      </c>
      <c r="M66" s="42">
        <v>43634</v>
      </c>
      <c r="N66" s="43" t="s">
        <v>1084</v>
      </c>
      <c r="O66" s="42">
        <v>43639</v>
      </c>
      <c r="P66" s="45"/>
      <c r="Q66" s="62" t="s">
        <v>89</v>
      </c>
      <c r="R66" s="44" t="s">
        <v>3760</v>
      </c>
      <c r="S66" s="46"/>
    </row>
    <row r="67" spans="2:19" s="30" customFormat="1" ht="33" customHeight="1">
      <c r="B67" s="46" t="s">
        <v>3752</v>
      </c>
      <c r="C67" s="35" t="s">
        <v>1184</v>
      </c>
      <c r="D67" s="36" t="s">
        <v>1185</v>
      </c>
      <c r="E67" s="37">
        <v>43567</v>
      </c>
      <c r="F67" s="38" t="s">
        <v>3733</v>
      </c>
      <c r="G67" s="39">
        <v>2560</v>
      </c>
      <c r="H67" s="38">
        <f t="shared" si="5"/>
        <v>128</v>
      </c>
      <c r="I67" s="38">
        <f t="shared" si="6"/>
        <v>4</v>
      </c>
      <c r="J67" s="61"/>
      <c r="K67" s="40">
        <v>43653</v>
      </c>
      <c r="L67" s="41" t="s">
        <v>1326</v>
      </c>
      <c r="M67" s="42">
        <v>43648</v>
      </c>
      <c r="N67" s="43" t="s">
        <v>2540</v>
      </c>
      <c r="O67" s="42">
        <v>43653</v>
      </c>
      <c r="P67" s="45"/>
      <c r="Q67" s="62" t="s">
        <v>89</v>
      </c>
      <c r="R67" s="44" t="s">
        <v>3761</v>
      </c>
      <c r="S67" s="46"/>
    </row>
    <row r="68" spans="2:19" s="30" customFormat="1" ht="33" customHeight="1">
      <c r="B68" s="46" t="s">
        <v>3752</v>
      </c>
      <c r="C68" s="35" t="s">
        <v>3762</v>
      </c>
      <c r="D68" s="36" t="s">
        <v>2685</v>
      </c>
      <c r="E68" s="37">
        <v>43609</v>
      </c>
      <c r="F68" s="38" t="s">
        <v>3733</v>
      </c>
      <c r="G68" s="39">
        <v>1280</v>
      </c>
      <c r="H68" s="38">
        <f t="shared" si="5"/>
        <v>64</v>
      </c>
      <c r="I68" s="38">
        <f t="shared" si="6"/>
        <v>2</v>
      </c>
      <c r="J68" s="61"/>
      <c r="K68" s="40">
        <v>43653</v>
      </c>
      <c r="L68" s="41" t="s">
        <v>1326</v>
      </c>
      <c r="M68" s="42">
        <v>43648</v>
      </c>
      <c r="N68" s="43" t="s">
        <v>2540</v>
      </c>
      <c r="O68" s="42">
        <v>43653</v>
      </c>
      <c r="P68" s="45"/>
      <c r="Q68" s="62" t="s">
        <v>89</v>
      </c>
      <c r="R68" s="44" t="s">
        <v>3761</v>
      </c>
      <c r="S68" s="46"/>
    </row>
    <row r="69" spans="2:19" s="30" customFormat="1" ht="33" customHeight="1">
      <c r="B69" s="46" t="s">
        <v>3752</v>
      </c>
      <c r="C69" s="35" t="s">
        <v>2357</v>
      </c>
      <c r="D69" s="36" t="s">
        <v>2358</v>
      </c>
      <c r="E69" s="37">
        <v>43602</v>
      </c>
      <c r="F69" s="38" t="s">
        <v>3733</v>
      </c>
      <c r="G69" s="39">
        <v>2560</v>
      </c>
      <c r="H69" s="38">
        <f t="shared" si="5"/>
        <v>128</v>
      </c>
      <c r="I69" s="38">
        <f t="shared" si="6"/>
        <v>4</v>
      </c>
      <c r="J69" s="61"/>
      <c r="K69" s="40">
        <v>43674</v>
      </c>
      <c r="L69" s="41" t="s">
        <v>2146</v>
      </c>
      <c r="M69" s="42">
        <v>43669</v>
      </c>
      <c r="N69" s="43" t="s">
        <v>2551</v>
      </c>
      <c r="O69" s="42">
        <v>43674</v>
      </c>
      <c r="P69" s="45"/>
      <c r="Q69" s="62" t="s">
        <v>89</v>
      </c>
      <c r="R69" s="44" t="s">
        <v>3763</v>
      </c>
      <c r="S69" s="46"/>
    </row>
    <row r="70" spans="2:19" s="30" customFormat="1" ht="33" customHeight="1">
      <c r="B70" s="46" t="s">
        <v>3764</v>
      </c>
      <c r="C70" s="35" t="s">
        <v>2360</v>
      </c>
      <c r="D70" s="36" t="s">
        <v>3765</v>
      </c>
      <c r="E70" s="37">
        <v>43602</v>
      </c>
      <c r="F70" s="38" t="s">
        <v>3696</v>
      </c>
      <c r="G70" s="39">
        <v>2560</v>
      </c>
      <c r="H70" s="38">
        <f t="shared" si="5"/>
        <v>128</v>
      </c>
      <c r="I70" s="38">
        <f t="shared" si="6"/>
        <v>4</v>
      </c>
      <c r="J70" s="61"/>
      <c r="K70" s="40">
        <v>43695</v>
      </c>
      <c r="L70" s="41" t="s">
        <v>2505</v>
      </c>
      <c r="M70" s="42">
        <v>43683</v>
      </c>
      <c r="N70" s="43" t="s">
        <v>3700</v>
      </c>
      <c r="O70" s="42">
        <v>43688</v>
      </c>
      <c r="P70" s="45"/>
      <c r="Q70" s="62" t="s">
        <v>89</v>
      </c>
      <c r="R70" s="44" t="s">
        <v>3766</v>
      </c>
      <c r="S70" s="46"/>
    </row>
    <row r="71" spans="2:19" s="30" customFormat="1" ht="33" customHeight="1">
      <c r="B71" s="46" t="s">
        <v>3764</v>
      </c>
      <c r="C71" s="35" t="s">
        <v>3429</v>
      </c>
      <c r="D71" s="36" t="s">
        <v>3430</v>
      </c>
      <c r="E71" s="37">
        <v>43637</v>
      </c>
      <c r="F71" s="38" t="s">
        <v>3696</v>
      </c>
      <c r="G71" s="39">
        <v>3840</v>
      </c>
      <c r="H71" s="38">
        <f t="shared" si="5"/>
        <v>192</v>
      </c>
      <c r="I71" s="38">
        <f t="shared" si="6"/>
        <v>6</v>
      </c>
      <c r="J71" s="61"/>
      <c r="K71" s="40">
        <v>43723</v>
      </c>
      <c r="L71" s="41" t="s">
        <v>3767</v>
      </c>
      <c r="M71" s="42">
        <v>43718</v>
      </c>
      <c r="N71" s="43" t="s">
        <v>3768</v>
      </c>
      <c r="O71" s="42">
        <v>43723</v>
      </c>
      <c r="P71" s="45"/>
      <c r="Q71" s="62" t="s">
        <v>89</v>
      </c>
      <c r="R71" s="44" t="s">
        <v>3769</v>
      </c>
      <c r="S71" s="46"/>
    </row>
    <row r="72" spans="2:19" s="33" customFormat="1" ht="33" customHeight="1">
      <c r="B72" s="47" t="s">
        <v>38</v>
      </c>
      <c r="C72" s="48" t="s">
        <v>225</v>
      </c>
      <c r="D72" s="49" t="s">
        <v>587</v>
      </c>
      <c r="E72" s="50">
        <v>43519</v>
      </c>
      <c r="F72" s="52" t="s">
        <v>3770</v>
      </c>
      <c r="G72" s="64">
        <v>640</v>
      </c>
      <c r="H72" s="52">
        <f>SUBTOTAL(9,G72)/20</f>
        <v>32</v>
      </c>
      <c r="I72" s="52">
        <f>H72/32</f>
        <v>1</v>
      </c>
      <c r="J72" s="52"/>
      <c r="K72" s="53">
        <v>43583</v>
      </c>
      <c r="L72" s="54" t="s">
        <v>565</v>
      </c>
      <c r="M72" s="55">
        <v>43578</v>
      </c>
      <c r="N72" s="56" t="s">
        <v>3771</v>
      </c>
      <c r="O72" s="55">
        <v>43583</v>
      </c>
      <c r="P72" s="58"/>
      <c r="Q72" s="52"/>
      <c r="R72" s="63" t="s">
        <v>3716</v>
      </c>
      <c r="S72" s="47"/>
    </row>
    <row r="73" spans="2:19" s="30" customFormat="1" ht="33" customHeight="1">
      <c r="B73" s="46" t="s">
        <v>38</v>
      </c>
      <c r="C73" s="35" t="s">
        <v>226</v>
      </c>
      <c r="D73" s="36" t="s">
        <v>1194</v>
      </c>
      <c r="E73" s="37">
        <v>43567</v>
      </c>
      <c r="F73" s="38" t="s">
        <v>3770</v>
      </c>
      <c r="G73" s="65">
        <v>640</v>
      </c>
      <c r="H73" s="38">
        <f>SUBTOTAL(9,G73)/20</f>
        <v>32</v>
      </c>
      <c r="I73" s="38">
        <f>H73/32</f>
        <v>1</v>
      </c>
      <c r="J73" s="38"/>
      <c r="K73" s="130">
        <v>43765</v>
      </c>
      <c r="L73" s="119" t="s">
        <v>3879</v>
      </c>
      <c r="M73" s="120">
        <v>43760</v>
      </c>
      <c r="N73" s="121" t="s">
        <v>3878</v>
      </c>
      <c r="O73" s="120">
        <v>43765</v>
      </c>
      <c r="P73" s="45"/>
      <c r="Q73" s="38"/>
      <c r="R73" s="134" t="s">
        <v>3774</v>
      </c>
      <c r="S73" s="46"/>
    </row>
    <row r="74" spans="2:19" s="33" customFormat="1" ht="33" customHeight="1">
      <c r="B74" s="47" t="s">
        <v>88</v>
      </c>
      <c r="C74" s="48" t="s">
        <v>431</v>
      </c>
      <c r="D74" s="49" t="s">
        <v>471</v>
      </c>
      <c r="E74" s="50">
        <v>43483</v>
      </c>
      <c r="F74" s="52" t="s">
        <v>3770</v>
      </c>
      <c r="G74" s="64">
        <v>760</v>
      </c>
      <c r="H74" s="52">
        <f t="shared" ref="H74:H80" si="7">SUBTOTAL(9,G74)/190</f>
        <v>4</v>
      </c>
      <c r="I74" s="52">
        <f t="shared" ref="I74:I80" si="8">H74/4</f>
        <v>1</v>
      </c>
      <c r="J74" s="52"/>
      <c r="K74" s="53">
        <v>43569</v>
      </c>
      <c r="L74" s="54" t="s">
        <v>417</v>
      </c>
      <c r="M74" s="55">
        <v>43564</v>
      </c>
      <c r="N74" s="56" t="s">
        <v>3753</v>
      </c>
      <c r="O74" s="55">
        <v>43569</v>
      </c>
      <c r="P74" s="58"/>
      <c r="Q74" s="52"/>
      <c r="R74" s="63" t="s">
        <v>3775</v>
      </c>
      <c r="S74" s="47"/>
    </row>
    <row r="75" spans="2:19" s="33" customFormat="1" ht="33" customHeight="1">
      <c r="B75" s="47" t="s">
        <v>88</v>
      </c>
      <c r="C75" s="48" t="s">
        <v>523</v>
      </c>
      <c r="D75" s="49" t="s">
        <v>588</v>
      </c>
      <c r="E75" s="50">
        <v>43511</v>
      </c>
      <c r="F75" s="52" t="s">
        <v>3776</v>
      </c>
      <c r="G75" s="64">
        <v>760</v>
      </c>
      <c r="H75" s="52">
        <f t="shared" si="7"/>
        <v>4</v>
      </c>
      <c r="I75" s="52">
        <f t="shared" si="8"/>
        <v>1</v>
      </c>
      <c r="J75" s="52"/>
      <c r="K75" s="53">
        <v>43583</v>
      </c>
      <c r="L75" s="54" t="s">
        <v>565</v>
      </c>
      <c r="M75" s="55">
        <v>43578</v>
      </c>
      <c r="N75" s="56" t="s">
        <v>3777</v>
      </c>
      <c r="O75" s="55">
        <v>43583</v>
      </c>
      <c r="P75" s="58"/>
      <c r="Q75" s="52"/>
      <c r="R75" s="63" t="s">
        <v>3778</v>
      </c>
      <c r="S75" s="47"/>
    </row>
    <row r="76" spans="2:19" s="33" customFormat="1" ht="33" customHeight="1">
      <c r="B76" s="47" t="s">
        <v>88</v>
      </c>
      <c r="C76" s="48" t="s">
        <v>589</v>
      </c>
      <c r="D76" s="49" t="s">
        <v>590</v>
      </c>
      <c r="E76" s="50">
        <v>43519</v>
      </c>
      <c r="F76" s="52" t="s">
        <v>3776</v>
      </c>
      <c r="G76" s="64">
        <v>760</v>
      </c>
      <c r="H76" s="52">
        <f t="shared" si="7"/>
        <v>4</v>
      </c>
      <c r="I76" s="52">
        <f t="shared" si="8"/>
        <v>1</v>
      </c>
      <c r="J76" s="52"/>
      <c r="K76" s="53">
        <v>43597</v>
      </c>
      <c r="L76" s="54" t="s">
        <v>3779</v>
      </c>
      <c r="M76" s="55">
        <v>43592</v>
      </c>
      <c r="N76" s="56" t="s">
        <v>3780</v>
      </c>
      <c r="O76" s="55">
        <v>43597</v>
      </c>
      <c r="P76" s="58"/>
      <c r="Q76" s="52"/>
      <c r="R76" s="63" t="s">
        <v>3781</v>
      </c>
      <c r="S76" s="47"/>
    </row>
    <row r="77" spans="2:19" s="30" customFormat="1" ht="33" customHeight="1">
      <c r="B77" s="46" t="s">
        <v>88</v>
      </c>
      <c r="C77" s="35" t="s">
        <v>3782</v>
      </c>
      <c r="D77" s="36" t="s">
        <v>1207</v>
      </c>
      <c r="E77" s="37">
        <v>43567</v>
      </c>
      <c r="F77" s="38" t="s">
        <v>3776</v>
      </c>
      <c r="G77" s="65">
        <v>760</v>
      </c>
      <c r="H77" s="38">
        <f t="shared" si="7"/>
        <v>4</v>
      </c>
      <c r="I77" s="38">
        <f t="shared" si="8"/>
        <v>1</v>
      </c>
      <c r="J77" s="38"/>
      <c r="K77" s="40">
        <v>43667</v>
      </c>
      <c r="L77" s="41" t="s">
        <v>3783</v>
      </c>
      <c r="M77" s="42">
        <v>43655</v>
      </c>
      <c r="N77" s="43" t="s">
        <v>3784</v>
      </c>
      <c r="O77" s="42">
        <v>43660</v>
      </c>
      <c r="P77" s="45"/>
      <c r="Q77" s="38"/>
      <c r="R77" s="66" t="s">
        <v>3785</v>
      </c>
      <c r="S77" s="46" t="s">
        <v>980</v>
      </c>
    </row>
    <row r="78" spans="2:19" s="30" customFormat="1" ht="33" customHeight="1">
      <c r="B78" s="46" t="s">
        <v>88</v>
      </c>
      <c r="C78" s="35" t="s">
        <v>2079</v>
      </c>
      <c r="D78" s="36" t="s">
        <v>3786</v>
      </c>
      <c r="E78" s="37">
        <v>43602</v>
      </c>
      <c r="F78" s="38" t="s">
        <v>3776</v>
      </c>
      <c r="G78" s="65">
        <v>760</v>
      </c>
      <c r="H78" s="38">
        <f t="shared" si="7"/>
        <v>4</v>
      </c>
      <c r="I78" s="38">
        <f t="shared" si="8"/>
        <v>1</v>
      </c>
      <c r="J78" s="38"/>
      <c r="K78" s="40">
        <v>43667</v>
      </c>
      <c r="L78" s="41" t="s">
        <v>3783</v>
      </c>
      <c r="M78" s="42">
        <v>43655</v>
      </c>
      <c r="N78" s="43" t="s">
        <v>3784</v>
      </c>
      <c r="O78" s="42">
        <v>43660</v>
      </c>
      <c r="P78" s="45"/>
      <c r="Q78" s="38"/>
      <c r="R78" s="66" t="s">
        <v>3785</v>
      </c>
      <c r="S78" s="46" t="s">
        <v>980</v>
      </c>
    </row>
    <row r="79" spans="2:19" s="30" customFormat="1" ht="33" customHeight="1">
      <c r="B79" s="46" t="s">
        <v>88</v>
      </c>
      <c r="C79" s="35" t="s">
        <v>2378</v>
      </c>
      <c r="D79" s="36" t="s">
        <v>2379</v>
      </c>
      <c r="E79" s="37">
        <v>43602</v>
      </c>
      <c r="F79" s="38" t="s">
        <v>3776</v>
      </c>
      <c r="G79" s="65">
        <v>760</v>
      </c>
      <c r="H79" s="38">
        <f t="shared" si="7"/>
        <v>4</v>
      </c>
      <c r="I79" s="38">
        <f t="shared" si="8"/>
        <v>1</v>
      </c>
      <c r="J79" s="38"/>
      <c r="K79" s="40">
        <v>43702</v>
      </c>
      <c r="L79" s="41" t="s">
        <v>3787</v>
      </c>
      <c r="M79" s="42">
        <v>43697</v>
      </c>
      <c r="N79" s="43" t="s">
        <v>3788</v>
      </c>
      <c r="O79" s="42">
        <v>43702</v>
      </c>
      <c r="P79" s="45"/>
      <c r="Q79" s="38"/>
      <c r="R79" s="66" t="s">
        <v>3789</v>
      </c>
      <c r="S79" s="46"/>
    </row>
    <row r="80" spans="2:19" s="30" customFormat="1" ht="33" customHeight="1">
      <c r="B80" s="46" t="s">
        <v>88</v>
      </c>
      <c r="C80" s="35" t="s">
        <v>2430</v>
      </c>
      <c r="D80" s="36" t="s">
        <v>3457</v>
      </c>
      <c r="E80" s="37">
        <v>43637</v>
      </c>
      <c r="F80" s="38" t="s">
        <v>3770</v>
      </c>
      <c r="G80" s="65">
        <v>760</v>
      </c>
      <c r="H80" s="38">
        <f t="shared" si="7"/>
        <v>4</v>
      </c>
      <c r="I80" s="38">
        <f t="shared" si="8"/>
        <v>1</v>
      </c>
      <c r="J80" s="38"/>
      <c r="K80" s="40">
        <v>43731</v>
      </c>
      <c r="L80" s="41" t="s">
        <v>3772</v>
      </c>
      <c r="M80" s="42">
        <v>43725</v>
      </c>
      <c r="N80" s="43" t="s">
        <v>3773</v>
      </c>
      <c r="O80" s="42">
        <v>43730</v>
      </c>
      <c r="P80" s="45"/>
      <c r="Q80" s="38"/>
      <c r="R80" s="66" t="s">
        <v>3790</v>
      </c>
      <c r="S80" s="46"/>
    </row>
    <row r="81" spans="2:19" s="33" customFormat="1" ht="33" customHeight="1">
      <c r="B81" s="47" t="s">
        <v>83</v>
      </c>
      <c r="C81" s="48" t="s">
        <v>244</v>
      </c>
      <c r="D81" s="49" t="s">
        <v>722</v>
      </c>
      <c r="E81" s="50">
        <v>43483</v>
      </c>
      <c r="F81" s="52" t="s">
        <v>77</v>
      </c>
      <c r="G81" s="51">
        <v>6720</v>
      </c>
      <c r="H81" s="52">
        <f t="shared" ref="H81:H86" si="9">SUM(G81/240)</f>
        <v>28</v>
      </c>
      <c r="I81" s="52">
        <f t="shared" ref="I81:I87" si="10">SUM(H81/4)</f>
        <v>7</v>
      </c>
      <c r="J81" s="52"/>
      <c r="K81" s="53">
        <v>43569</v>
      </c>
      <c r="L81" s="54" t="s">
        <v>480</v>
      </c>
      <c r="M81" s="55">
        <v>43564</v>
      </c>
      <c r="N81" s="56" t="s">
        <v>646</v>
      </c>
      <c r="O81" s="55">
        <v>43569</v>
      </c>
      <c r="P81" s="58" t="s">
        <v>3791</v>
      </c>
      <c r="Q81" s="52"/>
      <c r="R81" s="118" t="s">
        <v>3792</v>
      </c>
      <c r="S81" s="47"/>
    </row>
    <row r="82" spans="2:19" s="33" customFormat="1" ht="33" customHeight="1">
      <c r="B82" s="47" t="s">
        <v>83</v>
      </c>
      <c r="C82" s="48" t="s">
        <v>3793</v>
      </c>
      <c r="D82" s="49" t="s">
        <v>472</v>
      </c>
      <c r="E82" s="50">
        <v>43483</v>
      </c>
      <c r="F82" s="52" t="s">
        <v>77</v>
      </c>
      <c r="G82" s="51">
        <v>5760</v>
      </c>
      <c r="H82" s="52">
        <f t="shared" si="9"/>
        <v>24</v>
      </c>
      <c r="I82" s="52">
        <f t="shared" si="10"/>
        <v>6</v>
      </c>
      <c r="J82" s="52"/>
      <c r="K82" s="53">
        <v>43583</v>
      </c>
      <c r="L82" s="54" t="s">
        <v>448</v>
      </c>
      <c r="M82" s="55">
        <v>43578</v>
      </c>
      <c r="N82" s="56" t="s">
        <v>3771</v>
      </c>
      <c r="O82" s="55">
        <v>43583</v>
      </c>
      <c r="P82" s="58" t="s">
        <v>3794</v>
      </c>
      <c r="Q82" s="52"/>
      <c r="R82" s="118" t="s">
        <v>3792</v>
      </c>
      <c r="S82" s="47"/>
    </row>
    <row r="83" spans="2:19" s="33" customFormat="1" ht="33" customHeight="1">
      <c r="B83" s="47" t="s">
        <v>83</v>
      </c>
      <c r="C83" s="48" t="s">
        <v>258</v>
      </c>
      <c r="D83" s="49" t="s">
        <v>591</v>
      </c>
      <c r="E83" s="50">
        <v>43519</v>
      </c>
      <c r="F83" s="52" t="s">
        <v>77</v>
      </c>
      <c r="G83" s="51">
        <v>5760</v>
      </c>
      <c r="H83" s="52">
        <f t="shared" si="9"/>
        <v>24</v>
      </c>
      <c r="I83" s="52">
        <f t="shared" si="10"/>
        <v>6</v>
      </c>
      <c r="J83" s="52"/>
      <c r="K83" s="53">
        <v>43605</v>
      </c>
      <c r="L83" s="54" t="s">
        <v>3795</v>
      </c>
      <c r="M83" s="55">
        <v>43601</v>
      </c>
      <c r="N83" s="56" t="s">
        <v>3718</v>
      </c>
      <c r="O83" s="55">
        <v>43605</v>
      </c>
      <c r="P83" s="58" t="s">
        <v>3796</v>
      </c>
      <c r="Q83" s="52"/>
      <c r="R83" s="118" t="s">
        <v>3797</v>
      </c>
      <c r="S83" s="47"/>
    </row>
    <row r="84" spans="2:19" s="30" customFormat="1" ht="33" customHeight="1">
      <c r="B84" s="46" t="s">
        <v>83</v>
      </c>
      <c r="C84" s="35" t="s">
        <v>321</v>
      </c>
      <c r="D84" s="36" t="s">
        <v>727</v>
      </c>
      <c r="E84" s="37">
        <v>43532</v>
      </c>
      <c r="F84" s="38" t="s">
        <v>77</v>
      </c>
      <c r="G84" s="39">
        <v>6720</v>
      </c>
      <c r="H84" s="38">
        <f t="shared" si="9"/>
        <v>28</v>
      </c>
      <c r="I84" s="38">
        <f t="shared" si="10"/>
        <v>7</v>
      </c>
      <c r="J84" s="38"/>
      <c r="K84" s="40">
        <v>43633</v>
      </c>
      <c r="L84" s="41" t="s">
        <v>807</v>
      </c>
      <c r="M84" s="42">
        <v>43627</v>
      </c>
      <c r="N84" s="43" t="s">
        <v>808</v>
      </c>
      <c r="O84" s="42">
        <v>43632</v>
      </c>
      <c r="P84" s="45"/>
      <c r="Q84" s="38"/>
      <c r="R84" s="115" t="s">
        <v>3798</v>
      </c>
      <c r="S84" s="46"/>
    </row>
    <row r="85" spans="2:19" s="30" customFormat="1" ht="33" customHeight="1">
      <c r="B85" s="46" t="s">
        <v>83</v>
      </c>
      <c r="C85" s="35" t="s">
        <v>324</v>
      </c>
      <c r="D85" s="36" t="s">
        <v>1234</v>
      </c>
      <c r="E85" s="37">
        <v>43567</v>
      </c>
      <c r="F85" s="38" t="s">
        <v>77</v>
      </c>
      <c r="G85" s="39">
        <v>5760</v>
      </c>
      <c r="H85" s="38">
        <f t="shared" si="9"/>
        <v>24</v>
      </c>
      <c r="I85" s="38">
        <f t="shared" si="10"/>
        <v>6</v>
      </c>
      <c r="J85" s="38"/>
      <c r="K85" s="40">
        <v>43674</v>
      </c>
      <c r="L85" s="41" t="s">
        <v>3799</v>
      </c>
      <c r="M85" s="42">
        <v>43669</v>
      </c>
      <c r="N85" s="43" t="s">
        <v>3800</v>
      </c>
      <c r="O85" s="42">
        <v>43674</v>
      </c>
      <c r="P85" s="45"/>
      <c r="Q85" s="38"/>
      <c r="R85" s="115" t="s">
        <v>3801</v>
      </c>
      <c r="S85" s="46"/>
    </row>
    <row r="86" spans="2:19" s="30" customFormat="1" ht="33" customHeight="1">
      <c r="B86" s="46" t="s">
        <v>83</v>
      </c>
      <c r="C86" s="35" t="s">
        <v>430</v>
      </c>
      <c r="D86" s="36" t="s">
        <v>2696</v>
      </c>
      <c r="E86" s="37">
        <v>43609</v>
      </c>
      <c r="F86" s="38" t="s">
        <v>77</v>
      </c>
      <c r="G86" s="39">
        <v>7680</v>
      </c>
      <c r="H86" s="38">
        <f t="shared" si="9"/>
        <v>32</v>
      </c>
      <c r="I86" s="38">
        <f t="shared" si="10"/>
        <v>8</v>
      </c>
      <c r="J86" s="38"/>
      <c r="K86" s="40">
        <v>43702</v>
      </c>
      <c r="L86" s="41" t="s">
        <v>2509</v>
      </c>
      <c r="M86" s="42">
        <v>43697</v>
      </c>
      <c r="N86" s="43" t="s">
        <v>2498</v>
      </c>
      <c r="O86" s="42">
        <v>43702</v>
      </c>
      <c r="P86" s="45"/>
      <c r="Q86" s="38"/>
      <c r="R86" s="115" t="s">
        <v>3802</v>
      </c>
      <c r="S86" s="46"/>
    </row>
    <row r="87" spans="2:19" s="30" customFormat="1" ht="33" customHeight="1">
      <c r="B87" s="46" t="s">
        <v>3803</v>
      </c>
      <c r="C87" s="35" t="s">
        <v>519</v>
      </c>
      <c r="D87" s="36" t="s">
        <v>3473</v>
      </c>
      <c r="E87" s="37">
        <v>43637</v>
      </c>
      <c r="F87" s="38" t="s">
        <v>77</v>
      </c>
      <c r="G87" s="39">
        <v>9600</v>
      </c>
      <c r="H87" s="38">
        <f t="shared" ref="H87" si="11">SUM(G87/240)</f>
        <v>40</v>
      </c>
      <c r="I87" s="38">
        <f t="shared" si="10"/>
        <v>10</v>
      </c>
      <c r="J87" s="38"/>
      <c r="K87" s="40">
        <v>43716</v>
      </c>
      <c r="L87" s="41" t="s">
        <v>3705</v>
      </c>
      <c r="M87" s="42">
        <v>43711</v>
      </c>
      <c r="N87" s="43" t="s">
        <v>3706</v>
      </c>
      <c r="O87" s="42">
        <v>43716</v>
      </c>
      <c r="P87" s="45"/>
      <c r="Q87" s="38"/>
      <c r="R87" s="115" t="s">
        <v>3804</v>
      </c>
      <c r="S87" s="46"/>
    </row>
    <row r="88" spans="2:19" s="34" customFormat="1" ht="33" customHeight="1">
      <c r="B88" s="47" t="s">
        <v>210</v>
      </c>
      <c r="C88" s="48" t="s">
        <v>226</v>
      </c>
      <c r="D88" s="49" t="s">
        <v>593</v>
      </c>
      <c r="E88" s="50">
        <v>43483</v>
      </c>
      <c r="F88" s="52" t="s">
        <v>218</v>
      </c>
      <c r="G88" s="51">
        <v>640</v>
      </c>
      <c r="H88" s="52">
        <f t="shared" ref="H88:H113" si="12">SUM(G88/20)</f>
        <v>32</v>
      </c>
      <c r="I88" s="52">
        <f t="shared" ref="I88:I113" si="13">SUM(H88/32)</f>
        <v>1</v>
      </c>
      <c r="J88" s="52"/>
      <c r="K88" s="53">
        <v>43534</v>
      </c>
      <c r="L88" s="54" t="s">
        <v>3805</v>
      </c>
      <c r="M88" s="55"/>
      <c r="N88" s="56"/>
      <c r="O88" s="55">
        <v>43520</v>
      </c>
      <c r="P88" s="58" t="s">
        <v>651</v>
      </c>
      <c r="Q88" s="52"/>
      <c r="R88" s="63" t="s">
        <v>211</v>
      </c>
      <c r="S88" s="52"/>
    </row>
    <row r="89" spans="2:19" s="34" customFormat="1" ht="33" customHeight="1">
      <c r="B89" s="47" t="s">
        <v>210</v>
      </c>
      <c r="C89" s="48" t="s">
        <v>285</v>
      </c>
      <c r="D89" s="49" t="s">
        <v>526</v>
      </c>
      <c r="E89" s="50">
        <v>43507</v>
      </c>
      <c r="F89" s="52" t="s">
        <v>218</v>
      </c>
      <c r="G89" s="51">
        <v>3200</v>
      </c>
      <c r="H89" s="52">
        <f t="shared" si="12"/>
        <v>160</v>
      </c>
      <c r="I89" s="52">
        <f t="shared" si="13"/>
        <v>5</v>
      </c>
      <c r="J89" s="52"/>
      <c r="K89" s="53">
        <v>43576</v>
      </c>
      <c r="L89" s="54" t="s">
        <v>503</v>
      </c>
      <c r="M89" s="55">
        <v>43571</v>
      </c>
      <c r="N89" s="56" t="s">
        <v>3691</v>
      </c>
      <c r="O89" s="55">
        <v>43576</v>
      </c>
      <c r="P89" s="58"/>
      <c r="Q89" s="52" t="s">
        <v>643</v>
      </c>
      <c r="R89" s="63" t="s">
        <v>211</v>
      </c>
      <c r="S89" s="52"/>
    </row>
    <row r="90" spans="2:19" s="34" customFormat="1" ht="33" customHeight="1">
      <c r="B90" s="47" t="s">
        <v>210</v>
      </c>
      <c r="C90" s="48" t="s">
        <v>3806</v>
      </c>
      <c r="D90" s="49" t="s">
        <v>526</v>
      </c>
      <c r="E90" s="50">
        <v>43507</v>
      </c>
      <c r="F90" s="52" t="s">
        <v>218</v>
      </c>
      <c r="G90" s="51">
        <v>640</v>
      </c>
      <c r="H90" s="52">
        <f t="shared" si="12"/>
        <v>32</v>
      </c>
      <c r="I90" s="52">
        <f t="shared" si="13"/>
        <v>1</v>
      </c>
      <c r="J90" s="52"/>
      <c r="K90" s="53">
        <v>43576</v>
      </c>
      <c r="L90" s="54" t="s">
        <v>448</v>
      </c>
      <c r="M90" s="55">
        <v>43578</v>
      </c>
      <c r="N90" s="56" t="s">
        <v>3771</v>
      </c>
      <c r="O90" s="55">
        <v>43583</v>
      </c>
      <c r="P90" s="58"/>
      <c r="Q90" s="52" t="s">
        <v>643</v>
      </c>
      <c r="R90" s="63" t="s">
        <v>211</v>
      </c>
      <c r="S90" s="52"/>
    </row>
    <row r="91" spans="2:19" s="34" customFormat="1" ht="33" customHeight="1">
      <c r="B91" s="47" t="s">
        <v>210</v>
      </c>
      <c r="C91" s="48" t="s">
        <v>331</v>
      </c>
      <c r="D91" s="49" t="s">
        <v>3807</v>
      </c>
      <c r="E91" s="50">
        <v>43519</v>
      </c>
      <c r="F91" s="52" t="s">
        <v>218</v>
      </c>
      <c r="G91" s="51">
        <v>3200</v>
      </c>
      <c r="H91" s="52">
        <f t="shared" si="12"/>
        <v>160</v>
      </c>
      <c r="I91" s="52">
        <f t="shared" si="13"/>
        <v>5</v>
      </c>
      <c r="J91" s="52"/>
      <c r="K91" s="53">
        <v>43562</v>
      </c>
      <c r="L91" s="54" t="s">
        <v>608</v>
      </c>
      <c r="M91" s="55">
        <v>43557</v>
      </c>
      <c r="N91" s="56" t="s">
        <v>3808</v>
      </c>
      <c r="O91" s="55">
        <v>43562</v>
      </c>
      <c r="P91" s="58"/>
      <c r="Q91" s="52" t="s">
        <v>642</v>
      </c>
      <c r="R91" s="63" t="s">
        <v>211</v>
      </c>
      <c r="S91" s="52"/>
    </row>
    <row r="92" spans="2:19" s="34" customFormat="1" ht="33" customHeight="1">
      <c r="B92" s="47" t="s">
        <v>210</v>
      </c>
      <c r="C92" s="48" t="s">
        <v>3809</v>
      </c>
      <c r="D92" s="49" t="s">
        <v>3807</v>
      </c>
      <c r="E92" s="50">
        <v>43519</v>
      </c>
      <c r="F92" s="52" t="s">
        <v>218</v>
      </c>
      <c r="G92" s="51">
        <v>640</v>
      </c>
      <c r="H92" s="52">
        <f t="shared" si="12"/>
        <v>32</v>
      </c>
      <c r="I92" s="52">
        <f t="shared" si="13"/>
        <v>1</v>
      </c>
      <c r="J92" s="52"/>
      <c r="K92" s="53">
        <v>43562</v>
      </c>
      <c r="L92" s="54" t="s">
        <v>480</v>
      </c>
      <c r="M92" s="55">
        <v>43564</v>
      </c>
      <c r="N92" s="56" t="s">
        <v>646</v>
      </c>
      <c r="O92" s="55">
        <v>43569</v>
      </c>
      <c r="P92" s="58"/>
      <c r="Q92" s="52" t="s">
        <v>642</v>
      </c>
      <c r="R92" s="63" t="s">
        <v>211</v>
      </c>
      <c r="S92" s="52"/>
    </row>
    <row r="93" spans="2:19" s="32" customFormat="1" ht="33" customHeight="1">
      <c r="B93" s="46" t="s">
        <v>210</v>
      </c>
      <c r="C93" s="35" t="s">
        <v>2527</v>
      </c>
      <c r="D93" s="190" t="s">
        <v>3810</v>
      </c>
      <c r="E93" s="37">
        <v>43609</v>
      </c>
      <c r="F93" s="38" t="s">
        <v>218</v>
      </c>
      <c r="G93" s="39">
        <v>120</v>
      </c>
      <c r="H93" s="38">
        <f t="shared" si="12"/>
        <v>6</v>
      </c>
      <c r="I93" s="38">
        <f t="shared" si="13"/>
        <v>0.1875</v>
      </c>
      <c r="J93" s="38"/>
      <c r="K93" s="40">
        <v>43646</v>
      </c>
      <c r="L93" s="41" t="s">
        <v>1083</v>
      </c>
      <c r="M93" s="42">
        <v>43634</v>
      </c>
      <c r="N93" s="43" t="s">
        <v>1084</v>
      </c>
      <c r="O93" s="42">
        <v>43639</v>
      </c>
      <c r="P93" s="45"/>
      <c r="Q93" s="66" t="s">
        <v>2543</v>
      </c>
      <c r="R93" s="66" t="s">
        <v>3811</v>
      </c>
      <c r="S93" s="38"/>
    </row>
    <row r="94" spans="2:19" s="32" customFormat="1" ht="33" customHeight="1">
      <c r="B94" s="46" t="s">
        <v>3812</v>
      </c>
      <c r="C94" s="35" t="s">
        <v>2531</v>
      </c>
      <c r="D94" s="190" t="s">
        <v>3810</v>
      </c>
      <c r="E94" s="37">
        <v>43609</v>
      </c>
      <c r="F94" s="38" t="s">
        <v>3813</v>
      </c>
      <c r="G94" s="39">
        <v>120</v>
      </c>
      <c r="H94" s="38">
        <f t="shared" si="12"/>
        <v>6</v>
      </c>
      <c r="I94" s="38">
        <f t="shared" si="13"/>
        <v>0.1875</v>
      </c>
      <c r="J94" s="38"/>
      <c r="K94" s="40">
        <v>43646</v>
      </c>
      <c r="L94" s="41" t="s">
        <v>1083</v>
      </c>
      <c r="M94" s="42">
        <v>43634</v>
      </c>
      <c r="N94" s="43" t="s">
        <v>1084</v>
      </c>
      <c r="O94" s="42">
        <v>43639</v>
      </c>
      <c r="P94" s="45"/>
      <c r="Q94" s="66" t="s">
        <v>2544</v>
      </c>
      <c r="R94" s="66" t="s">
        <v>3811</v>
      </c>
      <c r="S94" s="38"/>
    </row>
    <row r="95" spans="2:19" s="34" customFormat="1" ht="33" customHeight="1">
      <c r="B95" s="47" t="s">
        <v>210</v>
      </c>
      <c r="C95" s="48" t="s">
        <v>431</v>
      </c>
      <c r="D95" s="49" t="s">
        <v>3814</v>
      </c>
      <c r="E95" s="50">
        <v>43523</v>
      </c>
      <c r="F95" s="52" t="s">
        <v>218</v>
      </c>
      <c r="G95" s="51">
        <v>3200</v>
      </c>
      <c r="H95" s="52">
        <f t="shared" si="12"/>
        <v>160</v>
      </c>
      <c r="I95" s="52">
        <f t="shared" si="13"/>
        <v>5</v>
      </c>
      <c r="J95" s="52"/>
      <c r="K95" s="53">
        <v>43597</v>
      </c>
      <c r="L95" s="54" t="s">
        <v>605</v>
      </c>
      <c r="M95" s="55">
        <v>43594</v>
      </c>
      <c r="N95" s="56" t="s">
        <v>3714</v>
      </c>
      <c r="O95" s="55">
        <v>43598</v>
      </c>
      <c r="P95" s="58"/>
      <c r="Q95" s="52" t="s">
        <v>641</v>
      </c>
      <c r="R95" s="63" t="s">
        <v>211</v>
      </c>
      <c r="S95" s="52"/>
    </row>
    <row r="96" spans="2:19" s="34" customFormat="1" ht="33" customHeight="1">
      <c r="B96" s="47" t="s">
        <v>210</v>
      </c>
      <c r="C96" s="48" t="s">
        <v>3815</v>
      </c>
      <c r="D96" s="49" t="s">
        <v>3814</v>
      </c>
      <c r="E96" s="50">
        <v>43523</v>
      </c>
      <c r="F96" s="52" t="s">
        <v>218</v>
      </c>
      <c r="G96" s="51">
        <v>640</v>
      </c>
      <c r="H96" s="52">
        <f t="shared" si="12"/>
        <v>32</v>
      </c>
      <c r="I96" s="52">
        <f t="shared" si="13"/>
        <v>1</v>
      </c>
      <c r="J96" s="52"/>
      <c r="K96" s="53">
        <v>43618</v>
      </c>
      <c r="L96" s="54" t="s">
        <v>3723</v>
      </c>
      <c r="M96" s="55">
        <v>43613</v>
      </c>
      <c r="N96" s="56" t="s">
        <v>3724</v>
      </c>
      <c r="O96" s="55">
        <v>43618</v>
      </c>
      <c r="P96" s="58"/>
      <c r="Q96" s="52" t="s">
        <v>641</v>
      </c>
      <c r="R96" s="63" t="s">
        <v>211</v>
      </c>
      <c r="S96" s="52"/>
    </row>
    <row r="97" spans="2:19" s="34" customFormat="1" ht="33" customHeight="1">
      <c r="B97" s="47" t="s">
        <v>210</v>
      </c>
      <c r="C97" s="48" t="s">
        <v>3816</v>
      </c>
      <c r="D97" s="49" t="s">
        <v>739</v>
      </c>
      <c r="E97" s="50">
        <v>43532</v>
      </c>
      <c r="F97" s="52" t="s">
        <v>218</v>
      </c>
      <c r="G97" s="51">
        <v>2560</v>
      </c>
      <c r="H97" s="52">
        <f t="shared" si="12"/>
        <v>128</v>
      </c>
      <c r="I97" s="52">
        <f t="shared" si="13"/>
        <v>4</v>
      </c>
      <c r="J97" s="52"/>
      <c r="K97" s="53">
        <v>43618</v>
      </c>
      <c r="L97" s="54" t="s">
        <v>3723</v>
      </c>
      <c r="M97" s="55">
        <v>43613</v>
      </c>
      <c r="N97" s="56" t="s">
        <v>3724</v>
      </c>
      <c r="O97" s="55">
        <v>43618</v>
      </c>
      <c r="P97" s="58"/>
      <c r="Q97" s="52" t="s">
        <v>970</v>
      </c>
      <c r="R97" s="63" t="s">
        <v>211</v>
      </c>
      <c r="S97" s="52"/>
    </row>
    <row r="98" spans="2:19" s="32" customFormat="1" ht="33" customHeight="1">
      <c r="B98" s="46" t="s">
        <v>210</v>
      </c>
      <c r="C98" s="35" t="s">
        <v>589</v>
      </c>
      <c r="D98" s="36" t="s">
        <v>1260</v>
      </c>
      <c r="E98" s="37">
        <v>43558</v>
      </c>
      <c r="F98" s="38" t="s">
        <v>218</v>
      </c>
      <c r="G98" s="39">
        <v>3200</v>
      </c>
      <c r="H98" s="38">
        <f t="shared" si="12"/>
        <v>160</v>
      </c>
      <c r="I98" s="38">
        <f t="shared" si="13"/>
        <v>5</v>
      </c>
      <c r="J98" s="38"/>
      <c r="K98" s="40">
        <v>43639</v>
      </c>
      <c r="L98" s="41" t="s">
        <v>3817</v>
      </c>
      <c r="M98" s="42">
        <v>43634</v>
      </c>
      <c r="N98" s="43" t="s">
        <v>3818</v>
      </c>
      <c r="O98" s="42">
        <v>43639</v>
      </c>
      <c r="P98" s="45"/>
      <c r="Q98" s="38" t="s">
        <v>973</v>
      </c>
      <c r="R98" s="66" t="s">
        <v>211</v>
      </c>
      <c r="S98" s="38"/>
    </row>
    <row r="99" spans="2:19" s="32" customFormat="1" ht="33" customHeight="1">
      <c r="B99" s="46" t="s">
        <v>210</v>
      </c>
      <c r="C99" s="35" t="s">
        <v>2078</v>
      </c>
      <c r="D99" s="36" t="s">
        <v>2426</v>
      </c>
      <c r="E99" s="37">
        <v>43602</v>
      </c>
      <c r="F99" s="38" t="s">
        <v>218</v>
      </c>
      <c r="G99" s="39">
        <v>3200</v>
      </c>
      <c r="H99" s="38">
        <f t="shared" si="12"/>
        <v>160</v>
      </c>
      <c r="I99" s="38">
        <f t="shared" si="13"/>
        <v>5</v>
      </c>
      <c r="J99" s="38"/>
      <c r="K99" s="40">
        <v>43653</v>
      </c>
      <c r="L99" s="41" t="s">
        <v>1326</v>
      </c>
      <c r="M99" s="42">
        <v>43648</v>
      </c>
      <c r="N99" s="43" t="s">
        <v>3819</v>
      </c>
      <c r="O99" s="42">
        <v>43653</v>
      </c>
      <c r="P99" s="45"/>
      <c r="Q99" s="38" t="s">
        <v>2148</v>
      </c>
      <c r="R99" s="66" t="s">
        <v>211</v>
      </c>
      <c r="S99" s="38"/>
    </row>
    <row r="100" spans="2:19" s="32" customFormat="1" ht="33" customHeight="1">
      <c r="B100" s="46" t="s">
        <v>210</v>
      </c>
      <c r="C100" s="35" t="s">
        <v>2079</v>
      </c>
      <c r="D100" s="36" t="s">
        <v>2428</v>
      </c>
      <c r="E100" s="37">
        <v>43602</v>
      </c>
      <c r="F100" s="38" t="s">
        <v>218</v>
      </c>
      <c r="G100" s="39">
        <v>3200</v>
      </c>
      <c r="H100" s="38">
        <f t="shared" si="12"/>
        <v>160</v>
      </c>
      <c r="I100" s="38">
        <f t="shared" si="13"/>
        <v>5</v>
      </c>
      <c r="J100" s="38"/>
      <c r="K100" s="40">
        <v>43667</v>
      </c>
      <c r="L100" s="41" t="s">
        <v>2146</v>
      </c>
      <c r="M100" s="42">
        <v>43669</v>
      </c>
      <c r="N100" s="43" t="s">
        <v>2551</v>
      </c>
      <c r="O100" s="42">
        <v>43674</v>
      </c>
      <c r="P100" s="45"/>
      <c r="Q100" s="38" t="s">
        <v>2150</v>
      </c>
      <c r="R100" s="66" t="s">
        <v>211</v>
      </c>
      <c r="S100" s="38"/>
    </row>
    <row r="101" spans="2:19" s="32" customFormat="1" ht="33" customHeight="1">
      <c r="B101" s="46" t="s">
        <v>210</v>
      </c>
      <c r="C101" s="35" t="s">
        <v>2378</v>
      </c>
      <c r="D101" s="36" t="s">
        <v>3820</v>
      </c>
      <c r="E101" s="37">
        <v>43602</v>
      </c>
      <c r="F101" s="38" t="s">
        <v>218</v>
      </c>
      <c r="G101" s="39">
        <v>3200</v>
      </c>
      <c r="H101" s="38">
        <f t="shared" si="12"/>
        <v>160</v>
      </c>
      <c r="I101" s="38">
        <f t="shared" si="13"/>
        <v>5</v>
      </c>
      <c r="J101" s="38"/>
      <c r="K101" s="40">
        <v>43688</v>
      </c>
      <c r="L101" s="41" t="s">
        <v>2505</v>
      </c>
      <c r="M101" s="42">
        <v>43683</v>
      </c>
      <c r="N101" s="43" t="s">
        <v>3700</v>
      </c>
      <c r="O101" s="42">
        <v>43688</v>
      </c>
      <c r="P101" s="45"/>
      <c r="Q101" s="38" t="s">
        <v>2762</v>
      </c>
      <c r="R101" s="66" t="s">
        <v>211</v>
      </c>
      <c r="S101" s="46" t="s">
        <v>2764</v>
      </c>
    </row>
    <row r="102" spans="2:19" s="32" customFormat="1" ht="33" customHeight="1">
      <c r="B102" s="46" t="s">
        <v>210</v>
      </c>
      <c r="C102" s="35" t="s">
        <v>2430</v>
      </c>
      <c r="D102" s="190" t="s">
        <v>3821</v>
      </c>
      <c r="E102" s="37">
        <v>43602</v>
      </c>
      <c r="F102" s="38" t="s">
        <v>218</v>
      </c>
      <c r="G102" s="39">
        <v>3200</v>
      </c>
      <c r="H102" s="38">
        <f t="shared" si="12"/>
        <v>160</v>
      </c>
      <c r="I102" s="38">
        <f t="shared" si="13"/>
        <v>5</v>
      </c>
      <c r="J102" s="38"/>
      <c r="K102" s="40">
        <v>43702</v>
      </c>
      <c r="L102" s="41" t="s">
        <v>2509</v>
      </c>
      <c r="M102" s="42">
        <v>43697</v>
      </c>
      <c r="N102" s="43" t="s">
        <v>3822</v>
      </c>
      <c r="O102" s="42">
        <v>43702</v>
      </c>
      <c r="P102" s="45"/>
      <c r="Q102" s="38" t="s">
        <v>2517</v>
      </c>
      <c r="R102" s="66" t="s">
        <v>211</v>
      </c>
      <c r="S102" s="38"/>
    </row>
    <row r="103" spans="2:19" s="32" customFormat="1" ht="33" customHeight="1">
      <c r="B103" s="46" t="s">
        <v>210</v>
      </c>
      <c r="C103" s="35" t="s">
        <v>2528</v>
      </c>
      <c r="D103" s="190" t="s">
        <v>2704</v>
      </c>
      <c r="E103" s="37">
        <v>43609</v>
      </c>
      <c r="F103" s="38" t="s">
        <v>218</v>
      </c>
      <c r="G103" s="39">
        <v>3200</v>
      </c>
      <c r="H103" s="38">
        <f t="shared" si="12"/>
        <v>160</v>
      </c>
      <c r="I103" s="38">
        <f t="shared" si="13"/>
        <v>5</v>
      </c>
      <c r="J103" s="38"/>
      <c r="K103" s="40">
        <v>43660</v>
      </c>
      <c r="L103" s="41" t="s">
        <v>1326</v>
      </c>
      <c r="M103" s="42">
        <v>43648</v>
      </c>
      <c r="N103" s="43" t="s">
        <v>2540</v>
      </c>
      <c r="O103" s="42">
        <v>43653</v>
      </c>
      <c r="P103" s="45"/>
      <c r="Q103" s="38" t="s">
        <v>2148</v>
      </c>
      <c r="R103" s="66" t="s">
        <v>211</v>
      </c>
      <c r="S103" s="38"/>
    </row>
    <row r="104" spans="2:19" s="32" customFormat="1" ht="33" customHeight="1">
      <c r="B104" s="46" t="s">
        <v>210</v>
      </c>
      <c r="C104" s="35" t="s">
        <v>2529</v>
      </c>
      <c r="D104" s="190" t="s">
        <v>2705</v>
      </c>
      <c r="E104" s="37">
        <v>43609</v>
      </c>
      <c r="F104" s="38" t="s">
        <v>218</v>
      </c>
      <c r="G104" s="39">
        <v>3200</v>
      </c>
      <c r="H104" s="38">
        <f t="shared" si="12"/>
        <v>160</v>
      </c>
      <c r="I104" s="38">
        <f t="shared" si="13"/>
        <v>5</v>
      </c>
      <c r="J104" s="38"/>
      <c r="K104" s="40">
        <v>43675</v>
      </c>
      <c r="L104" s="41" t="s">
        <v>2146</v>
      </c>
      <c r="M104" s="42">
        <v>43669</v>
      </c>
      <c r="N104" s="43" t="s">
        <v>2551</v>
      </c>
      <c r="O104" s="42">
        <v>43674</v>
      </c>
      <c r="P104" s="45"/>
      <c r="Q104" s="38" t="s">
        <v>2150</v>
      </c>
      <c r="R104" s="66" t="s">
        <v>211</v>
      </c>
      <c r="S104" s="38"/>
    </row>
    <row r="105" spans="2:19" s="32" customFormat="1" ht="33" customHeight="1">
      <c r="B105" s="46" t="s">
        <v>3823</v>
      </c>
      <c r="C105" s="35" t="s">
        <v>3497</v>
      </c>
      <c r="D105" s="190" t="s">
        <v>3498</v>
      </c>
      <c r="E105" s="37">
        <v>43637</v>
      </c>
      <c r="F105" s="38" t="s">
        <v>218</v>
      </c>
      <c r="G105" s="39">
        <v>3200</v>
      </c>
      <c r="H105" s="38">
        <f t="shared" si="12"/>
        <v>160</v>
      </c>
      <c r="I105" s="38">
        <f t="shared" si="13"/>
        <v>5</v>
      </c>
      <c r="J105" s="38"/>
      <c r="K105" s="40">
        <v>43716</v>
      </c>
      <c r="L105" s="41" t="s">
        <v>3705</v>
      </c>
      <c r="M105" s="42">
        <v>43711</v>
      </c>
      <c r="N105" s="43" t="s">
        <v>3706</v>
      </c>
      <c r="O105" s="42">
        <v>43716</v>
      </c>
      <c r="P105" s="45"/>
      <c r="Q105" s="38"/>
      <c r="R105" s="66" t="s">
        <v>211</v>
      </c>
      <c r="S105" s="38"/>
    </row>
    <row r="106" spans="2:19" s="32" customFormat="1" ht="33" customHeight="1">
      <c r="B106" s="46" t="s">
        <v>3823</v>
      </c>
      <c r="C106" s="35" t="s">
        <v>3499</v>
      </c>
      <c r="D106" s="190" t="s">
        <v>3500</v>
      </c>
      <c r="E106" s="37">
        <v>43637</v>
      </c>
      <c r="F106" s="38" t="s">
        <v>218</v>
      </c>
      <c r="G106" s="39">
        <v>3200</v>
      </c>
      <c r="H106" s="38">
        <f t="shared" si="12"/>
        <v>160</v>
      </c>
      <c r="I106" s="38">
        <f t="shared" si="13"/>
        <v>5</v>
      </c>
      <c r="J106" s="38"/>
      <c r="K106" s="40">
        <v>43730</v>
      </c>
      <c r="L106" s="41" t="s">
        <v>3824</v>
      </c>
      <c r="M106" s="42">
        <v>43725</v>
      </c>
      <c r="N106" s="43" t="s">
        <v>3773</v>
      </c>
      <c r="O106" s="42">
        <v>43730</v>
      </c>
      <c r="P106" s="45"/>
      <c r="Q106" s="38"/>
      <c r="R106" s="66" t="s">
        <v>211</v>
      </c>
      <c r="S106" s="38"/>
    </row>
    <row r="107" spans="2:19" s="32" customFormat="1" ht="33" customHeight="1">
      <c r="B107" s="46" t="s">
        <v>3823</v>
      </c>
      <c r="C107" s="35" t="s">
        <v>3501</v>
      </c>
      <c r="D107" s="190" t="s">
        <v>3502</v>
      </c>
      <c r="E107" s="37">
        <v>43637</v>
      </c>
      <c r="F107" s="38" t="s">
        <v>218</v>
      </c>
      <c r="G107" s="39">
        <v>3200</v>
      </c>
      <c r="H107" s="38">
        <f t="shared" si="12"/>
        <v>160</v>
      </c>
      <c r="I107" s="38">
        <f t="shared" si="13"/>
        <v>5</v>
      </c>
      <c r="J107" s="38"/>
      <c r="K107" s="40">
        <v>43737</v>
      </c>
      <c r="L107" s="41" t="s">
        <v>3825</v>
      </c>
      <c r="M107" s="42">
        <v>43732</v>
      </c>
      <c r="N107" s="43" t="s">
        <v>3826</v>
      </c>
      <c r="O107" s="42">
        <v>43737</v>
      </c>
      <c r="P107" s="45"/>
      <c r="Q107" s="38"/>
      <c r="R107" s="66" t="s">
        <v>211</v>
      </c>
      <c r="S107" s="38"/>
    </row>
    <row r="108" spans="2:19" s="34" customFormat="1" ht="33" customHeight="1">
      <c r="B108" s="47" t="s">
        <v>3812</v>
      </c>
      <c r="C108" s="48" t="s">
        <v>235</v>
      </c>
      <c r="D108" s="49" t="s">
        <v>744</v>
      </c>
      <c r="E108" s="50">
        <v>43532</v>
      </c>
      <c r="F108" s="52" t="s">
        <v>3813</v>
      </c>
      <c r="G108" s="51">
        <v>1280</v>
      </c>
      <c r="H108" s="52">
        <f t="shared" si="12"/>
        <v>64</v>
      </c>
      <c r="I108" s="52">
        <f t="shared" si="13"/>
        <v>2</v>
      </c>
      <c r="J108" s="52"/>
      <c r="K108" s="53">
        <v>43597</v>
      </c>
      <c r="L108" s="54" t="s">
        <v>605</v>
      </c>
      <c r="M108" s="55">
        <v>43594</v>
      </c>
      <c r="N108" s="56" t="s">
        <v>772</v>
      </c>
      <c r="O108" s="55">
        <v>43598</v>
      </c>
      <c r="P108" s="58"/>
      <c r="Q108" s="52" t="s">
        <v>641</v>
      </c>
      <c r="R108" s="63" t="s">
        <v>211</v>
      </c>
      <c r="S108" s="52"/>
    </row>
    <row r="109" spans="2:19" s="32" customFormat="1" ht="33" customHeight="1">
      <c r="B109" s="46" t="s">
        <v>3812</v>
      </c>
      <c r="C109" s="35" t="s">
        <v>1569</v>
      </c>
      <c r="D109" s="36" t="s">
        <v>3827</v>
      </c>
      <c r="E109" s="37">
        <v>43581</v>
      </c>
      <c r="F109" s="38" t="s">
        <v>3813</v>
      </c>
      <c r="G109" s="39">
        <v>1280</v>
      </c>
      <c r="H109" s="38">
        <f t="shared" si="12"/>
        <v>64</v>
      </c>
      <c r="I109" s="38">
        <f t="shared" si="13"/>
        <v>2</v>
      </c>
      <c r="J109" s="38"/>
      <c r="K109" s="40">
        <v>43632</v>
      </c>
      <c r="L109" s="41" t="s">
        <v>807</v>
      </c>
      <c r="M109" s="42">
        <v>43627</v>
      </c>
      <c r="N109" s="43" t="s">
        <v>3828</v>
      </c>
      <c r="O109" s="42">
        <v>43632</v>
      </c>
      <c r="P109" s="45"/>
      <c r="Q109" s="38" t="s">
        <v>1810</v>
      </c>
      <c r="R109" s="66" t="s">
        <v>211</v>
      </c>
      <c r="S109" s="38"/>
    </row>
    <row r="110" spans="2:19" s="32" customFormat="1" ht="33" customHeight="1">
      <c r="B110" s="46" t="s">
        <v>3812</v>
      </c>
      <c r="C110" s="35" t="s">
        <v>90</v>
      </c>
      <c r="D110" s="36" t="s">
        <v>3829</v>
      </c>
      <c r="E110" s="37">
        <v>43595</v>
      </c>
      <c r="F110" s="38" t="s">
        <v>3813</v>
      </c>
      <c r="G110" s="39">
        <v>1280</v>
      </c>
      <c r="H110" s="38">
        <f t="shared" si="12"/>
        <v>64</v>
      </c>
      <c r="I110" s="38">
        <f t="shared" si="13"/>
        <v>2</v>
      </c>
      <c r="J110" s="38"/>
      <c r="K110" s="40">
        <v>43646</v>
      </c>
      <c r="L110" s="41" t="s">
        <v>1326</v>
      </c>
      <c r="M110" s="42">
        <v>43648</v>
      </c>
      <c r="N110" s="43" t="s">
        <v>3819</v>
      </c>
      <c r="O110" s="42">
        <v>43653</v>
      </c>
      <c r="P110" s="45"/>
      <c r="Q110" s="38" t="s">
        <v>2148</v>
      </c>
      <c r="R110" s="66" t="s">
        <v>211</v>
      </c>
      <c r="S110" s="38"/>
    </row>
    <row r="111" spans="2:19" s="32" customFormat="1" ht="33" customHeight="1">
      <c r="B111" s="46" t="s">
        <v>3812</v>
      </c>
      <c r="C111" s="35" t="s">
        <v>2088</v>
      </c>
      <c r="D111" s="36" t="s">
        <v>3830</v>
      </c>
      <c r="E111" s="37">
        <v>43595</v>
      </c>
      <c r="F111" s="38" t="s">
        <v>3813</v>
      </c>
      <c r="G111" s="39">
        <v>640</v>
      </c>
      <c r="H111" s="38">
        <f t="shared" si="12"/>
        <v>32</v>
      </c>
      <c r="I111" s="38">
        <f t="shared" si="13"/>
        <v>1</v>
      </c>
      <c r="J111" s="38"/>
      <c r="K111" s="40">
        <v>43709</v>
      </c>
      <c r="L111" s="41" t="s">
        <v>3831</v>
      </c>
      <c r="M111" s="42">
        <v>43706</v>
      </c>
      <c r="N111" s="43" t="s">
        <v>3832</v>
      </c>
      <c r="O111" s="42">
        <v>43710</v>
      </c>
      <c r="P111" s="45"/>
      <c r="Q111" s="66" t="s">
        <v>2548</v>
      </c>
      <c r="R111" s="66" t="s">
        <v>211</v>
      </c>
      <c r="S111" s="38"/>
    </row>
    <row r="112" spans="2:19" s="32" customFormat="1" ht="33" customHeight="1">
      <c r="B112" s="46" t="s">
        <v>3833</v>
      </c>
      <c r="C112" s="35" t="s">
        <v>208</v>
      </c>
      <c r="D112" s="190" t="s">
        <v>3834</v>
      </c>
      <c r="E112" s="37">
        <v>43602</v>
      </c>
      <c r="F112" s="38" t="s">
        <v>3813</v>
      </c>
      <c r="G112" s="39">
        <v>640</v>
      </c>
      <c r="H112" s="38">
        <f t="shared" si="12"/>
        <v>32</v>
      </c>
      <c r="I112" s="38">
        <f t="shared" si="13"/>
        <v>1</v>
      </c>
      <c r="J112" s="38"/>
      <c r="K112" s="195">
        <v>43744</v>
      </c>
      <c r="L112" s="119" t="s">
        <v>3709</v>
      </c>
      <c r="M112" s="120">
        <v>43739</v>
      </c>
      <c r="N112" s="121" t="s">
        <v>3880</v>
      </c>
      <c r="O112" s="120">
        <v>43744</v>
      </c>
      <c r="P112" s="45"/>
      <c r="Q112" s="134" t="s">
        <v>3881</v>
      </c>
      <c r="R112" s="66" t="s">
        <v>211</v>
      </c>
      <c r="S112" s="38"/>
    </row>
    <row r="113" spans="1:19" s="32" customFormat="1" ht="33" customHeight="1">
      <c r="B113" s="135" t="s">
        <v>3812</v>
      </c>
      <c r="C113" s="136" t="s">
        <v>212</v>
      </c>
      <c r="D113" s="191" t="s">
        <v>3835</v>
      </c>
      <c r="E113" s="138">
        <v>43602</v>
      </c>
      <c r="F113" s="139" t="s">
        <v>3813</v>
      </c>
      <c r="G113" s="140">
        <v>640</v>
      </c>
      <c r="H113" s="139">
        <f t="shared" si="12"/>
        <v>32</v>
      </c>
      <c r="I113" s="139">
        <f t="shared" si="13"/>
        <v>1</v>
      </c>
      <c r="J113" s="139"/>
      <c r="K113" s="141" t="s">
        <v>2545</v>
      </c>
      <c r="L113" s="142"/>
      <c r="M113" s="143"/>
      <c r="N113" s="144"/>
      <c r="O113" s="143"/>
      <c r="P113" s="145"/>
      <c r="Q113" s="193" t="s">
        <v>2517</v>
      </c>
      <c r="R113" s="192" t="s">
        <v>211</v>
      </c>
      <c r="S113" s="139" t="s">
        <v>2541</v>
      </c>
    </row>
    <row r="114" spans="1:19" s="33" customFormat="1" ht="33" customHeight="1">
      <c r="A114" s="33" t="s">
        <v>3836</v>
      </c>
      <c r="B114" s="47" t="s">
        <v>3837</v>
      </c>
      <c r="C114" s="48" t="s">
        <v>225</v>
      </c>
      <c r="D114" s="49" t="s">
        <v>487</v>
      </c>
      <c r="E114" s="50">
        <v>43490</v>
      </c>
      <c r="F114" s="52" t="s">
        <v>3838</v>
      </c>
      <c r="G114" s="51">
        <v>1520</v>
      </c>
      <c r="H114" s="52">
        <f>SUM(G114/190)</f>
        <v>8</v>
      </c>
      <c r="I114" s="52">
        <f>SUM(H114/4)</f>
        <v>2</v>
      </c>
      <c r="J114" s="52"/>
      <c r="K114" s="53">
        <v>43569</v>
      </c>
      <c r="L114" s="54" t="s">
        <v>417</v>
      </c>
      <c r="M114" s="55">
        <v>43564</v>
      </c>
      <c r="N114" s="56" t="s">
        <v>3719</v>
      </c>
      <c r="O114" s="55">
        <v>43569</v>
      </c>
      <c r="P114" s="58"/>
      <c r="Q114" s="52"/>
      <c r="R114" s="63" t="s">
        <v>3839</v>
      </c>
      <c r="S114" s="47"/>
    </row>
    <row r="115" spans="1:19" s="30" customFormat="1" ht="33" customHeight="1">
      <c r="B115" s="46" t="s">
        <v>3837</v>
      </c>
      <c r="C115" s="35" t="s">
        <v>226</v>
      </c>
      <c r="D115" s="36" t="s">
        <v>833</v>
      </c>
      <c r="E115" s="37">
        <v>43546</v>
      </c>
      <c r="F115" s="38" t="s">
        <v>3838</v>
      </c>
      <c r="G115" s="39">
        <v>1520</v>
      </c>
      <c r="H115" s="38">
        <f>SUM(G115/190)</f>
        <v>8</v>
      </c>
      <c r="I115" s="38">
        <f>SUM(H115/4)</f>
        <v>2</v>
      </c>
      <c r="J115" s="38"/>
      <c r="K115" s="40">
        <v>43632</v>
      </c>
      <c r="L115" s="41" t="s">
        <v>3840</v>
      </c>
      <c r="M115" s="42">
        <v>43627</v>
      </c>
      <c r="N115" s="43" t="s">
        <v>3828</v>
      </c>
      <c r="O115" s="42">
        <v>43632</v>
      </c>
      <c r="P115" s="45"/>
      <c r="Q115" s="38"/>
      <c r="R115" s="66" t="s">
        <v>3841</v>
      </c>
      <c r="S115" s="46"/>
    </row>
    <row r="116" spans="1:19" s="30" customFormat="1" ht="33" customHeight="1">
      <c r="B116" s="46" t="s">
        <v>2514</v>
      </c>
      <c r="C116" s="35" t="s">
        <v>3842</v>
      </c>
      <c r="D116" s="36" t="s">
        <v>3843</v>
      </c>
      <c r="E116" s="37">
        <v>43602</v>
      </c>
      <c r="F116" s="38" t="s">
        <v>2516</v>
      </c>
      <c r="G116" s="39">
        <v>1520</v>
      </c>
      <c r="H116" s="38">
        <v>8</v>
      </c>
      <c r="I116" s="38">
        <v>2</v>
      </c>
      <c r="J116" s="38"/>
      <c r="K116" s="40">
        <v>43702</v>
      </c>
      <c r="L116" s="41" t="s">
        <v>3844</v>
      </c>
      <c r="M116" s="42">
        <v>43697</v>
      </c>
      <c r="N116" s="43" t="s">
        <v>3822</v>
      </c>
      <c r="O116" s="42">
        <v>43702</v>
      </c>
      <c r="P116" s="45"/>
      <c r="Q116" s="38"/>
      <c r="R116" s="66"/>
      <c r="S116" s="46"/>
    </row>
    <row r="117" spans="1:19" s="33" customFormat="1" ht="33" customHeight="1">
      <c r="B117" s="47" t="s">
        <v>238</v>
      </c>
      <c r="C117" s="48" t="s">
        <v>3845</v>
      </c>
      <c r="D117" s="49" t="s">
        <v>474</v>
      </c>
      <c r="E117" s="50"/>
      <c r="F117" s="52" t="s">
        <v>236</v>
      </c>
      <c r="G117" s="51">
        <v>3200</v>
      </c>
      <c r="H117" s="52">
        <f t="shared" ref="H117:H126" si="14">SUM(G117/200)</f>
        <v>16</v>
      </c>
      <c r="I117" s="52">
        <f t="shared" ref="I117:I126" si="15">SUM(H117/4)</f>
        <v>4</v>
      </c>
      <c r="J117" s="52"/>
      <c r="K117" s="53">
        <v>43562</v>
      </c>
      <c r="L117" s="54" t="s">
        <v>3846</v>
      </c>
      <c r="M117" s="55">
        <v>43557</v>
      </c>
      <c r="N117" s="56" t="s">
        <v>3808</v>
      </c>
      <c r="O117" s="55">
        <v>43562</v>
      </c>
      <c r="P117" s="58"/>
      <c r="Q117" s="52"/>
      <c r="R117" s="63"/>
      <c r="S117" s="47"/>
    </row>
    <row r="118" spans="1:19" s="33" customFormat="1" ht="33" customHeight="1">
      <c r="B118" s="47" t="s">
        <v>238</v>
      </c>
      <c r="C118" s="48" t="s">
        <v>3847</v>
      </c>
      <c r="D118" s="49" t="s">
        <v>475</v>
      </c>
      <c r="E118" s="50"/>
      <c r="F118" s="52" t="s">
        <v>236</v>
      </c>
      <c r="G118" s="51">
        <v>1600</v>
      </c>
      <c r="H118" s="52">
        <f t="shared" si="14"/>
        <v>8</v>
      </c>
      <c r="I118" s="52">
        <f t="shared" si="15"/>
        <v>2</v>
      </c>
      <c r="J118" s="52"/>
      <c r="K118" s="53">
        <v>43562</v>
      </c>
      <c r="L118" s="54" t="s">
        <v>3848</v>
      </c>
      <c r="M118" s="55">
        <v>43564</v>
      </c>
      <c r="N118" s="56" t="s">
        <v>3719</v>
      </c>
      <c r="O118" s="55">
        <v>43569</v>
      </c>
      <c r="P118" s="58"/>
      <c r="Q118" s="52"/>
      <c r="R118" s="63"/>
      <c r="S118" s="47"/>
    </row>
    <row r="119" spans="1:19" s="33" customFormat="1" ht="33" customHeight="1">
      <c r="B119" s="47" t="s">
        <v>238</v>
      </c>
      <c r="C119" s="48" t="s">
        <v>3849</v>
      </c>
      <c r="D119" s="49" t="s">
        <v>488</v>
      </c>
      <c r="E119" s="50">
        <v>43495</v>
      </c>
      <c r="F119" s="52" t="s">
        <v>236</v>
      </c>
      <c r="G119" s="51">
        <v>1600</v>
      </c>
      <c r="H119" s="52">
        <f t="shared" si="14"/>
        <v>8</v>
      </c>
      <c r="I119" s="52">
        <f t="shared" si="15"/>
        <v>2</v>
      </c>
      <c r="J119" s="52"/>
      <c r="K119" s="53">
        <v>43583</v>
      </c>
      <c r="L119" s="54" t="s">
        <v>3850</v>
      </c>
      <c r="M119" s="55">
        <v>43578</v>
      </c>
      <c r="N119" s="56" t="s">
        <v>3771</v>
      </c>
      <c r="O119" s="55">
        <v>43583</v>
      </c>
      <c r="P119" s="58"/>
      <c r="Q119" s="52"/>
      <c r="R119" s="63"/>
      <c r="S119" s="47"/>
    </row>
    <row r="120" spans="1:19" s="33" customFormat="1" ht="33" customHeight="1">
      <c r="B120" s="47" t="s">
        <v>238</v>
      </c>
      <c r="C120" s="48" t="s">
        <v>3851</v>
      </c>
      <c r="D120" s="49" t="s">
        <v>598</v>
      </c>
      <c r="E120" s="50">
        <v>43519</v>
      </c>
      <c r="F120" s="52" t="s">
        <v>236</v>
      </c>
      <c r="G120" s="51">
        <v>1600</v>
      </c>
      <c r="H120" s="52">
        <f t="shared" si="14"/>
        <v>8</v>
      </c>
      <c r="I120" s="52">
        <f t="shared" si="15"/>
        <v>2</v>
      </c>
      <c r="J120" s="52"/>
      <c r="K120" s="53">
        <v>43597</v>
      </c>
      <c r="L120" s="54" t="s">
        <v>3852</v>
      </c>
      <c r="M120" s="55">
        <v>43592</v>
      </c>
      <c r="N120" s="56" t="s">
        <v>3853</v>
      </c>
      <c r="O120" s="55">
        <v>43597</v>
      </c>
      <c r="P120" s="58"/>
      <c r="Q120" s="52"/>
      <c r="R120" s="63"/>
      <c r="S120" s="47"/>
    </row>
    <row r="121" spans="1:19" s="33" customFormat="1" ht="33" customHeight="1">
      <c r="B121" s="47" t="s">
        <v>238</v>
      </c>
      <c r="C121" s="48" t="s">
        <v>3854</v>
      </c>
      <c r="D121" s="49" t="s">
        <v>598</v>
      </c>
      <c r="E121" s="50">
        <v>43519</v>
      </c>
      <c r="F121" s="52" t="s">
        <v>236</v>
      </c>
      <c r="G121" s="51">
        <v>1600</v>
      </c>
      <c r="H121" s="52">
        <f t="shared" si="14"/>
        <v>8</v>
      </c>
      <c r="I121" s="52">
        <f t="shared" si="15"/>
        <v>2</v>
      </c>
      <c r="J121" s="52"/>
      <c r="K121" s="53">
        <v>43597</v>
      </c>
      <c r="L121" s="54" t="s">
        <v>3855</v>
      </c>
      <c r="M121" s="55">
        <v>43606</v>
      </c>
      <c r="N121" s="56" t="s">
        <v>3856</v>
      </c>
      <c r="O121" s="55">
        <v>43613</v>
      </c>
      <c r="P121" s="58"/>
      <c r="Q121" s="52"/>
      <c r="R121" s="63"/>
      <c r="S121" s="47"/>
    </row>
    <row r="122" spans="1:19" s="30" customFormat="1" ht="33" customHeight="1">
      <c r="B122" s="46" t="s">
        <v>238</v>
      </c>
      <c r="C122" s="35" t="s">
        <v>226</v>
      </c>
      <c r="D122" s="36" t="s">
        <v>749</v>
      </c>
      <c r="E122" s="37">
        <v>43532</v>
      </c>
      <c r="F122" s="38" t="s">
        <v>236</v>
      </c>
      <c r="G122" s="39">
        <v>3200</v>
      </c>
      <c r="H122" s="38">
        <f t="shared" si="14"/>
        <v>16</v>
      </c>
      <c r="I122" s="38">
        <f t="shared" si="15"/>
        <v>4</v>
      </c>
      <c r="J122" s="38"/>
      <c r="K122" s="40">
        <v>43625</v>
      </c>
      <c r="L122" s="41" t="s">
        <v>2538</v>
      </c>
      <c r="M122" s="42">
        <v>43627</v>
      </c>
      <c r="N122" s="43" t="s">
        <v>808</v>
      </c>
      <c r="O122" s="42">
        <v>43632</v>
      </c>
      <c r="P122" s="45"/>
      <c r="Q122" s="38"/>
      <c r="R122" s="66"/>
      <c r="S122" s="46" t="s">
        <v>2539</v>
      </c>
    </row>
    <row r="123" spans="1:19" s="30" customFormat="1" ht="33" customHeight="1">
      <c r="B123" s="46" t="s">
        <v>238</v>
      </c>
      <c r="C123" s="35" t="s">
        <v>233</v>
      </c>
      <c r="D123" s="36" t="s">
        <v>750</v>
      </c>
      <c r="E123" s="37">
        <v>43532</v>
      </c>
      <c r="F123" s="38" t="s">
        <v>236</v>
      </c>
      <c r="G123" s="39">
        <v>3200</v>
      </c>
      <c r="H123" s="38">
        <f t="shared" si="14"/>
        <v>16</v>
      </c>
      <c r="I123" s="38">
        <f t="shared" si="15"/>
        <v>4</v>
      </c>
      <c r="J123" s="38"/>
      <c r="K123" s="40">
        <v>43646</v>
      </c>
      <c r="L123" s="41" t="s">
        <v>3857</v>
      </c>
      <c r="M123" s="42">
        <v>43641</v>
      </c>
      <c r="N123" s="43" t="s">
        <v>3730</v>
      </c>
      <c r="O123" s="42">
        <v>43646</v>
      </c>
      <c r="P123" s="45"/>
      <c r="Q123" s="38"/>
      <c r="R123" s="66"/>
      <c r="S123" s="46"/>
    </row>
    <row r="124" spans="1:19" s="30" customFormat="1" ht="33" customHeight="1">
      <c r="B124" s="46" t="s">
        <v>238</v>
      </c>
      <c r="C124" s="35" t="s">
        <v>285</v>
      </c>
      <c r="D124" s="36" t="s">
        <v>1305</v>
      </c>
      <c r="E124" s="37">
        <v>43567</v>
      </c>
      <c r="F124" s="38" t="s">
        <v>236</v>
      </c>
      <c r="G124" s="39">
        <v>3200</v>
      </c>
      <c r="H124" s="38">
        <f t="shared" si="14"/>
        <v>16</v>
      </c>
      <c r="I124" s="38">
        <f t="shared" si="15"/>
        <v>4</v>
      </c>
      <c r="J124" s="38"/>
      <c r="K124" s="40">
        <v>43660</v>
      </c>
      <c r="L124" s="41" t="s">
        <v>3858</v>
      </c>
      <c r="M124" s="42">
        <v>43655</v>
      </c>
      <c r="N124" s="43" t="s">
        <v>3859</v>
      </c>
      <c r="O124" s="42">
        <v>43660</v>
      </c>
      <c r="P124" s="45"/>
      <c r="Q124" s="38"/>
      <c r="R124" s="66"/>
      <c r="S124" s="46"/>
    </row>
    <row r="125" spans="1:19" s="30" customFormat="1" ht="33" customHeight="1">
      <c r="B125" s="46" t="s">
        <v>238</v>
      </c>
      <c r="C125" s="35" t="s">
        <v>331</v>
      </c>
      <c r="D125" s="36" t="s">
        <v>1306</v>
      </c>
      <c r="E125" s="37">
        <v>43567</v>
      </c>
      <c r="F125" s="38" t="s">
        <v>236</v>
      </c>
      <c r="G125" s="39">
        <v>3200</v>
      </c>
      <c r="H125" s="38">
        <f t="shared" si="14"/>
        <v>16</v>
      </c>
      <c r="I125" s="38">
        <f t="shared" si="15"/>
        <v>4</v>
      </c>
      <c r="J125" s="38"/>
      <c r="K125" s="40">
        <v>43674</v>
      </c>
      <c r="L125" s="41" t="s">
        <v>3860</v>
      </c>
      <c r="M125" s="42">
        <v>43669</v>
      </c>
      <c r="N125" s="43" t="s">
        <v>3800</v>
      </c>
      <c r="O125" s="42">
        <v>43674</v>
      </c>
      <c r="P125" s="45"/>
      <c r="Q125" s="38"/>
      <c r="R125" s="66"/>
      <c r="S125" s="46"/>
    </row>
    <row r="126" spans="1:19" s="30" customFormat="1" ht="33" customHeight="1">
      <c r="B126" s="46" t="s">
        <v>3861</v>
      </c>
      <c r="C126" s="35" t="s">
        <v>431</v>
      </c>
      <c r="D126" s="36" t="s">
        <v>3862</v>
      </c>
      <c r="E126" s="37">
        <v>43637</v>
      </c>
      <c r="F126" s="38" t="s">
        <v>236</v>
      </c>
      <c r="G126" s="39">
        <v>3200</v>
      </c>
      <c r="H126" s="38">
        <f t="shared" si="14"/>
        <v>16</v>
      </c>
      <c r="I126" s="38">
        <f t="shared" si="15"/>
        <v>4</v>
      </c>
      <c r="J126" s="38"/>
      <c r="K126" s="40">
        <v>43730</v>
      </c>
      <c r="L126" s="41" t="s">
        <v>3772</v>
      </c>
      <c r="M126" s="42">
        <v>43725</v>
      </c>
      <c r="N126" s="43" t="s">
        <v>3773</v>
      </c>
      <c r="O126" s="42">
        <v>43730</v>
      </c>
      <c r="P126" s="45"/>
      <c r="Q126" s="38"/>
      <c r="R126" s="66"/>
      <c r="S126" s="46"/>
    </row>
    <row r="127" spans="1:19" s="19" customFormat="1">
      <c r="B127"/>
      <c r="C127" s="15"/>
      <c r="D127" s="1"/>
      <c r="E127" s="174"/>
      <c r="F127"/>
      <c r="G127" s="11"/>
      <c r="H127"/>
      <c r="I127"/>
      <c r="J127"/>
      <c r="K127" s="13"/>
      <c r="L127"/>
      <c r="N127" s="28"/>
      <c r="P127"/>
      <c r="Q127"/>
      <c r="R127" s="17"/>
      <c r="S127"/>
    </row>
    <row r="128" spans="1:19" s="19" customFormat="1" ht="26.4" hidden="1">
      <c r="B128"/>
      <c r="C128" s="15"/>
      <c r="D128" s="1"/>
      <c r="F128" s="177"/>
      <c r="L128" s="176" t="s">
        <v>1821</v>
      </c>
      <c r="M128" s="177"/>
      <c r="N128" s="177"/>
      <c r="O128"/>
      <c r="P128" s="13"/>
      <c r="Q128"/>
      <c r="S128" s="28"/>
    </row>
    <row r="129" spans="2:19" ht="26.4" hidden="1">
      <c r="F129" s="177"/>
      <c r="L129" s="176" t="s">
        <v>1822</v>
      </c>
      <c r="M129" s="177"/>
      <c r="N129" s="177"/>
      <c r="O129"/>
      <c r="P129" s="13"/>
      <c r="R129" s="19"/>
      <c r="S129" s="28"/>
    </row>
    <row r="130" spans="2:19" ht="26.4" hidden="1">
      <c r="F130" s="177"/>
      <c r="L130" s="176" t="s">
        <v>1823</v>
      </c>
      <c r="M130" s="177"/>
      <c r="N130" s="177"/>
      <c r="O130"/>
      <c r="P130" s="13"/>
      <c r="R130" s="19"/>
      <c r="S130" s="28"/>
    </row>
    <row r="131" spans="2:19" hidden="1">
      <c r="E131" s="175"/>
      <c r="L131" s="11"/>
      <c r="M131"/>
      <c r="N131"/>
      <c r="O131"/>
      <c r="P131" s="13"/>
      <c r="R131" s="19"/>
      <c r="S131" s="28"/>
    </row>
    <row r="132" spans="2:19" s="19" customFormat="1" hidden="1">
      <c r="B132"/>
      <c r="C132" s="15"/>
      <c r="D132" s="1"/>
      <c r="L132" s="178" t="s">
        <v>1825</v>
      </c>
      <c r="M132" s="178" t="s">
        <v>1826</v>
      </c>
      <c r="N132" s="178" t="s">
        <v>1827</v>
      </c>
      <c r="O132" s="178" t="s">
        <v>1828</v>
      </c>
      <c r="P132" s="179" t="s">
        <v>3863</v>
      </c>
      <c r="Q132" s="179" t="s">
        <v>3864</v>
      </c>
      <c r="R132" s="179" t="s">
        <v>1831</v>
      </c>
      <c r="S132" s="179"/>
    </row>
    <row r="133" spans="2:19" s="19" customFormat="1" hidden="1">
      <c r="B133"/>
      <c r="C133" s="15"/>
      <c r="D133" s="1"/>
      <c r="L133" s="180" t="s">
        <v>3865</v>
      </c>
      <c r="M133" s="181" t="s">
        <v>1833</v>
      </c>
      <c r="N133" s="181" t="s">
        <v>1834</v>
      </c>
      <c r="O133" s="182" t="s">
        <v>1835</v>
      </c>
      <c r="P133" s="183">
        <v>1000</v>
      </c>
      <c r="Q133" s="183">
        <v>4</v>
      </c>
      <c r="R133" s="184">
        <v>43598</v>
      </c>
      <c r="S133" s="181" t="s">
        <v>99</v>
      </c>
    </row>
    <row r="134" spans="2:19" s="19" customFormat="1" hidden="1">
      <c r="B134"/>
      <c r="C134" s="15"/>
      <c r="D134" s="1"/>
      <c r="L134" s="180" t="s">
        <v>3865</v>
      </c>
      <c r="M134" s="181" t="s">
        <v>1836</v>
      </c>
      <c r="N134" s="181" t="s">
        <v>1834</v>
      </c>
      <c r="O134" s="182" t="s">
        <v>1835</v>
      </c>
      <c r="P134" s="183">
        <v>6000</v>
      </c>
      <c r="Q134" s="183">
        <v>24</v>
      </c>
      <c r="R134" s="184">
        <v>43598</v>
      </c>
      <c r="S134" s="181" t="s">
        <v>99</v>
      </c>
    </row>
    <row r="135" spans="2:19" s="19" customFormat="1" hidden="1">
      <c r="B135"/>
      <c r="C135" s="15"/>
      <c r="D135" s="1"/>
      <c r="L135" s="180" t="s">
        <v>3865</v>
      </c>
      <c r="M135" s="181" t="s">
        <v>1837</v>
      </c>
      <c r="N135" s="181" t="s">
        <v>1834</v>
      </c>
      <c r="O135" s="182" t="s">
        <v>1835</v>
      </c>
      <c r="P135" s="183">
        <v>5000</v>
      </c>
      <c r="Q135" s="183">
        <v>20</v>
      </c>
      <c r="R135" s="185" t="s">
        <v>3866</v>
      </c>
      <c r="S135" s="180" t="s">
        <v>3867</v>
      </c>
    </row>
    <row r="136" spans="2:19" s="19" customFormat="1" hidden="1">
      <c r="B136"/>
      <c r="C136" s="15"/>
      <c r="D136" s="1"/>
      <c r="L136" s="180" t="s">
        <v>3865</v>
      </c>
      <c r="M136" s="181" t="s">
        <v>1840</v>
      </c>
      <c r="N136" s="181" t="s">
        <v>1834</v>
      </c>
      <c r="O136" s="182" t="s">
        <v>1835</v>
      </c>
      <c r="P136" s="183">
        <v>5000</v>
      </c>
      <c r="Q136" s="183">
        <v>20</v>
      </c>
      <c r="R136" s="184">
        <v>43605</v>
      </c>
      <c r="S136" s="181" t="s">
        <v>99</v>
      </c>
    </row>
    <row r="137" spans="2:19" s="19" customFormat="1" hidden="1">
      <c r="B137"/>
      <c r="C137" s="15"/>
      <c r="D137" s="1"/>
      <c r="L137" s="180" t="s">
        <v>3865</v>
      </c>
      <c r="M137" s="181" t="s">
        <v>1841</v>
      </c>
      <c r="N137" s="181" t="s">
        <v>1834</v>
      </c>
      <c r="O137" s="182" t="s">
        <v>1835</v>
      </c>
      <c r="P137" s="183">
        <v>7000</v>
      </c>
      <c r="Q137" s="183">
        <v>28</v>
      </c>
      <c r="R137" s="184">
        <v>43605</v>
      </c>
      <c r="S137" s="181" t="s">
        <v>99</v>
      </c>
    </row>
    <row r="138" spans="2:19" hidden="1">
      <c r="L138" s="180" t="s">
        <v>3868</v>
      </c>
      <c r="M138" s="181" t="s">
        <v>1843</v>
      </c>
      <c r="N138" s="181" t="s">
        <v>1844</v>
      </c>
      <c r="O138" s="182" t="s">
        <v>1835</v>
      </c>
      <c r="P138" s="183">
        <v>2000</v>
      </c>
      <c r="Q138" s="183">
        <v>8</v>
      </c>
      <c r="R138" s="184">
        <v>43598</v>
      </c>
      <c r="S138" s="181" t="s">
        <v>99</v>
      </c>
    </row>
    <row r="139" spans="2:19" hidden="1">
      <c r="L139" s="180" t="s">
        <v>3868</v>
      </c>
      <c r="M139" s="181" t="s">
        <v>1845</v>
      </c>
      <c r="N139" s="181" t="s">
        <v>1844</v>
      </c>
      <c r="O139" s="182" t="s">
        <v>1835</v>
      </c>
      <c r="P139" s="183">
        <v>2000</v>
      </c>
      <c r="Q139" s="183">
        <v>8</v>
      </c>
      <c r="R139" s="184">
        <v>43598</v>
      </c>
      <c r="S139" s="181" t="s">
        <v>99</v>
      </c>
    </row>
    <row r="140" spans="2:19" hidden="1">
      <c r="L140" s="180" t="s">
        <v>3868</v>
      </c>
      <c r="M140" s="181" t="s">
        <v>1846</v>
      </c>
      <c r="N140" s="181" t="s">
        <v>1844</v>
      </c>
      <c r="O140" s="182" t="s">
        <v>1835</v>
      </c>
      <c r="P140" s="183">
        <v>10000</v>
      </c>
      <c r="Q140" s="183">
        <v>40</v>
      </c>
      <c r="R140" s="184">
        <v>43598</v>
      </c>
      <c r="S140" s="181" t="s">
        <v>99</v>
      </c>
    </row>
    <row r="141" spans="2:19" hidden="1">
      <c r="L141" s="180" t="s">
        <v>3868</v>
      </c>
      <c r="M141" s="181" t="s">
        <v>1847</v>
      </c>
      <c r="N141" s="181" t="s">
        <v>1844</v>
      </c>
      <c r="O141" s="182" t="s">
        <v>1835</v>
      </c>
      <c r="P141" s="183">
        <v>8000</v>
      </c>
      <c r="Q141" s="183">
        <v>32</v>
      </c>
      <c r="R141" s="184">
        <v>43598</v>
      </c>
      <c r="S141" s="180"/>
    </row>
    <row r="142" spans="2:19" hidden="1">
      <c r="L142" s="180" t="s">
        <v>3868</v>
      </c>
      <c r="M142" s="181" t="s">
        <v>1848</v>
      </c>
      <c r="N142" s="181" t="s">
        <v>1844</v>
      </c>
      <c r="O142" s="182" t="s">
        <v>1835</v>
      </c>
      <c r="P142" s="183">
        <v>10000</v>
      </c>
      <c r="Q142" s="183">
        <v>40</v>
      </c>
      <c r="R142" s="185" t="s">
        <v>3869</v>
      </c>
      <c r="S142" s="180" t="s">
        <v>3867</v>
      </c>
    </row>
    <row r="143" spans="2:19" hidden="1">
      <c r="L143" s="182" t="s">
        <v>3870</v>
      </c>
      <c r="M143" s="181" t="s">
        <v>1851</v>
      </c>
      <c r="N143" s="181" t="s">
        <v>1834</v>
      </c>
      <c r="O143" s="182" t="s">
        <v>1852</v>
      </c>
      <c r="P143" s="183">
        <v>5000</v>
      </c>
      <c r="Q143" s="183">
        <v>20</v>
      </c>
      <c r="R143" s="184">
        <v>43605</v>
      </c>
      <c r="S143" s="181" t="s">
        <v>99</v>
      </c>
    </row>
    <row r="144" spans="2:19" hidden="1">
      <c r="L144" s="180" t="s">
        <v>3871</v>
      </c>
      <c r="M144" s="181" t="s">
        <v>1851</v>
      </c>
      <c r="N144" s="181" t="s">
        <v>1844</v>
      </c>
      <c r="O144" s="182" t="s">
        <v>1835</v>
      </c>
      <c r="P144" s="183">
        <v>2000</v>
      </c>
      <c r="Q144" s="183">
        <v>8</v>
      </c>
      <c r="R144" s="184">
        <v>43605</v>
      </c>
      <c r="S144" s="181" t="s">
        <v>99</v>
      </c>
    </row>
    <row r="145" spans="12:19" hidden="1">
      <c r="L145" s="182" t="s">
        <v>3872</v>
      </c>
      <c r="M145" s="181" t="s">
        <v>1855</v>
      </c>
      <c r="N145" s="181" t="s">
        <v>1834</v>
      </c>
      <c r="O145" s="182" t="s">
        <v>1852</v>
      </c>
      <c r="P145" s="183">
        <v>6000</v>
      </c>
      <c r="Q145" s="183">
        <v>24</v>
      </c>
      <c r="R145" s="184">
        <v>43605</v>
      </c>
      <c r="S145" s="181" t="s">
        <v>99</v>
      </c>
    </row>
    <row r="146" spans="12:19" hidden="1">
      <c r="L146" s="182" t="s">
        <v>3872</v>
      </c>
      <c r="M146" s="181" t="s">
        <v>1856</v>
      </c>
      <c r="N146" s="181" t="s">
        <v>1834</v>
      </c>
      <c r="O146" s="182" t="s">
        <v>1852</v>
      </c>
      <c r="P146" s="183">
        <v>6000</v>
      </c>
      <c r="Q146" s="183">
        <v>24</v>
      </c>
      <c r="R146" s="185">
        <v>43605</v>
      </c>
      <c r="S146" s="180"/>
    </row>
    <row r="147" spans="12:19" hidden="1">
      <c r="L147" s="182" t="s">
        <v>3872</v>
      </c>
      <c r="M147" s="181" t="s">
        <v>1857</v>
      </c>
      <c r="N147" s="181" t="s">
        <v>1834</v>
      </c>
      <c r="O147" s="182" t="s">
        <v>1852</v>
      </c>
      <c r="P147" s="183">
        <v>6000</v>
      </c>
      <c r="Q147" s="183">
        <v>24</v>
      </c>
      <c r="R147" s="184" t="s">
        <v>3873</v>
      </c>
      <c r="S147" s="181" t="s">
        <v>3874</v>
      </c>
    </row>
    <row r="150" spans="12:19" ht="16.2">
      <c r="L150" s="186"/>
    </row>
    <row r="151" spans="12:19" ht="16.2">
      <c r="L151" s="186"/>
    </row>
    <row r="152" spans="12:19" ht="16.2">
      <c r="L152" s="186"/>
    </row>
    <row r="153" spans="12:19">
      <c r="Q153" t="s">
        <v>3875</v>
      </c>
    </row>
  </sheetData>
  <autoFilter ref="B2:R126" xr:uid="{00000000-0009-0000-0000-000011000000}"/>
  <phoneticPr fontId="1"/>
  <pageMargins left="0.23622047244094491" right="0.23622047244094491" top="0.35433070866141736" bottom="0.35433070866141736" header="0.31496062992125984" footer="0.31496062992125984"/>
  <pageSetup paperSize="9" scale="77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65">
    <pageSetUpPr fitToPage="1"/>
  </sheetPr>
  <dimension ref="A1:S153"/>
  <sheetViews>
    <sheetView zoomScale="77" zoomScaleNormal="77" workbookViewId="0">
      <pane xSplit="1" ySplit="2" topLeftCell="B39" activePane="bottomRight" state="frozen"/>
      <selection pane="topRight" activeCell="B1" sqref="B1"/>
      <selection pane="bottomLeft" activeCell="A3" sqref="A3"/>
      <selection pane="bottomRight" activeCell="K112" sqref="K112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7.12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B2" s="194"/>
      <c r="C2" s="14" t="s">
        <v>3582</v>
      </c>
      <c r="D2" s="5" t="s">
        <v>0</v>
      </c>
      <c r="E2" s="6" t="s">
        <v>3583</v>
      </c>
      <c r="F2" s="6" t="s">
        <v>3584</v>
      </c>
      <c r="G2" s="10" t="s">
        <v>1</v>
      </c>
      <c r="H2" s="6" t="s">
        <v>15</v>
      </c>
      <c r="I2" s="6" t="s">
        <v>16</v>
      </c>
      <c r="J2" s="6" t="s">
        <v>3585</v>
      </c>
      <c r="K2" s="12" t="s">
        <v>3586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3587</v>
      </c>
      <c r="Q2" s="6" t="s">
        <v>3588</v>
      </c>
      <c r="R2" s="16" t="s">
        <v>6</v>
      </c>
      <c r="S2" s="16" t="s">
        <v>3589</v>
      </c>
    </row>
    <row r="3" spans="2:19" s="33" customFormat="1" ht="33" customHeight="1">
      <c r="B3" s="47" t="s">
        <v>220</v>
      </c>
      <c r="C3" s="48" t="s">
        <v>377</v>
      </c>
      <c r="D3" s="49" t="s">
        <v>378</v>
      </c>
      <c r="E3" s="50">
        <v>43455</v>
      </c>
      <c r="F3" s="49" t="s">
        <v>3590</v>
      </c>
      <c r="G3" s="51">
        <v>14000</v>
      </c>
      <c r="H3" s="52">
        <f t="shared" ref="H3:H37" si="0">SUM(G3/250)</f>
        <v>56</v>
      </c>
      <c r="I3" s="52">
        <f t="shared" ref="I3:I61" si="1">SUM(H3/4)</f>
        <v>14</v>
      </c>
      <c r="J3" s="49"/>
      <c r="K3" s="53">
        <v>43548</v>
      </c>
      <c r="L3" s="54" t="s">
        <v>3591</v>
      </c>
      <c r="M3" s="55">
        <v>43563</v>
      </c>
      <c r="N3" s="56" t="s">
        <v>3592</v>
      </c>
      <c r="O3" s="55">
        <v>43569</v>
      </c>
      <c r="P3" s="54" t="s">
        <v>3593</v>
      </c>
      <c r="Q3" s="49"/>
      <c r="R3" s="57" t="s">
        <v>3594</v>
      </c>
      <c r="S3" s="47"/>
    </row>
    <row r="4" spans="2:19" s="33" customFormat="1" ht="33" customHeight="1">
      <c r="B4" s="47" t="s">
        <v>220</v>
      </c>
      <c r="C4" s="48" t="s">
        <v>421</v>
      </c>
      <c r="D4" s="49" t="s">
        <v>453</v>
      </c>
      <c r="E4" s="50">
        <v>43483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43576</v>
      </c>
      <c r="L4" s="54" t="s">
        <v>3595</v>
      </c>
      <c r="M4" s="55">
        <v>43570</v>
      </c>
      <c r="N4" s="56" t="s">
        <v>3596</v>
      </c>
      <c r="O4" s="55">
        <v>43576</v>
      </c>
      <c r="P4" s="54" t="s">
        <v>3597</v>
      </c>
      <c r="Q4" s="49"/>
      <c r="R4" s="57" t="s">
        <v>3598</v>
      </c>
      <c r="S4" s="47"/>
    </row>
    <row r="5" spans="2:19" s="33" customFormat="1" ht="33" customHeight="1">
      <c r="B5" s="47" t="s">
        <v>78</v>
      </c>
      <c r="C5" s="48" t="s">
        <v>422</v>
      </c>
      <c r="D5" s="49" t="s">
        <v>455</v>
      </c>
      <c r="E5" s="50">
        <v>43483</v>
      </c>
      <c r="F5" s="49" t="s">
        <v>3590</v>
      </c>
      <c r="G5" s="51">
        <v>10000</v>
      </c>
      <c r="H5" s="52">
        <f t="shared" si="0"/>
        <v>40</v>
      </c>
      <c r="I5" s="52">
        <f t="shared" si="1"/>
        <v>10</v>
      </c>
      <c r="J5" s="49"/>
      <c r="K5" s="53">
        <v>43618</v>
      </c>
      <c r="L5" s="54" t="s">
        <v>3599</v>
      </c>
      <c r="M5" s="55">
        <v>43612</v>
      </c>
      <c r="N5" s="56" t="s">
        <v>3600</v>
      </c>
      <c r="O5" s="55">
        <v>43618</v>
      </c>
      <c r="P5" s="54" t="s">
        <v>3601</v>
      </c>
      <c r="Q5" s="49" t="s">
        <v>82</v>
      </c>
      <c r="R5" s="57" t="s">
        <v>3602</v>
      </c>
      <c r="S5" s="47"/>
    </row>
    <row r="6" spans="2:19" s="33" customFormat="1" ht="33" customHeight="1">
      <c r="B6" s="47" t="s">
        <v>78</v>
      </c>
      <c r="C6" s="48" t="s">
        <v>3603</v>
      </c>
      <c r="D6" s="49" t="s">
        <v>455</v>
      </c>
      <c r="E6" s="50">
        <v>43523</v>
      </c>
      <c r="F6" s="49" t="s">
        <v>3590</v>
      </c>
      <c r="G6" s="51">
        <v>10000</v>
      </c>
      <c r="H6" s="52">
        <f t="shared" si="0"/>
        <v>40</v>
      </c>
      <c r="I6" s="52">
        <f t="shared" si="1"/>
        <v>10</v>
      </c>
      <c r="J6" s="49"/>
      <c r="K6" s="53">
        <v>43618</v>
      </c>
      <c r="L6" s="54" t="s">
        <v>638</v>
      </c>
      <c r="M6" s="55">
        <v>43612</v>
      </c>
      <c r="N6" s="56" t="s">
        <v>636</v>
      </c>
      <c r="O6" s="55">
        <v>43618</v>
      </c>
      <c r="P6" s="54" t="s">
        <v>3604</v>
      </c>
      <c r="Q6" s="49" t="s">
        <v>82</v>
      </c>
      <c r="R6" s="57" t="s">
        <v>3605</v>
      </c>
      <c r="S6" s="47"/>
    </row>
    <row r="7" spans="2:19" s="33" customFormat="1" ht="33" customHeight="1">
      <c r="B7" s="47" t="s">
        <v>78</v>
      </c>
      <c r="C7" s="48" t="s">
        <v>3606</v>
      </c>
      <c r="D7" s="49" t="s">
        <v>1337</v>
      </c>
      <c r="E7" s="50">
        <v>43483</v>
      </c>
      <c r="F7" s="49" t="s">
        <v>3590</v>
      </c>
      <c r="G7" s="51">
        <v>20000</v>
      </c>
      <c r="H7" s="52">
        <f t="shared" si="0"/>
        <v>80</v>
      </c>
      <c r="I7" s="52">
        <f t="shared" si="1"/>
        <v>20</v>
      </c>
      <c r="J7" s="49"/>
      <c r="K7" s="53">
        <v>43618</v>
      </c>
      <c r="L7" s="54" t="s">
        <v>3599</v>
      </c>
      <c r="M7" s="55">
        <v>43612</v>
      </c>
      <c r="N7" s="56" t="s">
        <v>3600</v>
      </c>
      <c r="O7" s="55">
        <v>43618</v>
      </c>
      <c r="P7" s="54" t="s">
        <v>3607</v>
      </c>
      <c r="Q7" s="49" t="s">
        <v>82</v>
      </c>
      <c r="R7" s="57" t="s">
        <v>3602</v>
      </c>
      <c r="S7" s="47" t="s">
        <v>479</v>
      </c>
    </row>
    <row r="8" spans="2:19" s="33" customFormat="1" ht="33" customHeight="1">
      <c r="B8" s="47" t="s">
        <v>78</v>
      </c>
      <c r="C8" s="48" t="s">
        <v>423</v>
      </c>
      <c r="D8" s="49" t="s">
        <v>457</v>
      </c>
      <c r="E8" s="50">
        <v>43483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43576</v>
      </c>
      <c r="L8" s="54" t="s">
        <v>3608</v>
      </c>
      <c r="M8" s="55">
        <v>43570</v>
      </c>
      <c r="N8" s="56" t="s">
        <v>3609</v>
      </c>
      <c r="O8" s="55">
        <v>43576</v>
      </c>
      <c r="P8" s="54" t="s">
        <v>3610</v>
      </c>
      <c r="Q8" s="49" t="s">
        <v>82</v>
      </c>
      <c r="R8" s="57" t="s">
        <v>3611</v>
      </c>
      <c r="S8" s="47"/>
    </row>
    <row r="9" spans="2:19" s="33" customFormat="1" ht="33" customHeight="1">
      <c r="B9" s="47" t="s">
        <v>220</v>
      </c>
      <c r="C9" s="48" t="s">
        <v>425</v>
      </c>
      <c r="D9" s="49" t="s">
        <v>459</v>
      </c>
      <c r="E9" s="50">
        <v>43483</v>
      </c>
      <c r="F9" s="49" t="s">
        <v>79</v>
      </c>
      <c r="G9" s="51">
        <v>20000</v>
      </c>
      <c r="H9" s="52">
        <f t="shared" si="0"/>
        <v>80</v>
      </c>
      <c r="I9" s="52">
        <f t="shared" si="1"/>
        <v>20</v>
      </c>
      <c r="J9" s="49"/>
      <c r="K9" s="53">
        <v>43583</v>
      </c>
      <c r="L9" s="54" t="s">
        <v>3612</v>
      </c>
      <c r="M9" s="55">
        <v>43577</v>
      </c>
      <c r="N9" s="56" t="s">
        <v>3613</v>
      </c>
      <c r="O9" s="55">
        <v>43583</v>
      </c>
      <c r="P9" s="54" t="s">
        <v>3614</v>
      </c>
      <c r="Q9" s="49"/>
      <c r="R9" s="57" t="s">
        <v>3615</v>
      </c>
      <c r="S9" s="47"/>
    </row>
    <row r="10" spans="2:19" s="33" customFormat="1" ht="33" customHeight="1">
      <c r="B10" s="47" t="s">
        <v>78</v>
      </c>
      <c r="C10" s="48" t="s">
        <v>462</v>
      </c>
      <c r="D10" s="49" t="s">
        <v>483</v>
      </c>
      <c r="E10" s="50">
        <v>43490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43583</v>
      </c>
      <c r="L10" s="54" t="s">
        <v>3612</v>
      </c>
      <c r="M10" s="55">
        <v>43577</v>
      </c>
      <c r="N10" s="56" t="s">
        <v>3613</v>
      </c>
      <c r="O10" s="55">
        <v>43583</v>
      </c>
      <c r="P10" s="54" t="s">
        <v>3616</v>
      </c>
      <c r="Q10" s="49" t="s">
        <v>82</v>
      </c>
      <c r="R10" s="57" t="s">
        <v>3617</v>
      </c>
      <c r="S10" s="47"/>
    </row>
    <row r="11" spans="2:19" s="33" customFormat="1" ht="33" customHeight="1">
      <c r="B11" s="47" t="s">
        <v>78</v>
      </c>
      <c r="C11" s="48" t="s">
        <v>570</v>
      </c>
      <c r="D11" s="49" t="s">
        <v>571</v>
      </c>
      <c r="E11" s="50">
        <v>43519</v>
      </c>
      <c r="F11" s="49" t="s">
        <v>79</v>
      </c>
      <c r="G11" s="51">
        <v>20000</v>
      </c>
      <c r="H11" s="52">
        <f t="shared" si="0"/>
        <v>80</v>
      </c>
      <c r="I11" s="52">
        <f t="shared" si="1"/>
        <v>20</v>
      </c>
      <c r="J11" s="49"/>
      <c r="K11" s="53">
        <v>43590</v>
      </c>
      <c r="L11" s="54" t="s">
        <v>602</v>
      </c>
      <c r="M11" s="55">
        <v>43577</v>
      </c>
      <c r="N11" s="56" t="s">
        <v>3613</v>
      </c>
      <c r="O11" s="55">
        <v>43583</v>
      </c>
      <c r="P11" s="54" t="s">
        <v>3618</v>
      </c>
      <c r="Q11" s="49" t="s">
        <v>82</v>
      </c>
      <c r="R11" s="57" t="s">
        <v>3619</v>
      </c>
      <c r="S11" s="47"/>
    </row>
    <row r="12" spans="2:19" s="33" customFormat="1" ht="33" customHeight="1">
      <c r="B12" s="47" t="s">
        <v>78</v>
      </c>
      <c r="C12" s="48" t="s">
        <v>573</v>
      </c>
      <c r="D12" s="49" t="s">
        <v>574</v>
      </c>
      <c r="E12" s="50">
        <v>43519</v>
      </c>
      <c r="F12" s="49" t="s">
        <v>79</v>
      </c>
      <c r="G12" s="51">
        <v>20000</v>
      </c>
      <c r="H12" s="52">
        <f t="shared" si="0"/>
        <v>80</v>
      </c>
      <c r="I12" s="52">
        <f t="shared" si="1"/>
        <v>20</v>
      </c>
      <c r="J12" s="49"/>
      <c r="K12" s="53">
        <v>43604</v>
      </c>
      <c r="L12" s="54" t="s">
        <v>3620</v>
      </c>
      <c r="M12" s="55">
        <v>43598</v>
      </c>
      <c r="N12" s="56" t="s">
        <v>3621</v>
      </c>
      <c r="O12" s="55">
        <v>43604</v>
      </c>
      <c r="P12" s="54" t="s">
        <v>3622</v>
      </c>
      <c r="Q12" s="49" t="s">
        <v>82</v>
      </c>
      <c r="R12" s="57" t="s">
        <v>3623</v>
      </c>
      <c r="S12" s="47"/>
    </row>
    <row r="13" spans="2:19" s="33" customFormat="1" ht="33" customHeight="1">
      <c r="B13" s="47" t="s">
        <v>78</v>
      </c>
      <c r="C13" s="48" t="s">
        <v>3624</v>
      </c>
      <c r="D13" s="49" t="s">
        <v>577</v>
      </c>
      <c r="E13" s="50">
        <v>43519</v>
      </c>
      <c r="F13" s="49" t="s">
        <v>3625</v>
      </c>
      <c r="G13" s="51">
        <v>10000</v>
      </c>
      <c r="H13" s="52">
        <f t="shared" si="0"/>
        <v>40</v>
      </c>
      <c r="I13" s="52">
        <f t="shared" si="1"/>
        <v>10</v>
      </c>
      <c r="J13" s="49"/>
      <c r="K13" s="53">
        <v>43598</v>
      </c>
      <c r="L13" s="54" t="s">
        <v>803</v>
      </c>
      <c r="M13" s="55">
        <v>43598</v>
      </c>
      <c r="N13" s="56" t="s">
        <v>804</v>
      </c>
      <c r="O13" s="55">
        <v>43604</v>
      </c>
      <c r="P13" s="54" t="s">
        <v>3626</v>
      </c>
      <c r="Q13" s="49" t="s">
        <v>82</v>
      </c>
      <c r="R13" s="57" t="s">
        <v>3627</v>
      </c>
      <c r="S13" s="47"/>
    </row>
    <row r="14" spans="2:19" s="33" customFormat="1" ht="33" customHeight="1">
      <c r="B14" s="47" t="s">
        <v>220</v>
      </c>
      <c r="C14" s="48" t="s">
        <v>579</v>
      </c>
      <c r="D14" s="49" t="s">
        <v>580</v>
      </c>
      <c r="E14" s="50">
        <v>43519</v>
      </c>
      <c r="F14" s="49" t="s">
        <v>79</v>
      </c>
      <c r="G14" s="51">
        <v>10000</v>
      </c>
      <c r="H14" s="52">
        <f t="shared" si="0"/>
        <v>40</v>
      </c>
      <c r="I14" s="52">
        <f t="shared" si="1"/>
        <v>10</v>
      </c>
      <c r="J14" s="49"/>
      <c r="K14" s="53">
        <v>43598</v>
      </c>
      <c r="L14" s="54" t="s">
        <v>803</v>
      </c>
      <c r="M14" s="55">
        <v>43598</v>
      </c>
      <c r="N14" s="56" t="s">
        <v>804</v>
      </c>
      <c r="O14" s="55">
        <v>43604</v>
      </c>
      <c r="P14" s="54" t="s">
        <v>3628</v>
      </c>
      <c r="Q14" s="49"/>
      <c r="R14" s="57" t="s">
        <v>3629</v>
      </c>
      <c r="S14" s="47"/>
    </row>
    <row r="15" spans="2:19" s="33" customFormat="1" ht="33" customHeight="1">
      <c r="B15" s="47" t="s">
        <v>78</v>
      </c>
      <c r="C15" s="48" t="s">
        <v>576</v>
      </c>
      <c r="D15" s="49" t="s">
        <v>577</v>
      </c>
      <c r="E15" s="50">
        <v>43519</v>
      </c>
      <c r="F15" s="49" t="s">
        <v>79</v>
      </c>
      <c r="G15" s="51">
        <v>20000</v>
      </c>
      <c r="H15" s="52">
        <f t="shared" si="0"/>
        <v>80</v>
      </c>
      <c r="I15" s="52">
        <f t="shared" si="1"/>
        <v>20</v>
      </c>
      <c r="J15" s="49"/>
      <c r="K15" s="53">
        <v>43611</v>
      </c>
      <c r="L15" s="54" t="s">
        <v>3630</v>
      </c>
      <c r="M15" s="55">
        <v>43605</v>
      </c>
      <c r="N15" s="56" t="s">
        <v>3631</v>
      </c>
      <c r="O15" s="55">
        <v>43611</v>
      </c>
      <c r="P15" s="54" t="s">
        <v>3632</v>
      </c>
      <c r="Q15" s="49" t="s">
        <v>82</v>
      </c>
      <c r="R15" s="57" t="s">
        <v>3633</v>
      </c>
      <c r="S15" s="47"/>
    </row>
    <row r="16" spans="2:19" s="30" customFormat="1" ht="33" customHeight="1">
      <c r="B16" s="46" t="s">
        <v>78</v>
      </c>
      <c r="C16" s="35" t="s">
        <v>685</v>
      </c>
      <c r="D16" s="36" t="s">
        <v>686</v>
      </c>
      <c r="E16" s="37">
        <v>43532</v>
      </c>
      <c r="F16" s="36" t="s">
        <v>79</v>
      </c>
      <c r="G16" s="39">
        <v>20000</v>
      </c>
      <c r="H16" s="38">
        <f t="shared" si="0"/>
        <v>80</v>
      </c>
      <c r="I16" s="38">
        <f t="shared" si="1"/>
        <v>20</v>
      </c>
      <c r="J16" s="36"/>
      <c r="K16" s="40">
        <v>43625</v>
      </c>
      <c r="L16" s="41" t="s">
        <v>3634</v>
      </c>
      <c r="M16" s="42">
        <v>43619</v>
      </c>
      <c r="N16" s="43" t="s">
        <v>3635</v>
      </c>
      <c r="O16" s="42">
        <v>43625</v>
      </c>
      <c r="P16" s="41"/>
      <c r="Q16" s="36" t="s">
        <v>82</v>
      </c>
      <c r="R16" s="44" t="s">
        <v>3636</v>
      </c>
      <c r="S16" s="46"/>
    </row>
    <row r="17" spans="2:19" s="30" customFormat="1" ht="33" customHeight="1">
      <c r="B17" s="46" t="s">
        <v>78</v>
      </c>
      <c r="C17" s="35" t="s">
        <v>3637</v>
      </c>
      <c r="D17" s="36" t="s">
        <v>1366</v>
      </c>
      <c r="E17" s="37">
        <v>43532</v>
      </c>
      <c r="F17" s="36" t="s">
        <v>79</v>
      </c>
      <c r="G17" s="39">
        <v>20000</v>
      </c>
      <c r="H17" s="38">
        <f t="shared" si="0"/>
        <v>80</v>
      </c>
      <c r="I17" s="38">
        <f t="shared" si="1"/>
        <v>20</v>
      </c>
      <c r="J17" s="36"/>
      <c r="K17" s="40">
        <v>43625</v>
      </c>
      <c r="L17" s="41" t="s">
        <v>3634</v>
      </c>
      <c r="M17" s="42">
        <v>43619</v>
      </c>
      <c r="N17" s="43" t="s">
        <v>3635</v>
      </c>
      <c r="O17" s="42">
        <v>43625</v>
      </c>
      <c r="P17" s="41"/>
      <c r="Q17" s="36" t="s">
        <v>82</v>
      </c>
      <c r="R17" s="44" t="s">
        <v>3636</v>
      </c>
      <c r="S17" s="46" t="s">
        <v>479</v>
      </c>
    </row>
    <row r="18" spans="2:19" s="30" customFormat="1" ht="33" customHeight="1">
      <c r="B18" s="46" t="s">
        <v>220</v>
      </c>
      <c r="C18" s="35" t="s">
        <v>688</v>
      </c>
      <c r="D18" s="36" t="s">
        <v>689</v>
      </c>
      <c r="E18" s="37">
        <v>43532</v>
      </c>
      <c r="F18" s="36" t="s">
        <v>79</v>
      </c>
      <c r="G18" s="39">
        <v>20000</v>
      </c>
      <c r="H18" s="38">
        <f t="shared" si="0"/>
        <v>80</v>
      </c>
      <c r="I18" s="38">
        <f t="shared" si="1"/>
        <v>20</v>
      </c>
      <c r="J18" s="36"/>
      <c r="K18" s="40">
        <v>43632</v>
      </c>
      <c r="L18" s="41" t="s">
        <v>3638</v>
      </c>
      <c r="M18" s="42">
        <v>43626</v>
      </c>
      <c r="N18" s="43" t="s">
        <v>3639</v>
      </c>
      <c r="O18" s="42">
        <v>43632</v>
      </c>
      <c r="P18" s="41" t="s">
        <v>3640</v>
      </c>
      <c r="Q18" s="36"/>
      <c r="R18" s="44" t="s">
        <v>3641</v>
      </c>
      <c r="S18" s="46"/>
    </row>
    <row r="19" spans="2:19" s="30" customFormat="1" ht="33" customHeight="1">
      <c r="B19" s="46" t="s">
        <v>78</v>
      </c>
      <c r="C19" s="35" t="s">
        <v>691</v>
      </c>
      <c r="D19" s="36" t="s">
        <v>692</v>
      </c>
      <c r="E19" s="37">
        <v>43532</v>
      </c>
      <c r="F19" s="36" t="s">
        <v>79</v>
      </c>
      <c r="G19" s="39">
        <v>20000</v>
      </c>
      <c r="H19" s="38">
        <f t="shared" si="0"/>
        <v>80</v>
      </c>
      <c r="I19" s="38">
        <f t="shared" si="1"/>
        <v>20</v>
      </c>
      <c r="J19" s="36"/>
      <c r="K19" s="40">
        <v>43639</v>
      </c>
      <c r="L19" s="41" t="s">
        <v>3642</v>
      </c>
      <c r="M19" s="42">
        <v>43633</v>
      </c>
      <c r="N19" s="43" t="s">
        <v>3643</v>
      </c>
      <c r="O19" s="42">
        <v>43639</v>
      </c>
      <c r="P19" s="41"/>
      <c r="Q19" s="36" t="s">
        <v>82</v>
      </c>
      <c r="R19" s="44" t="s">
        <v>3644</v>
      </c>
      <c r="S19" s="46"/>
    </row>
    <row r="20" spans="2:19" s="33" customFormat="1" ht="33" customHeight="1">
      <c r="B20" s="47" t="s">
        <v>78</v>
      </c>
      <c r="C20" s="48" t="s">
        <v>3645</v>
      </c>
      <c r="D20" s="49" t="s">
        <v>3646</v>
      </c>
      <c r="E20" s="50">
        <v>43566</v>
      </c>
      <c r="F20" s="49" t="s">
        <v>79</v>
      </c>
      <c r="G20" s="51">
        <v>6000</v>
      </c>
      <c r="H20" s="52">
        <f t="shared" si="0"/>
        <v>24</v>
      </c>
      <c r="I20" s="52">
        <f t="shared" si="1"/>
        <v>6</v>
      </c>
      <c r="J20" s="49"/>
      <c r="K20" s="53">
        <v>43611</v>
      </c>
      <c r="L20" s="54" t="s">
        <v>603</v>
      </c>
      <c r="M20" s="55">
        <v>43605</v>
      </c>
      <c r="N20" s="56" t="s">
        <v>1080</v>
      </c>
      <c r="O20" s="55">
        <v>43611</v>
      </c>
      <c r="P20" s="54" t="s">
        <v>3647</v>
      </c>
      <c r="Q20" s="49" t="s">
        <v>82</v>
      </c>
      <c r="R20" s="57" t="s">
        <v>3648</v>
      </c>
      <c r="S20" s="47"/>
    </row>
    <row r="21" spans="2:19" s="33" customFormat="1" ht="33" customHeight="1">
      <c r="B21" s="47" t="s">
        <v>3649</v>
      </c>
      <c r="C21" s="48" t="s">
        <v>986</v>
      </c>
      <c r="D21" s="49" t="s">
        <v>3646</v>
      </c>
      <c r="E21" s="50">
        <v>43566</v>
      </c>
      <c r="F21" s="49" t="s">
        <v>79</v>
      </c>
      <c r="G21" s="51">
        <v>14000</v>
      </c>
      <c r="H21" s="52">
        <f t="shared" si="0"/>
        <v>56</v>
      </c>
      <c r="I21" s="52">
        <f t="shared" si="1"/>
        <v>14</v>
      </c>
      <c r="J21" s="49"/>
      <c r="K21" s="53">
        <v>43611</v>
      </c>
      <c r="L21" s="54" t="s">
        <v>603</v>
      </c>
      <c r="M21" s="55">
        <v>43605</v>
      </c>
      <c r="N21" s="56" t="s">
        <v>1080</v>
      </c>
      <c r="O21" s="55">
        <v>43611</v>
      </c>
      <c r="P21" s="54" t="s">
        <v>3650</v>
      </c>
      <c r="Q21" s="49"/>
      <c r="R21" s="57" t="s">
        <v>3648</v>
      </c>
      <c r="S21" s="47"/>
    </row>
    <row r="22" spans="2:19" s="30" customFormat="1" ht="33" customHeight="1">
      <c r="B22" s="46" t="s">
        <v>78</v>
      </c>
      <c r="C22" s="35" t="s">
        <v>988</v>
      </c>
      <c r="D22" s="36" t="s">
        <v>3651</v>
      </c>
      <c r="E22" s="37">
        <v>43566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43632</v>
      </c>
      <c r="L22" s="41" t="s">
        <v>1081</v>
      </c>
      <c r="M22" s="42">
        <v>43626</v>
      </c>
      <c r="N22" s="43" t="s">
        <v>1082</v>
      </c>
      <c r="O22" s="42">
        <v>43632</v>
      </c>
      <c r="P22" s="41"/>
      <c r="Q22" s="36" t="s">
        <v>82</v>
      </c>
      <c r="R22" s="44" t="s">
        <v>3652</v>
      </c>
      <c r="S22" s="46"/>
    </row>
    <row r="23" spans="2:19" s="30" customFormat="1" ht="33" customHeight="1">
      <c r="B23" s="46" t="s">
        <v>78</v>
      </c>
      <c r="C23" s="35" t="s">
        <v>1160</v>
      </c>
      <c r="D23" s="36" t="s">
        <v>1161</v>
      </c>
      <c r="E23" s="37">
        <v>43567</v>
      </c>
      <c r="F23" s="36" t="s">
        <v>3653</v>
      </c>
      <c r="G23" s="39">
        <v>40000</v>
      </c>
      <c r="H23" s="38">
        <f t="shared" si="0"/>
        <v>160</v>
      </c>
      <c r="I23" s="38">
        <f t="shared" si="1"/>
        <v>40</v>
      </c>
      <c r="J23" s="36"/>
      <c r="K23" s="40">
        <v>43646</v>
      </c>
      <c r="L23" s="41" t="s">
        <v>3654</v>
      </c>
      <c r="M23" s="42">
        <v>43640</v>
      </c>
      <c r="N23" s="43" t="s">
        <v>3655</v>
      </c>
      <c r="O23" s="42">
        <v>43646</v>
      </c>
      <c r="P23" s="41"/>
      <c r="Q23" s="36" t="s">
        <v>82</v>
      </c>
      <c r="R23" s="44" t="s">
        <v>3656</v>
      </c>
      <c r="S23" s="46" t="s">
        <v>2140</v>
      </c>
    </row>
    <row r="24" spans="2:19" s="30" customFormat="1" ht="33" customHeight="1">
      <c r="B24" s="46" t="s">
        <v>220</v>
      </c>
      <c r="C24" s="35" t="s">
        <v>1163</v>
      </c>
      <c r="D24" s="36" t="s">
        <v>1164</v>
      </c>
      <c r="E24" s="37">
        <v>43567</v>
      </c>
      <c r="F24" s="36" t="s">
        <v>79</v>
      </c>
      <c r="G24" s="39">
        <v>20000</v>
      </c>
      <c r="H24" s="38">
        <f t="shared" si="0"/>
        <v>80</v>
      </c>
      <c r="I24" s="38">
        <f t="shared" si="1"/>
        <v>20</v>
      </c>
      <c r="J24" s="36"/>
      <c r="K24" s="40">
        <v>43646</v>
      </c>
      <c r="L24" s="41" t="s">
        <v>3654</v>
      </c>
      <c r="M24" s="42">
        <v>43640</v>
      </c>
      <c r="N24" s="43" t="s">
        <v>3655</v>
      </c>
      <c r="O24" s="42">
        <v>43646</v>
      </c>
      <c r="P24" s="41"/>
      <c r="Q24" s="36"/>
      <c r="R24" s="44" t="s">
        <v>3657</v>
      </c>
      <c r="S24" s="46" t="s">
        <v>2140</v>
      </c>
    </row>
    <row r="25" spans="2:19" s="30" customFormat="1" ht="33" customHeight="1">
      <c r="B25" s="46" t="s">
        <v>78</v>
      </c>
      <c r="C25" s="35" t="s">
        <v>1166</v>
      </c>
      <c r="D25" s="36" t="s">
        <v>1167</v>
      </c>
      <c r="E25" s="37">
        <v>43567</v>
      </c>
      <c r="F25" s="36" t="s">
        <v>79</v>
      </c>
      <c r="G25" s="39">
        <v>20000</v>
      </c>
      <c r="H25" s="38">
        <f t="shared" si="0"/>
        <v>80</v>
      </c>
      <c r="I25" s="38">
        <f t="shared" si="1"/>
        <v>20</v>
      </c>
      <c r="J25" s="36"/>
      <c r="K25" s="40">
        <v>43653</v>
      </c>
      <c r="L25" s="41" t="s">
        <v>3658</v>
      </c>
      <c r="M25" s="42">
        <v>43647</v>
      </c>
      <c r="N25" s="43" t="s">
        <v>3659</v>
      </c>
      <c r="O25" s="42">
        <v>43653</v>
      </c>
      <c r="P25" s="41"/>
      <c r="Q25" s="36" t="s">
        <v>82</v>
      </c>
      <c r="R25" s="44" t="s">
        <v>3660</v>
      </c>
      <c r="S25" s="46" t="s">
        <v>2140</v>
      </c>
    </row>
    <row r="26" spans="2:19" s="30" customFormat="1" ht="33" customHeight="1">
      <c r="B26" s="46" t="s">
        <v>78</v>
      </c>
      <c r="C26" s="35" t="s">
        <v>1169</v>
      </c>
      <c r="D26" s="36" t="s">
        <v>1170</v>
      </c>
      <c r="E26" s="37">
        <v>43567</v>
      </c>
      <c r="F26" s="36" t="s">
        <v>79</v>
      </c>
      <c r="G26" s="39">
        <v>20000</v>
      </c>
      <c r="H26" s="38">
        <f t="shared" si="0"/>
        <v>80</v>
      </c>
      <c r="I26" s="38">
        <f t="shared" si="1"/>
        <v>20</v>
      </c>
      <c r="J26" s="36"/>
      <c r="K26" s="40">
        <v>43660</v>
      </c>
      <c r="L26" s="41" t="s">
        <v>3661</v>
      </c>
      <c r="M26" s="42">
        <v>43654</v>
      </c>
      <c r="N26" s="43" t="s">
        <v>3662</v>
      </c>
      <c r="O26" s="42">
        <v>43660</v>
      </c>
      <c r="P26" s="41"/>
      <c r="Q26" s="36" t="s">
        <v>82</v>
      </c>
      <c r="R26" s="44" t="s">
        <v>3663</v>
      </c>
      <c r="S26" s="46" t="s">
        <v>2140</v>
      </c>
    </row>
    <row r="27" spans="2:19" s="30" customFormat="1" ht="33" customHeight="1">
      <c r="B27" s="46" t="s">
        <v>78</v>
      </c>
      <c r="C27" s="35" t="s">
        <v>1172</v>
      </c>
      <c r="D27" s="36" t="s">
        <v>1173</v>
      </c>
      <c r="E27" s="37">
        <v>43567</v>
      </c>
      <c r="F27" s="36" t="s">
        <v>79</v>
      </c>
      <c r="G27" s="39">
        <v>20000</v>
      </c>
      <c r="H27" s="38">
        <f t="shared" si="0"/>
        <v>80</v>
      </c>
      <c r="I27" s="38">
        <f t="shared" si="1"/>
        <v>20</v>
      </c>
      <c r="J27" s="36"/>
      <c r="K27" s="40">
        <v>43667</v>
      </c>
      <c r="L27" s="41" t="s">
        <v>3664</v>
      </c>
      <c r="M27" s="42">
        <v>43658</v>
      </c>
      <c r="N27" s="43" t="s">
        <v>3665</v>
      </c>
      <c r="O27" s="42">
        <v>43667</v>
      </c>
      <c r="P27" s="41"/>
      <c r="Q27" s="36" t="s">
        <v>82</v>
      </c>
      <c r="R27" s="44" t="s">
        <v>3666</v>
      </c>
      <c r="S27" s="46" t="s">
        <v>2140</v>
      </c>
    </row>
    <row r="28" spans="2:19" s="30" customFormat="1" ht="33" customHeight="1">
      <c r="B28" s="46" t="s">
        <v>220</v>
      </c>
      <c r="C28" s="35" t="s">
        <v>1175</v>
      </c>
      <c r="D28" s="36" t="s">
        <v>1176</v>
      </c>
      <c r="E28" s="37">
        <v>43567</v>
      </c>
      <c r="F28" s="36" t="s">
        <v>79</v>
      </c>
      <c r="G28" s="39">
        <v>20000</v>
      </c>
      <c r="H28" s="38">
        <f t="shared" si="0"/>
        <v>80</v>
      </c>
      <c r="I28" s="38">
        <f t="shared" si="1"/>
        <v>20</v>
      </c>
      <c r="J28" s="36"/>
      <c r="K28" s="40">
        <v>43667</v>
      </c>
      <c r="L28" s="41" t="s">
        <v>1319</v>
      </c>
      <c r="M28" s="42">
        <v>43658</v>
      </c>
      <c r="N28" s="43" t="s">
        <v>3667</v>
      </c>
      <c r="O28" s="42">
        <v>43667</v>
      </c>
      <c r="P28" s="41"/>
      <c r="Q28" s="36"/>
      <c r="R28" s="44" t="s">
        <v>3668</v>
      </c>
      <c r="S28" s="46"/>
    </row>
    <row r="29" spans="2:19" s="30" customFormat="1" ht="33" customHeight="1">
      <c r="B29" s="46" t="s">
        <v>78</v>
      </c>
      <c r="C29" s="35" t="s">
        <v>1178</v>
      </c>
      <c r="D29" s="36" t="s">
        <v>1179</v>
      </c>
      <c r="E29" s="37">
        <v>43567</v>
      </c>
      <c r="F29" s="36" t="s">
        <v>3669</v>
      </c>
      <c r="G29" s="39">
        <v>10000</v>
      </c>
      <c r="H29" s="38">
        <f t="shared" si="0"/>
        <v>40</v>
      </c>
      <c r="I29" s="38">
        <f t="shared" si="1"/>
        <v>10</v>
      </c>
      <c r="J29" s="36"/>
      <c r="K29" s="40">
        <v>43674</v>
      </c>
      <c r="L29" s="41" t="s">
        <v>3670</v>
      </c>
      <c r="M29" s="42">
        <v>43668</v>
      </c>
      <c r="N29" s="43" t="s">
        <v>3671</v>
      </c>
      <c r="O29" s="42">
        <v>43674</v>
      </c>
      <c r="P29" s="41"/>
      <c r="Q29" s="36" t="s">
        <v>82</v>
      </c>
      <c r="R29" s="44" t="s">
        <v>3672</v>
      </c>
      <c r="S29" s="46"/>
    </row>
    <row r="30" spans="2:19" s="30" customFormat="1" ht="33" customHeight="1">
      <c r="B30" s="46" t="s">
        <v>220</v>
      </c>
      <c r="C30" s="35" t="s">
        <v>1181</v>
      </c>
      <c r="D30" s="36" t="s">
        <v>1182</v>
      </c>
      <c r="E30" s="37">
        <v>43567</v>
      </c>
      <c r="F30" s="36" t="s">
        <v>3669</v>
      </c>
      <c r="G30" s="39">
        <v>10000</v>
      </c>
      <c r="H30" s="38">
        <f t="shared" si="0"/>
        <v>40</v>
      </c>
      <c r="I30" s="38">
        <f t="shared" si="1"/>
        <v>10</v>
      </c>
      <c r="J30" s="36"/>
      <c r="K30" s="40">
        <v>43674</v>
      </c>
      <c r="L30" s="41" t="s">
        <v>1321</v>
      </c>
      <c r="M30" s="42">
        <v>43668</v>
      </c>
      <c r="N30" s="43" t="s">
        <v>3671</v>
      </c>
      <c r="O30" s="42">
        <v>43674</v>
      </c>
      <c r="P30" s="41"/>
      <c r="Q30" s="36"/>
      <c r="R30" s="44" t="s">
        <v>3673</v>
      </c>
      <c r="S30" s="46"/>
    </row>
    <row r="31" spans="2:19" s="30" customFormat="1" ht="33" customHeight="1">
      <c r="B31" s="46" t="s">
        <v>78</v>
      </c>
      <c r="C31" s="35" t="s">
        <v>2273</v>
      </c>
      <c r="D31" s="36" t="s">
        <v>2274</v>
      </c>
      <c r="E31" s="37">
        <v>43602</v>
      </c>
      <c r="F31" s="36" t="s">
        <v>79</v>
      </c>
      <c r="G31" s="39">
        <v>20000</v>
      </c>
      <c r="H31" s="38">
        <f t="shared" si="0"/>
        <v>80</v>
      </c>
      <c r="I31" s="38">
        <f t="shared" si="1"/>
        <v>20</v>
      </c>
      <c r="J31" s="36"/>
      <c r="K31" s="40">
        <v>43688</v>
      </c>
      <c r="L31" s="41" t="s">
        <v>3674</v>
      </c>
      <c r="M31" s="42">
        <v>43682</v>
      </c>
      <c r="N31" s="43" t="s">
        <v>3675</v>
      </c>
      <c r="O31" s="42">
        <v>43688</v>
      </c>
      <c r="P31" s="41"/>
      <c r="Q31" s="36" t="s">
        <v>82</v>
      </c>
      <c r="R31" s="44" t="s">
        <v>3676</v>
      </c>
      <c r="S31" s="46"/>
    </row>
    <row r="32" spans="2:19" s="30" customFormat="1" ht="33" customHeight="1">
      <c r="B32" s="46" t="s">
        <v>78</v>
      </c>
      <c r="C32" s="35" t="s">
        <v>2276</v>
      </c>
      <c r="D32" s="36" t="s">
        <v>2277</v>
      </c>
      <c r="E32" s="37">
        <v>43602</v>
      </c>
      <c r="F32" s="36" t="s">
        <v>79</v>
      </c>
      <c r="G32" s="39">
        <v>20000</v>
      </c>
      <c r="H32" s="38">
        <f t="shared" si="0"/>
        <v>80</v>
      </c>
      <c r="I32" s="38">
        <f t="shared" si="1"/>
        <v>20</v>
      </c>
      <c r="J32" s="36"/>
      <c r="K32" s="40">
        <v>43695</v>
      </c>
      <c r="L32" s="41" t="s">
        <v>3674</v>
      </c>
      <c r="M32" s="42">
        <v>43682</v>
      </c>
      <c r="N32" s="43" t="s">
        <v>3675</v>
      </c>
      <c r="O32" s="42">
        <v>43688</v>
      </c>
      <c r="P32" s="41"/>
      <c r="Q32" s="36" t="s">
        <v>82</v>
      </c>
      <c r="R32" s="44" t="s">
        <v>3677</v>
      </c>
      <c r="S32" s="46"/>
    </row>
    <row r="33" spans="2:19" s="30" customFormat="1" ht="33" customHeight="1">
      <c r="B33" s="46" t="s">
        <v>220</v>
      </c>
      <c r="C33" s="35" t="s">
        <v>2279</v>
      </c>
      <c r="D33" s="36" t="s">
        <v>2280</v>
      </c>
      <c r="E33" s="37">
        <v>43602</v>
      </c>
      <c r="F33" s="36" t="s">
        <v>79</v>
      </c>
      <c r="G33" s="39">
        <v>20000</v>
      </c>
      <c r="H33" s="38">
        <f t="shared" si="0"/>
        <v>80</v>
      </c>
      <c r="I33" s="38">
        <f t="shared" si="1"/>
        <v>20</v>
      </c>
      <c r="J33" s="36"/>
      <c r="K33" s="40">
        <v>43695</v>
      </c>
      <c r="L33" s="41" t="s">
        <v>3674</v>
      </c>
      <c r="M33" s="42">
        <v>43682</v>
      </c>
      <c r="N33" s="43" t="s">
        <v>3675</v>
      </c>
      <c r="O33" s="42">
        <v>43688</v>
      </c>
      <c r="P33" s="41"/>
      <c r="Q33" s="36"/>
      <c r="R33" s="44" t="s">
        <v>3678</v>
      </c>
      <c r="S33" s="46"/>
    </row>
    <row r="34" spans="2:19" s="30" customFormat="1" ht="33" customHeight="1">
      <c r="B34" s="46" t="s">
        <v>78</v>
      </c>
      <c r="C34" s="35" t="s">
        <v>2282</v>
      </c>
      <c r="D34" s="36" t="s">
        <v>2283</v>
      </c>
      <c r="E34" s="37">
        <v>43602</v>
      </c>
      <c r="F34" s="36" t="s">
        <v>79</v>
      </c>
      <c r="G34" s="39">
        <v>20000</v>
      </c>
      <c r="H34" s="38">
        <f t="shared" si="0"/>
        <v>80</v>
      </c>
      <c r="I34" s="38">
        <f t="shared" si="1"/>
        <v>20</v>
      </c>
      <c r="J34" s="36"/>
      <c r="K34" s="40">
        <v>43709</v>
      </c>
      <c r="L34" s="41" t="s">
        <v>3679</v>
      </c>
      <c r="M34" s="42">
        <v>43703</v>
      </c>
      <c r="N34" s="43" t="s">
        <v>3680</v>
      </c>
      <c r="O34" s="42">
        <v>43709</v>
      </c>
      <c r="P34" s="41"/>
      <c r="Q34" s="36" t="s">
        <v>82</v>
      </c>
      <c r="R34" s="44" t="s">
        <v>3681</v>
      </c>
      <c r="S34" s="46"/>
    </row>
    <row r="35" spans="2:19" s="30" customFormat="1" ht="33" customHeight="1">
      <c r="B35" s="46" t="s">
        <v>220</v>
      </c>
      <c r="C35" s="35" t="s">
        <v>3353</v>
      </c>
      <c r="D35" s="36" t="s">
        <v>3354</v>
      </c>
      <c r="E35" s="128">
        <v>43637</v>
      </c>
      <c r="F35" s="127" t="s">
        <v>79</v>
      </c>
      <c r="G35" s="129">
        <v>20000</v>
      </c>
      <c r="H35" s="124">
        <f t="shared" si="0"/>
        <v>80</v>
      </c>
      <c r="I35" s="124">
        <f t="shared" si="1"/>
        <v>20</v>
      </c>
      <c r="J35" s="127"/>
      <c r="K35" s="130">
        <v>43716</v>
      </c>
      <c r="L35" s="119" t="s">
        <v>3682</v>
      </c>
      <c r="M35" s="120">
        <v>43710</v>
      </c>
      <c r="N35" s="121" t="s">
        <v>3683</v>
      </c>
      <c r="O35" s="120">
        <v>43716</v>
      </c>
      <c r="P35" s="119"/>
      <c r="Q35" s="127"/>
      <c r="R35" s="125" t="s">
        <v>3684</v>
      </c>
      <c r="S35" s="122"/>
    </row>
    <row r="36" spans="2:19" s="30" customFormat="1" ht="33" customHeight="1">
      <c r="B36" s="46" t="s">
        <v>78</v>
      </c>
      <c r="C36" s="35" t="s">
        <v>3356</v>
      </c>
      <c r="D36" s="36" t="s">
        <v>3357</v>
      </c>
      <c r="E36" s="128">
        <v>43637</v>
      </c>
      <c r="F36" s="127" t="s">
        <v>79</v>
      </c>
      <c r="G36" s="129">
        <v>20000</v>
      </c>
      <c r="H36" s="124">
        <f t="shared" si="0"/>
        <v>80</v>
      </c>
      <c r="I36" s="124">
        <f t="shared" si="1"/>
        <v>20</v>
      </c>
      <c r="J36" s="127"/>
      <c r="K36" s="130">
        <v>43723</v>
      </c>
      <c r="L36" s="119" t="s">
        <v>3555</v>
      </c>
      <c r="M36" s="120">
        <v>43717</v>
      </c>
      <c r="N36" s="121" t="s">
        <v>3685</v>
      </c>
      <c r="O36" s="120">
        <v>43723</v>
      </c>
      <c r="P36" s="119"/>
      <c r="Q36" s="127" t="s">
        <v>82</v>
      </c>
      <c r="R36" s="125" t="s">
        <v>3686</v>
      </c>
      <c r="S36" s="122"/>
    </row>
    <row r="37" spans="2:19" s="30" customFormat="1" ht="33" customHeight="1">
      <c r="B37" s="46" t="s">
        <v>78</v>
      </c>
      <c r="C37" s="35" t="s">
        <v>3359</v>
      </c>
      <c r="D37" s="36" t="s">
        <v>3360</v>
      </c>
      <c r="E37" s="128">
        <v>43637</v>
      </c>
      <c r="F37" s="127" t="s">
        <v>79</v>
      </c>
      <c r="G37" s="129">
        <v>20000</v>
      </c>
      <c r="H37" s="124">
        <f t="shared" si="0"/>
        <v>80</v>
      </c>
      <c r="I37" s="124">
        <f t="shared" si="1"/>
        <v>20</v>
      </c>
      <c r="J37" s="127"/>
      <c r="K37" s="130">
        <v>43730</v>
      </c>
      <c r="L37" s="119" t="s">
        <v>3556</v>
      </c>
      <c r="M37" s="120">
        <v>43721</v>
      </c>
      <c r="N37" s="121" t="s">
        <v>3687</v>
      </c>
      <c r="O37" s="120">
        <v>43730</v>
      </c>
      <c r="P37" s="119"/>
      <c r="Q37" s="127" t="s">
        <v>82</v>
      </c>
      <c r="R37" s="125" t="s">
        <v>3688</v>
      </c>
      <c r="S37" s="122"/>
    </row>
    <row r="38" spans="2:19" s="96" customFormat="1" ht="33" customHeight="1">
      <c r="B38" s="47" t="s">
        <v>17</v>
      </c>
      <c r="C38" s="48" t="s">
        <v>427</v>
      </c>
      <c r="D38" s="49" t="s">
        <v>3689</v>
      </c>
      <c r="E38" s="50">
        <v>43483</v>
      </c>
      <c r="F38" s="52" t="s">
        <v>84</v>
      </c>
      <c r="G38" s="51">
        <v>9200</v>
      </c>
      <c r="H38" s="52">
        <f t="shared" ref="H38:H61" si="2">SUM(G38/230)</f>
        <v>40</v>
      </c>
      <c r="I38" s="52">
        <f t="shared" si="1"/>
        <v>10</v>
      </c>
      <c r="J38" s="49"/>
      <c r="K38" s="53">
        <v>43576</v>
      </c>
      <c r="L38" s="54" t="s">
        <v>3690</v>
      </c>
      <c r="M38" s="55">
        <v>43571</v>
      </c>
      <c r="N38" s="56" t="s">
        <v>3691</v>
      </c>
      <c r="O38" s="55">
        <v>43576</v>
      </c>
      <c r="P38" s="58"/>
      <c r="Q38" s="52" t="s">
        <v>82</v>
      </c>
      <c r="R38" s="57" t="s">
        <v>3692</v>
      </c>
      <c r="S38" s="47"/>
    </row>
    <row r="39" spans="2:19" s="67" customFormat="1" ht="33" customHeight="1">
      <c r="B39" s="46" t="s">
        <v>17</v>
      </c>
      <c r="C39" s="35" t="s">
        <v>581</v>
      </c>
      <c r="D39" s="36" t="s">
        <v>582</v>
      </c>
      <c r="E39" s="37">
        <v>43519</v>
      </c>
      <c r="F39" s="38" t="s">
        <v>84</v>
      </c>
      <c r="G39" s="39">
        <v>9200</v>
      </c>
      <c r="H39" s="38">
        <f t="shared" si="2"/>
        <v>40</v>
      </c>
      <c r="I39" s="38">
        <f t="shared" si="1"/>
        <v>10</v>
      </c>
      <c r="J39" s="36"/>
      <c r="K39" s="40">
        <v>43632</v>
      </c>
      <c r="L39" s="41" t="s">
        <v>3693</v>
      </c>
      <c r="M39" s="42">
        <v>43620</v>
      </c>
      <c r="N39" s="43" t="s">
        <v>3694</v>
      </c>
      <c r="O39" s="42">
        <v>43625</v>
      </c>
      <c r="P39" s="45"/>
      <c r="Q39" s="38" t="s">
        <v>82</v>
      </c>
      <c r="R39" s="44" t="s">
        <v>3695</v>
      </c>
      <c r="S39" s="46"/>
    </row>
    <row r="40" spans="2:19" s="67" customFormat="1" ht="33" customHeight="1">
      <c r="B40" s="46" t="s">
        <v>17</v>
      </c>
      <c r="C40" s="35" t="s">
        <v>694</v>
      </c>
      <c r="D40" s="36" t="s">
        <v>695</v>
      </c>
      <c r="E40" s="37">
        <v>43532</v>
      </c>
      <c r="F40" s="38" t="s">
        <v>3696</v>
      </c>
      <c r="G40" s="39">
        <v>9200</v>
      </c>
      <c r="H40" s="38">
        <f t="shared" si="2"/>
        <v>40</v>
      </c>
      <c r="I40" s="38">
        <f t="shared" si="1"/>
        <v>10</v>
      </c>
      <c r="J40" s="36"/>
      <c r="K40" s="40">
        <v>43653</v>
      </c>
      <c r="L40" s="41" t="s">
        <v>1326</v>
      </c>
      <c r="M40" s="42">
        <v>43648</v>
      </c>
      <c r="N40" s="43" t="s">
        <v>2540</v>
      </c>
      <c r="O40" s="42">
        <v>43653</v>
      </c>
      <c r="P40" s="45"/>
      <c r="Q40" s="38" t="s">
        <v>82</v>
      </c>
      <c r="R40" s="44" t="s">
        <v>3697</v>
      </c>
      <c r="S40" s="46"/>
    </row>
    <row r="41" spans="2:19" s="67" customFormat="1" ht="33" customHeight="1">
      <c r="B41" s="46" t="s">
        <v>17</v>
      </c>
      <c r="C41" s="35" t="s">
        <v>2299</v>
      </c>
      <c r="D41" s="36" t="s">
        <v>2641</v>
      </c>
      <c r="E41" s="37">
        <v>43609</v>
      </c>
      <c r="F41" s="38" t="s">
        <v>3696</v>
      </c>
      <c r="G41" s="39">
        <v>2760</v>
      </c>
      <c r="H41" s="38">
        <f t="shared" si="2"/>
        <v>12</v>
      </c>
      <c r="I41" s="38">
        <f t="shared" si="1"/>
        <v>3</v>
      </c>
      <c r="J41" s="36"/>
      <c r="K41" s="40">
        <v>43653</v>
      </c>
      <c r="L41" s="41" t="s">
        <v>1326</v>
      </c>
      <c r="M41" s="42">
        <v>43648</v>
      </c>
      <c r="N41" s="43" t="s">
        <v>2540</v>
      </c>
      <c r="O41" s="42">
        <v>43653</v>
      </c>
      <c r="P41" s="45"/>
      <c r="Q41" s="38" t="s">
        <v>82</v>
      </c>
      <c r="R41" s="44" t="s">
        <v>3697</v>
      </c>
      <c r="S41" s="46"/>
    </row>
    <row r="42" spans="2:19" s="67" customFormat="1" ht="33" customHeight="1">
      <c r="B42" s="46" t="s">
        <v>17</v>
      </c>
      <c r="C42" s="35" t="s">
        <v>3698</v>
      </c>
      <c r="D42" s="36" t="s">
        <v>2300</v>
      </c>
      <c r="E42" s="37">
        <v>43602</v>
      </c>
      <c r="F42" s="38" t="s">
        <v>3696</v>
      </c>
      <c r="G42" s="39">
        <v>9200</v>
      </c>
      <c r="H42" s="38">
        <f t="shared" si="2"/>
        <v>40</v>
      </c>
      <c r="I42" s="38">
        <f t="shared" si="1"/>
        <v>10</v>
      </c>
      <c r="J42" s="36"/>
      <c r="K42" s="40">
        <v>43695</v>
      </c>
      <c r="L42" s="41" t="s">
        <v>3699</v>
      </c>
      <c r="M42" s="42">
        <v>43683</v>
      </c>
      <c r="N42" s="43" t="s">
        <v>3700</v>
      </c>
      <c r="O42" s="42">
        <v>43688</v>
      </c>
      <c r="P42" s="45"/>
      <c r="Q42" s="38" t="s">
        <v>82</v>
      </c>
      <c r="R42" s="44" t="s">
        <v>3701</v>
      </c>
      <c r="S42" s="46" t="s">
        <v>2764</v>
      </c>
    </row>
    <row r="43" spans="2:19" s="117" customFormat="1" ht="33" customHeight="1">
      <c r="B43" s="103" t="s">
        <v>17</v>
      </c>
      <c r="C43" s="104" t="s">
        <v>3702</v>
      </c>
      <c r="D43" s="105" t="s">
        <v>3703</v>
      </c>
      <c r="E43" s="106">
        <v>43643</v>
      </c>
      <c r="F43" s="107" t="s">
        <v>3696</v>
      </c>
      <c r="G43" s="108">
        <v>4600</v>
      </c>
      <c r="H43" s="107">
        <f t="shared" ref="H43" si="3">SUM(G43/230)</f>
        <v>20</v>
      </c>
      <c r="I43" s="107">
        <f t="shared" ref="I43" si="4">SUM(H43/4)</f>
        <v>5</v>
      </c>
      <c r="J43" s="105"/>
      <c r="K43" s="109">
        <v>43688</v>
      </c>
      <c r="L43" s="110"/>
      <c r="M43" s="111"/>
      <c r="N43" s="112"/>
      <c r="O43" s="111"/>
      <c r="P43" s="113"/>
      <c r="Q43" s="107" t="s">
        <v>82</v>
      </c>
      <c r="R43" s="114"/>
      <c r="S43" s="103"/>
    </row>
    <row r="44" spans="2:19" s="67" customFormat="1" ht="33" customHeight="1">
      <c r="B44" s="46" t="s">
        <v>17</v>
      </c>
      <c r="C44" s="35" t="s">
        <v>3704</v>
      </c>
      <c r="D44" s="36" t="s">
        <v>3377</v>
      </c>
      <c r="E44" s="128">
        <v>43637</v>
      </c>
      <c r="F44" s="124" t="s">
        <v>3696</v>
      </c>
      <c r="G44" s="129">
        <v>9200</v>
      </c>
      <c r="H44" s="124">
        <f t="shared" si="2"/>
        <v>40</v>
      </c>
      <c r="I44" s="124">
        <f t="shared" si="1"/>
        <v>10</v>
      </c>
      <c r="J44" s="127"/>
      <c r="K44" s="130">
        <v>43716</v>
      </c>
      <c r="L44" s="119" t="s">
        <v>3705</v>
      </c>
      <c r="M44" s="120">
        <v>43711</v>
      </c>
      <c r="N44" s="121" t="s">
        <v>3706</v>
      </c>
      <c r="O44" s="120">
        <v>43716</v>
      </c>
      <c r="P44" s="123"/>
      <c r="Q44" s="124"/>
      <c r="R44" s="125" t="s">
        <v>3707</v>
      </c>
      <c r="S44" s="122"/>
    </row>
    <row r="45" spans="2:19" s="67" customFormat="1" ht="33" customHeight="1">
      <c r="B45" s="46" t="s">
        <v>17</v>
      </c>
      <c r="C45" s="35" t="s">
        <v>3708</v>
      </c>
      <c r="D45" s="36" t="s">
        <v>3380</v>
      </c>
      <c r="E45" s="128">
        <v>43637</v>
      </c>
      <c r="F45" s="124" t="s">
        <v>3696</v>
      </c>
      <c r="G45" s="129">
        <v>9200</v>
      </c>
      <c r="H45" s="124">
        <f t="shared" si="2"/>
        <v>40</v>
      </c>
      <c r="I45" s="124">
        <f t="shared" si="1"/>
        <v>10</v>
      </c>
      <c r="J45" s="127"/>
      <c r="K45" s="130">
        <v>43744</v>
      </c>
      <c r="L45" s="119" t="s">
        <v>3709</v>
      </c>
      <c r="M45" s="120">
        <v>43739</v>
      </c>
      <c r="N45" s="121" t="s">
        <v>3710</v>
      </c>
      <c r="O45" s="120">
        <v>43744</v>
      </c>
      <c r="P45" s="123"/>
      <c r="Q45" s="124"/>
      <c r="R45" s="125" t="s">
        <v>3711</v>
      </c>
      <c r="S45" s="122"/>
    </row>
    <row r="46" spans="2:19" s="96" customFormat="1" ht="33" customHeight="1">
      <c r="B46" s="47" t="s">
        <v>81</v>
      </c>
      <c r="C46" s="48" t="s">
        <v>279</v>
      </c>
      <c r="D46" s="49" t="s">
        <v>3712</v>
      </c>
      <c r="E46" s="50">
        <v>43392</v>
      </c>
      <c r="F46" s="52" t="s">
        <v>84</v>
      </c>
      <c r="G46" s="51">
        <v>11960</v>
      </c>
      <c r="H46" s="52">
        <f t="shared" si="2"/>
        <v>52</v>
      </c>
      <c r="I46" s="52">
        <f t="shared" si="1"/>
        <v>13</v>
      </c>
      <c r="J46" s="52"/>
      <c r="K46" s="53">
        <v>43597</v>
      </c>
      <c r="L46" s="54" t="s">
        <v>3713</v>
      </c>
      <c r="M46" s="55">
        <v>43594</v>
      </c>
      <c r="N46" s="56" t="s">
        <v>3714</v>
      </c>
      <c r="O46" s="55">
        <v>43598</v>
      </c>
      <c r="P46" s="58" t="s">
        <v>3715</v>
      </c>
      <c r="Q46" s="47"/>
      <c r="R46" s="57" t="s">
        <v>3716</v>
      </c>
      <c r="S46" s="47"/>
    </row>
    <row r="47" spans="2:19" s="96" customFormat="1" ht="33" customHeight="1">
      <c r="B47" s="47" t="s">
        <v>81</v>
      </c>
      <c r="C47" s="48" t="s">
        <v>3717</v>
      </c>
      <c r="D47" s="49" t="s">
        <v>3712</v>
      </c>
      <c r="E47" s="50">
        <v>43392</v>
      </c>
      <c r="F47" s="52" t="s">
        <v>84</v>
      </c>
      <c r="G47" s="51">
        <v>1840</v>
      </c>
      <c r="H47" s="52">
        <f t="shared" si="2"/>
        <v>8</v>
      </c>
      <c r="I47" s="52">
        <f t="shared" si="1"/>
        <v>2</v>
      </c>
      <c r="J47" s="52"/>
      <c r="K47" s="53">
        <v>43597</v>
      </c>
      <c r="L47" s="54" t="s">
        <v>773</v>
      </c>
      <c r="M47" s="55">
        <v>43601</v>
      </c>
      <c r="N47" s="56" t="s">
        <v>3718</v>
      </c>
      <c r="O47" s="55">
        <v>43605</v>
      </c>
      <c r="P47" s="58" t="s">
        <v>3715</v>
      </c>
      <c r="Q47" s="47"/>
      <c r="R47" s="57" t="s">
        <v>3716</v>
      </c>
      <c r="S47" s="47" t="s">
        <v>1329</v>
      </c>
    </row>
    <row r="48" spans="2:19" s="96" customFormat="1" ht="33" customHeight="1">
      <c r="B48" s="47" t="s">
        <v>81</v>
      </c>
      <c r="C48" s="48" t="s">
        <v>318</v>
      </c>
      <c r="D48" s="49" t="s">
        <v>319</v>
      </c>
      <c r="E48" s="50">
        <v>43420</v>
      </c>
      <c r="F48" s="52" t="s">
        <v>3696</v>
      </c>
      <c r="G48" s="51">
        <v>17940</v>
      </c>
      <c r="H48" s="52">
        <f t="shared" si="2"/>
        <v>78</v>
      </c>
      <c r="I48" s="52">
        <f t="shared" si="1"/>
        <v>19.5</v>
      </c>
      <c r="J48" s="52"/>
      <c r="K48" s="53">
        <v>43576</v>
      </c>
      <c r="L48" s="54" t="s">
        <v>480</v>
      </c>
      <c r="M48" s="55">
        <v>43564</v>
      </c>
      <c r="N48" s="56" t="s">
        <v>3719</v>
      </c>
      <c r="O48" s="55">
        <v>43569</v>
      </c>
      <c r="P48" s="58"/>
      <c r="Q48" s="47"/>
      <c r="R48" s="57" t="s">
        <v>3720</v>
      </c>
      <c r="S48" s="47" t="s">
        <v>3721</v>
      </c>
    </row>
    <row r="49" spans="2:19" s="96" customFormat="1" ht="33" customHeight="1">
      <c r="B49" s="47" t="s">
        <v>81</v>
      </c>
      <c r="C49" s="48" t="s">
        <v>3722</v>
      </c>
      <c r="D49" s="49" t="s">
        <v>701</v>
      </c>
      <c r="E49" s="50">
        <v>43532</v>
      </c>
      <c r="F49" s="52" t="s">
        <v>3696</v>
      </c>
      <c r="G49" s="51">
        <v>13800</v>
      </c>
      <c r="H49" s="52">
        <f t="shared" si="2"/>
        <v>60</v>
      </c>
      <c r="I49" s="52">
        <f t="shared" si="1"/>
        <v>15</v>
      </c>
      <c r="J49" s="52"/>
      <c r="K49" s="53">
        <v>43615</v>
      </c>
      <c r="L49" s="54" t="s">
        <v>3723</v>
      </c>
      <c r="M49" s="55">
        <v>43613</v>
      </c>
      <c r="N49" s="56" t="s">
        <v>3724</v>
      </c>
      <c r="O49" s="55">
        <v>43618</v>
      </c>
      <c r="P49" s="58"/>
      <c r="Q49" s="47"/>
      <c r="R49" s="57" t="s">
        <v>3725</v>
      </c>
      <c r="S49" s="47"/>
    </row>
    <row r="50" spans="2:19" s="67" customFormat="1" ht="33" customHeight="1">
      <c r="B50" s="46" t="s">
        <v>81</v>
      </c>
      <c r="C50" s="35" t="s">
        <v>3726</v>
      </c>
      <c r="D50" s="36" t="s">
        <v>3727</v>
      </c>
      <c r="E50" s="37">
        <v>43532</v>
      </c>
      <c r="F50" s="38" t="s">
        <v>3696</v>
      </c>
      <c r="G50" s="39">
        <v>4600</v>
      </c>
      <c r="H50" s="38">
        <f t="shared" si="2"/>
        <v>20</v>
      </c>
      <c r="I50" s="38">
        <f t="shared" si="1"/>
        <v>5</v>
      </c>
      <c r="J50" s="38"/>
      <c r="K50" s="40">
        <v>43615</v>
      </c>
      <c r="L50" s="41" t="s">
        <v>3693</v>
      </c>
      <c r="M50" s="42">
        <v>43620</v>
      </c>
      <c r="N50" s="43" t="s">
        <v>3694</v>
      </c>
      <c r="O50" s="42">
        <v>43625</v>
      </c>
      <c r="P50" s="45"/>
      <c r="Q50" s="46"/>
      <c r="R50" s="44" t="s">
        <v>3725</v>
      </c>
      <c r="S50" s="46"/>
    </row>
    <row r="51" spans="2:19" s="67" customFormat="1" ht="33" customHeight="1">
      <c r="B51" s="46" t="s">
        <v>81</v>
      </c>
      <c r="C51" s="35" t="s">
        <v>702</v>
      </c>
      <c r="D51" s="36" t="s">
        <v>703</v>
      </c>
      <c r="E51" s="37">
        <v>43532</v>
      </c>
      <c r="F51" s="38" t="s">
        <v>3696</v>
      </c>
      <c r="G51" s="39">
        <v>9200</v>
      </c>
      <c r="H51" s="38">
        <f t="shared" si="2"/>
        <v>40</v>
      </c>
      <c r="I51" s="38">
        <f t="shared" si="1"/>
        <v>10</v>
      </c>
      <c r="J51" s="38"/>
      <c r="K51" s="40">
        <v>43632</v>
      </c>
      <c r="L51" s="41" t="s">
        <v>807</v>
      </c>
      <c r="M51" s="42">
        <v>43627</v>
      </c>
      <c r="N51" s="43" t="s">
        <v>808</v>
      </c>
      <c r="O51" s="42">
        <v>43632</v>
      </c>
      <c r="P51" s="45"/>
      <c r="Q51" s="46"/>
      <c r="R51" s="44" t="s">
        <v>3728</v>
      </c>
      <c r="S51" s="46"/>
    </row>
    <row r="52" spans="2:19" s="67" customFormat="1" ht="33" customHeight="1">
      <c r="B52" s="46" t="s">
        <v>81</v>
      </c>
      <c r="C52" s="35" t="s">
        <v>852</v>
      </c>
      <c r="D52" s="36" t="s">
        <v>1990</v>
      </c>
      <c r="E52" s="37">
        <v>43558</v>
      </c>
      <c r="F52" s="38" t="s">
        <v>3696</v>
      </c>
      <c r="G52" s="39">
        <v>9200</v>
      </c>
      <c r="H52" s="38">
        <f t="shared" si="2"/>
        <v>40</v>
      </c>
      <c r="I52" s="38">
        <f t="shared" si="1"/>
        <v>10</v>
      </c>
      <c r="J52" s="38"/>
      <c r="K52" s="40">
        <v>43639</v>
      </c>
      <c r="L52" s="41" t="s">
        <v>1083</v>
      </c>
      <c r="M52" s="42">
        <v>43634</v>
      </c>
      <c r="N52" s="43" t="s">
        <v>1084</v>
      </c>
      <c r="O52" s="42">
        <v>43639</v>
      </c>
      <c r="P52" s="45"/>
      <c r="Q52" s="46"/>
      <c r="R52" s="44" t="s">
        <v>3728</v>
      </c>
      <c r="S52" s="46"/>
    </row>
    <row r="53" spans="2:19" s="67" customFormat="1" ht="33" customHeight="1">
      <c r="B53" s="46" t="s">
        <v>81</v>
      </c>
      <c r="C53" s="35" t="s">
        <v>1435</v>
      </c>
      <c r="D53" s="36" t="s">
        <v>1436</v>
      </c>
      <c r="E53" s="37">
        <v>43574</v>
      </c>
      <c r="F53" s="38" t="s">
        <v>3696</v>
      </c>
      <c r="G53" s="39">
        <v>18400</v>
      </c>
      <c r="H53" s="38">
        <f t="shared" si="2"/>
        <v>80</v>
      </c>
      <c r="I53" s="38">
        <f t="shared" si="1"/>
        <v>20</v>
      </c>
      <c r="J53" s="38"/>
      <c r="K53" s="40">
        <v>43646</v>
      </c>
      <c r="L53" s="41" t="s">
        <v>3729</v>
      </c>
      <c r="M53" s="42">
        <v>43641</v>
      </c>
      <c r="N53" s="43" t="s">
        <v>3730</v>
      </c>
      <c r="O53" s="42">
        <v>43646</v>
      </c>
      <c r="P53" s="45"/>
      <c r="Q53" s="46"/>
      <c r="R53" s="44" t="s">
        <v>3731</v>
      </c>
      <c r="S53" s="46" t="s">
        <v>3251</v>
      </c>
    </row>
    <row r="54" spans="2:19" s="67" customFormat="1" ht="33" customHeight="1">
      <c r="B54" s="46" t="s">
        <v>81</v>
      </c>
      <c r="C54" s="35" t="s">
        <v>2322</v>
      </c>
      <c r="D54" s="36" t="s">
        <v>2323</v>
      </c>
      <c r="E54" s="37">
        <v>43602</v>
      </c>
      <c r="F54" s="38" t="s">
        <v>3696</v>
      </c>
      <c r="G54" s="39">
        <v>18400</v>
      </c>
      <c r="H54" s="38">
        <f t="shared" si="2"/>
        <v>80</v>
      </c>
      <c r="I54" s="38">
        <f t="shared" si="1"/>
        <v>20</v>
      </c>
      <c r="J54" s="38"/>
      <c r="K54" s="40">
        <v>43674</v>
      </c>
      <c r="L54" s="41" t="s">
        <v>2146</v>
      </c>
      <c r="M54" s="42">
        <v>43669</v>
      </c>
      <c r="N54" s="43" t="s">
        <v>2551</v>
      </c>
      <c r="O54" s="42">
        <v>43674</v>
      </c>
      <c r="P54" s="45"/>
      <c r="Q54" s="46"/>
      <c r="R54" s="44" t="s">
        <v>3732</v>
      </c>
      <c r="S54" s="46"/>
    </row>
    <row r="55" spans="2:19" s="67" customFormat="1" ht="33" customHeight="1">
      <c r="B55" s="46" t="s">
        <v>81</v>
      </c>
      <c r="C55" s="35" t="s">
        <v>2325</v>
      </c>
      <c r="D55" s="36" t="s">
        <v>2326</v>
      </c>
      <c r="E55" s="37">
        <v>43602</v>
      </c>
      <c r="F55" s="38" t="s">
        <v>3733</v>
      </c>
      <c r="G55" s="129">
        <v>10580</v>
      </c>
      <c r="H55" s="124">
        <f t="shared" si="2"/>
        <v>46</v>
      </c>
      <c r="I55" s="124">
        <f t="shared" si="1"/>
        <v>11.5</v>
      </c>
      <c r="J55" s="38"/>
      <c r="K55" s="40">
        <v>43681</v>
      </c>
      <c r="L55" s="41" t="s">
        <v>3734</v>
      </c>
      <c r="M55" s="42">
        <v>43676</v>
      </c>
      <c r="N55" s="43" t="s">
        <v>3735</v>
      </c>
      <c r="O55" s="42">
        <v>43681</v>
      </c>
      <c r="P55" s="45"/>
      <c r="Q55" s="46"/>
      <c r="R55" s="125" t="s">
        <v>3736</v>
      </c>
      <c r="S55" s="122" t="s">
        <v>3549</v>
      </c>
    </row>
    <row r="56" spans="2:19" s="67" customFormat="1" ht="33" customHeight="1">
      <c r="B56" s="46" t="s">
        <v>81</v>
      </c>
      <c r="C56" s="35" t="s">
        <v>3406</v>
      </c>
      <c r="D56" s="36" t="s">
        <v>3407</v>
      </c>
      <c r="E56" s="128">
        <v>43637</v>
      </c>
      <c r="F56" s="124" t="s">
        <v>3733</v>
      </c>
      <c r="G56" s="129">
        <v>12880</v>
      </c>
      <c r="H56" s="124">
        <f t="shared" si="2"/>
        <v>56</v>
      </c>
      <c r="I56" s="124">
        <f t="shared" si="1"/>
        <v>14</v>
      </c>
      <c r="J56" s="124"/>
      <c r="K56" s="130">
        <v>43723</v>
      </c>
      <c r="L56" s="119" t="s">
        <v>3737</v>
      </c>
      <c r="M56" s="120">
        <v>43718</v>
      </c>
      <c r="N56" s="121" t="s">
        <v>3738</v>
      </c>
      <c r="O56" s="120">
        <v>43723</v>
      </c>
      <c r="P56" s="123"/>
      <c r="Q56" s="122"/>
      <c r="R56" s="125" t="s">
        <v>3739</v>
      </c>
      <c r="S56" s="122"/>
    </row>
    <row r="57" spans="2:19" s="67" customFormat="1" ht="33" customHeight="1">
      <c r="B57" s="46" t="s">
        <v>81</v>
      </c>
      <c r="C57" s="35" t="s">
        <v>3740</v>
      </c>
      <c r="D57" s="36" t="s">
        <v>3407</v>
      </c>
      <c r="E57" s="128">
        <v>43637</v>
      </c>
      <c r="F57" s="124" t="s">
        <v>3733</v>
      </c>
      <c r="G57" s="129">
        <v>920</v>
      </c>
      <c r="H57" s="124">
        <f>SUM(G57/230)</f>
        <v>4</v>
      </c>
      <c r="I57" s="124">
        <v>1</v>
      </c>
      <c r="J57" s="124"/>
      <c r="K57" s="130">
        <v>43723</v>
      </c>
      <c r="L57" s="119" t="s">
        <v>3741</v>
      </c>
      <c r="M57" s="120">
        <v>43711</v>
      </c>
      <c r="N57" s="121" t="s">
        <v>3742</v>
      </c>
      <c r="O57" s="120">
        <v>43716</v>
      </c>
      <c r="P57" s="123"/>
      <c r="Q57" s="122"/>
      <c r="R57" s="125" t="s">
        <v>3739</v>
      </c>
      <c r="S57" s="122"/>
    </row>
    <row r="58" spans="2:19" s="67" customFormat="1" ht="33" customHeight="1">
      <c r="B58" s="46" t="s">
        <v>81</v>
      </c>
      <c r="C58" s="35" t="s">
        <v>3409</v>
      </c>
      <c r="D58" s="105" t="s">
        <v>3743</v>
      </c>
      <c r="E58" s="128">
        <v>43637</v>
      </c>
      <c r="F58" s="124" t="s">
        <v>3733</v>
      </c>
      <c r="G58" s="129">
        <v>9200</v>
      </c>
      <c r="H58" s="124">
        <f t="shared" si="2"/>
        <v>40</v>
      </c>
      <c r="I58" s="124">
        <f t="shared" si="1"/>
        <v>10</v>
      </c>
      <c r="J58" s="124"/>
      <c r="K58" s="130">
        <v>43667</v>
      </c>
      <c r="L58" s="119" t="s">
        <v>3744</v>
      </c>
      <c r="M58" s="120">
        <v>43662</v>
      </c>
      <c r="N58" s="121" t="s">
        <v>3745</v>
      </c>
      <c r="O58" s="120">
        <v>43667</v>
      </c>
      <c r="P58" s="123"/>
      <c r="Q58" s="122"/>
      <c r="R58" s="125"/>
      <c r="S58" s="122"/>
    </row>
    <row r="59" spans="2:19" s="96" customFormat="1" ht="33" customHeight="1">
      <c r="B59" s="47" t="s">
        <v>3746</v>
      </c>
      <c r="C59" s="48" t="s">
        <v>3747</v>
      </c>
      <c r="D59" s="49" t="s">
        <v>705</v>
      </c>
      <c r="E59" s="50">
        <v>43532</v>
      </c>
      <c r="F59" s="52" t="s">
        <v>3733</v>
      </c>
      <c r="G59" s="51">
        <v>920</v>
      </c>
      <c r="H59" s="52">
        <f t="shared" si="2"/>
        <v>4</v>
      </c>
      <c r="I59" s="52">
        <f t="shared" si="1"/>
        <v>1</v>
      </c>
      <c r="J59" s="52"/>
      <c r="K59" s="53">
        <v>43609</v>
      </c>
      <c r="L59" s="54" t="s">
        <v>773</v>
      </c>
      <c r="M59" s="55">
        <v>43601</v>
      </c>
      <c r="N59" s="56" t="s">
        <v>774</v>
      </c>
      <c r="O59" s="55">
        <v>43605</v>
      </c>
      <c r="P59" s="58"/>
      <c r="Q59" s="47"/>
      <c r="R59" s="57"/>
      <c r="S59" s="47" t="s">
        <v>3748</v>
      </c>
    </row>
    <row r="60" spans="2:19" s="96" customFormat="1" ht="33" customHeight="1">
      <c r="B60" s="47" t="s">
        <v>3749</v>
      </c>
      <c r="C60" s="48" t="s">
        <v>3747</v>
      </c>
      <c r="D60" s="49" t="s">
        <v>3750</v>
      </c>
      <c r="E60" s="50">
        <v>43511</v>
      </c>
      <c r="F60" s="52" t="s">
        <v>3733</v>
      </c>
      <c r="G60" s="51">
        <v>460</v>
      </c>
      <c r="H60" s="52">
        <f t="shared" si="2"/>
        <v>2</v>
      </c>
      <c r="I60" s="52">
        <f t="shared" si="1"/>
        <v>0.5</v>
      </c>
      <c r="J60" s="52"/>
      <c r="K60" s="53">
        <v>43576</v>
      </c>
      <c r="L60" s="54" t="s">
        <v>480</v>
      </c>
      <c r="M60" s="55">
        <v>43564</v>
      </c>
      <c r="N60" s="56" t="s">
        <v>646</v>
      </c>
      <c r="O60" s="55">
        <v>43569</v>
      </c>
      <c r="P60" s="58"/>
      <c r="Q60" s="47"/>
      <c r="R60" s="57" t="s">
        <v>3751</v>
      </c>
      <c r="S60" s="47"/>
    </row>
    <row r="61" spans="2:19" s="67" customFormat="1" ht="33" customHeight="1">
      <c r="B61" s="46" t="s">
        <v>3749</v>
      </c>
      <c r="C61" s="35" t="s">
        <v>2333</v>
      </c>
      <c r="D61" s="36" t="s">
        <v>2334</v>
      </c>
      <c r="E61" s="37">
        <v>43602</v>
      </c>
      <c r="F61" s="38" t="s">
        <v>3733</v>
      </c>
      <c r="G61" s="39">
        <v>460</v>
      </c>
      <c r="H61" s="38">
        <f t="shared" si="2"/>
        <v>2</v>
      </c>
      <c r="I61" s="38">
        <f t="shared" si="1"/>
        <v>0.5</v>
      </c>
      <c r="J61" s="38"/>
      <c r="K61" s="40">
        <v>43681</v>
      </c>
      <c r="L61" s="41" t="s">
        <v>3734</v>
      </c>
      <c r="M61" s="42">
        <v>43676</v>
      </c>
      <c r="N61" s="43" t="s">
        <v>3735</v>
      </c>
      <c r="O61" s="42">
        <v>43681</v>
      </c>
      <c r="P61" s="45"/>
      <c r="Q61" s="46"/>
      <c r="R61" s="125" t="s">
        <v>3736</v>
      </c>
      <c r="S61" s="122" t="s">
        <v>3549</v>
      </c>
    </row>
    <row r="62" spans="2:19" s="33" customFormat="1" ht="33" customHeight="1">
      <c r="B62" s="47" t="s">
        <v>3752</v>
      </c>
      <c r="C62" s="48" t="s">
        <v>430</v>
      </c>
      <c r="D62" s="49" t="s">
        <v>470</v>
      </c>
      <c r="E62" s="50">
        <v>43473</v>
      </c>
      <c r="F62" s="52" t="s">
        <v>3733</v>
      </c>
      <c r="G62" s="51">
        <v>1920</v>
      </c>
      <c r="H62" s="52">
        <f t="shared" ref="H62:H71" si="5">SUM(G62/20)</f>
        <v>96</v>
      </c>
      <c r="I62" s="52">
        <f t="shared" ref="I62:I71" si="6">SUM(H62/32)</f>
        <v>3</v>
      </c>
      <c r="J62" s="59"/>
      <c r="K62" s="53">
        <v>43555</v>
      </c>
      <c r="L62" s="54" t="s">
        <v>480</v>
      </c>
      <c r="M62" s="55">
        <v>43564</v>
      </c>
      <c r="N62" s="56" t="s">
        <v>3753</v>
      </c>
      <c r="O62" s="55">
        <v>43569</v>
      </c>
      <c r="P62" s="58"/>
      <c r="Q62" s="60" t="s">
        <v>89</v>
      </c>
      <c r="R62" s="57" t="s">
        <v>3754</v>
      </c>
      <c r="S62" s="47"/>
    </row>
    <row r="63" spans="2:19" s="33" customFormat="1" ht="33" customHeight="1">
      <c r="B63" s="47" t="s">
        <v>3752</v>
      </c>
      <c r="C63" s="48" t="s">
        <v>519</v>
      </c>
      <c r="D63" s="49" t="s">
        <v>710</v>
      </c>
      <c r="E63" s="50">
        <v>43511</v>
      </c>
      <c r="F63" s="52" t="s">
        <v>3733</v>
      </c>
      <c r="G63" s="51">
        <v>640</v>
      </c>
      <c r="H63" s="52">
        <f t="shared" si="5"/>
        <v>32</v>
      </c>
      <c r="I63" s="52">
        <f t="shared" si="6"/>
        <v>1</v>
      </c>
      <c r="J63" s="59"/>
      <c r="K63" s="53">
        <v>43555</v>
      </c>
      <c r="L63" s="54" t="s">
        <v>608</v>
      </c>
      <c r="M63" s="55">
        <v>43557</v>
      </c>
      <c r="N63" s="56" t="s">
        <v>3755</v>
      </c>
      <c r="O63" s="55">
        <v>43562</v>
      </c>
      <c r="P63" s="58"/>
      <c r="Q63" s="60" t="s">
        <v>89</v>
      </c>
      <c r="R63" s="57" t="s">
        <v>3754</v>
      </c>
      <c r="S63" s="47"/>
    </row>
    <row r="64" spans="2:19" s="33" customFormat="1" ht="33" customHeight="1">
      <c r="B64" s="47" t="s">
        <v>3752</v>
      </c>
      <c r="C64" s="48" t="s">
        <v>520</v>
      </c>
      <c r="D64" s="49" t="s">
        <v>584</v>
      </c>
      <c r="E64" s="50">
        <v>43511</v>
      </c>
      <c r="F64" s="52" t="s">
        <v>3733</v>
      </c>
      <c r="G64" s="51">
        <v>1920</v>
      </c>
      <c r="H64" s="52">
        <f t="shared" si="5"/>
        <v>96</v>
      </c>
      <c r="I64" s="52">
        <f t="shared" si="6"/>
        <v>3</v>
      </c>
      <c r="J64" s="59"/>
      <c r="K64" s="53">
        <v>43576</v>
      </c>
      <c r="L64" s="54" t="s">
        <v>503</v>
      </c>
      <c r="M64" s="55">
        <v>43571</v>
      </c>
      <c r="N64" s="56" t="s">
        <v>3756</v>
      </c>
      <c r="O64" s="55">
        <v>43576</v>
      </c>
      <c r="P64" s="58"/>
      <c r="Q64" s="60" t="s">
        <v>89</v>
      </c>
      <c r="R64" s="57" t="s">
        <v>3757</v>
      </c>
      <c r="S64" s="47"/>
    </row>
    <row r="65" spans="2:19" s="33" customFormat="1" ht="33" customHeight="1">
      <c r="B65" s="47" t="s">
        <v>3752</v>
      </c>
      <c r="C65" s="48" t="s">
        <v>586</v>
      </c>
      <c r="D65" s="49" t="s">
        <v>640</v>
      </c>
      <c r="E65" s="50">
        <v>43519</v>
      </c>
      <c r="F65" s="52" t="s">
        <v>3733</v>
      </c>
      <c r="G65" s="51">
        <v>2560</v>
      </c>
      <c r="H65" s="52">
        <f t="shared" si="5"/>
        <v>128</v>
      </c>
      <c r="I65" s="52">
        <f t="shared" si="6"/>
        <v>4</v>
      </c>
      <c r="J65" s="59"/>
      <c r="K65" s="53">
        <v>43611</v>
      </c>
      <c r="L65" s="54" t="s">
        <v>773</v>
      </c>
      <c r="M65" s="55">
        <v>43601</v>
      </c>
      <c r="N65" s="56" t="s">
        <v>3758</v>
      </c>
      <c r="O65" s="55">
        <v>43605</v>
      </c>
      <c r="P65" s="58"/>
      <c r="Q65" s="60" t="s">
        <v>89</v>
      </c>
      <c r="R65" s="57" t="s">
        <v>3759</v>
      </c>
      <c r="S65" s="47" t="s">
        <v>980</v>
      </c>
    </row>
    <row r="66" spans="2:19" s="30" customFormat="1" ht="33" customHeight="1">
      <c r="B66" s="46" t="s">
        <v>3752</v>
      </c>
      <c r="C66" s="35" t="s">
        <v>713</v>
      </c>
      <c r="D66" s="36" t="s">
        <v>714</v>
      </c>
      <c r="E66" s="37">
        <v>43532</v>
      </c>
      <c r="F66" s="38" t="s">
        <v>3733</v>
      </c>
      <c r="G66" s="39">
        <v>1920</v>
      </c>
      <c r="H66" s="38">
        <f t="shared" si="5"/>
        <v>96</v>
      </c>
      <c r="I66" s="38">
        <f t="shared" si="6"/>
        <v>3</v>
      </c>
      <c r="J66" s="61"/>
      <c r="K66" s="40">
        <v>43639</v>
      </c>
      <c r="L66" s="41" t="s">
        <v>1083</v>
      </c>
      <c r="M66" s="42">
        <v>43634</v>
      </c>
      <c r="N66" s="43" t="s">
        <v>1084</v>
      </c>
      <c r="O66" s="42">
        <v>43639</v>
      </c>
      <c r="P66" s="45"/>
      <c r="Q66" s="62" t="s">
        <v>89</v>
      </c>
      <c r="R66" s="44" t="s">
        <v>3760</v>
      </c>
      <c r="S66" s="46"/>
    </row>
    <row r="67" spans="2:19" s="30" customFormat="1" ht="33" customHeight="1">
      <c r="B67" s="46" t="s">
        <v>3752</v>
      </c>
      <c r="C67" s="35" t="s">
        <v>1184</v>
      </c>
      <c r="D67" s="36" t="s">
        <v>1185</v>
      </c>
      <c r="E67" s="37">
        <v>43567</v>
      </c>
      <c r="F67" s="38" t="s">
        <v>3733</v>
      </c>
      <c r="G67" s="39">
        <v>2560</v>
      </c>
      <c r="H67" s="38">
        <f t="shared" si="5"/>
        <v>128</v>
      </c>
      <c r="I67" s="38">
        <f t="shared" si="6"/>
        <v>4</v>
      </c>
      <c r="J67" s="61"/>
      <c r="K67" s="40">
        <v>43653</v>
      </c>
      <c r="L67" s="41" t="s">
        <v>1326</v>
      </c>
      <c r="M67" s="42">
        <v>43648</v>
      </c>
      <c r="N67" s="43" t="s">
        <v>2540</v>
      </c>
      <c r="O67" s="42">
        <v>43653</v>
      </c>
      <c r="P67" s="45"/>
      <c r="Q67" s="62" t="s">
        <v>89</v>
      </c>
      <c r="R67" s="44" t="s">
        <v>3761</v>
      </c>
      <c r="S67" s="46"/>
    </row>
    <row r="68" spans="2:19" s="30" customFormat="1" ht="33" customHeight="1">
      <c r="B68" s="46" t="s">
        <v>3752</v>
      </c>
      <c r="C68" s="35" t="s">
        <v>3762</v>
      </c>
      <c r="D68" s="36" t="s">
        <v>2685</v>
      </c>
      <c r="E68" s="37">
        <v>43609</v>
      </c>
      <c r="F68" s="38" t="s">
        <v>3733</v>
      </c>
      <c r="G68" s="39">
        <v>1280</v>
      </c>
      <c r="H68" s="38">
        <f t="shared" si="5"/>
        <v>64</v>
      </c>
      <c r="I68" s="38">
        <f t="shared" si="6"/>
        <v>2</v>
      </c>
      <c r="J68" s="61"/>
      <c r="K68" s="40">
        <v>43653</v>
      </c>
      <c r="L68" s="41" t="s">
        <v>1326</v>
      </c>
      <c r="M68" s="42">
        <v>43648</v>
      </c>
      <c r="N68" s="43" t="s">
        <v>2540</v>
      </c>
      <c r="O68" s="42">
        <v>43653</v>
      </c>
      <c r="P68" s="45"/>
      <c r="Q68" s="62" t="s">
        <v>89</v>
      </c>
      <c r="R68" s="44" t="s">
        <v>3761</v>
      </c>
      <c r="S68" s="46"/>
    </row>
    <row r="69" spans="2:19" s="30" customFormat="1" ht="33" customHeight="1">
      <c r="B69" s="46" t="s">
        <v>3752</v>
      </c>
      <c r="C69" s="35" t="s">
        <v>2357</v>
      </c>
      <c r="D69" s="36" t="s">
        <v>2358</v>
      </c>
      <c r="E69" s="37">
        <v>43602</v>
      </c>
      <c r="F69" s="38" t="s">
        <v>3733</v>
      </c>
      <c r="G69" s="39">
        <v>2560</v>
      </c>
      <c r="H69" s="38">
        <f t="shared" si="5"/>
        <v>128</v>
      </c>
      <c r="I69" s="38">
        <f t="shared" si="6"/>
        <v>4</v>
      </c>
      <c r="J69" s="61"/>
      <c r="K69" s="40">
        <v>43674</v>
      </c>
      <c r="L69" s="41" t="s">
        <v>2146</v>
      </c>
      <c r="M69" s="42">
        <v>43669</v>
      </c>
      <c r="N69" s="43" t="s">
        <v>2551</v>
      </c>
      <c r="O69" s="42">
        <v>43674</v>
      </c>
      <c r="P69" s="45"/>
      <c r="Q69" s="62" t="s">
        <v>89</v>
      </c>
      <c r="R69" s="44" t="s">
        <v>3763</v>
      </c>
      <c r="S69" s="46"/>
    </row>
    <row r="70" spans="2:19" s="30" customFormat="1" ht="33" customHeight="1">
      <c r="B70" s="46" t="s">
        <v>3764</v>
      </c>
      <c r="C70" s="35" t="s">
        <v>2360</v>
      </c>
      <c r="D70" s="36" t="s">
        <v>3765</v>
      </c>
      <c r="E70" s="37">
        <v>43602</v>
      </c>
      <c r="F70" s="38" t="s">
        <v>3696</v>
      </c>
      <c r="G70" s="39">
        <v>2560</v>
      </c>
      <c r="H70" s="38">
        <f t="shared" si="5"/>
        <v>128</v>
      </c>
      <c r="I70" s="38">
        <f t="shared" si="6"/>
        <v>4</v>
      </c>
      <c r="J70" s="61"/>
      <c r="K70" s="40">
        <v>43695</v>
      </c>
      <c r="L70" s="41" t="s">
        <v>2505</v>
      </c>
      <c r="M70" s="42">
        <v>43683</v>
      </c>
      <c r="N70" s="43" t="s">
        <v>3700</v>
      </c>
      <c r="O70" s="42">
        <v>43688</v>
      </c>
      <c r="P70" s="45"/>
      <c r="Q70" s="62" t="s">
        <v>89</v>
      </c>
      <c r="R70" s="44" t="s">
        <v>3766</v>
      </c>
      <c r="S70" s="46"/>
    </row>
    <row r="71" spans="2:19" s="30" customFormat="1" ht="33" customHeight="1">
      <c r="B71" s="46" t="s">
        <v>3764</v>
      </c>
      <c r="C71" s="35" t="s">
        <v>3429</v>
      </c>
      <c r="D71" s="36" t="s">
        <v>3430</v>
      </c>
      <c r="E71" s="128">
        <v>43637</v>
      </c>
      <c r="F71" s="124" t="s">
        <v>3696</v>
      </c>
      <c r="G71" s="129">
        <v>3840</v>
      </c>
      <c r="H71" s="124">
        <f t="shared" si="5"/>
        <v>192</v>
      </c>
      <c r="I71" s="124">
        <f t="shared" si="6"/>
        <v>6</v>
      </c>
      <c r="J71" s="131"/>
      <c r="K71" s="130">
        <v>43723</v>
      </c>
      <c r="L71" s="119" t="s">
        <v>3767</v>
      </c>
      <c r="M71" s="120">
        <v>43718</v>
      </c>
      <c r="N71" s="121" t="s">
        <v>3768</v>
      </c>
      <c r="O71" s="120">
        <v>43723</v>
      </c>
      <c r="P71" s="123"/>
      <c r="Q71" s="132" t="s">
        <v>89</v>
      </c>
      <c r="R71" s="125" t="s">
        <v>3769</v>
      </c>
      <c r="S71" s="122"/>
    </row>
    <row r="72" spans="2:19" s="33" customFormat="1" ht="33" customHeight="1">
      <c r="B72" s="47" t="s">
        <v>38</v>
      </c>
      <c r="C72" s="48" t="s">
        <v>225</v>
      </c>
      <c r="D72" s="49" t="s">
        <v>587</v>
      </c>
      <c r="E72" s="50">
        <v>43519</v>
      </c>
      <c r="F72" s="52" t="s">
        <v>3770</v>
      </c>
      <c r="G72" s="64">
        <v>640</v>
      </c>
      <c r="H72" s="52">
        <f>SUBTOTAL(9,G72)/20</f>
        <v>32</v>
      </c>
      <c r="I72" s="52">
        <f>H72/32</f>
        <v>1</v>
      </c>
      <c r="J72" s="52"/>
      <c r="K72" s="53">
        <v>43583</v>
      </c>
      <c r="L72" s="54" t="s">
        <v>565</v>
      </c>
      <c r="M72" s="55">
        <v>43578</v>
      </c>
      <c r="N72" s="56" t="s">
        <v>3771</v>
      </c>
      <c r="O72" s="55">
        <v>43583</v>
      </c>
      <c r="P72" s="58"/>
      <c r="Q72" s="52"/>
      <c r="R72" s="63" t="s">
        <v>3716</v>
      </c>
      <c r="S72" s="47"/>
    </row>
    <row r="73" spans="2:19" s="30" customFormat="1" ht="33" customHeight="1">
      <c r="B73" s="46" t="s">
        <v>38</v>
      </c>
      <c r="C73" s="35" t="s">
        <v>226</v>
      </c>
      <c r="D73" s="36" t="s">
        <v>1194</v>
      </c>
      <c r="E73" s="37">
        <v>43567</v>
      </c>
      <c r="F73" s="38" t="s">
        <v>3770</v>
      </c>
      <c r="G73" s="65">
        <v>640</v>
      </c>
      <c r="H73" s="38">
        <f>SUBTOTAL(9,G73)/20</f>
        <v>32</v>
      </c>
      <c r="I73" s="38">
        <f>H73/32</f>
        <v>1</v>
      </c>
      <c r="J73" s="38"/>
      <c r="K73" s="109">
        <v>43765</v>
      </c>
      <c r="L73" s="119" t="s">
        <v>3772</v>
      </c>
      <c r="M73" s="120">
        <v>43725</v>
      </c>
      <c r="N73" s="121" t="s">
        <v>3773</v>
      </c>
      <c r="O73" s="120">
        <v>43730</v>
      </c>
      <c r="P73" s="45"/>
      <c r="Q73" s="38"/>
      <c r="R73" s="116" t="s">
        <v>3774</v>
      </c>
      <c r="S73" s="46"/>
    </row>
    <row r="74" spans="2:19" s="33" customFormat="1" ht="33" customHeight="1">
      <c r="B74" s="47" t="s">
        <v>88</v>
      </c>
      <c r="C74" s="48" t="s">
        <v>431</v>
      </c>
      <c r="D74" s="49" t="s">
        <v>471</v>
      </c>
      <c r="E74" s="50">
        <v>43483</v>
      </c>
      <c r="F74" s="52" t="s">
        <v>3770</v>
      </c>
      <c r="G74" s="64">
        <v>760</v>
      </c>
      <c r="H74" s="52">
        <f t="shared" ref="H74:H80" si="7">SUBTOTAL(9,G74)/190</f>
        <v>4</v>
      </c>
      <c r="I74" s="52">
        <f t="shared" ref="I74:I80" si="8">H74/4</f>
        <v>1</v>
      </c>
      <c r="J74" s="52"/>
      <c r="K74" s="53">
        <v>43569</v>
      </c>
      <c r="L74" s="54" t="s">
        <v>417</v>
      </c>
      <c r="M74" s="55">
        <v>43564</v>
      </c>
      <c r="N74" s="56" t="s">
        <v>3753</v>
      </c>
      <c r="O74" s="55">
        <v>43569</v>
      </c>
      <c r="P74" s="58"/>
      <c r="Q74" s="52"/>
      <c r="R74" s="63" t="s">
        <v>3775</v>
      </c>
      <c r="S74" s="47"/>
    </row>
    <row r="75" spans="2:19" s="33" customFormat="1" ht="33" customHeight="1">
      <c r="B75" s="47" t="s">
        <v>88</v>
      </c>
      <c r="C75" s="48" t="s">
        <v>523</v>
      </c>
      <c r="D75" s="49" t="s">
        <v>588</v>
      </c>
      <c r="E75" s="50">
        <v>43511</v>
      </c>
      <c r="F75" s="52" t="s">
        <v>3776</v>
      </c>
      <c r="G75" s="64">
        <v>760</v>
      </c>
      <c r="H75" s="52">
        <f t="shared" si="7"/>
        <v>4</v>
      </c>
      <c r="I75" s="52">
        <f t="shared" si="8"/>
        <v>1</v>
      </c>
      <c r="J75" s="52"/>
      <c r="K75" s="53">
        <v>43583</v>
      </c>
      <c r="L75" s="54" t="s">
        <v>565</v>
      </c>
      <c r="M75" s="55">
        <v>43578</v>
      </c>
      <c r="N75" s="56" t="s">
        <v>3777</v>
      </c>
      <c r="O75" s="55">
        <v>43583</v>
      </c>
      <c r="P75" s="58"/>
      <c r="Q75" s="52"/>
      <c r="R75" s="63" t="s">
        <v>3778</v>
      </c>
      <c r="S75" s="47"/>
    </row>
    <row r="76" spans="2:19" s="33" customFormat="1" ht="33" customHeight="1">
      <c r="B76" s="47" t="s">
        <v>88</v>
      </c>
      <c r="C76" s="48" t="s">
        <v>589</v>
      </c>
      <c r="D76" s="49" t="s">
        <v>590</v>
      </c>
      <c r="E76" s="50">
        <v>43519</v>
      </c>
      <c r="F76" s="52" t="s">
        <v>3776</v>
      </c>
      <c r="G76" s="64">
        <v>760</v>
      </c>
      <c r="H76" s="52">
        <f t="shared" si="7"/>
        <v>4</v>
      </c>
      <c r="I76" s="52">
        <f t="shared" si="8"/>
        <v>1</v>
      </c>
      <c r="J76" s="52"/>
      <c r="K76" s="53">
        <v>43597</v>
      </c>
      <c r="L76" s="54" t="s">
        <v>3779</v>
      </c>
      <c r="M76" s="55">
        <v>43592</v>
      </c>
      <c r="N76" s="56" t="s">
        <v>3780</v>
      </c>
      <c r="O76" s="55">
        <v>43597</v>
      </c>
      <c r="P76" s="58"/>
      <c r="Q76" s="52"/>
      <c r="R76" s="63" t="s">
        <v>3781</v>
      </c>
      <c r="S76" s="47"/>
    </row>
    <row r="77" spans="2:19" s="30" customFormat="1" ht="33" customHeight="1">
      <c r="B77" s="46" t="s">
        <v>88</v>
      </c>
      <c r="C77" s="35" t="s">
        <v>3782</v>
      </c>
      <c r="D77" s="36" t="s">
        <v>1207</v>
      </c>
      <c r="E77" s="37">
        <v>43567</v>
      </c>
      <c r="F77" s="38" t="s">
        <v>3776</v>
      </c>
      <c r="G77" s="65">
        <v>760</v>
      </c>
      <c r="H77" s="38">
        <f t="shared" si="7"/>
        <v>4</v>
      </c>
      <c r="I77" s="38">
        <f t="shared" si="8"/>
        <v>1</v>
      </c>
      <c r="J77" s="38"/>
      <c r="K77" s="40">
        <v>43667</v>
      </c>
      <c r="L77" s="41" t="s">
        <v>3783</v>
      </c>
      <c r="M77" s="42">
        <v>43655</v>
      </c>
      <c r="N77" s="43" t="s">
        <v>3784</v>
      </c>
      <c r="O77" s="42">
        <v>43660</v>
      </c>
      <c r="P77" s="45"/>
      <c r="Q77" s="38"/>
      <c r="R77" s="66" t="s">
        <v>3785</v>
      </c>
      <c r="S77" s="46" t="s">
        <v>980</v>
      </c>
    </row>
    <row r="78" spans="2:19" s="30" customFormat="1" ht="33" customHeight="1">
      <c r="B78" s="46" t="s">
        <v>88</v>
      </c>
      <c r="C78" s="35" t="s">
        <v>2079</v>
      </c>
      <c r="D78" s="36" t="s">
        <v>3786</v>
      </c>
      <c r="E78" s="37">
        <v>43602</v>
      </c>
      <c r="F78" s="38" t="s">
        <v>3776</v>
      </c>
      <c r="G78" s="65">
        <v>760</v>
      </c>
      <c r="H78" s="38">
        <f t="shared" si="7"/>
        <v>4</v>
      </c>
      <c r="I78" s="38">
        <f t="shared" si="8"/>
        <v>1</v>
      </c>
      <c r="J78" s="38"/>
      <c r="K78" s="40">
        <v>43667</v>
      </c>
      <c r="L78" s="41" t="s">
        <v>3783</v>
      </c>
      <c r="M78" s="42">
        <v>43655</v>
      </c>
      <c r="N78" s="43" t="s">
        <v>3784</v>
      </c>
      <c r="O78" s="42">
        <v>43660</v>
      </c>
      <c r="P78" s="45"/>
      <c r="Q78" s="38"/>
      <c r="R78" s="66" t="s">
        <v>3785</v>
      </c>
      <c r="S78" s="46" t="s">
        <v>980</v>
      </c>
    </row>
    <row r="79" spans="2:19" s="30" customFormat="1" ht="33" customHeight="1">
      <c r="B79" s="46" t="s">
        <v>88</v>
      </c>
      <c r="C79" s="35" t="s">
        <v>2378</v>
      </c>
      <c r="D79" s="36" t="s">
        <v>2379</v>
      </c>
      <c r="E79" s="37">
        <v>43602</v>
      </c>
      <c r="F79" s="38" t="s">
        <v>3776</v>
      </c>
      <c r="G79" s="65">
        <v>760</v>
      </c>
      <c r="H79" s="38">
        <f t="shared" si="7"/>
        <v>4</v>
      </c>
      <c r="I79" s="38">
        <f t="shared" si="8"/>
        <v>1</v>
      </c>
      <c r="J79" s="38"/>
      <c r="K79" s="40">
        <v>43702</v>
      </c>
      <c r="L79" s="41" t="s">
        <v>3787</v>
      </c>
      <c r="M79" s="42">
        <v>43697</v>
      </c>
      <c r="N79" s="43" t="s">
        <v>3788</v>
      </c>
      <c r="O79" s="42">
        <v>43702</v>
      </c>
      <c r="P79" s="45"/>
      <c r="Q79" s="38"/>
      <c r="R79" s="66" t="s">
        <v>3789</v>
      </c>
      <c r="S79" s="46"/>
    </row>
    <row r="80" spans="2:19" s="30" customFormat="1" ht="33" customHeight="1">
      <c r="B80" s="46" t="s">
        <v>88</v>
      </c>
      <c r="C80" s="35" t="s">
        <v>2430</v>
      </c>
      <c r="D80" s="36" t="s">
        <v>3457</v>
      </c>
      <c r="E80" s="128">
        <v>43637</v>
      </c>
      <c r="F80" s="124" t="s">
        <v>3770</v>
      </c>
      <c r="G80" s="152">
        <v>760</v>
      </c>
      <c r="H80" s="124">
        <f t="shared" si="7"/>
        <v>4</v>
      </c>
      <c r="I80" s="124">
        <f t="shared" si="8"/>
        <v>1</v>
      </c>
      <c r="J80" s="124"/>
      <c r="K80" s="130">
        <v>43731</v>
      </c>
      <c r="L80" s="119" t="s">
        <v>3772</v>
      </c>
      <c r="M80" s="120">
        <v>43725</v>
      </c>
      <c r="N80" s="121" t="s">
        <v>3773</v>
      </c>
      <c r="O80" s="120">
        <v>43730</v>
      </c>
      <c r="P80" s="123"/>
      <c r="Q80" s="124"/>
      <c r="R80" s="134" t="s">
        <v>3790</v>
      </c>
      <c r="S80" s="122"/>
    </row>
    <row r="81" spans="2:19" s="33" customFormat="1" ht="33" customHeight="1">
      <c r="B81" s="47" t="s">
        <v>83</v>
      </c>
      <c r="C81" s="48" t="s">
        <v>244</v>
      </c>
      <c r="D81" s="49" t="s">
        <v>722</v>
      </c>
      <c r="E81" s="50">
        <v>43483</v>
      </c>
      <c r="F81" s="52" t="s">
        <v>77</v>
      </c>
      <c r="G81" s="51">
        <v>6720</v>
      </c>
      <c r="H81" s="52">
        <f t="shared" ref="H81:H86" si="9">SUM(G81/240)</f>
        <v>28</v>
      </c>
      <c r="I81" s="52">
        <f t="shared" ref="I81:I87" si="10">SUM(H81/4)</f>
        <v>7</v>
      </c>
      <c r="J81" s="52"/>
      <c r="K81" s="53">
        <v>43569</v>
      </c>
      <c r="L81" s="54" t="s">
        <v>480</v>
      </c>
      <c r="M81" s="55">
        <v>43564</v>
      </c>
      <c r="N81" s="56" t="s">
        <v>646</v>
      </c>
      <c r="O81" s="55">
        <v>43569</v>
      </c>
      <c r="P81" s="58" t="s">
        <v>3791</v>
      </c>
      <c r="Q81" s="52"/>
      <c r="R81" s="118" t="s">
        <v>3792</v>
      </c>
      <c r="S81" s="47"/>
    </row>
    <row r="82" spans="2:19" s="33" customFormat="1" ht="33" customHeight="1">
      <c r="B82" s="47" t="s">
        <v>83</v>
      </c>
      <c r="C82" s="48" t="s">
        <v>3793</v>
      </c>
      <c r="D82" s="49" t="s">
        <v>472</v>
      </c>
      <c r="E82" s="50">
        <v>43483</v>
      </c>
      <c r="F82" s="52" t="s">
        <v>77</v>
      </c>
      <c r="G82" s="51">
        <v>5760</v>
      </c>
      <c r="H82" s="52">
        <f t="shared" si="9"/>
        <v>24</v>
      </c>
      <c r="I82" s="52">
        <f t="shared" si="10"/>
        <v>6</v>
      </c>
      <c r="J82" s="52"/>
      <c r="K82" s="53">
        <v>43583</v>
      </c>
      <c r="L82" s="54" t="s">
        <v>448</v>
      </c>
      <c r="M82" s="55">
        <v>43578</v>
      </c>
      <c r="N82" s="56" t="s">
        <v>3771</v>
      </c>
      <c r="O82" s="55">
        <v>43583</v>
      </c>
      <c r="P82" s="58" t="s">
        <v>3794</v>
      </c>
      <c r="Q82" s="52"/>
      <c r="R82" s="118" t="s">
        <v>3792</v>
      </c>
      <c r="S82" s="47"/>
    </row>
    <row r="83" spans="2:19" s="33" customFormat="1" ht="33" customHeight="1">
      <c r="B83" s="47" t="s">
        <v>83</v>
      </c>
      <c r="C83" s="48" t="s">
        <v>258</v>
      </c>
      <c r="D83" s="49" t="s">
        <v>591</v>
      </c>
      <c r="E83" s="50">
        <v>43519</v>
      </c>
      <c r="F83" s="52" t="s">
        <v>77</v>
      </c>
      <c r="G83" s="51">
        <v>5760</v>
      </c>
      <c r="H83" s="52">
        <f t="shared" si="9"/>
        <v>24</v>
      </c>
      <c r="I83" s="52">
        <f t="shared" si="10"/>
        <v>6</v>
      </c>
      <c r="J83" s="52"/>
      <c r="K83" s="53">
        <v>43605</v>
      </c>
      <c r="L83" s="54" t="s">
        <v>3795</v>
      </c>
      <c r="M83" s="55">
        <v>43601</v>
      </c>
      <c r="N83" s="56" t="s">
        <v>3718</v>
      </c>
      <c r="O83" s="55">
        <v>43605</v>
      </c>
      <c r="P83" s="58" t="s">
        <v>3796</v>
      </c>
      <c r="Q83" s="52"/>
      <c r="R83" s="118" t="s">
        <v>3797</v>
      </c>
      <c r="S83" s="47"/>
    </row>
    <row r="84" spans="2:19" s="30" customFormat="1" ht="33" customHeight="1">
      <c r="B84" s="46" t="s">
        <v>83</v>
      </c>
      <c r="C84" s="35" t="s">
        <v>321</v>
      </c>
      <c r="D84" s="36" t="s">
        <v>727</v>
      </c>
      <c r="E84" s="37">
        <v>43532</v>
      </c>
      <c r="F84" s="38" t="s">
        <v>77</v>
      </c>
      <c r="G84" s="39">
        <v>6720</v>
      </c>
      <c r="H84" s="38">
        <f t="shared" si="9"/>
        <v>28</v>
      </c>
      <c r="I84" s="38">
        <f t="shared" si="10"/>
        <v>7</v>
      </c>
      <c r="J84" s="38"/>
      <c r="K84" s="40">
        <v>43633</v>
      </c>
      <c r="L84" s="41" t="s">
        <v>807</v>
      </c>
      <c r="M84" s="42">
        <v>43627</v>
      </c>
      <c r="N84" s="43" t="s">
        <v>808</v>
      </c>
      <c r="O84" s="42">
        <v>43632</v>
      </c>
      <c r="P84" s="45"/>
      <c r="Q84" s="38"/>
      <c r="R84" s="115" t="s">
        <v>3798</v>
      </c>
      <c r="S84" s="46"/>
    </row>
    <row r="85" spans="2:19" s="30" customFormat="1" ht="33" customHeight="1">
      <c r="B85" s="46" t="s">
        <v>83</v>
      </c>
      <c r="C85" s="35" t="s">
        <v>324</v>
      </c>
      <c r="D85" s="36" t="s">
        <v>1234</v>
      </c>
      <c r="E85" s="37">
        <v>43567</v>
      </c>
      <c r="F85" s="38" t="s">
        <v>77</v>
      </c>
      <c r="G85" s="39">
        <v>5760</v>
      </c>
      <c r="H85" s="38">
        <f t="shared" si="9"/>
        <v>24</v>
      </c>
      <c r="I85" s="38">
        <f t="shared" si="10"/>
        <v>6</v>
      </c>
      <c r="J85" s="38"/>
      <c r="K85" s="40">
        <v>43674</v>
      </c>
      <c r="L85" s="41" t="s">
        <v>3799</v>
      </c>
      <c r="M85" s="42">
        <v>43669</v>
      </c>
      <c r="N85" s="43" t="s">
        <v>3800</v>
      </c>
      <c r="O85" s="42">
        <v>43674</v>
      </c>
      <c r="P85" s="45"/>
      <c r="Q85" s="38"/>
      <c r="R85" s="115" t="s">
        <v>3801</v>
      </c>
      <c r="S85" s="46"/>
    </row>
    <row r="86" spans="2:19" s="30" customFormat="1" ht="33" customHeight="1">
      <c r="B86" s="46" t="s">
        <v>83</v>
      </c>
      <c r="C86" s="35" t="s">
        <v>430</v>
      </c>
      <c r="D86" s="36" t="s">
        <v>2696</v>
      </c>
      <c r="E86" s="37">
        <v>43609</v>
      </c>
      <c r="F86" s="38" t="s">
        <v>77</v>
      </c>
      <c r="G86" s="39">
        <v>7680</v>
      </c>
      <c r="H86" s="38">
        <f t="shared" si="9"/>
        <v>32</v>
      </c>
      <c r="I86" s="38">
        <f t="shared" si="10"/>
        <v>8</v>
      </c>
      <c r="J86" s="38"/>
      <c r="K86" s="40">
        <v>43702</v>
      </c>
      <c r="L86" s="41" t="s">
        <v>2509</v>
      </c>
      <c r="M86" s="42">
        <v>43697</v>
      </c>
      <c r="N86" s="43" t="s">
        <v>2498</v>
      </c>
      <c r="O86" s="42">
        <v>43702</v>
      </c>
      <c r="P86" s="45"/>
      <c r="Q86" s="38"/>
      <c r="R86" s="115" t="s">
        <v>3802</v>
      </c>
      <c r="S86" s="46"/>
    </row>
    <row r="87" spans="2:19" s="30" customFormat="1" ht="33" customHeight="1">
      <c r="B87" s="46" t="s">
        <v>3803</v>
      </c>
      <c r="C87" s="35" t="s">
        <v>519</v>
      </c>
      <c r="D87" s="36" t="s">
        <v>3473</v>
      </c>
      <c r="E87" s="128">
        <v>43637</v>
      </c>
      <c r="F87" s="124" t="s">
        <v>77</v>
      </c>
      <c r="G87" s="129">
        <v>9600</v>
      </c>
      <c r="H87" s="124">
        <f t="shared" ref="H87" si="11">SUM(G87/240)</f>
        <v>40</v>
      </c>
      <c r="I87" s="124">
        <f t="shared" si="10"/>
        <v>10</v>
      </c>
      <c r="J87" s="124"/>
      <c r="K87" s="130">
        <v>43716</v>
      </c>
      <c r="L87" s="119" t="s">
        <v>3705</v>
      </c>
      <c r="M87" s="120">
        <v>43711</v>
      </c>
      <c r="N87" s="121" t="s">
        <v>3706</v>
      </c>
      <c r="O87" s="120">
        <v>43716</v>
      </c>
      <c r="P87" s="123"/>
      <c r="Q87" s="124"/>
      <c r="R87" s="133" t="s">
        <v>3804</v>
      </c>
      <c r="S87" s="122"/>
    </row>
    <row r="88" spans="2:19" s="34" customFormat="1" ht="33" customHeight="1">
      <c r="B88" s="47" t="s">
        <v>210</v>
      </c>
      <c r="C88" s="48" t="s">
        <v>226</v>
      </c>
      <c r="D88" s="49" t="s">
        <v>593</v>
      </c>
      <c r="E88" s="50">
        <v>43483</v>
      </c>
      <c r="F88" s="52" t="s">
        <v>218</v>
      </c>
      <c r="G88" s="51">
        <v>640</v>
      </c>
      <c r="H88" s="52">
        <f t="shared" ref="H88:H113" si="12">SUM(G88/20)</f>
        <v>32</v>
      </c>
      <c r="I88" s="52">
        <f t="shared" ref="I88:I113" si="13">SUM(H88/32)</f>
        <v>1</v>
      </c>
      <c r="J88" s="52"/>
      <c r="K88" s="53">
        <v>43534</v>
      </c>
      <c r="L88" s="54" t="s">
        <v>3805</v>
      </c>
      <c r="M88" s="55"/>
      <c r="N88" s="56"/>
      <c r="O88" s="55">
        <v>43520</v>
      </c>
      <c r="P88" s="58" t="s">
        <v>651</v>
      </c>
      <c r="Q88" s="52"/>
      <c r="R88" s="63" t="s">
        <v>211</v>
      </c>
      <c r="S88" s="52"/>
    </row>
    <row r="89" spans="2:19" s="34" customFormat="1" ht="33" customHeight="1">
      <c r="B89" s="47" t="s">
        <v>210</v>
      </c>
      <c r="C89" s="48" t="s">
        <v>285</v>
      </c>
      <c r="D89" s="49" t="s">
        <v>526</v>
      </c>
      <c r="E89" s="50">
        <v>43507</v>
      </c>
      <c r="F89" s="52" t="s">
        <v>218</v>
      </c>
      <c r="G89" s="51">
        <v>3200</v>
      </c>
      <c r="H89" s="52">
        <f t="shared" si="12"/>
        <v>160</v>
      </c>
      <c r="I89" s="52">
        <f t="shared" si="13"/>
        <v>5</v>
      </c>
      <c r="J89" s="52"/>
      <c r="K89" s="53">
        <v>43576</v>
      </c>
      <c r="L89" s="54" t="s">
        <v>503</v>
      </c>
      <c r="M89" s="55">
        <v>43571</v>
      </c>
      <c r="N89" s="56" t="s">
        <v>3691</v>
      </c>
      <c r="O89" s="55">
        <v>43576</v>
      </c>
      <c r="P89" s="58"/>
      <c r="Q89" s="52" t="s">
        <v>643</v>
      </c>
      <c r="R89" s="63" t="s">
        <v>211</v>
      </c>
      <c r="S89" s="52"/>
    </row>
    <row r="90" spans="2:19" s="34" customFormat="1" ht="33" customHeight="1">
      <c r="B90" s="47" t="s">
        <v>210</v>
      </c>
      <c r="C90" s="48" t="s">
        <v>3806</v>
      </c>
      <c r="D90" s="49" t="s">
        <v>526</v>
      </c>
      <c r="E90" s="50">
        <v>43507</v>
      </c>
      <c r="F90" s="52" t="s">
        <v>218</v>
      </c>
      <c r="G90" s="51">
        <v>640</v>
      </c>
      <c r="H90" s="52">
        <f t="shared" si="12"/>
        <v>32</v>
      </c>
      <c r="I90" s="52">
        <f t="shared" si="13"/>
        <v>1</v>
      </c>
      <c r="J90" s="52"/>
      <c r="K90" s="53">
        <v>43576</v>
      </c>
      <c r="L90" s="54" t="s">
        <v>448</v>
      </c>
      <c r="M90" s="55">
        <v>43578</v>
      </c>
      <c r="N90" s="56" t="s">
        <v>3771</v>
      </c>
      <c r="O90" s="55">
        <v>43583</v>
      </c>
      <c r="P90" s="58"/>
      <c r="Q90" s="52" t="s">
        <v>643</v>
      </c>
      <c r="R90" s="63" t="s">
        <v>211</v>
      </c>
      <c r="S90" s="52"/>
    </row>
    <row r="91" spans="2:19" s="34" customFormat="1" ht="33" customHeight="1">
      <c r="B91" s="47" t="s">
        <v>210</v>
      </c>
      <c r="C91" s="48" t="s">
        <v>331</v>
      </c>
      <c r="D91" s="49" t="s">
        <v>3807</v>
      </c>
      <c r="E91" s="50">
        <v>43519</v>
      </c>
      <c r="F91" s="52" t="s">
        <v>218</v>
      </c>
      <c r="G91" s="51">
        <v>3200</v>
      </c>
      <c r="H91" s="52">
        <f t="shared" si="12"/>
        <v>160</v>
      </c>
      <c r="I91" s="52">
        <f t="shared" si="13"/>
        <v>5</v>
      </c>
      <c r="J91" s="52"/>
      <c r="K91" s="53">
        <v>43562</v>
      </c>
      <c r="L91" s="54" t="s">
        <v>608</v>
      </c>
      <c r="M91" s="55">
        <v>43557</v>
      </c>
      <c r="N91" s="56" t="s">
        <v>3808</v>
      </c>
      <c r="O91" s="55">
        <v>43562</v>
      </c>
      <c r="P91" s="58"/>
      <c r="Q91" s="52" t="s">
        <v>642</v>
      </c>
      <c r="R91" s="63" t="s">
        <v>211</v>
      </c>
      <c r="S91" s="52"/>
    </row>
    <row r="92" spans="2:19" s="34" customFormat="1" ht="33" customHeight="1">
      <c r="B92" s="47" t="s">
        <v>210</v>
      </c>
      <c r="C92" s="48" t="s">
        <v>3809</v>
      </c>
      <c r="D92" s="49" t="s">
        <v>3807</v>
      </c>
      <c r="E92" s="50">
        <v>43519</v>
      </c>
      <c r="F92" s="52" t="s">
        <v>218</v>
      </c>
      <c r="G92" s="51">
        <v>640</v>
      </c>
      <c r="H92" s="52">
        <f t="shared" si="12"/>
        <v>32</v>
      </c>
      <c r="I92" s="52">
        <f t="shared" si="13"/>
        <v>1</v>
      </c>
      <c r="J92" s="52"/>
      <c r="K92" s="53">
        <v>43562</v>
      </c>
      <c r="L92" s="54" t="s">
        <v>480</v>
      </c>
      <c r="M92" s="55">
        <v>43564</v>
      </c>
      <c r="N92" s="56" t="s">
        <v>646</v>
      </c>
      <c r="O92" s="55">
        <v>43569</v>
      </c>
      <c r="P92" s="58"/>
      <c r="Q92" s="52" t="s">
        <v>642</v>
      </c>
      <c r="R92" s="63" t="s">
        <v>211</v>
      </c>
      <c r="S92" s="52"/>
    </row>
    <row r="93" spans="2:19" s="32" customFormat="1" ht="33" customHeight="1">
      <c r="B93" s="46" t="s">
        <v>210</v>
      </c>
      <c r="C93" s="35" t="s">
        <v>2527</v>
      </c>
      <c r="D93" s="190" t="s">
        <v>3810</v>
      </c>
      <c r="E93" s="37">
        <v>43609</v>
      </c>
      <c r="F93" s="38" t="s">
        <v>218</v>
      </c>
      <c r="G93" s="39">
        <v>120</v>
      </c>
      <c r="H93" s="38">
        <f t="shared" si="12"/>
        <v>6</v>
      </c>
      <c r="I93" s="38">
        <f t="shared" si="13"/>
        <v>0.1875</v>
      </c>
      <c r="J93" s="38"/>
      <c r="K93" s="40">
        <v>43646</v>
      </c>
      <c r="L93" s="41" t="s">
        <v>1083</v>
      </c>
      <c r="M93" s="42">
        <v>43634</v>
      </c>
      <c r="N93" s="43" t="s">
        <v>1084</v>
      </c>
      <c r="O93" s="42">
        <v>43639</v>
      </c>
      <c r="P93" s="45"/>
      <c r="Q93" s="66" t="s">
        <v>2543</v>
      </c>
      <c r="R93" s="66" t="s">
        <v>3811</v>
      </c>
      <c r="S93" s="38"/>
    </row>
    <row r="94" spans="2:19" s="32" customFormat="1" ht="33" customHeight="1">
      <c r="B94" s="46" t="s">
        <v>3812</v>
      </c>
      <c r="C94" s="35" t="s">
        <v>2531</v>
      </c>
      <c r="D94" s="190" t="s">
        <v>3810</v>
      </c>
      <c r="E94" s="37">
        <v>43609</v>
      </c>
      <c r="F94" s="38" t="s">
        <v>3813</v>
      </c>
      <c r="G94" s="39">
        <v>120</v>
      </c>
      <c r="H94" s="38">
        <f t="shared" si="12"/>
        <v>6</v>
      </c>
      <c r="I94" s="38">
        <f t="shared" si="13"/>
        <v>0.1875</v>
      </c>
      <c r="J94" s="38"/>
      <c r="K94" s="40">
        <v>43646</v>
      </c>
      <c r="L94" s="41" t="s">
        <v>1083</v>
      </c>
      <c r="M94" s="42">
        <v>43634</v>
      </c>
      <c r="N94" s="43" t="s">
        <v>1084</v>
      </c>
      <c r="O94" s="42">
        <v>43639</v>
      </c>
      <c r="P94" s="45"/>
      <c r="Q94" s="66" t="s">
        <v>2544</v>
      </c>
      <c r="R94" s="66" t="s">
        <v>3811</v>
      </c>
      <c r="S94" s="38"/>
    </row>
    <row r="95" spans="2:19" s="34" customFormat="1" ht="33" customHeight="1">
      <c r="B95" s="47" t="s">
        <v>210</v>
      </c>
      <c r="C95" s="48" t="s">
        <v>431</v>
      </c>
      <c r="D95" s="49" t="s">
        <v>3814</v>
      </c>
      <c r="E95" s="50">
        <v>43523</v>
      </c>
      <c r="F95" s="52" t="s">
        <v>218</v>
      </c>
      <c r="G95" s="51">
        <v>3200</v>
      </c>
      <c r="H95" s="52">
        <f t="shared" si="12"/>
        <v>160</v>
      </c>
      <c r="I95" s="52">
        <f t="shared" si="13"/>
        <v>5</v>
      </c>
      <c r="J95" s="52"/>
      <c r="K95" s="53">
        <v>43597</v>
      </c>
      <c r="L95" s="54" t="s">
        <v>605</v>
      </c>
      <c r="M95" s="55">
        <v>43594</v>
      </c>
      <c r="N95" s="56" t="s">
        <v>3714</v>
      </c>
      <c r="O95" s="55">
        <v>43598</v>
      </c>
      <c r="P95" s="58"/>
      <c r="Q95" s="52" t="s">
        <v>641</v>
      </c>
      <c r="R95" s="63" t="s">
        <v>211</v>
      </c>
      <c r="S95" s="52"/>
    </row>
    <row r="96" spans="2:19" s="34" customFormat="1" ht="33" customHeight="1">
      <c r="B96" s="47" t="s">
        <v>210</v>
      </c>
      <c r="C96" s="48" t="s">
        <v>3815</v>
      </c>
      <c r="D96" s="49" t="s">
        <v>3814</v>
      </c>
      <c r="E96" s="50">
        <v>43523</v>
      </c>
      <c r="F96" s="52" t="s">
        <v>218</v>
      </c>
      <c r="G96" s="51">
        <v>640</v>
      </c>
      <c r="H96" s="52">
        <f t="shared" si="12"/>
        <v>32</v>
      </c>
      <c r="I96" s="52">
        <f t="shared" si="13"/>
        <v>1</v>
      </c>
      <c r="J96" s="52"/>
      <c r="K96" s="53">
        <v>43618</v>
      </c>
      <c r="L96" s="54" t="s">
        <v>3723</v>
      </c>
      <c r="M96" s="55">
        <v>43613</v>
      </c>
      <c r="N96" s="56" t="s">
        <v>3724</v>
      </c>
      <c r="O96" s="55">
        <v>43618</v>
      </c>
      <c r="P96" s="58"/>
      <c r="Q96" s="52" t="s">
        <v>641</v>
      </c>
      <c r="R96" s="63" t="s">
        <v>211</v>
      </c>
      <c r="S96" s="52"/>
    </row>
    <row r="97" spans="2:19" s="34" customFormat="1" ht="33" customHeight="1">
      <c r="B97" s="47" t="s">
        <v>210</v>
      </c>
      <c r="C97" s="48" t="s">
        <v>3816</v>
      </c>
      <c r="D97" s="49" t="s">
        <v>739</v>
      </c>
      <c r="E97" s="50">
        <v>43532</v>
      </c>
      <c r="F97" s="52" t="s">
        <v>218</v>
      </c>
      <c r="G97" s="51">
        <v>2560</v>
      </c>
      <c r="H97" s="52">
        <f t="shared" si="12"/>
        <v>128</v>
      </c>
      <c r="I97" s="52">
        <f t="shared" si="13"/>
        <v>4</v>
      </c>
      <c r="J97" s="52"/>
      <c r="K97" s="53">
        <v>43618</v>
      </c>
      <c r="L97" s="54" t="s">
        <v>3723</v>
      </c>
      <c r="M97" s="55">
        <v>43613</v>
      </c>
      <c r="N97" s="56" t="s">
        <v>3724</v>
      </c>
      <c r="O97" s="55">
        <v>43618</v>
      </c>
      <c r="P97" s="58"/>
      <c r="Q97" s="52" t="s">
        <v>970</v>
      </c>
      <c r="R97" s="63" t="s">
        <v>211</v>
      </c>
      <c r="S97" s="52"/>
    </row>
    <row r="98" spans="2:19" s="32" customFormat="1" ht="33" customHeight="1">
      <c r="B98" s="46" t="s">
        <v>210</v>
      </c>
      <c r="C98" s="35" t="s">
        <v>589</v>
      </c>
      <c r="D98" s="36" t="s">
        <v>1260</v>
      </c>
      <c r="E98" s="37">
        <v>43558</v>
      </c>
      <c r="F98" s="38" t="s">
        <v>218</v>
      </c>
      <c r="G98" s="39">
        <v>3200</v>
      </c>
      <c r="H98" s="38">
        <f t="shared" si="12"/>
        <v>160</v>
      </c>
      <c r="I98" s="38">
        <f t="shared" si="13"/>
        <v>5</v>
      </c>
      <c r="J98" s="38"/>
      <c r="K98" s="40">
        <v>43639</v>
      </c>
      <c r="L98" s="41" t="s">
        <v>3817</v>
      </c>
      <c r="M98" s="42">
        <v>43634</v>
      </c>
      <c r="N98" s="43" t="s">
        <v>3818</v>
      </c>
      <c r="O98" s="42">
        <v>43639</v>
      </c>
      <c r="P98" s="45"/>
      <c r="Q98" s="38" t="s">
        <v>973</v>
      </c>
      <c r="R98" s="66" t="s">
        <v>211</v>
      </c>
      <c r="S98" s="38"/>
    </row>
    <row r="99" spans="2:19" s="32" customFormat="1" ht="33" customHeight="1">
      <c r="B99" s="46" t="s">
        <v>210</v>
      </c>
      <c r="C99" s="35" t="s">
        <v>2078</v>
      </c>
      <c r="D99" s="36" t="s">
        <v>2426</v>
      </c>
      <c r="E99" s="37">
        <v>43602</v>
      </c>
      <c r="F99" s="38" t="s">
        <v>218</v>
      </c>
      <c r="G99" s="39">
        <v>3200</v>
      </c>
      <c r="H99" s="38">
        <f t="shared" si="12"/>
        <v>160</v>
      </c>
      <c r="I99" s="38">
        <f t="shared" si="13"/>
        <v>5</v>
      </c>
      <c r="J99" s="38"/>
      <c r="K99" s="40">
        <v>43653</v>
      </c>
      <c r="L99" s="41" t="s">
        <v>1326</v>
      </c>
      <c r="M99" s="42">
        <v>43648</v>
      </c>
      <c r="N99" s="43" t="s">
        <v>3819</v>
      </c>
      <c r="O99" s="42">
        <v>43653</v>
      </c>
      <c r="P99" s="45"/>
      <c r="Q99" s="38" t="s">
        <v>2148</v>
      </c>
      <c r="R99" s="66" t="s">
        <v>211</v>
      </c>
      <c r="S99" s="38"/>
    </row>
    <row r="100" spans="2:19" s="32" customFormat="1" ht="33" customHeight="1">
      <c r="B100" s="46" t="s">
        <v>210</v>
      </c>
      <c r="C100" s="35" t="s">
        <v>2079</v>
      </c>
      <c r="D100" s="36" t="s">
        <v>2428</v>
      </c>
      <c r="E100" s="37">
        <v>43602</v>
      </c>
      <c r="F100" s="38" t="s">
        <v>218</v>
      </c>
      <c r="G100" s="39">
        <v>3200</v>
      </c>
      <c r="H100" s="38">
        <f t="shared" si="12"/>
        <v>160</v>
      </c>
      <c r="I100" s="38">
        <f t="shared" si="13"/>
        <v>5</v>
      </c>
      <c r="J100" s="38"/>
      <c r="K100" s="40">
        <v>43667</v>
      </c>
      <c r="L100" s="41" t="s">
        <v>2146</v>
      </c>
      <c r="M100" s="42">
        <v>43669</v>
      </c>
      <c r="N100" s="43" t="s">
        <v>2551</v>
      </c>
      <c r="O100" s="42">
        <v>43674</v>
      </c>
      <c r="P100" s="45"/>
      <c r="Q100" s="38" t="s">
        <v>2150</v>
      </c>
      <c r="R100" s="66" t="s">
        <v>211</v>
      </c>
      <c r="S100" s="38"/>
    </row>
    <row r="101" spans="2:19" s="32" customFormat="1" ht="33" customHeight="1">
      <c r="B101" s="46" t="s">
        <v>210</v>
      </c>
      <c r="C101" s="35" t="s">
        <v>2378</v>
      </c>
      <c r="D101" s="36" t="s">
        <v>3820</v>
      </c>
      <c r="E101" s="37">
        <v>43602</v>
      </c>
      <c r="F101" s="38" t="s">
        <v>218</v>
      </c>
      <c r="G101" s="39">
        <v>3200</v>
      </c>
      <c r="H101" s="38">
        <f t="shared" si="12"/>
        <v>160</v>
      </c>
      <c r="I101" s="38">
        <f t="shared" si="13"/>
        <v>5</v>
      </c>
      <c r="J101" s="38"/>
      <c r="K101" s="40">
        <v>43688</v>
      </c>
      <c r="L101" s="41" t="s">
        <v>2505</v>
      </c>
      <c r="M101" s="42">
        <v>43683</v>
      </c>
      <c r="N101" s="43" t="s">
        <v>3700</v>
      </c>
      <c r="O101" s="42">
        <v>43688</v>
      </c>
      <c r="P101" s="45"/>
      <c r="Q101" s="38" t="s">
        <v>2762</v>
      </c>
      <c r="R101" s="66" t="s">
        <v>211</v>
      </c>
      <c r="S101" s="46" t="s">
        <v>2764</v>
      </c>
    </row>
    <row r="102" spans="2:19" s="32" customFormat="1" ht="33" customHeight="1">
      <c r="B102" s="46" t="s">
        <v>210</v>
      </c>
      <c r="C102" s="35" t="s">
        <v>2430</v>
      </c>
      <c r="D102" s="190" t="s">
        <v>3821</v>
      </c>
      <c r="E102" s="37">
        <v>43602</v>
      </c>
      <c r="F102" s="38" t="s">
        <v>218</v>
      </c>
      <c r="G102" s="39">
        <v>3200</v>
      </c>
      <c r="H102" s="38">
        <f t="shared" si="12"/>
        <v>160</v>
      </c>
      <c r="I102" s="38">
        <f t="shared" si="13"/>
        <v>5</v>
      </c>
      <c r="J102" s="38"/>
      <c r="K102" s="40">
        <v>43702</v>
      </c>
      <c r="L102" s="41" t="s">
        <v>2509</v>
      </c>
      <c r="M102" s="42">
        <v>43697</v>
      </c>
      <c r="N102" s="43" t="s">
        <v>3822</v>
      </c>
      <c r="O102" s="42">
        <v>43702</v>
      </c>
      <c r="P102" s="45"/>
      <c r="Q102" s="38" t="s">
        <v>2517</v>
      </c>
      <c r="R102" s="66" t="s">
        <v>211</v>
      </c>
      <c r="S102" s="38"/>
    </row>
    <row r="103" spans="2:19" s="32" customFormat="1" ht="33" customHeight="1">
      <c r="B103" s="46" t="s">
        <v>210</v>
      </c>
      <c r="C103" s="35" t="s">
        <v>2528</v>
      </c>
      <c r="D103" s="190" t="s">
        <v>2704</v>
      </c>
      <c r="E103" s="37">
        <v>43609</v>
      </c>
      <c r="F103" s="38" t="s">
        <v>218</v>
      </c>
      <c r="G103" s="39">
        <v>3200</v>
      </c>
      <c r="H103" s="38">
        <f t="shared" si="12"/>
        <v>160</v>
      </c>
      <c r="I103" s="38">
        <f t="shared" si="13"/>
        <v>5</v>
      </c>
      <c r="J103" s="38"/>
      <c r="K103" s="40">
        <v>43660</v>
      </c>
      <c r="L103" s="41" t="s">
        <v>1326</v>
      </c>
      <c r="M103" s="42">
        <v>43648</v>
      </c>
      <c r="N103" s="43" t="s">
        <v>2540</v>
      </c>
      <c r="O103" s="42">
        <v>43653</v>
      </c>
      <c r="P103" s="45"/>
      <c r="Q103" s="38" t="s">
        <v>2148</v>
      </c>
      <c r="R103" s="66" t="s">
        <v>211</v>
      </c>
      <c r="S103" s="38"/>
    </row>
    <row r="104" spans="2:19" s="32" customFormat="1" ht="33" customHeight="1">
      <c r="B104" s="46" t="s">
        <v>210</v>
      </c>
      <c r="C104" s="35" t="s">
        <v>2529</v>
      </c>
      <c r="D104" s="190" t="s">
        <v>2705</v>
      </c>
      <c r="E104" s="37">
        <v>43609</v>
      </c>
      <c r="F104" s="38" t="s">
        <v>218</v>
      </c>
      <c r="G104" s="39">
        <v>3200</v>
      </c>
      <c r="H104" s="38">
        <f t="shared" si="12"/>
        <v>160</v>
      </c>
      <c r="I104" s="38">
        <f t="shared" si="13"/>
        <v>5</v>
      </c>
      <c r="J104" s="38"/>
      <c r="K104" s="40">
        <v>43675</v>
      </c>
      <c r="L104" s="41" t="s">
        <v>2146</v>
      </c>
      <c r="M104" s="42">
        <v>43669</v>
      </c>
      <c r="N104" s="43" t="s">
        <v>2551</v>
      </c>
      <c r="O104" s="42">
        <v>43674</v>
      </c>
      <c r="P104" s="45"/>
      <c r="Q104" s="38" t="s">
        <v>2150</v>
      </c>
      <c r="R104" s="66" t="s">
        <v>211</v>
      </c>
      <c r="S104" s="38"/>
    </row>
    <row r="105" spans="2:19" s="32" customFormat="1" ht="33" customHeight="1">
      <c r="B105" s="46" t="s">
        <v>3823</v>
      </c>
      <c r="C105" s="35" t="s">
        <v>3497</v>
      </c>
      <c r="D105" s="190" t="s">
        <v>3498</v>
      </c>
      <c r="E105" s="128">
        <v>43637</v>
      </c>
      <c r="F105" s="124" t="s">
        <v>218</v>
      </c>
      <c r="G105" s="129">
        <v>3200</v>
      </c>
      <c r="H105" s="124">
        <f t="shared" si="12"/>
        <v>160</v>
      </c>
      <c r="I105" s="124">
        <f t="shared" si="13"/>
        <v>5</v>
      </c>
      <c r="J105" s="124"/>
      <c r="K105" s="130">
        <v>43716</v>
      </c>
      <c r="L105" s="119" t="s">
        <v>3705</v>
      </c>
      <c r="M105" s="120">
        <v>43711</v>
      </c>
      <c r="N105" s="121" t="s">
        <v>3706</v>
      </c>
      <c r="O105" s="120">
        <v>43716</v>
      </c>
      <c r="P105" s="123"/>
      <c r="Q105" s="124"/>
      <c r="R105" s="134" t="s">
        <v>211</v>
      </c>
      <c r="S105" s="124"/>
    </row>
    <row r="106" spans="2:19" s="32" customFormat="1" ht="33" customHeight="1">
      <c r="B106" s="46" t="s">
        <v>3823</v>
      </c>
      <c r="C106" s="35" t="s">
        <v>3499</v>
      </c>
      <c r="D106" s="190" t="s">
        <v>3500</v>
      </c>
      <c r="E106" s="128">
        <v>43637</v>
      </c>
      <c r="F106" s="124" t="s">
        <v>218</v>
      </c>
      <c r="G106" s="129">
        <v>3200</v>
      </c>
      <c r="H106" s="124">
        <f t="shared" si="12"/>
        <v>160</v>
      </c>
      <c r="I106" s="124">
        <f t="shared" si="13"/>
        <v>5</v>
      </c>
      <c r="J106" s="124"/>
      <c r="K106" s="130">
        <v>43730</v>
      </c>
      <c r="L106" s="119" t="s">
        <v>3824</v>
      </c>
      <c r="M106" s="120">
        <v>43725</v>
      </c>
      <c r="N106" s="121" t="s">
        <v>3773</v>
      </c>
      <c r="O106" s="120">
        <v>43730</v>
      </c>
      <c r="P106" s="123"/>
      <c r="Q106" s="124"/>
      <c r="R106" s="134" t="s">
        <v>211</v>
      </c>
      <c r="S106" s="124"/>
    </row>
    <row r="107" spans="2:19" s="32" customFormat="1" ht="33" customHeight="1">
      <c r="B107" s="46" t="s">
        <v>3823</v>
      </c>
      <c r="C107" s="35" t="s">
        <v>3501</v>
      </c>
      <c r="D107" s="190" t="s">
        <v>3502</v>
      </c>
      <c r="E107" s="128">
        <v>43637</v>
      </c>
      <c r="F107" s="124" t="s">
        <v>218</v>
      </c>
      <c r="G107" s="129">
        <v>3200</v>
      </c>
      <c r="H107" s="124">
        <f t="shared" si="12"/>
        <v>160</v>
      </c>
      <c r="I107" s="124">
        <f t="shared" si="13"/>
        <v>5</v>
      </c>
      <c r="J107" s="124"/>
      <c r="K107" s="130">
        <v>43737</v>
      </c>
      <c r="L107" s="119" t="s">
        <v>3825</v>
      </c>
      <c r="M107" s="120">
        <v>43732</v>
      </c>
      <c r="N107" s="121" t="s">
        <v>3826</v>
      </c>
      <c r="O107" s="120">
        <v>43737</v>
      </c>
      <c r="P107" s="123"/>
      <c r="Q107" s="124"/>
      <c r="R107" s="134" t="s">
        <v>211</v>
      </c>
      <c r="S107" s="124"/>
    </row>
    <row r="108" spans="2:19" s="34" customFormat="1" ht="33" customHeight="1">
      <c r="B108" s="47" t="s">
        <v>3812</v>
      </c>
      <c r="C108" s="48" t="s">
        <v>235</v>
      </c>
      <c r="D108" s="49" t="s">
        <v>744</v>
      </c>
      <c r="E108" s="50">
        <v>43532</v>
      </c>
      <c r="F108" s="52" t="s">
        <v>3813</v>
      </c>
      <c r="G108" s="51">
        <v>1280</v>
      </c>
      <c r="H108" s="52">
        <f t="shared" si="12"/>
        <v>64</v>
      </c>
      <c r="I108" s="52">
        <f t="shared" si="13"/>
        <v>2</v>
      </c>
      <c r="J108" s="52"/>
      <c r="K108" s="53">
        <v>43597</v>
      </c>
      <c r="L108" s="54" t="s">
        <v>605</v>
      </c>
      <c r="M108" s="55">
        <v>43594</v>
      </c>
      <c r="N108" s="56" t="s">
        <v>772</v>
      </c>
      <c r="O108" s="55">
        <v>43598</v>
      </c>
      <c r="P108" s="58"/>
      <c r="Q108" s="52" t="s">
        <v>641</v>
      </c>
      <c r="R108" s="63" t="s">
        <v>211</v>
      </c>
      <c r="S108" s="52"/>
    </row>
    <row r="109" spans="2:19" s="32" customFormat="1" ht="33" customHeight="1">
      <c r="B109" s="46" t="s">
        <v>3812</v>
      </c>
      <c r="C109" s="35" t="s">
        <v>1569</v>
      </c>
      <c r="D109" s="36" t="s">
        <v>3827</v>
      </c>
      <c r="E109" s="37">
        <v>43581</v>
      </c>
      <c r="F109" s="38" t="s">
        <v>3813</v>
      </c>
      <c r="G109" s="39">
        <v>1280</v>
      </c>
      <c r="H109" s="38">
        <f t="shared" si="12"/>
        <v>64</v>
      </c>
      <c r="I109" s="38">
        <f t="shared" si="13"/>
        <v>2</v>
      </c>
      <c r="J109" s="38"/>
      <c r="K109" s="40">
        <v>43632</v>
      </c>
      <c r="L109" s="41" t="s">
        <v>807</v>
      </c>
      <c r="M109" s="42">
        <v>43627</v>
      </c>
      <c r="N109" s="43" t="s">
        <v>3828</v>
      </c>
      <c r="O109" s="42">
        <v>43632</v>
      </c>
      <c r="P109" s="45"/>
      <c r="Q109" s="38" t="s">
        <v>1810</v>
      </c>
      <c r="R109" s="66" t="s">
        <v>211</v>
      </c>
      <c r="S109" s="38"/>
    </row>
    <row r="110" spans="2:19" s="32" customFormat="1" ht="33" customHeight="1">
      <c r="B110" s="46" t="s">
        <v>3812</v>
      </c>
      <c r="C110" s="35" t="s">
        <v>90</v>
      </c>
      <c r="D110" s="36" t="s">
        <v>3829</v>
      </c>
      <c r="E110" s="37">
        <v>43595</v>
      </c>
      <c r="F110" s="38" t="s">
        <v>3813</v>
      </c>
      <c r="G110" s="39">
        <v>1280</v>
      </c>
      <c r="H110" s="38">
        <f t="shared" si="12"/>
        <v>64</v>
      </c>
      <c r="I110" s="38">
        <f t="shared" si="13"/>
        <v>2</v>
      </c>
      <c r="J110" s="38"/>
      <c r="K110" s="40">
        <v>43646</v>
      </c>
      <c r="L110" s="41" t="s">
        <v>1326</v>
      </c>
      <c r="M110" s="42">
        <v>43648</v>
      </c>
      <c r="N110" s="43" t="s">
        <v>3819</v>
      </c>
      <c r="O110" s="42">
        <v>43653</v>
      </c>
      <c r="P110" s="45"/>
      <c r="Q110" s="38" t="s">
        <v>2148</v>
      </c>
      <c r="R110" s="66" t="s">
        <v>211</v>
      </c>
      <c r="S110" s="38"/>
    </row>
    <row r="111" spans="2:19" s="32" customFormat="1" ht="33" customHeight="1">
      <c r="B111" s="46" t="s">
        <v>3812</v>
      </c>
      <c r="C111" s="35" t="s">
        <v>2088</v>
      </c>
      <c r="D111" s="36" t="s">
        <v>3830</v>
      </c>
      <c r="E111" s="37">
        <v>43595</v>
      </c>
      <c r="F111" s="38" t="s">
        <v>3813</v>
      </c>
      <c r="G111" s="39">
        <v>640</v>
      </c>
      <c r="H111" s="38">
        <f t="shared" si="12"/>
        <v>32</v>
      </c>
      <c r="I111" s="38">
        <f t="shared" si="13"/>
        <v>1</v>
      </c>
      <c r="J111" s="38"/>
      <c r="K111" s="40">
        <v>43709</v>
      </c>
      <c r="L111" s="41" t="s">
        <v>3831</v>
      </c>
      <c r="M111" s="42">
        <v>43706</v>
      </c>
      <c r="N111" s="43" t="s">
        <v>3832</v>
      </c>
      <c r="O111" s="42">
        <v>43710</v>
      </c>
      <c r="P111" s="45"/>
      <c r="Q111" s="66" t="s">
        <v>2548</v>
      </c>
      <c r="R111" s="66" t="s">
        <v>211</v>
      </c>
      <c r="S111" s="38"/>
    </row>
    <row r="112" spans="2:19" s="32" customFormat="1" ht="33" customHeight="1">
      <c r="B112" s="46" t="s">
        <v>3833</v>
      </c>
      <c r="C112" s="35" t="s">
        <v>208</v>
      </c>
      <c r="D112" s="190" t="s">
        <v>3834</v>
      </c>
      <c r="E112" s="37">
        <v>43602</v>
      </c>
      <c r="F112" s="38" t="s">
        <v>3813</v>
      </c>
      <c r="G112" s="39">
        <v>640</v>
      </c>
      <c r="H112" s="38">
        <f t="shared" si="12"/>
        <v>32</v>
      </c>
      <c r="I112" s="38">
        <f t="shared" si="13"/>
        <v>1</v>
      </c>
      <c r="J112" s="38"/>
      <c r="K112" s="188">
        <v>43744</v>
      </c>
      <c r="L112" s="41" t="s">
        <v>3824</v>
      </c>
      <c r="M112" s="42">
        <v>43725</v>
      </c>
      <c r="N112" s="43" t="s">
        <v>3773</v>
      </c>
      <c r="O112" s="42">
        <v>43730</v>
      </c>
      <c r="P112" s="45"/>
      <c r="Q112" s="66" t="s">
        <v>2549</v>
      </c>
      <c r="R112" s="66" t="s">
        <v>211</v>
      </c>
      <c r="S112" s="38"/>
    </row>
    <row r="113" spans="1:19" s="32" customFormat="1" ht="33" customHeight="1">
      <c r="B113" s="135" t="s">
        <v>3812</v>
      </c>
      <c r="C113" s="136" t="s">
        <v>212</v>
      </c>
      <c r="D113" s="191" t="s">
        <v>3835</v>
      </c>
      <c r="E113" s="138">
        <v>43602</v>
      </c>
      <c r="F113" s="139" t="s">
        <v>3813</v>
      </c>
      <c r="G113" s="140">
        <v>640</v>
      </c>
      <c r="H113" s="139">
        <f t="shared" si="12"/>
        <v>32</v>
      </c>
      <c r="I113" s="139">
        <f t="shared" si="13"/>
        <v>1</v>
      </c>
      <c r="J113" s="139"/>
      <c r="K113" s="141" t="s">
        <v>2545</v>
      </c>
      <c r="L113" s="142"/>
      <c r="M113" s="143"/>
      <c r="N113" s="144"/>
      <c r="O113" s="143"/>
      <c r="P113" s="145"/>
      <c r="Q113" s="193" t="s">
        <v>2517</v>
      </c>
      <c r="R113" s="192" t="s">
        <v>211</v>
      </c>
      <c r="S113" s="139" t="s">
        <v>2541</v>
      </c>
    </row>
    <row r="114" spans="1:19" s="33" customFormat="1" ht="33" customHeight="1">
      <c r="A114" s="33" t="s">
        <v>3836</v>
      </c>
      <c r="B114" s="47" t="s">
        <v>3837</v>
      </c>
      <c r="C114" s="48" t="s">
        <v>225</v>
      </c>
      <c r="D114" s="49" t="s">
        <v>487</v>
      </c>
      <c r="E114" s="50">
        <v>43490</v>
      </c>
      <c r="F114" s="52" t="s">
        <v>3838</v>
      </c>
      <c r="G114" s="51">
        <v>1520</v>
      </c>
      <c r="H114" s="52">
        <f>SUM(G114/190)</f>
        <v>8</v>
      </c>
      <c r="I114" s="52">
        <f>SUM(H114/4)</f>
        <v>2</v>
      </c>
      <c r="J114" s="52"/>
      <c r="K114" s="53">
        <v>43569</v>
      </c>
      <c r="L114" s="54" t="s">
        <v>417</v>
      </c>
      <c r="M114" s="55">
        <v>43564</v>
      </c>
      <c r="N114" s="56" t="s">
        <v>3719</v>
      </c>
      <c r="O114" s="55">
        <v>43569</v>
      </c>
      <c r="P114" s="58"/>
      <c r="Q114" s="52"/>
      <c r="R114" s="63" t="s">
        <v>3839</v>
      </c>
      <c r="S114" s="47"/>
    </row>
    <row r="115" spans="1:19" s="30" customFormat="1" ht="33" customHeight="1">
      <c r="B115" s="46" t="s">
        <v>3837</v>
      </c>
      <c r="C115" s="35" t="s">
        <v>226</v>
      </c>
      <c r="D115" s="36" t="s">
        <v>833</v>
      </c>
      <c r="E115" s="37">
        <v>43546</v>
      </c>
      <c r="F115" s="38" t="s">
        <v>3838</v>
      </c>
      <c r="G115" s="39">
        <v>1520</v>
      </c>
      <c r="H115" s="38">
        <f>SUM(G115/190)</f>
        <v>8</v>
      </c>
      <c r="I115" s="38">
        <f>SUM(H115/4)</f>
        <v>2</v>
      </c>
      <c r="J115" s="38"/>
      <c r="K115" s="40">
        <v>43632</v>
      </c>
      <c r="L115" s="41" t="s">
        <v>3840</v>
      </c>
      <c r="M115" s="42">
        <v>43627</v>
      </c>
      <c r="N115" s="43" t="s">
        <v>3828</v>
      </c>
      <c r="O115" s="42">
        <v>43632</v>
      </c>
      <c r="P115" s="45"/>
      <c r="Q115" s="38"/>
      <c r="R115" s="66" t="s">
        <v>3841</v>
      </c>
      <c r="S115" s="46"/>
    </row>
    <row r="116" spans="1:19" s="30" customFormat="1" ht="33" customHeight="1">
      <c r="B116" s="46" t="s">
        <v>2514</v>
      </c>
      <c r="C116" s="35" t="s">
        <v>3842</v>
      </c>
      <c r="D116" s="36" t="s">
        <v>3843</v>
      </c>
      <c r="E116" s="37">
        <v>43602</v>
      </c>
      <c r="F116" s="38" t="s">
        <v>2516</v>
      </c>
      <c r="G116" s="39">
        <v>1520</v>
      </c>
      <c r="H116" s="38">
        <v>8</v>
      </c>
      <c r="I116" s="38">
        <v>2</v>
      </c>
      <c r="J116" s="38"/>
      <c r="K116" s="40">
        <v>43702</v>
      </c>
      <c r="L116" s="41" t="s">
        <v>3844</v>
      </c>
      <c r="M116" s="42">
        <v>43697</v>
      </c>
      <c r="N116" s="43" t="s">
        <v>3822</v>
      </c>
      <c r="O116" s="42">
        <v>43702</v>
      </c>
      <c r="P116" s="45"/>
      <c r="Q116" s="38"/>
      <c r="R116" s="66"/>
      <c r="S116" s="46"/>
    </row>
    <row r="117" spans="1:19" s="33" customFormat="1" ht="33" customHeight="1">
      <c r="B117" s="47" t="s">
        <v>238</v>
      </c>
      <c r="C117" s="48" t="s">
        <v>3845</v>
      </c>
      <c r="D117" s="49" t="s">
        <v>474</v>
      </c>
      <c r="E117" s="50"/>
      <c r="F117" s="52" t="s">
        <v>236</v>
      </c>
      <c r="G117" s="51">
        <v>3200</v>
      </c>
      <c r="H117" s="52">
        <f t="shared" ref="H117:H126" si="14">SUM(G117/200)</f>
        <v>16</v>
      </c>
      <c r="I117" s="52">
        <f t="shared" ref="I117:I126" si="15">SUM(H117/4)</f>
        <v>4</v>
      </c>
      <c r="J117" s="52"/>
      <c r="K117" s="53">
        <v>43562</v>
      </c>
      <c r="L117" s="54" t="s">
        <v>3846</v>
      </c>
      <c r="M117" s="55">
        <v>43557</v>
      </c>
      <c r="N117" s="56" t="s">
        <v>3808</v>
      </c>
      <c r="O117" s="55">
        <v>43562</v>
      </c>
      <c r="P117" s="58"/>
      <c r="Q117" s="52"/>
      <c r="R117" s="63"/>
      <c r="S117" s="47"/>
    </row>
    <row r="118" spans="1:19" s="33" customFormat="1" ht="33" customHeight="1">
      <c r="B118" s="47" t="s">
        <v>238</v>
      </c>
      <c r="C118" s="48" t="s">
        <v>3847</v>
      </c>
      <c r="D118" s="49" t="s">
        <v>475</v>
      </c>
      <c r="E118" s="50"/>
      <c r="F118" s="52" t="s">
        <v>236</v>
      </c>
      <c r="G118" s="51">
        <v>1600</v>
      </c>
      <c r="H118" s="52">
        <f t="shared" si="14"/>
        <v>8</v>
      </c>
      <c r="I118" s="52">
        <f t="shared" si="15"/>
        <v>2</v>
      </c>
      <c r="J118" s="52"/>
      <c r="K118" s="53">
        <v>43562</v>
      </c>
      <c r="L118" s="54" t="s">
        <v>3848</v>
      </c>
      <c r="M118" s="55">
        <v>43564</v>
      </c>
      <c r="N118" s="56" t="s">
        <v>3719</v>
      </c>
      <c r="O118" s="55">
        <v>43569</v>
      </c>
      <c r="P118" s="58"/>
      <c r="Q118" s="52"/>
      <c r="R118" s="63"/>
      <c r="S118" s="47"/>
    </row>
    <row r="119" spans="1:19" s="33" customFormat="1" ht="33" customHeight="1">
      <c r="B119" s="47" t="s">
        <v>238</v>
      </c>
      <c r="C119" s="48" t="s">
        <v>3849</v>
      </c>
      <c r="D119" s="49" t="s">
        <v>488</v>
      </c>
      <c r="E119" s="50">
        <v>43495</v>
      </c>
      <c r="F119" s="52" t="s">
        <v>236</v>
      </c>
      <c r="G119" s="51">
        <v>1600</v>
      </c>
      <c r="H119" s="52">
        <f t="shared" si="14"/>
        <v>8</v>
      </c>
      <c r="I119" s="52">
        <f t="shared" si="15"/>
        <v>2</v>
      </c>
      <c r="J119" s="52"/>
      <c r="K119" s="53">
        <v>43583</v>
      </c>
      <c r="L119" s="54" t="s">
        <v>3850</v>
      </c>
      <c r="M119" s="55">
        <v>43578</v>
      </c>
      <c r="N119" s="56" t="s">
        <v>3771</v>
      </c>
      <c r="O119" s="55">
        <v>43583</v>
      </c>
      <c r="P119" s="58"/>
      <c r="Q119" s="52"/>
      <c r="R119" s="63"/>
      <c r="S119" s="47"/>
    </row>
    <row r="120" spans="1:19" s="33" customFormat="1" ht="33" customHeight="1">
      <c r="B120" s="47" t="s">
        <v>238</v>
      </c>
      <c r="C120" s="48" t="s">
        <v>3851</v>
      </c>
      <c r="D120" s="49" t="s">
        <v>598</v>
      </c>
      <c r="E120" s="50">
        <v>43519</v>
      </c>
      <c r="F120" s="52" t="s">
        <v>236</v>
      </c>
      <c r="G120" s="51">
        <v>1600</v>
      </c>
      <c r="H120" s="52">
        <f t="shared" si="14"/>
        <v>8</v>
      </c>
      <c r="I120" s="52">
        <f t="shared" si="15"/>
        <v>2</v>
      </c>
      <c r="J120" s="52"/>
      <c r="K120" s="53">
        <v>43597</v>
      </c>
      <c r="L120" s="54" t="s">
        <v>3852</v>
      </c>
      <c r="M120" s="55">
        <v>43592</v>
      </c>
      <c r="N120" s="56" t="s">
        <v>3853</v>
      </c>
      <c r="O120" s="55">
        <v>43597</v>
      </c>
      <c r="P120" s="58"/>
      <c r="Q120" s="52"/>
      <c r="R120" s="63"/>
      <c r="S120" s="47"/>
    </row>
    <row r="121" spans="1:19" s="33" customFormat="1" ht="33" customHeight="1">
      <c r="B121" s="47" t="s">
        <v>238</v>
      </c>
      <c r="C121" s="48" t="s">
        <v>3854</v>
      </c>
      <c r="D121" s="49" t="s">
        <v>598</v>
      </c>
      <c r="E121" s="50">
        <v>43519</v>
      </c>
      <c r="F121" s="52" t="s">
        <v>236</v>
      </c>
      <c r="G121" s="51">
        <v>1600</v>
      </c>
      <c r="H121" s="52">
        <f t="shared" si="14"/>
        <v>8</v>
      </c>
      <c r="I121" s="52">
        <f t="shared" si="15"/>
        <v>2</v>
      </c>
      <c r="J121" s="52"/>
      <c r="K121" s="53">
        <v>43597</v>
      </c>
      <c r="L121" s="54" t="s">
        <v>3855</v>
      </c>
      <c r="M121" s="55">
        <v>43606</v>
      </c>
      <c r="N121" s="56" t="s">
        <v>3856</v>
      </c>
      <c r="O121" s="55">
        <v>43613</v>
      </c>
      <c r="P121" s="58"/>
      <c r="Q121" s="52"/>
      <c r="R121" s="63"/>
      <c r="S121" s="47"/>
    </row>
    <row r="122" spans="1:19" s="30" customFormat="1" ht="33" customHeight="1">
      <c r="B122" s="46" t="s">
        <v>238</v>
      </c>
      <c r="C122" s="35" t="s">
        <v>226</v>
      </c>
      <c r="D122" s="36" t="s">
        <v>749</v>
      </c>
      <c r="E122" s="37">
        <v>43532</v>
      </c>
      <c r="F122" s="38" t="s">
        <v>236</v>
      </c>
      <c r="G122" s="39">
        <v>3200</v>
      </c>
      <c r="H122" s="38">
        <f t="shared" si="14"/>
        <v>16</v>
      </c>
      <c r="I122" s="38">
        <f t="shared" si="15"/>
        <v>4</v>
      </c>
      <c r="J122" s="38"/>
      <c r="K122" s="40">
        <v>43625</v>
      </c>
      <c r="L122" s="41" t="s">
        <v>2538</v>
      </c>
      <c r="M122" s="42">
        <v>43627</v>
      </c>
      <c r="N122" s="43" t="s">
        <v>808</v>
      </c>
      <c r="O122" s="42">
        <v>43632</v>
      </c>
      <c r="P122" s="45"/>
      <c r="Q122" s="38"/>
      <c r="R122" s="66"/>
      <c r="S122" s="46" t="s">
        <v>2539</v>
      </c>
    </row>
    <row r="123" spans="1:19" s="30" customFormat="1" ht="33" customHeight="1">
      <c r="B123" s="46" t="s">
        <v>238</v>
      </c>
      <c r="C123" s="35" t="s">
        <v>233</v>
      </c>
      <c r="D123" s="36" t="s">
        <v>750</v>
      </c>
      <c r="E123" s="37">
        <v>43532</v>
      </c>
      <c r="F123" s="38" t="s">
        <v>236</v>
      </c>
      <c r="G123" s="39">
        <v>3200</v>
      </c>
      <c r="H123" s="38">
        <f t="shared" si="14"/>
        <v>16</v>
      </c>
      <c r="I123" s="38">
        <f t="shared" si="15"/>
        <v>4</v>
      </c>
      <c r="J123" s="38"/>
      <c r="K123" s="40">
        <v>43646</v>
      </c>
      <c r="L123" s="41" t="s">
        <v>3857</v>
      </c>
      <c r="M123" s="42">
        <v>43641</v>
      </c>
      <c r="N123" s="43" t="s">
        <v>3730</v>
      </c>
      <c r="O123" s="42">
        <v>43646</v>
      </c>
      <c r="P123" s="45"/>
      <c r="Q123" s="38"/>
      <c r="R123" s="66"/>
      <c r="S123" s="46"/>
    </row>
    <row r="124" spans="1:19" s="30" customFormat="1" ht="33" customHeight="1">
      <c r="B124" s="46" t="s">
        <v>238</v>
      </c>
      <c r="C124" s="35" t="s">
        <v>285</v>
      </c>
      <c r="D124" s="36" t="s">
        <v>1305</v>
      </c>
      <c r="E124" s="37">
        <v>43567</v>
      </c>
      <c r="F124" s="38" t="s">
        <v>236</v>
      </c>
      <c r="G124" s="39">
        <v>3200</v>
      </c>
      <c r="H124" s="38">
        <f t="shared" si="14"/>
        <v>16</v>
      </c>
      <c r="I124" s="38">
        <f t="shared" si="15"/>
        <v>4</v>
      </c>
      <c r="J124" s="38"/>
      <c r="K124" s="40">
        <v>43660</v>
      </c>
      <c r="L124" s="41" t="s">
        <v>3858</v>
      </c>
      <c r="M124" s="42">
        <v>43655</v>
      </c>
      <c r="N124" s="43" t="s">
        <v>3859</v>
      </c>
      <c r="O124" s="42">
        <v>43660</v>
      </c>
      <c r="P124" s="45"/>
      <c r="Q124" s="38"/>
      <c r="R124" s="66"/>
      <c r="S124" s="46"/>
    </row>
    <row r="125" spans="1:19" s="30" customFormat="1" ht="33" customHeight="1">
      <c r="B125" s="46" t="s">
        <v>238</v>
      </c>
      <c r="C125" s="35" t="s">
        <v>331</v>
      </c>
      <c r="D125" s="36" t="s">
        <v>1306</v>
      </c>
      <c r="E125" s="37">
        <v>43567</v>
      </c>
      <c r="F125" s="38" t="s">
        <v>236</v>
      </c>
      <c r="G125" s="39">
        <v>3200</v>
      </c>
      <c r="H125" s="38">
        <f t="shared" si="14"/>
        <v>16</v>
      </c>
      <c r="I125" s="38">
        <f t="shared" si="15"/>
        <v>4</v>
      </c>
      <c r="J125" s="38"/>
      <c r="K125" s="40">
        <v>43674</v>
      </c>
      <c r="L125" s="41" t="s">
        <v>3860</v>
      </c>
      <c r="M125" s="42">
        <v>43669</v>
      </c>
      <c r="N125" s="43" t="s">
        <v>3800</v>
      </c>
      <c r="O125" s="42">
        <v>43674</v>
      </c>
      <c r="P125" s="45"/>
      <c r="Q125" s="38"/>
      <c r="R125" s="66"/>
      <c r="S125" s="46"/>
    </row>
    <row r="126" spans="1:19" s="30" customFormat="1" ht="33" customHeight="1">
      <c r="B126" s="46" t="s">
        <v>3861</v>
      </c>
      <c r="C126" s="35" t="s">
        <v>431</v>
      </c>
      <c r="D126" s="36" t="s">
        <v>3862</v>
      </c>
      <c r="E126" s="128">
        <v>43637</v>
      </c>
      <c r="F126" s="124" t="s">
        <v>236</v>
      </c>
      <c r="G126" s="129">
        <v>3200</v>
      </c>
      <c r="H126" s="124">
        <f t="shared" si="14"/>
        <v>16</v>
      </c>
      <c r="I126" s="124">
        <f t="shared" si="15"/>
        <v>4</v>
      </c>
      <c r="J126" s="124"/>
      <c r="K126" s="130">
        <v>43730</v>
      </c>
      <c r="L126" s="119" t="s">
        <v>3772</v>
      </c>
      <c r="M126" s="120">
        <v>43725</v>
      </c>
      <c r="N126" s="121" t="s">
        <v>3773</v>
      </c>
      <c r="O126" s="120">
        <v>43730</v>
      </c>
      <c r="P126" s="123"/>
      <c r="Q126" s="124"/>
      <c r="R126" s="134"/>
      <c r="S126" s="122"/>
    </row>
    <row r="127" spans="1:19" s="19" customFormat="1">
      <c r="B127"/>
      <c r="C127" s="15"/>
      <c r="D127" s="1"/>
      <c r="E127" s="174"/>
      <c r="F127"/>
      <c r="G127" s="11"/>
      <c r="H127"/>
      <c r="I127"/>
      <c r="J127"/>
      <c r="K127" s="13"/>
      <c r="L127"/>
      <c r="N127" s="28"/>
      <c r="P127"/>
      <c r="Q127"/>
      <c r="R127" s="17"/>
      <c r="S127"/>
    </row>
    <row r="128" spans="1:19" s="19" customFormat="1" ht="26.4" hidden="1">
      <c r="B128"/>
      <c r="C128" s="15"/>
      <c r="D128" s="1"/>
      <c r="F128" s="177"/>
      <c r="L128" s="176" t="s">
        <v>1821</v>
      </c>
      <c r="M128" s="177"/>
      <c r="N128" s="177"/>
      <c r="O128"/>
      <c r="P128" s="13"/>
      <c r="Q128"/>
      <c r="S128" s="28"/>
    </row>
    <row r="129" spans="2:19" ht="26.4" hidden="1">
      <c r="F129" s="177"/>
      <c r="L129" s="176" t="s">
        <v>1822</v>
      </c>
      <c r="M129" s="177"/>
      <c r="N129" s="177"/>
      <c r="O129"/>
      <c r="P129" s="13"/>
      <c r="R129" s="19"/>
      <c r="S129" s="28"/>
    </row>
    <row r="130" spans="2:19" ht="26.4" hidden="1">
      <c r="F130" s="177"/>
      <c r="L130" s="176" t="s">
        <v>1823</v>
      </c>
      <c r="M130" s="177"/>
      <c r="N130" s="177"/>
      <c r="O130"/>
      <c r="P130" s="13"/>
      <c r="R130" s="19"/>
      <c r="S130" s="28"/>
    </row>
    <row r="131" spans="2:19" hidden="1">
      <c r="E131" s="175"/>
      <c r="L131" s="11"/>
      <c r="M131"/>
      <c r="N131"/>
      <c r="O131"/>
      <c r="P131" s="13"/>
      <c r="R131" s="19"/>
      <c r="S131" s="28"/>
    </row>
    <row r="132" spans="2:19" s="19" customFormat="1" hidden="1">
      <c r="B132"/>
      <c r="C132" s="15"/>
      <c r="D132" s="1"/>
      <c r="L132" s="178" t="s">
        <v>1825</v>
      </c>
      <c r="M132" s="178" t="s">
        <v>1826</v>
      </c>
      <c r="N132" s="178" t="s">
        <v>1827</v>
      </c>
      <c r="O132" s="178" t="s">
        <v>1828</v>
      </c>
      <c r="P132" s="179" t="s">
        <v>3863</v>
      </c>
      <c r="Q132" s="179" t="s">
        <v>3864</v>
      </c>
      <c r="R132" s="179" t="s">
        <v>1831</v>
      </c>
      <c r="S132" s="179"/>
    </row>
    <row r="133" spans="2:19" s="19" customFormat="1" hidden="1">
      <c r="B133"/>
      <c r="C133" s="15"/>
      <c r="D133" s="1"/>
      <c r="L133" s="180" t="s">
        <v>3865</v>
      </c>
      <c r="M133" s="181" t="s">
        <v>1833</v>
      </c>
      <c r="N133" s="181" t="s">
        <v>1834</v>
      </c>
      <c r="O133" s="182" t="s">
        <v>1835</v>
      </c>
      <c r="P133" s="183">
        <v>1000</v>
      </c>
      <c r="Q133" s="183">
        <v>4</v>
      </c>
      <c r="R133" s="184">
        <v>43598</v>
      </c>
      <c r="S133" s="181" t="s">
        <v>99</v>
      </c>
    </row>
    <row r="134" spans="2:19" s="19" customFormat="1" hidden="1">
      <c r="B134"/>
      <c r="C134" s="15"/>
      <c r="D134" s="1"/>
      <c r="L134" s="180" t="s">
        <v>3865</v>
      </c>
      <c r="M134" s="181" t="s">
        <v>1836</v>
      </c>
      <c r="N134" s="181" t="s">
        <v>1834</v>
      </c>
      <c r="O134" s="182" t="s">
        <v>1835</v>
      </c>
      <c r="P134" s="183">
        <v>6000</v>
      </c>
      <c r="Q134" s="183">
        <v>24</v>
      </c>
      <c r="R134" s="184">
        <v>43598</v>
      </c>
      <c r="S134" s="181" t="s">
        <v>99</v>
      </c>
    </row>
    <row r="135" spans="2:19" s="19" customFormat="1" hidden="1">
      <c r="B135"/>
      <c r="C135" s="15"/>
      <c r="D135" s="1"/>
      <c r="L135" s="180" t="s">
        <v>3865</v>
      </c>
      <c r="M135" s="181" t="s">
        <v>1837</v>
      </c>
      <c r="N135" s="181" t="s">
        <v>1834</v>
      </c>
      <c r="O135" s="182" t="s">
        <v>1835</v>
      </c>
      <c r="P135" s="183">
        <v>5000</v>
      </c>
      <c r="Q135" s="183">
        <v>20</v>
      </c>
      <c r="R135" s="185" t="s">
        <v>3866</v>
      </c>
      <c r="S135" s="180" t="s">
        <v>3867</v>
      </c>
    </row>
    <row r="136" spans="2:19" s="19" customFormat="1" hidden="1">
      <c r="B136"/>
      <c r="C136" s="15"/>
      <c r="D136" s="1"/>
      <c r="L136" s="180" t="s">
        <v>3865</v>
      </c>
      <c r="M136" s="181" t="s">
        <v>1840</v>
      </c>
      <c r="N136" s="181" t="s">
        <v>1834</v>
      </c>
      <c r="O136" s="182" t="s">
        <v>1835</v>
      </c>
      <c r="P136" s="183">
        <v>5000</v>
      </c>
      <c r="Q136" s="183">
        <v>20</v>
      </c>
      <c r="R136" s="184">
        <v>43605</v>
      </c>
      <c r="S136" s="181" t="s">
        <v>99</v>
      </c>
    </row>
    <row r="137" spans="2:19" s="19" customFormat="1" hidden="1">
      <c r="B137"/>
      <c r="C137" s="15"/>
      <c r="D137" s="1"/>
      <c r="L137" s="180" t="s">
        <v>3865</v>
      </c>
      <c r="M137" s="181" t="s">
        <v>1841</v>
      </c>
      <c r="N137" s="181" t="s">
        <v>1834</v>
      </c>
      <c r="O137" s="182" t="s">
        <v>1835</v>
      </c>
      <c r="P137" s="183">
        <v>7000</v>
      </c>
      <c r="Q137" s="183">
        <v>28</v>
      </c>
      <c r="R137" s="184">
        <v>43605</v>
      </c>
      <c r="S137" s="181" t="s">
        <v>99</v>
      </c>
    </row>
    <row r="138" spans="2:19" hidden="1">
      <c r="L138" s="180" t="s">
        <v>3868</v>
      </c>
      <c r="M138" s="181" t="s">
        <v>1843</v>
      </c>
      <c r="N138" s="181" t="s">
        <v>1844</v>
      </c>
      <c r="O138" s="182" t="s">
        <v>1835</v>
      </c>
      <c r="P138" s="183">
        <v>2000</v>
      </c>
      <c r="Q138" s="183">
        <v>8</v>
      </c>
      <c r="R138" s="184">
        <v>43598</v>
      </c>
      <c r="S138" s="181" t="s">
        <v>99</v>
      </c>
    </row>
    <row r="139" spans="2:19" hidden="1">
      <c r="L139" s="180" t="s">
        <v>3868</v>
      </c>
      <c r="M139" s="181" t="s">
        <v>1845</v>
      </c>
      <c r="N139" s="181" t="s">
        <v>1844</v>
      </c>
      <c r="O139" s="182" t="s">
        <v>1835</v>
      </c>
      <c r="P139" s="183">
        <v>2000</v>
      </c>
      <c r="Q139" s="183">
        <v>8</v>
      </c>
      <c r="R139" s="184">
        <v>43598</v>
      </c>
      <c r="S139" s="181" t="s">
        <v>99</v>
      </c>
    </row>
    <row r="140" spans="2:19" hidden="1">
      <c r="L140" s="180" t="s">
        <v>3868</v>
      </c>
      <c r="M140" s="181" t="s">
        <v>1846</v>
      </c>
      <c r="N140" s="181" t="s">
        <v>1844</v>
      </c>
      <c r="O140" s="182" t="s">
        <v>1835</v>
      </c>
      <c r="P140" s="183">
        <v>10000</v>
      </c>
      <c r="Q140" s="183">
        <v>40</v>
      </c>
      <c r="R140" s="184">
        <v>43598</v>
      </c>
      <c r="S140" s="181" t="s">
        <v>99</v>
      </c>
    </row>
    <row r="141" spans="2:19" hidden="1">
      <c r="L141" s="180" t="s">
        <v>3868</v>
      </c>
      <c r="M141" s="181" t="s">
        <v>1847</v>
      </c>
      <c r="N141" s="181" t="s">
        <v>1844</v>
      </c>
      <c r="O141" s="182" t="s">
        <v>1835</v>
      </c>
      <c r="P141" s="183">
        <v>8000</v>
      </c>
      <c r="Q141" s="183">
        <v>32</v>
      </c>
      <c r="R141" s="184">
        <v>43598</v>
      </c>
      <c r="S141" s="180"/>
    </row>
    <row r="142" spans="2:19" hidden="1">
      <c r="L142" s="180" t="s">
        <v>3868</v>
      </c>
      <c r="M142" s="181" t="s">
        <v>1848</v>
      </c>
      <c r="N142" s="181" t="s">
        <v>1844</v>
      </c>
      <c r="O142" s="182" t="s">
        <v>1835</v>
      </c>
      <c r="P142" s="183">
        <v>10000</v>
      </c>
      <c r="Q142" s="183">
        <v>40</v>
      </c>
      <c r="R142" s="185" t="s">
        <v>3869</v>
      </c>
      <c r="S142" s="180" t="s">
        <v>3867</v>
      </c>
    </row>
    <row r="143" spans="2:19" hidden="1">
      <c r="L143" s="182" t="s">
        <v>3870</v>
      </c>
      <c r="M143" s="181" t="s">
        <v>1851</v>
      </c>
      <c r="N143" s="181" t="s">
        <v>1834</v>
      </c>
      <c r="O143" s="182" t="s">
        <v>1852</v>
      </c>
      <c r="P143" s="183">
        <v>5000</v>
      </c>
      <c r="Q143" s="183">
        <v>20</v>
      </c>
      <c r="R143" s="184">
        <v>43605</v>
      </c>
      <c r="S143" s="181" t="s">
        <v>99</v>
      </c>
    </row>
    <row r="144" spans="2:19" hidden="1">
      <c r="L144" s="180" t="s">
        <v>3871</v>
      </c>
      <c r="M144" s="181" t="s">
        <v>1851</v>
      </c>
      <c r="N144" s="181" t="s">
        <v>1844</v>
      </c>
      <c r="O144" s="182" t="s">
        <v>1835</v>
      </c>
      <c r="P144" s="183">
        <v>2000</v>
      </c>
      <c r="Q144" s="183">
        <v>8</v>
      </c>
      <c r="R144" s="184">
        <v>43605</v>
      </c>
      <c r="S144" s="181" t="s">
        <v>99</v>
      </c>
    </row>
    <row r="145" spans="12:19" hidden="1">
      <c r="L145" s="182" t="s">
        <v>3872</v>
      </c>
      <c r="M145" s="181" t="s">
        <v>1855</v>
      </c>
      <c r="N145" s="181" t="s">
        <v>1834</v>
      </c>
      <c r="O145" s="182" t="s">
        <v>1852</v>
      </c>
      <c r="P145" s="183">
        <v>6000</v>
      </c>
      <c r="Q145" s="183">
        <v>24</v>
      </c>
      <c r="R145" s="184">
        <v>43605</v>
      </c>
      <c r="S145" s="181" t="s">
        <v>99</v>
      </c>
    </row>
    <row r="146" spans="12:19" hidden="1">
      <c r="L146" s="182" t="s">
        <v>3872</v>
      </c>
      <c r="M146" s="181" t="s">
        <v>1856</v>
      </c>
      <c r="N146" s="181" t="s">
        <v>1834</v>
      </c>
      <c r="O146" s="182" t="s">
        <v>1852</v>
      </c>
      <c r="P146" s="183">
        <v>6000</v>
      </c>
      <c r="Q146" s="183">
        <v>24</v>
      </c>
      <c r="R146" s="185">
        <v>43605</v>
      </c>
      <c r="S146" s="180"/>
    </row>
    <row r="147" spans="12:19" hidden="1">
      <c r="L147" s="182" t="s">
        <v>3872</v>
      </c>
      <c r="M147" s="181" t="s">
        <v>1857</v>
      </c>
      <c r="N147" s="181" t="s">
        <v>1834</v>
      </c>
      <c r="O147" s="182" t="s">
        <v>1852</v>
      </c>
      <c r="P147" s="183">
        <v>6000</v>
      </c>
      <c r="Q147" s="183">
        <v>24</v>
      </c>
      <c r="R147" s="184" t="s">
        <v>3873</v>
      </c>
      <c r="S147" s="181" t="s">
        <v>3874</v>
      </c>
    </row>
    <row r="150" spans="12:19" ht="16.2">
      <c r="L150" s="186"/>
    </row>
    <row r="151" spans="12:19" ht="16.2">
      <c r="L151" s="186"/>
    </row>
    <row r="152" spans="12:19" ht="16.2">
      <c r="L152" s="186"/>
    </row>
    <row r="153" spans="12:19">
      <c r="Q153" t="s">
        <v>3875</v>
      </c>
    </row>
  </sheetData>
  <autoFilter ref="B2:R126" xr:uid="{00000000-0009-0000-0000-000012000000}"/>
  <phoneticPr fontId="1"/>
  <pageMargins left="0.23622047244094491" right="0.23622047244094491" top="0.35433070866141736" bottom="0.35433070866141736" header="0.31496062992125984" footer="0.31496062992125984"/>
  <pageSetup paperSize="9" scale="77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64">
    <pageSetUpPr fitToPage="1"/>
  </sheetPr>
  <dimension ref="A1:S152"/>
  <sheetViews>
    <sheetView zoomScale="77" zoomScaleNormal="77" workbookViewId="0">
      <pane xSplit="1" ySplit="2" topLeftCell="E3" activePane="bottomRight" state="frozen"/>
      <selection pane="topRight" activeCell="B1" sqref="B1"/>
      <selection pane="bottomLeft" activeCell="A3" sqref="A3"/>
      <selection pane="bottomRight" activeCell="I19" sqref="I19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7.12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B2" s="194"/>
      <c r="C2" s="14" t="s">
        <v>3255</v>
      </c>
      <c r="D2" s="5" t="s">
        <v>0</v>
      </c>
      <c r="E2" s="6" t="s">
        <v>3256</v>
      </c>
      <c r="F2" s="6" t="s">
        <v>3257</v>
      </c>
      <c r="G2" s="10" t="s">
        <v>1</v>
      </c>
      <c r="H2" s="6" t="s">
        <v>15</v>
      </c>
      <c r="I2" s="6" t="s">
        <v>16</v>
      </c>
      <c r="J2" s="6" t="s">
        <v>3258</v>
      </c>
      <c r="K2" s="12" t="s">
        <v>3259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3260</v>
      </c>
      <c r="Q2" s="6" t="s">
        <v>3261</v>
      </c>
      <c r="R2" s="16" t="s">
        <v>6</v>
      </c>
      <c r="S2" s="16" t="s">
        <v>3262</v>
      </c>
    </row>
    <row r="3" spans="2:19" s="33" customFormat="1" ht="33" customHeight="1">
      <c r="B3" s="47" t="s">
        <v>220</v>
      </c>
      <c r="C3" s="48" t="s">
        <v>377</v>
      </c>
      <c r="D3" s="49" t="s">
        <v>378</v>
      </c>
      <c r="E3" s="50">
        <v>43455</v>
      </c>
      <c r="F3" s="49" t="s">
        <v>3263</v>
      </c>
      <c r="G3" s="51">
        <v>14000</v>
      </c>
      <c r="H3" s="52">
        <f t="shared" ref="H3:H37" si="0">SUM(G3/250)</f>
        <v>56</v>
      </c>
      <c r="I3" s="52">
        <f t="shared" ref="I3:I60" si="1">SUM(H3/4)</f>
        <v>14</v>
      </c>
      <c r="J3" s="49"/>
      <c r="K3" s="53">
        <v>43548</v>
      </c>
      <c r="L3" s="54" t="s">
        <v>3264</v>
      </c>
      <c r="M3" s="55">
        <v>43563</v>
      </c>
      <c r="N3" s="56" t="s">
        <v>3265</v>
      </c>
      <c r="O3" s="55">
        <v>43569</v>
      </c>
      <c r="P3" s="54" t="s">
        <v>3266</v>
      </c>
      <c r="Q3" s="49"/>
      <c r="R3" s="57" t="s">
        <v>3267</v>
      </c>
      <c r="S3" s="47"/>
    </row>
    <row r="4" spans="2:19" s="33" customFormat="1" ht="33" customHeight="1">
      <c r="B4" s="47" t="s">
        <v>220</v>
      </c>
      <c r="C4" s="48" t="s">
        <v>421</v>
      </c>
      <c r="D4" s="49" t="s">
        <v>453</v>
      </c>
      <c r="E4" s="50">
        <v>43483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43576</v>
      </c>
      <c r="L4" s="54" t="s">
        <v>3268</v>
      </c>
      <c r="M4" s="55">
        <v>43570</v>
      </c>
      <c r="N4" s="56" t="s">
        <v>3269</v>
      </c>
      <c r="O4" s="55">
        <v>43576</v>
      </c>
      <c r="P4" s="54" t="s">
        <v>3270</v>
      </c>
      <c r="Q4" s="49"/>
      <c r="R4" s="57" t="s">
        <v>3271</v>
      </c>
      <c r="S4" s="47"/>
    </row>
    <row r="5" spans="2:19" s="33" customFormat="1" ht="33" customHeight="1">
      <c r="B5" s="47" t="s">
        <v>78</v>
      </c>
      <c r="C5" s="48" t="s">
        <v>422</v>
      </c>
      <c r="D5" s="49" t="s">
        <v>455</v>
      </c>
      <c r="E5" s="50">
        <v>43483</v>
      </c>
      <c r="F5" s="49" t="s">
        <v>3263</v>
      </c>
      <c r="G5" s="51">
        <v>10000</v>
      </c>
      <c r="H5" s="52">
        <f t="shared" si="0"/>
        <v>40</v>
      </c>
      <c r="I5" s="52">
        <f t="shared" si="1"/>
        <v>10</v>
      </c>
      <c r="J5" s="49"/>
      <c r="K5" s="53">
        <v>43618</v>
      </c>
      <c r="L5" s="54" t="s">
        <v>3272</v>
      </c>
      <c r="M5" s="55">
        <v>43612</v>
      </c>
      <c r="N5" s="56" t="s">
        <v>3273</v>
      </c>
      <c r="O5" s="55">
        <v>43618</v>
      </c>
      <c r="P5" s="54" t="s">
        <v>3274</v>
      </c>
      <c r="Q5" s="49" t="s">
        <v>82</v>
      </c>
      <c r="R5" s="57" t="s">
        <v>3275</v>
      </c>
      <c r="S5" s="47"/>
    </row>
    <row r="6" spans="2:19" s="33" customFormat="1" ht="33" customHeight="1">
      <c r="B6" s="47" t="s">
        <v>78</v>
      </c>
      <c r="C6" s="48" t="s">
        <v>3276</v>
      </c>
      <c r="D6" s="49" t="s">
        <v>455</v>
      </c>
      <c r="E6" s="50">
        <v>43523</v>
      </c>
      <c r="F6" s="49" t="s">
        <v>3263</v>
      </c>
      <c r="G6" s="51">
        <v>10000</v>
      </c>
      <c r="H6" s="52">
        <f t="shared" si="0"/>
        <v>40</v>
      </c>
      <c r="I6" s="52">
        <f t="shared" si="1"/>
        <v>10</v>
      </c>
      <c r="J6" s="49"/>
      <c r="K6" s="53">
        <v>43618</v>
      </c>
      <c r="L6" s="54" t="s">
        <v>638</v>
      </c>
      <c r="M6" s="55">
        <v>43612</v>
      </c>
      <c r="N6" s="56" t="s">
        <v>636</v>
      </c>
      <c r="O6" s="55">
        <v>43618</v>
      </c>
      <c r="P6" s="54" t="s">
        <v>3277</v>
      </c>
      <c r="Q6" s="49" t="s">
        <v>82</v>
      </c>
      <c r="R6" s="57" t="s">
        <v>3278</v>
      </c>
      <c r="S6" s="47"/>
    </row>
    <row r="7" spans="2:19" s="33" customFormat="1" ht="33" customHeight="1">
      <c r="B7" s="47" t="s">
        <v>78</v>
      </c>
      <c r="C7" s="48" t="s">
        <v>3279</v>
      </c>
      <c r="D7" s="49" t="s">
        <v>1337</v>
      </c>
      <c r="E7" s="50">
        <v>43483</v>
      </c>
      <c r="F7" s="49" t="s">
        <v>3263</v>
      </c>
      <c r="G7" s="51">
        <v>20000</v>
      </c>
      <c r="H7" s="52">
        <f t="shared" si="0"/>
        <v>80</v>
      </c>
      <c r="I7" s="52">
        <f t="shared" si="1"/>
        <v>20</v>
      </c>
      <c r="J7" s="49"/>
      <c r="K7" s="53">
        <v>43618</v>
      </c>
      <c r="L7" s="54" t="s">
        <v>3272</v>
      </c>
      <c r="M7" s="55">
        <v>43612</v>
      </c>
      <c r="N7" s="56" t="s">
        <v>3273</v>
      </c>
      <c r="O7" s="55">
        <v>43618</v>
      </c>
      <c r="P7" s="54" t="s">
        <v>3280</v>
      </c>
      <c r="Q7" s="49" t="s">
        <v>82</v>
      </c>
      <c r="R7" s="57" t="s">
        <v>3281</v>
      </c>
      <c r="S7" s="47" t="s">
        <v>479</v>
      </c>
    </row>
    <row r="8" spans="2:19" s="33" customFormat="1" ht="33" customHeight="1">
      <c r="B8" s="47" t="s">
        <v>78</v>
      </c>
      <c r="C8" s="48" t="s">
        <v>423</v>
      </c>
      <c r="D8" s="49" t="s">
        <v>457</v>
      </c>
      <c r="E8" s="50">
        <v>43483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43576</v>
      </c>
      <c r="L8" s="54" t="s">
        <v>3282</v>
      </c>
      <c r="M8" s="55">
        <v>43570</v>
      </c>
      <c r="N8" s="56" t="s">
        <v>3283</v>
      </c>
      <c r="O8" s="55">
        <v>43576</v>
      </c>
      <c r="P8" s="54" t="s">
        <v>3284</v>
      </c>
      <c r="Q8" s="49" t="s">
        <v>82</v>
      </c>
      <c r="R8" s="57" t="s">
        <v>3285</v>
      </c>
      <c r="S8" s="47"/>
    </row>
    <row r="9" spans="2:19" s="33" customFormat="1" ht="33" customHeight="1">
      <c r="B9" s="47" t="s">
        <v>220</v>
      </c>
      <c r="C9" s="48" t="s">
        <v>425</v>
      </c>
      <c r="D9" s="49" t="s">
        <v>459</v>
      </c>
      <c r="E9" s="50">
        <v>43483</v>
      </c>
      <c r="F9" s="49" t="s">
        <v>79</v>
      </c>
      <c r="G9" s="51">
        <v>20000</v>
      </c>
      <c r="H9" s="52">
        <f t="shared" si="0"/>
        <v>80</v>
      </c>
      <c r="I9" s="52">
        <f t="shared" si="1"/>
        <v>20</v>
      </c>
      <c r="J9" s="49"/>
      <c r="K9" s="53">
        <v>43583</v>
      </c>
      <c r="L9" s="54" t="s">
        <v>3286</v>
      </c>
      <c r="M9" s="55">
        <v>43577</v>
      </c>
      <c r="N9" s="56" t="s">
        <v>3287</v>
      </c>
      <c r="O9" s="55">
        <v>43583</v>
      </c>
      <c r="P9" s="54" t="s">
        <v>3288</v>
      </c>
      <c r="Q9" s="49"/>
      <c r="R9" s="57" t="s">
        <v>3289</v>
      </c>
      <c r="S9" s="47"/>
    </row>
    <row r="10" spans="2:19" s="33" customFormat="1" ht="33" customHeight="1">
      <c r="B10" s="47" t="s">
        <v>78</v>
      </c>
      <c r="C10" s="48" t="s">
        <v>462</v>
      </c>
      <c r="D10" s="49" t="s">
        <v>483</v>
      </c>
      <c r="E10" s="50">
        <v>43490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43583</v>
      </c>
      <c r="L10" s="54" t="s">
        <v>3286</v>
      </c>
      <c r="M10" s="55">
        <v>43577</v>
      </c>
      <c r="N10" s="56" t="s">
        <v>3287</v>
      </c>
      <c r="O10" s="55">
        <v>43583</v>
      </c>
      <c r="P10" s="54" t="s">
        <v>3290</v>
      </c>
      <c r="Q10" s="49" t="s">
        <v>82</v>
      </c>
      <c r="R10" s="57" t="s">
        <v>3291</v>
      </c>
      <c r="S10" s="47"/>
    </row>
    <row r="11" spans="2:19" s="33" customFormat="1" ht="33" customHeight="1">
      <c r="B11" s="47" t="s">
        <v>78</v>
      </c>
      <c r="C11" s="48" t="s">
        <v>570</v>
      </c>
      <c r="D11" s="49" t="s">
        <v>571</v>
      </c>
      <c r="E11" s="50">
        <v>43519</v>
      </c>
      <c r="F11" s="49" t="s">
        <v>79</v>
      </c>
      <c r="G11" s="51">
        <v>20000</v>
      </c>
      <c r="H11" s="52">
        <f t="shared" si="0"/>
        <v>80</v>
      </c>
      <c r="I11" s="52">
        <f t="shared" si="1"/>
        <v>20</v>
      </c>
      <c r="J11" s="49"/>
      <c r="K11" s="53">
        <v>43590</v>
      </c>
      <c r="L11" s="54" t="s">
        <v>602</v>
      </c>
      <c r="M11" s="55">
        <v>43577</v>
      </c>
      <c r="N11" s="56" t="s">
        <v>3287</v>
      </c>
      <c r="O11" s="55">
        <v>43583</v>
      </c>
      <c r="P11" s="54" t="s">
        <v>3292</v>
      </c>
      <c r="Q11" s="49" t="s">
        <v>82</v>
      </c>
      <c r="R11" s="57" t="s">
        <v>3293</v>
      </c>
      <c r="S11" s="47"/>
    </row>
    <row r="12" spans="2:19" s="33" customFormat="1" ht="33" customHeight="1">
      <c r="B12" s="47" t="s">
        <v>78</v>
      </c>
      <c r="C12" s="48" t="s">
        <v>573</v>
      </c>
      <c r="D12" s="49" t="s">
        <v>574</v>
      </c>
      <c r="E12" s="50">
        <v>43519</v>
      </c>
      <c r="F12" s="49" t="s">
        <v>79</v>
      </c>
      <c r="G12" s="51">
        <v>20000</v>
      </c>
      <c r="H12" s="52">
        <f t="shared" si="0"/>
        <v>80</v>
      </c>
      <c r="I12" s="52">
        <f t="shared" si="1"/>
        <v>20</v>
      </c>
      <c r="J12" s="49"/>
      <c r="K12" s="53">
        <v>43604</v>
      </c>
      <c r="L12" s="54" t="s">
        <v>3294</v>
      </c>
      <c r="M12" s="55">
        <v>43598</v>
      </c>
      <c r="N12" s="56" t="s">
        <v>3295</v>
      </c>
      <c r="O12" s="55">
        <v>43604</v>
      </c>
      <c r="P12" s="54" t="s">
        <v>3296</v>
      </c>
      <c r="Q12" s="49" t="s">
        <v>82</v>
      </c>
      <c r="R12" s="57" t="s">
        <v>3297</v>
      </c>
      <c r="S12" s="47"/>
    </row>
    <row r="13" spans="2:19" s="33" customFormat="1" ht="33" customHeight="1">
      <c r="B13" s="47" t="s">
        <v>78</v>
      </c>
      <c r="C13" s="48" t="s">
        <v>3298</v>
      </c>
      <c r="D13" s="49" t="s">
        <v>577</v>
      </c>
      <c r="E13" s="50">
        <v>43519</v>
      </c>
      <c r="F13" s="49" t="s">
        <v>3299</v>
      </c>
      <c r="G13" s="51">
        <v>10000</v>
      </c>
      <c r="H13" s="52">
        <f t="shared" si="0"/>
        <v>40</v>
      </c>
      <c r="I13" s="52">
        <f t="shared" si="1"/>
        <v>10</v>
      </c>
      <c r="J13" s="49"/>
      <c r="K13" s="53">
        <v>43598</v>
      </c>
      <c r="L13" s="54" t="s">
        <v>803</v>
      </c>
      <c r="M13" s="55">
        <v>43598</v>
      </c>
      <c r="N13" s="56" t="s">
        <v>804</v>
      </c>
      <c r="O13" s="55">
        <v>43604</v>
      </c>
      <c r="P13" s="54" t="s">
        <v>3300</v>
      </c>
      <c r="Q13" s="49" t="s">
        <v>82</v>
      </c>
      <c r="R13" s="57" t="s">
        <v>3301</v>
      </c>
      <c r="S13" s="47"/>
    </row>
    <row r="14" spans="2:19" s="33" customFormat="1" ht="33" customHeight="1">
      <c r="B14" s="47" t="s">
        <v>220</v>
      </c>
      <c r="C14" s="48" t="s">
        <v>579</v>
      </c>
      <c r="D14" s="49" t="s">
        <v>580</v>
      </c>
      <c r="E14" s="50">
        <v>43519</v>
      </c>
      <c r="F14" s="49" t="s">
        <v>79</v>
      </c>
      <c r="G14" s="51">
        <v>10000</v>
      </c>
      <c r="H14" s="52">
        <f t="shared" si="0"/>
        <v>40</v>
      </c>
      <c r="I14" s="52">
        <f t="shared" si="1"/>
        <v>10</v>
      </c>
      <c r="J14" s="49"/>
      <c r="K14" s="53">
        <v>43598</v>
      </c>
      <c r="L14" s="54" t="s">
        <v>803</v>
      </c>
      <c r="M14" s="55">
        <v>43598</v>
      </c>
      <c r="N14" s="56" t="s">
        <v>804</v>
      </c>
      <c r="O14" s="55">
        <v>43604</v>
      </c>
      <c r="P14" s="54" t="s">
        <v>3302</v>
      </c>
      <c r="Q14" s="49"/>
      <c r="R14" s="57" t="s">
        <v>3303</v>
      </c>
      <c r="S14" s="47"/>
    </row>
    <row r="15" spans="2:19" s="33" customFormat="1" ht="33" customHeight="1">
      <c r="B15" s="47" t="s">
        <v>78</v>
      </c>
      <c r="C15" s="48" t="s">
        <v>576</v>
      </c>
      <c r="D15" s="49" t="s">
        <v>577</v>
      </c>
      <c r="E15" s="50">
        <v>43519</v>
      </c>
      <c r="F15" s="49" t="s">
        <v>79</v>
      </c>
      <c r="G15" s="51">
        <v>20000</v>
      </c>
      <c r="H15" s="52">
        <f t="shared" si="0"/>
        <v>80</v>
      </c>
      <c r="I15" s="52">
        <f t="shared" si="1"/>
        <v>20</v>
      </c>
      <c r="J15" s="49"/>
      <c r="K15" s="53">
        <v>43611</v>
      </c>
      <c r="L15" s="54" t="s">
        <v>3304</v>
      </c>
      <c r="M15" s="55">
        <v>43605</v>
      </c>
      <c r="N15" s="56" t="s">
        <v>3305</v>
      </c>
      <c r="O15" s="55">
        <v>43611</v>
      </c>
      <c r="P15" s="54" t="s">
        <v>3306</v>
      </c>
      <c r="Q15" s="49" t="s">
        <v>82</v>
      </c>
      <c r="R15" s="57" t="s">
        <v>3307</v>
      </c>
      <c r="S15" s="47"/>
    </row>
    <row r="16" spans="2:19" s="30" customFormat="1" ht="33" customHeight="1">
      <c r="B16" s="46" t="s">
        <v>78</v>
      </c>
      <c r="C16" s="35" t="s">
        <v>685</v>
      </c>
      <c r="D16" s="36" t="s">
        <v>686</v>
      </c>
      <c r="E16" s="37">
        <v>43532</v>
      </c>
      <c r="F16" s="36" t="s">
        <v>79</v>
      </c>
      <c r="G16" s="39">
        <v>20000</v>
      </c>
      <c r="H16" s="38">
        <f t="shared" si="0"/>
        <v>80</v>
      </c>
      <c r="I16" s="38">
        <f t="shared" si="1"/>
        <v>20</v>
      </c>
      <c r="J16" s="36"/>
      <c r="K16" s="40">
        <v>43625</v>
      </c>
      <c r="L16" s="41" t="s">
        <v>3308</v>
      </c>
      <c r="M16" s="42">
        <v>43619</v>
      </c>
      <c r="N16" s="43" t="s">
        <v>3309</v>
      </c>
      <c r="O16" s="42">
        <v>43625</v>
      </c>
      <c r="P16" s="41"/>
      <c r="Q16" s="36" t="s">
        <v>82</v>
      </c>
      <c r="R16" s="44" t="s">
        <v>3310</v>
      </c>
      <c r="S16" s="46"/>
    </row>
    <row r="17" spans="2:19" s="30" customFormat="1" ht="33" customHeight="1">
      <c r="B17" s="46" t="s">
        <v>78</v>
      </c>
      <c r="C17" s="35" t="s">
        <v>3311</v>
      </c>
      <c r="D17" s="36" t="s">
        <v>1366</v>
      </c>
      <c r="E17" s="37">
        <v>43532</v>
      </c>
      <c r="F17" s="36" t="s">
        <v>79</v>
      </c>
      <c r="G17" s="39">
        <v>20000</v>
      </c>
      <c r="H17" s="38">
        <f t="shared" si="0"/>
        <v>80</v>
      </c>
      <c r="I17" s="38">
        <f t="shared" si="1"/>
        <v>20</v>
      </c>
      <c r="J17" s="36"/>
      <c r="K17" s="40">
        <v>43625</v>
      </c>
      <c r="L17" s="41" t="s">
        <v>3308</v>
      </c>
      <c r="M17" s="42">
        <v>43619</v>
      </c>
      <c r="N17" s="43" t="s">
        <v>3309</v>
      </c>
      <c r="O17" s="42">
        <v>43625</v>
      </c>
      <c r="P17" s="41"/>
      <c r="Q17" s="36" t="s">
        <v>82</v>
      </c>
      <c r="R17" s="44" t="s">
        <v>3310</v>
      </c>
      <c r="S17" s="46" t="s">
        <v>479</v>
      </c>
    </row>
    <row r="18" spans="2:19" s="30" customFormat="1" ht="33" customHeight="1">
      <c r="B18" s="46" t="s">
        <v>220</v>
      </c>
      <c r="C18" s="35" t="s">
        <v>688</v>
      </c>
      <c r="D18" s="36" t="s">
        <v>689</v>
      </c>
      <c r="E18" s="37">
        <v>43532</v>
      </c>
      <c r="F18" s="36" t="s">
        <v>79</v>
      </c>
      <c r="G18" s="39">
        <v>20000</v>
      </c>
      <c r="H18" s="38">
        <f t="shared" si="0"/>
        <v>80</v>
      </c>
      <c r="I18" s="38">
        <f t="shared" si="1"/>
        <v>20</v>
      </c>
      <c r="J18" s="36"/>
      <c r="K18" s="40">
        <v>43632</v>
      </c>
      <c r="L18" s="41" t="s">
        <v>3312</v>
      </c>
      <c r="M18" s="42">
        <v>43626</v>
      </c>
      <c r="N18" s="43" t="s">
        <v>3313</v>
      </c>
      <c r="O18" s="42">
        <v>43632</v>
      </c>
      <c r="P18" s="41" t="s">
        <v>3314</v>
      </c>
      <c r="Q18" s="36"/>
      <c r="R18" s="44" t="s">
        <v>3315</v>
      </c>
      <c r="S18" s="46"/>
    </row>
    <row r="19" spans="2:19" s="30" customFormat="1" ht="33" customHeight="1">
      <c r="B19" s="46" t="s">
        <v>78</v>
      </c>
      <c r="C19" s="35" t="s">
        <v>691</v>
      </c>
      <c r="D19" s="36" t="s">
        <v>692</v>
      </c>
      <c r="E19" s="37">
        <v>43532</v>
      </c>
      <c r="F19" s="36" t="s">
        <v>79</v>
      </c>
      <c r="G19" s="39">
        <v>20000</v>
      </c>
      <c r="H19" s="38">
        <f t="shared" si="0"/>
        <v>80</v>
      </c>
      <c r="I19" s="38">
        <f t="shared" si="1"/>
        <v>20</v>
      </c>
      <c r="J19" s="36"/>
      <c r="K19" s="40">
        <v>43639</v>
      </c>
      <c r="L19" s="41" t="s">
        <v>3316</v>
      </c>
      <c r="M19" s="42">
        <v>43633</v>
      </c>
      <c r="N19" s="43" t="s">
        <v>3317</v>
      </c>
      <c r="O19" s="42">
        <v>43639</v>
      </c>
      <c r="P19" s="41"/>
      <c r="Q19" s="36" t="s">
        <v>82</v>
      </c>
      <c r="R19" s="44" t="s">
        <v>3318</v>
      </c>
      <c r="S19" s="46"/>
    </row>
    <row r="20" spans="2:19" s="33" customFormat="1" ht="33" customHeight="1">
      <c r="B20" s="47" t="s">
        <v>78</v>
      </c>
      <c r="C20" s="48" t="s">
        <v>3319</v>
      </c>
      <c r="D20" s="49" t="s">
        <v>3320</v>
      </c>
      <c r="E20" s="50">
        <v>43566</v>
      </c>
      <c r="F20" s="49" t="s">
        <v>79</v>
      </c>
      <c r="G20" s="51">
        <v>6000</v>
      </c>
      <c r="H20" s="52">
        <f t="shared" si="0"/>
        <v>24</v>
      </c>
      <c r="I20" s="52">
        <f t="shared" si="1"/>
        <v>6</v>
      </c>
      <c r="J20" s="49"/>
      <c r="K20" s="53">
        <v>43611</v>
      </c>
      <c r="L20" s="54" t="s">
        <v>603</v>
      </c>
      <c r="M20" s="55">
        <v>43605</v>
      </c>
      <c r="N20" s="56" t="s">
        <v>1080</v>
      </c>
      <c r="O20" s="55">
        <v>43611</v>
      </c>
      <c r="P20" s="54" t="s">
        <v>3321</v>
      </c>
      <c r="Q20" s="49" t="s">
        <v>82</v>
      </c>
      <c r="R20" s="57" t="s">
        <v>3322</v>
      </c>
      <c r="S20" s="47"/>
    </row>
    <row r="21" spans="2:19" s="33" customFormat="1" ht="33" customHeight="1">
      <c r="B21" s="47" t="s">
        <v>3323</v>
      </c>
      <c r="C21" s="48" t="s">
        <v>986</v>
      </c>
      <c r="D21" s="49" t="s">
        <v>3320</v>
      </c>
      <c r="E21" s="50">
        <v>43566</v>
      </c>
      <c r="F21" s="49" t="s">
        <v>79</v>
      </c>
      <c r="G21" s="51">
        <v>14000</v>
      </c>
      <c r="H21" s="52">
        <f t="shared" si="0"/>
        <v>56</v>
      </c>
      <c r="I21" s="52">
        <f t="shared" si="1"/>
        <v>14</v>
      </c>
      <c r="J21" s="49"/>
      <c r="K21" s="53">
        <v>43611</v>
      </c>
      <c r="L21" s="54" t="s">
        <v>603</v>
      </c>
      <c r="M21" s="55">
        <v>43605</v>
      </c>
      <c r="N21" s="56" t="s">
        <v>1080</v>
      </c>
      <c r="O21" s="55">
        <v>43611</v>
      </c>
      <c r="P21" s="54" t="s">
        <v>3324</v>
      </c>
      <c r="Q21" s="49"/>
      <c r="R21" s="57" t="s">
        <v>3322</v>
      </c>
      <c r="S21" s="47"/>
    </row>
    <row r="22" spans="2:19" s="30" customFormat="1" ht="33" customHeight="1">
      <c r="B22" s="46" t="s">
        <v>78</v>
      </c>
      <c r="C22" s="35" t="s">
        <v>988</v>
      </c>
      <c r="D22" s="36" t="s">
        <v>3325</v>
      </c>
      <c r="E22" s="37">
        <v>43566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43632</v>
      </c>
      <c r="L22" s="41" t="s">
        <v>1081</v>
      </c>
      <c r="M22" s="42">
        <v>43626</v>
      </c>
      <c r="N22" s="43" t="s">
        <v>1082</v>
      </c>
      <c r="O22" s="42">
        <v>43632</v>
      </c>
      <c r="P22" s="41"/>
      <c r="Q22" s="36" t="s">
        <v>82</v>
      </c>
      <c r="R22" s="44" t="s">
        <v>3326</v>
      </c>
      <c r="S22" s="46"/>
    </row>
    <row r="23" spans="2:19" s="30" customFormat="1" ht="33" customHeight="1">
      <c r="B23" s="46" t="s">
        <v>78</v>
      </c>
      <c r="C23" s="35" t="s">
        <v>1160</v>
      </c>
      <c r="D23" s="36" t="s">
        <v>1161</v>
      </c>
      <c r="E23" s="37">
        <v>43567</v>
      </c>
      <c r="F23" s="36" t="s">
        <v>3327</v>
      </c>
      <c r="G23" s="39">
        <v>40000</v>
      </c>
      <c r="H23" s="38">
        <f t="shared" si="0"/>
        <v>160</v>
      </c>
      <c r="I23" s="38">
        <f t="shared" si="1"/>
        <v>40</v>
      </c>
      <c r="J23" s="36"/>
      <c r="K23" s="40">
        <v>43646</v>
      </c>
      <c r="L23" s="41" t="s">
        <v>3328</v>
      </c>
      <c r="M23" s="42">
        <v>43640</v>
      </c>
      <c r="N23" s="43" t="s">
        <v>3329</v>
      </c>
      <c r="O23" s="42">
        <v>43646</v>
      </c>
      <c r="P23" s="41"/>
      <c r="Q23" s="36" t="s">
        <v>82</v>
      </c>
      <c r="R23" s="44" t="s">
        <v>3330</v>
      </c>
      <c r="S23" s="46" t="s">
        <v>2140</v>
      </c>
    </row>
    <row r="24" spans="2:19" s="30" customFormat="1" ht="33" customHeight="1">
      <c r="B24" s="46" t="s">
        <v>220</v>
      </c>
      <c r="C24" s="35" t="s">
        <v>1163</v>
      </c>
      <c r="D24" s="36" t="s">
        <v>1164</v>
      </c>
      <c r="E24" s="37">
        <v>43567</v>
      </c>
      <c r="F24" s="36" t="s">
        <v>79</v>
      </c>
      <c r="G24" s="39">
        <v>20000</v>
      </c>
      <c r="H24" s="38">
        <f t="shared" si="0"/>
        <v>80</v>
      </c>
      <c r="I24" s="38">
        <f t="shared" si="1"/>
        <v>20</v>
      </c>
      <c r="J24" s="36"/>
      <c r="K24" s="40">
        <v>43646</v>
      </c>
      <c r="L24" s="41" t="s">
        <v>3328</v>
      </c>
      <c r="M24" s="42">
        <v>43640</v>
      </c>
      <c r="N24" s="43" t="s">
        <v>3329</v>
      </c>
      <c r="O24" s="42">
        <v>43646</v>
      </c>
      <c r="P24" s="41"/>
      <c r="Q24" s="36"/>
      <c r="R24" s="44" t="s">
        <v>3331</v>
      </c>
      <c r="S24" s="46" t="s">
        <v>2140</v>
      </c>
    </row>
    <row r="25" spans="2:19" s="30" customFormat="1" ht="33" customHeight="1">
      <c r="B25" s="46" t="s">
        <v>78</v>
      </c>
      <c r="C25" s="35" t="s">
        <v>1166</v>
      </c>
      <c r="D25" s="36" t="s">
        <v>1167</v>
      </c>
      <c r="E25" s="37">
        <v>43567</v>
      </c>
      <c r="F25" s="36" t="s">
        <v>79</v>
      </c>
      <c r="G25" s="39">
        <v>20000</v>
      </c>
      <c r="H25" s="38">
        <f t="shared" si="0"/>
        <v>80</v>
      </c>
      <c r="I25" s="38">
        <f t="shared" si="1"/>
        <v>20</v>
      </c>
      <c r="J25" s="36"/>
      <c r="K25" s="40">
        <v>43653</v>
      </c>
      <c r="L25" s="41" t="s">
        <v>3332</v>
      </c>
      <c r="M25" s="42">
        <v>43647</v>
      </c>
      <c r="N25" s="43" t="s">
        <v>3333</v>
      </c>
      <c r="O25" s="42">
        <v>43653</v>
      </c>
      <c r="P25" s="41"/>
      <c r="Q25" s="36" t="s">
        <v>82</v>
      </c>
      <c r="R25" s="44" t="s">
        <v>3334</v>
      </c>
      <c r="S25" s="46" t="s">
        <v>2140</v>
      </c>
    </row>
    <row r="26" spans="2:19" s="30" customFormat="1" ht="33" customHeight="1">
      <c r="B26" s="46" t="s">
        <v>78</v>
      </c>
      <c r="C26" s="35" t="s">
        <v>1169</v>
      </c>
      <c r="D26" s="36" t="s">
        <v>1170</v>
      </c>
      <c r="E26" s="37">
        <v>43567</v>
      </c>
      <c r="F26" s="36" t="s">
        <v>79</v>
      </c>
      <c r="G26" s="39">
        <v>20000</v>
      </c>
      <c r="H26" s="38">
        <f t="shared" si="0"/>
        <v>80</v>
      </c>
      <c r="I26" s="38">
        <f t="shared" si="1"/>
        <v>20</v>
      </c>
      <c r="J26" s="36"/>
      <c r="K26" s="40">
        <v>43660</v>
      </c>
      <c r="L26" s="41" t="s">
        <v>3335</v>
      </c>
      <c r="M26" s="42">
        <v>43654</v>
      </c>
      <c r="N26" s="43" t="s">
        <v>3336</v>
      </c>
      <c r="O26" s="42">
        <v>43660</v>
      </c>
      <c r="P26" s="41"/>
      <c r="Q26" s="36" t="s">
        <v>82</v>
      </c>
      <c r="R26" s="44" t="s">
        <v>3337</v>
      </c>
      <c r="S26" s="46" t="s">
        <v>2140</v>
      </c>
    </row>
    <row r="27" spans="2:19" s="30" customFormat="1" ht="33" customHeight="1">
      <c r="B27" s="46" t="s">
        <v>78</v>
      </c>
      <c r="C27" s="35" t="s">
        <v>1172</v>
      </c>
      <c r="D27" s="36" t="s">
        <v>1173</v>
      </c>
      <c r="E27" s="37">
        <v>43567</v>
      </c>
      <c r="F27" s="36" t="s">
        <v>79</v>
      </c>
      <c r="G27" s="39">
        <v>20000</v>
      </c>
      <c r="H27" s="38">
        <f t="shared" si="0"/>
        <v>80</v>
      </c>
      <c r="I27" s="38">
        <f t="shared" si="1"/>
        <v>20</v>
      </c>
      <c r="J27" s="36"/>
      <c r="K27" s="40">
        <v>43667</v>
      </c>
      <c r="L27" s="41" t="s">
        <v>3338</v>
      </c>
      <c r="M27" s="42">
        <v>43658</v>
      </c>
      <c r="N27" s="43" t="s">
        <v>3339</v>
      </c>
      <c r="O27" s="42">
        <v>43667</v>
      </c>
      <c r="P27" s="41"/>
      <c r="Q27" s="36" t="s">
        <v>82</v>
      </c>
      <c r="R27" s="44" t="s">
        <v>3087</v>
      </c>
      <c r="S27" s="46" t="s">
        <v>2140</v>
      </c>
    </row>
    <row r="28" spans="2:19" s="30" customFormat="1" ht="33" customHeight="1">
      <c r="B28" s="46" t="s">
        <v>220</v>
      </c>
      <c r="C28" s="35" t="s">
        <v>1175</v>
      </c>
      <c r="D28" s="36" t="s">
        <v>1176</v>
      </c>
      <c r="E28" s="37">
        <v>43567</v>
      </c>
      <c r="F28" s="36" t="s">
        <v>79</v>
      </c>
      <c r="G28" s="39">
        <v>20000</v>
      </c>
      <c r="H28" s="38">
        <f t="shared" si="0"/>
        <v>80</v>
      </c>
      <c r="I28" s="38">
        <f t="shared" si="1"/>
        <v>20</v>
      </c>
      <c r="J28" s="36"/>
      <c r="K28" s="40">
        <v>43667</v>
      </c>
      <c r="L28" s="41" t="s">
        <v>1319</v>
      </c>
      <c r="M28" s="42">
        <v>43658</v>
      </c>
      <c r="N28" s="43" t="s">
        <v>3340</v>
      </c>
      <c r="O28" s="42">
        <v>43667</v>
      </c>
      <c r="P28" s="41"/>
      <c r="Q28" s="36"/>
      <c r="R28" s="44" t="s">
        <v>3341</v>
      </c>
      <c r="S28" s="46"/>
    </row>
    <row r="29" spans="2:19" s="30" customFormat="1" ht="33" customHeight="1">
      <c r="B29" s="46" t="s">
        <v>78</v>
      </c>
      <c r="C29" s="35" t="s">
        <v>1178</v>
      </c>
      <c r="D29" s="36" t="s">
        <v>1179</v>
      </c>
      <c r="E29" s="37">
        <v>43567</v>
      </c>
      <c r="F29" s="36" t="s">
        <v>3342</v>
      </c>
      <c r="G29" s="39">
        <v>10000</v>
      </c>
      <c r="H29" s="38">
        <f t="shared" si="0"/>
        <v>40</v>
      </c>
      <c r="I29" s="38">
        <f t="shared" si="1"/>
        <v>10</v>
      </c>
      <c r="J29" s="36"/>
      <c r="K29" s="40">
        <v>43674</v>
      </c>
      <c r="L29" s="41" t="s">
        <v>3343</v>
      </c>
      <c r="M29" s="42">
        <v>43668</v>
      </c>
      <c r="N29" s="43" t="s">
        <v>3344</v>
      </c>
      <c r="O29" s="42">
        <v>43674</v>
      </c>
      <c r="P29" s="41"/>
      <c r="Q29" s="36" t="s">
        <v>82</v>
      </c>
      <c r="R29" s="44" t="s">
        <v>3345</v>
      </c>
      <c r="S29" s="46"/>
    </row>
    <row r="30" spans="2:19" s="30" customFormat="1" ht="33" customHeight="1">
      <c r="B30" s="46" t="s">
        <v>220</v>
      </c>
      <c r="C30" s="35" t="s">
        <v>1181</v>
      </c>
      <c r="D30" s="36" t="s">
        <v>1182</v>
      </c>
      <c r="E30" s="37">
        <v>43567</v>
      </c>
      <c r="F30" s="36" t="s">
        <v>3342</v>
      </c>
      <c r="G30" s="39">
        <v>10000</v>
      </c>
      <c r="H30" s="38">
        <f t="shared" si="0"/>
        <v>40</v>
      </c>
      <c r="I30" s="38">
        <f t="shared" si="1"/>
        <v>10</v>
      </c>
      <c r="J30" s="36"/>
      <c r="K30" s="40">
        <v>43674</v>
      </c>
      <c r="L30" s="41" t="s">
        <v>1321</v>
      </c>
      <c r="M30" s="42">
        <v>43668</v>
      </c>
      <c r="N30" s="43" t="s">
        <v>3344</v>
      </c>
      <c r="O30" s="42">
        <v>43674</v>
      </c>
      <c r="P30" s="41"/>
      <c r="Q30" s="36"/>
      <c r="R30" s="44" t="s">
        <v>3092</v>
      </c>
      <c r="S30" s="46"/>
    </row>
    <row r="31" spans="2:19" s="30" customFormat="1" ht="33" customHeight="1">
      <c r="B31" s="46" t="s">
        <v>78</v>
      </c>
      <c r="C31" s="35" t="s">
        <v>2273</v>
      </c>
      <c r="D31" s="36" t="s">
        <v>2274</v>
      </c>
      <c r="E31" s="37">
        <v>43602</v>
      </c>
      <c r="F31" s="36" t="s">
        <v>79</v>
      </c>
      <c r="G31" s="39">
        <v>20000</v>
      </c>
      <c r="H31" s="38">
        <f t="shared" si="0"/>
        <v>80</v>
      </c>
      <c r="I31" s="38">
        <f t="shared" si="1"/>
        <v>20</v>
      </c>
      <c r="J31" s="36"/>
      <c r="K31" s="40">
        <v>43688</v>
      </c>
      <c r="L31" s="41" t="s">
        <v>3346</v>
      </c>
      <c r="M31" s="42">
        <v>43682</v>
      </c>
      <c r="N31" s="43" t="s">
        <v>3347</v>
      </c>
      <c r="O31" s="42">
        <v>43688</v>
      </c>
      <c r="P31" s="41"/>
      <c r="Q31" s="36" t="s">
        <v>82</v>
      </c>
      <c r="R31" s="44" t="s">
        <v>3348</v>
      </c>
      <c r="S31" s="46"/>
    </row>
    <row r="32" spans="2:19" s="30" customFormat="1" ht="33" customHeight="1">
      <c r="B32" s="46" t="s">
        <v>78</v>
      </c>
      <c r="C32" s="35" t="s">
        <v>2276</v>
      </c>
      <c r="D32" s="36" t="s">
        <v>2277</v>
      </c>
      <c r="E32" s="37">
        <v>43602</v>
      </c>
      <c r="F32" s="36" t="s">
        <v>79</v>
      </c>
      <c r="G32" s="39">
        <v>20000</v>
      </c>
      <c r="H32" s="38">
        <f t="shared" si="0"/>
        <v>80</v>
      </c>
      <c r="I32" s="38">
        <f t="shared" si="1"/>
        <v>20</v>
      </c>
      <c r="J32" s="36"/>
      <c r="K32" s="40">
        <v>43695</v>
      </c>
      <c r="L32" s="41" t="s">
        <v>3346</v>
      </c>
      <c r="M32" s="42">
        <v>43682</v>
      </c>
      <c r="N32" s="43" t="s">
        <v>3347</v>
      </c>
      <c r="O32" s="42">
        <v>43688</v>
      </c>
      <c r="P32" s="41"/>
      <c r="Q32" s="36" t="s">
        <v>82</v>
      </c>
      <c r="R32" s="44" t="s">
        <v>3349</v>
      </c>
      <c r="S32" s="46"/>
    </row>
    <row r="33" spans="2:19" s="30" customFormat="1" ht="33" customHeight="1">
      <c r="B33" s="46" t="s">
        <v>220</v>
      </c>
      <c r="C33" s="35" t="s">
        <v>2279</v>
      </c>
      <c r="D33" s="36" t="s">
        <v>2280</v>
      </c>
      <c r="E33" s="37">
        <v>43602</v>
      </c>
      <c r="F33" s="36" t="s">
        <v>79</v>
      </c>
      <c r="G33" s="39">
        <v>20000</v>
      </c>
      <c r="H33" s="38">
        <f t="shared" si="0"/>
        <v>80</v>
      </c>
      <c r="I33" s="38">
        <f t="shared" si="1"/>
        <v>20</v>
      </c>
      <c r="J33" s="36"/>
      <c r="K33" s="40">
        <v>43695</v>
      </c>
      <c r="L33" s="41" t="s">
        <v>3346</v>
      </c>
      <c r="M33" s="42">
        <v>43682</v>
      </c>
      <c r="N33" s="43" t="s">
        <v>3347</v>
      </c>
      <c r="O33" s="42">
        <v>43688</v>
      </c>
      <c r="P33" s="41"/>
      <c r="Q33" s="36"/>
      <c r="R33" s="44" t="s">
        <v>3350</v>
      </c>
      <c r="S33" s="46"/>
    </row>
    <row r="34" spans="2:19" s="30" customFormat="1" ht="33" customHeight="1">
      <c r="B34" s="46" t="s">
        <v>78</v>
      </c>
      <c r="C34" s="35" t="s">
        <v>2282</v>
      </c>
      <c r="D34" s="36" t="s">
        <v>2283</v>
      </c>
      <c r="E34" s="37">
        <v>43602</v>
      </c>
      <c r="F34" s="36" t="s">
        <v>79</v>
      </c>
      <c r="G34" s="39">
        <v>20000</v>
      </c>
      <c r="H34" s="38">
        <f t="shared" si="0"/>
        <v>80</v>
      </c>
      <c r="I34" s="38">
        <f t="shared" si="1"/>
        <v>20</v>
      </c>
      <c r="J34" s="36"/>
      <c r="K34" s="40">
        <v>43709</v>
      </c>
      <c r="L34" s="41" t="s">
        <v>3553</v>
      </c>
      <c r="M34" s="42">
        <v>43703</v>
      </c>
      <c r="N34" s="43" t="s">
        <v>3352</v>
      </c>
      <c r="O34" s="42">
        <v>43709</v>
      </c>
      <c r="P34" s="41"/>
      <c r="Q34" s="36" t="s">
        <v>82</v>
      </c>
      <c r="R34" s="44" t="s">
        <v>3100</v>
      </c>
      <c r="S34" s="46"/>
    </row>
    <row r="35" spans="2:19" s="30" customFormat="1" ht="33" customHeight="1">
      <c r="B35" s="46" t="s">
        <v>220</v>
      </c>
      <c r="C35" s="35" t="s">
        <v>3353</v>
      </c>
      <c r="D35" s="36" t="s">
        <v>3354</v>
      </c>
      <c r="E35" s="128">
        <v>43637</v>
      </c>
      <c r="F35" s="127" t="s">
        <v>79</v>
      </c>
      <c r="G35" s="129">
        <v>20000</v>
      </c>
      <c r="H35" s="124">
        <f t="shared" si="0"/>
        <v>80</v>
      </c>
      <c r="I35" s="124">
        <f t="shared" si="1"/>
        <v>20</v>
      </c>
      <c r="J35" s="127"/>
      <c r="K35" s="130">
        <v>43716</v>
      </c>
      <c r="L35" s="119" t="s">
        <v>3554</v>
      </c>
      <c r="M35" s="120">
        <v>43710</v>
      </c>
      <c r="N35" s="121" t="s">
        <v>3550</v>
      </c>
      <c r="O35" s="120">
        <v>43716</v>
      </c>
      <c r="P35" s="119"/>
      <c r="Q35" s="127"/>
      <c r="R35" s="125" t="s">
        <v>3355</v>
      </c>
      <c r="S35" s="122"/>
    </row>
    <row r="36" spans="2:19" s="30" customFormat="1" ht="33" customHeight="1">
      <c r="B36" s="46" t="s">
        <v>78</v>
      </c>
      <c r="C36" s="35" t="s">
        <v>3356</v>
      </c>
      <c r="D36" s="36" t="s">
        <v>3357</v>
      </c>
      <c r="E36" s="128">
        <v>43637</v>
      </c>
      <c r="F36" s="127" t="s">
        <v>79</v>
      </c>
      <c r="G36" s="129">
        <v>20000</v>
      </c>
      <c r="H36" s="124">
        <f t="shared" si="0"/>
        <v>80</v>
      </c>
      <c r="I36" s="124">
        <f t="shared" si="1"/>
        <v>20</v>
      </c>
      <c r="J36" s="127"/>
      <c r="K36" s="130">
        <v>43723</v>
      </c>
      <c r="L36" s="119" t="s">
        <v>3555</v>
      </c>
      <c r="M36" s="120">
        <v>43717</v>
      </c>
      <c r="N36" s="121" t="s">
        <v>3551</v>
      </c>
      <c r="O36" s="120">
        <v>43723</v>
      </c>
      <c r="P36" s="119"/>
      <c r="Q36" s="127" t="s">
        <v>82</v>
      </c>
      <c r="R36" s="125" t="s">
        <v>3358</v>
      </c>
      <c r="S36" s="122"/>
    </row>
    <row r="37" spans="2:19" s="30" customFormat="1" ht="33" customHeight="1">
      <c r="B37" s="46" t="s">
        <v>78</v>
      </c>
      <c r="C37" s="35" t="s">
        <v>3359</v>
      </c>
      <c r="D37" s="36" t="s">
        <v>3360</v>
      </c>
      <c r="E37" s="128">
        <v>43637</v>
      </c>
      <c r="F37" s="127" t="s">
        <v>79</v>
      </c>
      <c r="G37" s="129">
        <v>20000</v>
      </c>
      <c r="H37" s="124">
        <f t="shared" si="0"/>
        <v>80</v>
      </c>
      <c r="I37" s="124">
        <f t="shared" si="1"/>
        <v>20</v>
      </c>
      <c r="J37" s="127"/>
      <c r="K37" s="130">
        <v>43730</v>
      </c>
      <c r="L37" s="119" t="s">
        <v>3556</v>
      </c>
      <c r="M37" s="120">
        <v>43721</v>
      </c>
      <c r="N37" s="121" t="s">
        <v>3552</v>
      </c>
      <c r="O37" s="120">
        <v>43730</v>
      </c>
      <c r="P37" s="119"/>
      <c r="Q37" s="127" t="s">
        <v>82</v>
      </c>
      <c r="R37" s="125" t="s">
        <v>3361</v>
      </c>
      <c r="S37" s="122"/>
    </row>
    <row r="38" spans="2:19" s="96" customFormat="1" ht="33" customHeight="1">
      <c r="B38" s="47" t="s">
        <v>17</v>
      </c>
      <c r="C38" s="48" t="s">
        <v>427</v>
      </c>
      <c r="D38" s="49" t="s">
        <v>3362</v>
      </c>
      <c r="E38" s="50">
        <v>43483</v>
      </c>
      <c r="F38" s="52" t="s">
        <v>84</v>
      </c>
      <c r="G38" s="51">
        <v>9200</v>
      </c>
      <c r="H38" s="52">
        <f t="shared" ref="H38:H60" si="2">SUM(G38/230)</f>
        <v>40</v>
      </c>
      <c r="I38" s="52">
        <f t="shared" si="1"/>
        <v>10</v>
      </c>
      <c r="J38" s="49"/>
      <c r="K38" s="53">
        <v>43576</v>
      </c>
      <c r="L38" s="54" t="s">
        <v>3363</v>
      </c>
      <c r="M38" s="55">
        <v>43571</v>
      </c>
      <c r="N38" s="56" t="s">
        <v>3364</v>
      </c>
      <c r="O38" s="55">
        <v>43576</v>
      </c>
      <c r="P38" s="58"/>
      <c r="Q38" s="52" t="s">
        <v>82</v>
      </c>
      <c r="R38" s="57" t="s">
        <v>3365</v>
      </c>
      <c r="S38" s="47"/>
    </row>
    <row r="39" spans="2:19" s="67" customFormat="1" ht="33" customHeight="1">
      <c r="B39" s="46" t="s">
        <v>17</v>
      </c>
      <c r="C39" s="35" t="s">
        <v>581</v>
      </c>
      <c r="D39" s="36" t="s">
        <v>582</v>
      </c>
      <c r="E39" s="37">
        <v>43519</v>
      </c>
      <c r="F39" s="38" t="s">
        <v>84</v>
      </c>
      <c r="G39" s="39">
        <v>9200</v>
      </c>
      <c r="H39" s="38">
        <f t="shared" si="2"/>
        <v>40</v>
      </c>
      <c r="I39" s="38">
        <f t="shared" si="1"/>
        <v>10</v>
      </c>
      <c r="J39" s="36"/>
      <c r="K39" s="40">
        <v>43632</v>
      </c>
      <c r="L39" s="41" t="s">
        <v>3366</v>
      </c>
      <c r="M39" s="42">
        <v>43620</v>
      </c>
      <c r="N39" s="43" t="s">
        <v>3367</v>
      </c>
      <c r="O39" s="42">
        <v>43625</v>
      </c>
      <c r="P39" s="45"/>
      <c r="Q39" s="38" t="s">
        <v>82</v>
      </c>
      <c r="R39" s="44" t="s">
        <v>3368</v>
      </c>
      <c r="S39" s="46"/>
    </row>
    <row r="40" spans="2:19" s="67" customFormat="1" ht="33" customHeight="1">
      <c r="B40" s="46" t="s">
        <v>17</v>
      </c>
      <c r="C40" s="35" t="s">
        <v>694</v>
      </c>
      <c r="D40" s="36" t="s">
        <v>695</v>
      </c>
      <c r="E40" s="37">
        <v>43532</v>
      </c>
      <c r="F40" s="38" t="s">
        <v>3369</v>
      </c>
      <c r="G40" s="39">
        <v>9200</v>
      </c>
      <c r="H40" s="38">
        <f t="shared" si="2"/>
        <v>40</v>
      </c>
      <c r="I40" s="38">
        <f t="shared" si="1"/>
        <v>10</v>
      </c>
      <c r="J40" s="36"/>
      <c r="K40" s="40">
        <v>43653</v>
      </c>
      <c r="L40" s="41" t="s">
        <v>1326</v>
      </c>
      <c r="M40" s="42">
        <v>43648</v>
      </c>
      <c r="N40" s="43" t="s">
        <v>2540</v>
      </c>
      <c r="O40" s="42">
        <v>43653</v>
      </c>
      <c r="P40" s="45"/>
      <c r="Q40" s="38" t="s">
        <v>82</v>
      </c>
      <c r="R40" s="44" t="s">
        <v>3370</v>
      </c>
      <c r="S40" s="46"/>
    </row>
    <row r="41" spans="2:19" s="67" customFormat="1" ht="33" customHeight="1">
      <c r="B41" s="46" t="s">
        <v>17</v>
      </c>
      <c r="C41" s="35" t="s">
        <v>2299</v>
      </c>
      <c r="D41" s="36" t="s">
        <v>2641</v>
      </c>
      <c r="E41" s="37">
        <v>43609</v>
      </c>
      <c r="F41" s="38" t="s">
        <v>3371</v>
      </c>
      <c r="G41" s="39">
        <v>2760</v>
      </c>
      <c r="H41" s="38">
        <f t="shared" si="2"/>
        <v>12</v>
      </c>
      <c r="I41" s="38">
        <f t="shared" si="1"/>
        <v>3</v>
      </c>
      <c r="J41" s="36"/>
      <c r="K41" s="40">
        <v>43653</v>
      </c>
      <c r="L41" s="41" t="s">
        <v>1326</v>
      </c>
      <c r="M41" s="42">
        <v>43648</v>
      </c>
      <c r="N41" s="43" t="s">
        <v>2540</v>
      </c>
      <c r="O41" s="42">
        <v>43653</v>
      </c>
      <c r="P41" s="45"/>
      <c r="Q41" s="38" t="s">
        <v>82</v>
      </c>
      <c r="R41" s="44" t="s">
        <v>3370</v>
      </c>
      <c r="S41" s="46"/>
    </row>
    <row r="42" spans="2:19" s="67" customFormat="1" ht="33" customHeight="1">
      <c r="B42" s="46" t="s">
        <v>17</v>
      </c>
      <c r="C42" s="35" t="s">
        <v>3372</v>
      </c>
      <c r="D42" s="36" t="s">
        <v>2300</v>
      </c>
      <c r="E42" s="37">
        <v>43602</v>
      </c>
      <c r="F42" s="38" t="s">
        <v>3369</v>
      </c>
      <c r="G42" s="39">
        <v>9200</v>
      </c>
      <c r="H42" s="38">
        <f t="shared" si="2"/>
        <v>40</v>
      </c>
      <c r="I42" s="38">
        <f t="shared" si="1"/>
        <v>10</v>
      </c>
      <c r="J42" s="36"/>
      <c r="K42" s="40">
        <v>43695</v>
      </c>
      <c r="L42" s="41" t="s">
        <v>3373</v>
      </c>
      <c r="M42" s="42">
        <v>43683</v>
      </c>
      <c r="N42" s="43" t="s">
        <v>3374</v>
      </c>
      <c r="O42" s="42">
        <v>43688</v>
      </c>
      <c r="P42" s="45"/>
      <c r="Q42" s="38" t="s">
        <v>82</v>
      </c>
      <c r="R42" s="44" t="s">
        <v>3375</v>
      </c>
      <c r="S42" s="46" t="s">
        <v>2764</v>
      </c>
    </row>
    <row r="43" spans="2:19" s="67" customFormat="1" ht="33" customHeight="1">
      <c r="B43" s="46" t="s">
        <v>17</v>
      </c>
      <c r="C43" s="35" t="s">
        <v>3376</v>
      </c>
      <c r="D43" s="36" t="s">
        <v>3377</v>
      </c>
      <c r="E43" s="128">
        <v>43637</v>
      </c>
      <c r="F43" s="124" t="s">
        <v>3369</v>
      </c>
      <c r="G43" s="129">
        <v>9200</v>
      </c>
      <c r="H43" s="124">
        <f t="shared" si="2"/>
        <v>40</v>
      </c>
      <c r="I43" s="124">
        <f t="shared" si="1"/>
        <v>10</v>
      </c>
      <c r="J43" s="127"/>
      <c r="K43" s="130">
        <v>43716</v>
      </c>
      <c r="L43" s="119" t="s">
        <v>3566</v>
      </c>
      <c r="M43" s="120">
        <v>43711</v>
      </c>
      <c r="N43" s="121" t="s">
        <v>3557</v>
      </c>
      <c r="O43" s="120">
        <v>43716</v>
      </c>
      <c r="P43" s="123"/>
      <c r="Q43" s="124"/>
      <c r="R43" s="125" t="s">
        <v>3378</v>
      </c>
      <c r="S43" s="122"/>
    </row>
    <row r="44" spans="2:19" s="67" customFormat="1" ht="33" customHeight="1">
      <c r="B44" s="46" t="s">
        <v>17</v>
      </c>
      <c r="C44" s="35" t="s">
        <v>3379</v>
      </c>
      <c r="D44" s="36" t="s">
        <v>3380</v>
      </c>
      <c r="E44" s="128">
        <v>43637</v>
      </c>
      <c r="F44" s="124" t="s">
        <v>3369</v>
      </c>
      <c r="G44" s="129">
        <v>9200</v>
      </c>
      <c r="H44" s="124">
        <f t="shared" si="2"/>
        <v>40</v>
      </c>
      <c r="I44" s="124">
        <f t="shared" si="1"/>
        <v>10</v>
      </c>
      <c r="J44" s="127"/>
      <c r="K44" s="130">
        <v>43744</v>
      </c>
      <c r="L44" s="119" t="s">
        <v>3569</v>
      </c>
      <c r="M44" s="120">
        <v>43739</v>
      </c>
      <c r="N44" s="121" t="s">
        <v>3558</v>
      </c>
      <c r="O44" s="120">
        <v>43744</v>
      </c>
      <c r="P44" s="123"/>
      <c r="Q44" s="124"/>
      <c r="R44" s="125" t="s">
        <v>3381</v>
      </c>
      <c r="S44" s="122"/>
    </row>
    <row r="45" spans="2:19" s="96" customFormat="1" ht="33" customHeight="1">
      <c r="B45" s="47" t="s">
        <v>81</v>
      </c>
      <c r="C45" s="48" t="s">
        <v>279</v>
      </c>
      <c r="D45" s="49" t="s">
        <v>3382</v>
      </c>
      <c r="E45" s="50">
        <v>43392</v>
      </c>
      <c r="F45" s="52" t="s">
        <v>84</v>
      </c>
      <c r="G45" s="51">
        <v>11960</v>
      </c>
      <c r="H45" s="52">
        <f t="shared" si="2"/>
        <v>52</v>
      </c>
      <c r="I45" s="52">
        <f t="shared" si="1"/>
        <v>13</v>
      </c>
      <c r="J45" s="52"/>
      <c r="K45" s="53">
        <v>43597</v>
      </c>
      <c r="L45" s="54" t="s">
        <v>3383</v>
      </c>
      <c r="M45" s="55">
        <v>43594</v>
      </c>
      <c r="N45" s="56" t="s">
        <v>3384</v>
      </c>
      <c r="O45" s="55">
        <v>43598</v>
      </c>
      <c r="P45" s="58" t="s">
        <v>3385</v>
      </c>
      <c r="Q45" s="47"/>
      <c r="R45" s="57" t="s">
        <v>3386</v>
      </c>
      <c r="S45" s="47"/>
    </row>
    <row r="46" spans="2:19" s="96" customFormat="1" ht="33" customHeight="1">
      <c r="B46" s="47" t="s">
        <v>81</v>
      </c>
      <c r="C46" s="48" t="s">
        <v>3387</v>
      </c>
      <c r="D46" s="49" t="s">
        <v>3382</v>
      </c>
      <c r="E46" s="50">
        <v>43392</v>
      </c>
      <c r="F46" s="52" t="s">
        <v>84</v>
      </c>
      <c r="G46" s="51">
        <v>1840</v>
      </c>
      <c r="H46" s="52">
        <f t="shared" si="2"/>
        <v>8</v>
      </c>
      <c r="I46" s="52">
        <f t="shared" si="1"/>
        <v>2</v>
      </c>
      <c r="J46" s="52"/>
      <c r="K46" s="53">
        <v>43597</v>
      </c>
      <c r="L46" s="54" t="s">
        <v>773</v>
      </c>
      <c r="M46" s="55">
        <v>43601</v>
      </c>
      <c r="N46" s="56" t="s">
        <v>3388</v>
      </c>
      <c r="O46" s="55">
        <v>43605</v>
      </c>
      <c r="P46" s="58" t="s">
        <v>3385</v>
      </c>
      <c r="Q46" s="47"/>
      <c r="R46" s="57" t="s">
        <v>3386</v>
      </c>
      <c r="S46" s="47" t="s">
        <v>1329</v>
      </c>
    </row>
    <row r="47" spans="2:19" s="96" customFormat="1" ht="33" customHeight="1">
      <c r="B47" s="47" t="s">
        <v>81</v>
      </c>
      <c r="C47" s="48" t="s">
        <v>318</v>
      </c>
      <c r="D47" s="49" t="s">
        <v>319</v>
      </c>
      <c r="E47" s="50">
        <v>43420</v>
      </c>
      <c r="F47" s="52" t="s">
        <v>3369</v>
      </c>
      <c r="G47" s="51">
        <v>17940</v>
      </c>
      <c r="H47" s="52">
        <f t="shared" si="2"/>
        <v>78</v>
      </c>
      <c r="I47" s="52">
        <f t="shared" si="1"/>
        <v>19.5</v>
      </c>
      <c r="J47" s="52"/>
      <c r="K47" s="53">
        <v>43576</v>
      </c>
      <c r="L47" s="54" t="s">
        <v>480</v>
      </c>
      <c r="M47" s="55">
        <v>43564</v>
      </c>
      <c r="N47" s="56" t="s">
        <v>3389</v>
      </c>
      <c r="O47" s="55">
        <v>43569</v>
      </c>
      <c r="P47" s="58"/>
      <c r="Q47" s="47"/>
      <c r="R47" s="57" t="s">
        <v>3390</v>
      </c>
      <c r="S47" s="47" t="s">
        <v>3391</v>
      </c>
    </row>
    <row r="48" spans="2:19" s="96" customFormat="1" ht="33" customHeight="1">
      <c r="B48" s="47" t="s">
        <v>81</v>
      </c>
      <c r="C48" s="48" t="s">
        <v>3392</v>
      </c>
      <c r="D48" s="49" t="s">
        <v>701</v>
      </c>
      <c r="E48" s="50">
        <v>43532</v>
      </c>
      <c r="F48" s="52" t="s">
        <v>3369</v>
      </c>
      <c r="G48" s="51">
        <v>13800</v>
      </c>
      <c r="H48" s="52">
        <f t="shared" si="2"/>
        <v>60</v>
      </c>
      <c r="I48" s="52">
        <f t="shared" si="1"/>
        <v>15</v>
      </c>
      <c r="J48" s="52"/>
      <c r="K48" s="53">
        <v>43615</v>
      </c>
      <c r="L48" s="54" t="s">
        <v>3393</v>
      </c>
      <c r="M48" s="55">
        <v>43613</v>
      </c>
      <c r="N48" s="56" t="s">
        <v>3394</v>
      </c>
      <c r="O48" s="55">
        <v>43618</v>
      </c>
      <c r="P48" s="58"/>
      <c r="Q48" s="47"/>
      <c r="R48" s="57" t="s">
        <v>3395</v>
      </c>
      <c r="S48" s="47"/>
    </row>
    <row r="49" spans="2:19" s="67" customFormat="1" ht="33" customHeight="1">
      <c r="B49" s="46" t="s">
        <v>81</v>
      </c>
      <c r="C49" s="35" t="s">
        <v>3396</v>
      </c>
      <c r="D49" s="36" t="s">
        <v>3397</v>
      </c>
      <c r="E49" s="37">
        <v>43532</v>
      </c>
      <c r="F49" s="38" t="s">
        <v>3369</v>
      </c>
      <c r="G49" s="39">
        <v>4600</v>
      </c>
      <c r="H49" s="38">
        <f t="shared" si="2"/>
        <v>20</v>
      </c>
      <c r="I49" s="38">
        <f t="shared" si="1"/>
        <v>5</v>
      </c>
      <c r="J49" s="38"/>
      <c r="K49" s="40">
        <v>43615</v>
      </c>
      <c r="L49" s="41" t="s">
        <v>3366</v>
      </c>
      <c r="M49" s="42">
        <v>43620</v>
      </c>
      <c r="N49" s="43" t="s">
        <v>3367</v>
      </c>
      <c r="O49" s="42">
        <v>43625</v>
      </c>
      <c r="P49" s="45"/>
      <c r="Q49" s="46"/>
      <c r="R49" s="44" t="s">
        <v>3395</v>
      </c>
      <c r="S49" s="46"/>
    </row>
    <row r="50" spans="2:19" s="67" customFormat="1" ht="33" customHeight="1">
      <c r="B50" s="46" t="s">
        <v>81</v>
      </c>
      <c r="C50" s="35" t="s">
        <v>702</v>
      </c>
      <c r="D50" s="36" t="s">
        <v>703</v>
      </c>
      <c r="E50" s="37">
        <v>43532</v>
      </c>
      <c r="F50" s="38" t="s">
        <v>3369</v>
      </c>
      <c r="G50" s="39">
        <v>9200</v>
      </c>
      <c r="H50" s="38">
        <f t="shared" si="2"/>
        <v>40</v>
      </c>
      <c r="I50" s="38">
        <f t="shared" si="1"/>
        <v>10</v>
      </c>
      <c r="J50" s="38"/>
      <c r="K50" s="40">
        <v>43632</v>
      </c>
      <c r="L50" s="41" t="s">
        <v>807</v>
      </c>
      <c r="M50" s="42">
        <v>43627</v>
      </c>
      <c r="N50" s="43" t="s">
        <v>808</v>
      </c>
      <c r="O50" s="42">
        <v>43632</v>
      </c>
      <c r="P50" s="45"/>
      <c r="Q50" s="46"/>
      <c r="R50" s="44" t="s">
        <v>3398</v>
      </c>
      <c r="S50" s="46"/>
    </row>
    <row r="51" spans="2:19" s="67" customFormat="1" ht="33" customHeight="1">
      <c r="B51" s="46" t="s">
        <v>81</v>
      </c>
      <c r="C51" s="35" t="s">
        <v>852</v>
      </c>
      <c r="D51" s="36" t="s">
        <v>1990</v>
      </c>
      <c r="E51" s="37">
        <v>43558</v>
      </c>
      <c r="F51" s="38" t="s">
        <v>3369</v>
      </c>
      <c r="G51" s="39">
        <v>9200</v>
      </c>
      <c r="H51" s="38">
        <f t="shared" si="2"/>
        <v>40</v>
      </c>
      <c r="I51" s="38">
        <f t="shared" si="1"/>
        <v>10</v>
      </c>
      <c r="J51" s="38"/>
      <c r="K51" s="40">
        <v>43639</v>
      </c>
      <c r="L51" s="41" t="s">
        <v>1083</v>
      </c>
      <c r="M51" s="42">
        <v>43634</v>
      </c>
      <c r="N51" s="43" t="s">
        <v>1084</v>
      </c>
      <c r="O51" s="42">
        <v>43639</v>
      </c>
      <c r="P51" s="45"/>
      <c r="Q51" s="46"/>
      <c r="R51" s="44" t="s">
        <v>3398</v>
      </c>
      <c r="S51" s="46"/>
    </row>
    <row r="52" spans="2:19" s="67" customFormat="1" ht="33" customHeight="1">
      <c r="B52" s="46" t="s">
        <v>81</v>
      </c>
      <c r="C52" s="35" t="s">
        <v>1435</v>
      </c>
      <c r="D52" s="36" t="s">
        <v>1436</v>
      </c>
      <c r="E52" s="37">
        <v>43574</v>
      </c>
      <c r="F52" s="38" t="s">
        <v>3369</v>
      </c>
      <c r="G52" s="39">
        <v>18400</v>
      </c>
      <c r="H52" s="38">
        <f t="shared" si="2"/>
        <v>80</v>
      </c>
      <c r="I52" s="38">
        <f t="shared" si="1"/>
        <v>20</v>
      </c>
      <c r="J52" s="38"/>
      <c r="K52" s="40">
        <v>43646</v>
      </c>
      <c r="L52" s="41" t="s">
        <v>3399</v>
      </c>
      <c r="M52" s="42">
        <v>43641</v>
      </c>
      <c r="N52" s="43" t="s">
        <v>3400</v>
      </c>
      <c r="O52" s="42">
        <v>43646</v>
      </c>
      <c r="P52" s="45"/>
      <c r="Q52" s="46"/>
      <c r="R52" s="44" t="s">
        <v>3401</v>
      </c>
      <c r="S52" s="46" t="s">
        <v>3251</v>
      </c>
    </row>
    <row r="53" spans="2:19" s="67" customFormat="1" ht="33" customHeight="1">
      <c r="B53" s="46" t="s">
        <v>81</v>
      </c>
      <c r="C53" s="35" t="s">
        <v>2322</v>
      </c>
      <c r="D53" s="36" t="s">
        <v>2323</v>
      </c>
      <c r="E53" s="37">
        <v>43602</v>
      </c>
      <c r="F53" s="38" t="s">
        <v>3369</v>
      </c>
      <c r="G53" s="39">
        <v>18400</v>
      </c>
      <c r="H53" s="38">
        <f t="shared" si="2"/>
        <v>80</v>
      </c>
      <c r="I53" s="38">
        <f t="shared" si="1"/>
        <v>20</v>
      </c>
      <c r="J53" s="38"/>
      <c r="K53" s="40">
        <v>43674</v>
      </c>
      <c r="L53" s="41" t="s">
        <v>2146</v>
      </c>
      <c r="M53" s="42">
        <v>43669</v>
      </c>
      <c r="N53" s="43" t="s">
        <v>2551</v>
      </c>
      <c r="O53" s="42">
        <v>43674</v>
      </c>
      <c r="P53" s="45"/>
      <c r="Q53" s="46"/>
      <c r="R53" s="44" t="s">
        <v>3402</v>
      </c>
      <c r="S53" s="46"/>
    </row>
    <row r="54" spans="2:19" s="67" customFormat="1" ht="33" customHeight="1">
      <c r="B54" s="46" t="s">
        <v>81</v>
      </c>
      <c r="C54" s="35" t="s">
        <v>2325</v>
      </c>
      <c r="D54" s="36" t="s">
        <v>2326</v>
      </c>
      <c r="E54" s="37">
        <v>43602</v>
      </c>
      <c r="F54" s="38" t="s">
        <v>3369</v>
      </c>
      <c r="G54" s="129">
        <v>10580</v>
      </c>
      <c r="H54" s="124">
        <f t="shared" si="2"/>
        <v>46</v>
      </c>
      <c r="I54" s="124">
        <f t="shared" si="1"/>
        <v>11.5</v>
      </c>
      <c r="J54" s="38"/>
      <c r="K54" s="40">
        <v>43681</v>
      </c>
      <c r="L54" s="41" t="s">
        <v>3403</v>
      </c>
      <c r="M54" s="42">
        <v>43676</v>
      </c>
      <c r="N54" s="43" t="s">
        <v>3404</v>
      </c>
      <c r="O54" s="42">
        <v>43681</v>
      </c>
      <c r="P54" s="45"/>
      <c r="Q54" s="46"/>
      <c r="R54" s="125" t="s">
        <v>3548</v>
      </c>
      <c r="S54" s="122" t="s">
        <v>3549</v>
      </c>
    </row>
    <row r="55" spans="2:19" s="67" customFormat="1" ht="33" customHeight="1">
      <c r="B55" s="46" t="s">
        <v>81</v>
      </c>
      <c r="C55" s="35" t="s">
        <v>3406</v>
      </c>
      <c r="D55" s="36" t="s">
        <v>3407</v>
      </c>
      <c r="E55" s="128">
        <v>43637</v>
      </c>
      <c r="F55" s="124" t="s">
        <v>3369</v>
      </c>
      <c r="G55" s="129">
        <v>12880</v>
      </c>
      <c r="H55" s="124">
        <f t="shared" si="2"/>
        <v>56</v>
      </c>
      <c r="I55" s="124">
        <f t="shared" si="1"/>
        <v>14</v>
      </c>
      <c r="J55" s="124"/>
      <c r="K55" s="130">
        <v>43723</v>
      </c>
      <c r="L55" s="119" t="s">
        <v>3567</v>
      </c>
      <c r="M55" s="120">
        <v>43718</v>
      </c>
      <c r="N55" s="121" t="s">
        <v>3559</v>
      </c>
      <c r="O55" s="120">
        <v>43723</v>
      </c>
      <c r="P55" s="123"/>
      <c r="Q55" s="122"/>
      <c r="R55" s="125" t="s">
        <v>3408</v>
      </c>
      <c r="S55" s="122"/>
    </row>
    <row r="56" spans="2:19" s="67" customFormat="1" ht="33" customHeight="1">
      <c r="B56" s="46" t="s">
        <v>81</v>
      </c>
      <c r="C56" s="35" t="s">
        <v>3570</v>
      </c>
      <c r="D56" s="36" t="s">
        <v>3407</v>
      </c>
      <c r="E56" s="128">
        <v>43637</v>
      </c>
      <c r="F56" s="124" t="s">
        <v>3369</v>
      </c>
      <c r="G56" s="129">
        <v>920</v>
      </c>
      <c r="H56" s="124">
        <f>SUM(G56/230)</f>
        <v>4</v>
      </c>
      <c r="I56" s="124">
        <v>1</v>
      </c>
      <c r="J56" s="124"/>
      <c r="K56" s="130">
        <v>43723</v>
      </c>
      <c r="L56" s="119" t="s">
        <v>3566</v>
      </c>
      <c r="M56" s="120">
        <v>43711</v>
      </c>
      <c r="N56" s="121" t="s">
        <v>3557</v>
      </c>
      <c r="O56" s="120">
        <v>43716</v>
      </c>
      <c r="P56" s="123"/>
      <c r="Q56" s="122"/>
      <c r="R56" s="125" t="s">
        <v>3408</v>
      </c>
      <c r="S56" s="122"/>
    </row>
    <row r="57" spans="2:19" s="67" customFormat="1" ht="33" customHeight="1">
      <c r="B57" s="46" t="s">
        <v>81</v>
      </c>
      <c r="C57" s="35" t="s">
        <v>3409</v>
      </c>
      <c r="D57" s="36"/>
      <c r="E57" s="128">
        <v>43637</v>
      </c>
      <c r="F57" s="124" t="s">
        <v>3369</v>
      </c>
      <c r="G57" s="129">
        <v>9200</v>
      </c>
      <c r="H57" s="124">
        <f t="shared" si="2"/>
        <v>40</v>
      </c>
      <c r="I57" s="124">
        <f t="shared" si="1"/>
        <v>10</v>
      </c>
      <c r="J57" s="124"/>
      <c r="K57" s="130">
        <v>43667</v>
      </c>
      <c r="L57" s="119" t="s">
        <v>3564</v>
      </c>
      <c r="M57" s="120">
        <v>43662</v>
      </c>
      <c r="N57" s="121" t="s">
        <v>3560</v>
      </c>
      <c r="O57" s="120">
        <v>43667</v>
      </c>
      <c r="P57" s="123"/>
      <c r="Q57" s="122"/>
      <c r="R57" s="125"/>
      <c r="S57" s="122"/>
    </row>
    <row r="58" spans="2:19" s="96" customFormat="1" ht="33" customHeight="1">
      <c r="B58" s="47" t="s">
        <v>3410</v>
      </c>
      <c r="C58" s="48" t="s">
        <v>3411</v>
      </c>
      <c r="D58" s="49" t="s">
        <v>705</v>
      </c>
      <c r="E58" s="50">
        <v>43532</v>
      </c>
      <c r="F58" s="52" t="s">
        <v>3369</v>
      </c>
      <c r="G58" s="51">
        <v>920</v>
      </c>
      <c r="H58" s="52">
        <f t="shared" si="2"/>
        <v>4</v>
      </c>
      <c r="I58" s="52">
        <f t="shared" si="1"/>
        <v>1</v>
      </c>
      <c r="J58" s="52"/>
      <c r="K58" s="53">
        <v>43609</v>
      </c>
      <c r="L58" s="54" t="s">
        <v>773</v>
      </c>
      <c r="M58" s="55">
        <v>43601</v>
      </c>
      <c r="N58" s="56" t="s">
        <v>774</v>
      </c>
      <c r="O58" s="55">
        <v>43605</v>
      </c>
      <c r="P58" s="58"/>
      <c r="Q58" s="47"/>
      <c r="R58" s="57"/>
      <c r="S58" s="47" t="s">
        <v>3412</v>
      </c>
    </row>
    <row r="59" spans="2:19" s="96" customFormat="1" ht="33" customHeight="1">
      <c r="B59" s="47" t="s">
        <v>3413</v>
      </c>
      <c r="C59" s="48" t="s">
        <v>3411</v>
      </c>
      <c r="D59" s="49" t="s">
        <v>3414</v>
      </c>
      <c r="E59" s="50">
        <v>43511</v>
      </c>
      <c r="F59" s="52" t="s">
        <v>3369</v>
      </c>
      <c r="G59" s="51">
        <v>460</v>
      </c>
      <c r="H59" s="52">
        <f t="shared" si="2"/>
        <v>2</v>
      </c>
      <c r="I59" s="52">
        <f t="shared" si="1"/>
        <v>0.5</v>
      </c>
      <c r="J59" s="52"/>
      <c r="K59" s="53">
        <v>43576</v>
      </c>
      <c r="L59" s="54" t="s">
        <v>480</v>
      </c>
      <c r="M59" s="55">
        <v>43564</v>
      </c>
      <c r="N59" s="56" t="s">
        <v>646</v>
      </c>
      <c r="O59" s="55">
        <v>43569</v>
      </c>
      <c r="P59" s="58"/>
      <c r="Q59" s="47"/>
      <c r="R59" s="57" t="s">
        <v>3390</v>
      </c>
      <c r="S59" s="47"/>
    </row>
    <row r="60" spans="2:19" s="67" customFormat="1" ht="33" customHeight="1">
      <c r="B60" s="46" t="s">
        <v>3413</v>
      </c>
      <c r="C60" s="35" t="s">
        <v>2333</v>
      </c>
      <c r="D60" s="36" t="s">
        <v>2334</v>
      </c>
      <c r="E60" s="37">
        <v>43602</v>
      </c>
      <c r="F60" s="38" t="s">
        <v>3369</v>
      </c>
      <c r="G60" s="39">
        <v>460</v>
      </c>
      <c r="H60" s="38">
        <f t="shared" si="2"/>
        <v>2</v>
      </c>
      <c r="I60" s="38">
        <f t="shared" si="1"/>
        <v>0.5</v>
      </c>
      <c r="J60" s="38"/>
      <c r="K60" s="40">
        <v>43681</v>
      </c>
      <c r="L60" s="41" t="s">
        <v>3403</v>
      </c>
      <c r="M60" s="42">
        <v>43676</v>
      </c>
      <c r="N60" s="43" t="s">
        <v>3404</v>
      </c>
      <c r="O60" s="42">
        <v>43681</v>
      </c>
      <c r="P60" s="45"/>
      <c r="Q60" s="46"/>
      <c r="R60" s="125" t="s">
        <v>3548</v>
      </c>
      <c r="S60" s="122" t="s">
        <v>3549</v>
      </c>
    </row>
    <row r="61" spans="2:19" s="33" customFormat="1" ht="33" customHeight="1">
      <c r="B61" s="47" t="s">
        <v>3416</v>
      </c>
      <c r="C61" s="48" t="s">
        <v>430</v>
      </c>
      <c r="D61" s="49" t="s">
        <v>470</v>
      </c>
      <c r="E61" s="50">
        <v>43473</v>
      </c>
      <c r="F61" s="52" t="s">
        <v>3369</v>
      </c>
      <c r="G61" s="51">
        <v>1920</v>
      </c>
      <c r="H61" s="52">
        <f t="shared" ref="H61:H70" si="3">SUM(G61/20)</f>
        <v>96</v>
      </c>
      <c r="I61" s="52">
        <f t="shared" ref="I61:I70" si="4">SUM(H61/32)</f>
        <v>3</v>
      </c>
      <c r="J61" s="59"/>
      <c r="K61" s="53">
        <v>43555</v>
      </c>
      <c r="L61" s="54" t="s">
        <v>480</v>
      </c>
      <c r="M61" s="55">
        <v>43564</v>
      </c>
      <c r="N61" s="56" t="s">
        <v>3389</v>
      </c>
      <c r="O61" s="55">
        <v>43569</v>
      </c>
      <c r="P61" s="58"/>
      <c r="Q61" s="60" t="s">
        <v>89</v>
      </c>
      <c r="R61" s="57" t="s">
        <v>3417</v>
      </c>
      <c r="S61" s="47"/>
    </row>
    <row r="62" spans="2:19" s="33" customFormat="1" ht="33" customHeight="1">
      <c r="B62" s="47" t="s">
        <v>3416</v>
      </c>
      <c r="C62" s="48" t="s">
        <v>519</v>
      </c>
      <c r="D62" s="49" t="s">
        <v>710</v>
      </c>
      <c r="E62" s="50">
        <v>43511</v>
      </c>
      <c r="F62" s="52" t="s">
        <v>3369</v>
      </c>
      <c r="G62" s="51">
        <v>640</v>
      </c>
      <c r="H62" s="52">
        <f t="shared" si="3"/>
        <v>32</v>
      </c>
      <c r="I62" s="52">
        <f t="shared" si="4"/>
        <v>1</v>
      </c>
      <c r="J62" s="59"/>
      <c r="K62" s="53">
        <v>43555</v>
      </c>
      <c r="L62" s="54" t="s">
        <v>608</v>
      </c>
      <c r="M62" s="55">
        <v>43557</v>
      </c>
      <c r="N62" s="56" t="s">
        <v>3418</v>
      </c>
      <c r="O62" s="55">
        <v>43562</v>
      </c>
      <c r="P62" s="58"/>
      <c r="Q62" s="60" t="s">
        <v>89</v>
      </c>
      <c r="R62" s="57" t="s">
        <v>3417</v>
      </c>
      <c r="S62" s="47"/>
    </row>
    <row r="63" spans="2:19" s="33" customFormat="1" ht="33" customHeight="1">
      <c r="B63" s="47" t="s">
        <v>3416</v>
      </c>
      <c r="C63" s="48" t="s">
        <v>520</v>
      </c>
      <c r="D63" s="49" t="s">
        <v>584</v>
      </c>
      <c r="E63" s="50">
        <v>43511</v>
      </c>
      <c r="F63" s="52" t="s">
        <v>3369</v>
      </c>
      <c r="G63" s="51">
        <v>1920</v>
      </c>
      <c r="H63" s="52">
        <f t="shared" si="3"/>
        <v>96</v>
      </c>
      <c r="I63" s="52">
        <f t="shared" si="4"/>
        <v>3</v>
      </c>
      <c r="J63" s="59"/>
      <c r="K63" s="53">
        <v>43576</v>
      </c>
      <c r="L63" s="54" t="s">
        <v>503</v>
      </c>
      <c r="M63" s="55">
        <v>43571</v>
      </c>
      <c r="N63" s="56" t="s">
        <v>3364</v>
      </c>
      <c r="O63" s="55">
        <v>43576</v>
      </c>
      <c r="P63" s="58"/>
      <c r="Q63" s="60" t="s">
        <v>89</v>
      </c>
      <c r="R63" s="57" t="s">
        <v>3419</v>
      </c>
      <c r="S63" s="47"/>
    </row>
    <row r="64" spans="2:19" s="33" customFormat="1" ht="33" customHeight="1">
      <c r="B64" s="47" t="s">
        <v>3416</v>
      </c>
      <c r="C64" s="48" t="s">
        <v>586</v>
      </c>
      <c r="D64" s="49" t="s">
        <v>640</v>
      </c>
      <c r="E64" s="50">
        <v>43519</v>
      </c>
      <c r="F64" s="52" t="s">
        <v>3369</v>
      </c>
      <c r="G64" s="51">
        <v>2560</v>
      </c>
      <c r="H64" s="52">
        <f t="shared" si="3"/>
        <v>128</v>
      </c>
      <c r="I64" s="52">
        <f t="shared" si="4"/>
        <v>4</v>
      </c>
      <c r="J64" s="59"/>
      <c r="K64" s="53">
        <v>43611</v>
      </c>
      <c r="L64" s="54" t="s">
        <v>773</v>
      </c>
      <c r="M64" s="55">
        <v>43601</v>
      </c>
      <c r="N64" s="56" t="s">
        <v>3388</v>
      </c>
      <c r="O64" s="55">
        <v>43605</v>
      </c>
      <c r="P64" s="58"/>
      <c r="Q64" s="60" t="s">
        <v>89</v>
      </c>
      <c r="R64" s="57" t="s">
        <v>3420</v>
      </c>
      <c r="S64" s="47" t="s">
        <v>980</v>
      </c>
    </row>
    <row r="65" spans="2:19" s="30" customFormat="1" ht="33" customHeight="1">
      <c r="B65" s="46" t="s">
        <v>3416</v>
      </c>
      <c r="C65" s="35" t="s">
        <v>713</v>
      </c>
      <c r="D65" s="36" t="s">
        <v>714</v>
      </c>
      <c r="E65" s="37">
        <v>43532</v>
      </c>
      <c r="F65" s="38" t="s">
        <v>3369</v>
      </c>
      <c r="G65" s="39">
        <v>1920</v>
      </c>
      <c r="H65" s="38">
        <f t="shared" si="3"/>
        <v>96</v>
      </c>
      <c r="I65" s="38">
        <f t="shared" si="4"/>
        <v>3</v>
      </c>
      <c r="J65" s="61"/>
      <c r="K65" s="40">
        <v>43639</v>
      </c>
      <c r="L65" s="41" t="s">
        <v>1083</v>
      </c>
      <c r="M65" s="42">
        <v>43634</v>
      </c>
      <c r="N65" s="43" t="s">
        <v>1084</v>
      </c>
      <c r="O65" s="42">
        <v>43639</v>
      </c>
      <c r="P65" s="45"/>
      <c r="Q65" s="62" t="s">
        <v>89</v>
      </c>
      <c r="R65" s="44" t="s">
        <v>3421</v>
      </c>
      <c r="S65" s="46"/>
    </row>
    <row r="66" spans="2:19" s="30" customFormat="1" ht="33" customHeight="1">
      <c r="B66" s="46" t="s">
        <v>3416</v>
      </c>
      <c r="C66" s="35" t="s">
        <v>1184</v>
      </c>
      <c r="D66" s="36" t="s">
        <v>1185</v>
      </c>
      <c r="E66" s="37">
        <v>43567</v>
      </c>
      <c r="F66" s="38" t="s">
        <v>3369</v>
      </c>
      <c r="G66" s="39">
        <v>2560</v>
      </c>
      <c r="H66" s="38">
        <f t="shared" si="3"/>
        <v>128</v>
      </c>
      <c r="I66" s="38">
        <f t="shared" si="4"/>
        <v>4</v>
      </c>
      <c r="J66" s="61"/>
      <c r="K66" s="40">
        <v>43653</v>
      </c>
      <c r="L66" s="41" t="s">
        <v>1326</v>
      </c>
      <c r="M66" s="42">
        <v>43648</v>
      </c>
      <c r="N66" s="43" t="s">
        <v>2540</v>
      </c>
      <c r="O66" s="42">
        <v>43653</v>
      </c>
      <c r="P66" s="45"/>
      <c r="Q66" s="62" t="s">
        <v>89</v>
      </c>
      <c r="R66" s="44" t="s">
        <v>3422</v>
      </c>
      <c r="S66" s="46"/>
    </row>
    <row r="67" spans="2:19" s="30" customFormat="1" ht="33" customHeight="1">
      <c r="B67" s="46" t="s">
        <v>3423</v>
      </c>
      <c r="C67" s="35" t="s">
        <v>3424</v>
      </c>
      <c r="D67" s="36" t="s">
        <v>2685</v>
      </c>
      <c r="E67" s="37">
        <v>43609</v>
      </c>
      <c r="F67" s="38" t="s">
        <v>3369</v>
      </c>
      <c r="G67" s="39">
        <v>1280</v>
      </c>
      <c r="H67" s="38">
        <f t="shared" si="3"/>
        <v>64</v>
      </c>
      <c r="I67" s="38">
        <f t="shared" si="4"/>
        <v>2</v>
      </c>
      <c r="J67" s="61"/>
      <c r="K67" s="40">
        <v>43653</v>
      </c>
      <c r="L67" s="41" t="s">
        <v>1326</v>
      </c>
      <c r="M67" s="42">
        <v>43648</v>
      </c>
      <c r="N67" s="43" t="s">
        <v>2540</v>
      </c>
      <c r="O67" s="42">
        <v>43653</v>
      </c>
      <c r="P67" s="45"/>
      <c r="Q67" s="62" t="s">
        <v>89</v>
      </c>
      <c r="R67" s="44" t="s">
        <v>3425</v>
      </c>
      <c r="S67" s="46"/>
    </row>
    <row r="68" spans="2:19" s="30" customFormat="1" ht="33" customHeight="1">
      <c r="B68" s="46" t="s">
        <v>3416</v>
      </c>
      <c r="C68" s="35" t="s">
        <v>2357</v>
      </c>
      <c r="D68" s="36" t="s">
        <v>2358</v>
      </c>
      <c r="E68" s="37">
        <v>43602</v>
      </c>
      <c r="F68" s="38" t="s">
        <v>3369</v>
      </c>
      <c r="G68" s="39">
        <v>2560</v>
      </c>
      <c r="H68" s="38">
        <f t="shared" si="3"/>
        <v>128</v>
      </c>
      <c r="I68" s="38">
        <f t="shared" si="4"/>
        <v>4</v>
      </c>
      <c r="J68" s="61"/>
      <c r="K68" s="40">
        <v>43674</v>
      </c>
      <c r="L68" s="41" t="s">
        <v>2146</v>
      </c>
      <c r="M68" s="42">
        <v>43669</v>
      </c>
      <c r="N68" s="43" t="s">
        <v>2551</v>
      </c>
      <c r="O68" s="42">
        <v>43674</v>
      </c>
      <c r="P68" s="45"/>
      <c r="Q68" s="62" t="s">
        <v>89</v>
      </c>
      <c r="R68" s="44" t="s">
        <v>3426</v>
      </c>
      <c r="S68" s="46"/>
    </row>
    <row r="69" spans="2:19" s="30" customFormat="1" ht="33" customHeight="1">
      <c r="B69" s="46" t="s">
        <v>3416</v>
      </c>
      <c r="C69" s="35" t="s">
        <v>2360</v>
      </c>
      <c r="D69" s="36" t="s">
        <v>3427</v>
      </c>
      <c r="E69" s="37">
        <v>43602</v>
      </c>
      <c r="F69" s="38" t="s">
        <v>3369</v>
      </c>
      <c r="G69" s="39">
        <v>2560</v>
      </c>
      <c r="H69" s="38">
        <f t="shared" si="3"/>
        <v>128</v>
      </c>
      <c r="I69" s="38">
        <f t="shared" si="4"/>
        <v>4</v>
      </c>
      <c r="J69" s="61"/>
      <c r="K69" s="40">
        <v>43695</v>
      </c>
      <c r="L69" s="41" t="s">
        <v>2505</v>
      </c>
      <c r="M69" s="42">
        <v>43683</v>
      </c>
      <c r="N69" s="43" t="s">
        <v>3374</v>
      </c>
      <c r="O69" s="42">
        <v>43688</v>
      </c>
      <c r="P69" s="45"/>
      <c r="Q69" s="62" t="s">
        <v>89</v>
      </c>
      <c r="R69" s="44" t="s">
        <v>3428</v>
      </c>
      <c r="S69" s="46"/>
    </row>
    <row r="70" spans="2:19" s="30" customFormat="1" ht="33" customHeight="1">
      <c r="B70" s="46" t="s">
        <v>3416</v>
      </c>
      <c r="C70" s="35" t="s">
        <v>3429</v>
      </c>
      <c r="D70" s="36" t="s">
        <v>3430</v>
      </c>
      <c r="E70" s="128">
        <v>43637</v>
      </c>
      <c r="F70" s="124" t="s">
        <v>3369</v>
      </c>
      <c r="G70" s="129">
        <v>3840</v>
      </c>
      <c r="H70" s="124">
        <f t="shared" si="3"/>
        <v>192</v>
      </c>
      <c r="I70" s="124">
        <f t="shared" si="4"/>
        <v>6</v>
      </c>
      <c r="J70" s="131"/>
      <c r="K70" s="130">
        <v>43723</v>
      </c>
      <c r="L70" s="119" t="s">
        <v>3567</v>
      </c>
      <c r="M70" s="120">
        <v>43718</v>
      </c>
      <c r="N70" s="121" t="s">
        <v>3559</v>
      </c>
      <c r="O70" s="120">
        <v>43723</v>
      </c>
      <c r="P70" s="123"/>
      <c r="Q70" s="132" t="s">
        <v>89</v>
      </c>
      <c r="R70" s="125" t="s">
        <v>3431</v>
      </c>
      <c r="S70" s="122"/>
    </row>
    <row r="71" spans="2:19" s="33" customFormat="1" ht="33" customHeight="1">
      <c r="B71" s="47" t="s">
        <v>38</v>
      </c>
      <c r="C71" s="48" t="s">
        <v>225</v>
      </c>
      <c r="D71" s="49" t="s">
        <v>587</v>
      </c>
      <c r="E71" s="50">
        <v>43519</v>
      </c>
      <c r="F71" s="52" t="s">
        <v>3432</v>
      </c>
      <c r="G71" s="64">
        <v>640</v>
      </c>
      <c r="H71" s="52">
        <f>SUBTOTAL(9,G71)/20</f>
        <v>32</v>
      </c>
      <c r="I71" s="52">
        <f>H71/32</f>
        <v>1</v>
      </c>
      <c r="J71" s="52"/>
      <c r="K71" s="53">
        <v>43583</v>
      </c>
      <c r="L71" s="54" t="s">
        <v>565</v>
      </c>
      <c r="M71" s="55">
        <v>43578</v>
      </c>
      <c r="N71" s="56" t="s">
        <v>3433</v>
      </c>
      <c r="O71" s="55">
        <v>43583</v>
      </c>
      <c r="P71" s="58"/>
      <c r="Q71" s="52"/>
      <c r="R71" s="63" t="s">
        <v>3434</v>
      </c>
      <c r="S71" s="47"/>
    </row>
    <row r="72" spans="2:19" s="30" customFormat="1" ht="33" customHeight="1">
      <c r="B72" s="46" t="s">
        <v>38</v>
      </c>
      <c r="C72" s="35" t="s">
        <v>226</v>
      </c>
      <c r="D72" s="36" t="s">
        <v>1194</v>
      </c>
      <c r="E72" s="37">
        <v>43567</v>
      </c>
      <c r="F72" s="38" t="s">
        <v>3435</v>
      </c>
      <c r="G72" s="65">
        <v>640</v>
      </c>
      <c r="H72" s="38">
        <f>SUBTOTAL(9,G72)/20</f>
        <v>32</v>
      </c>
      <c r="I72" s="38">
        <f>H72/32</f>
        <v>1</v>
      </c>
      <c r="J72" s="38"/>
      <c r="K72" s="40">
        <v>43730</v>
      </c>
      <c r="L72" s="119" t="s">
        <v>3574</v>
      </c>
      <c r="M72" s="120">
        <v>43725</v>
      </c>
      <c r="N72" s="121" t="s">
        <v>3573</v>
      </c>
      <c r="O72" s="120">
        <v>43730</v>
      </c>
      <c r="P72" s="45"/>
      <c r="Q72" s="38"/>
      <c r="R72" s="66" t="s">
        <v>3438</v>
      </c>
      <c r="S72" s="46"/>
    </row>
    <row r="73" spans="2:19" s="33" customFormat="1" ht="33" customHeight="1">
      <c r="B73" s="47" t="s">
        <v>88</v>
      </c>
      <c r="C73" s="48" t="s">
        <v>431</v>
      </c>
      <c r="D73" s="49" t="s">
        <v>471</v>
      </c>
      <c r="E73" s="50">
        <v>43483</v>
      </c>
      <c r="F73" s="52" t="s">
        <v>3439</v>
      </c>
      <c r="G73" s="64">
        <v>760</v>
      </c>
      <c r="H73" s="52">
        <f t="shared" ref="H73:H79" si="5">SUBTOTAL(9,G73)/190</f>
        <v>4</v>
      </c>
      <c r="I73" s="52">
        <f t="shared" ref="I73:I79" si="6">H73/4</f>
        <v>1</v>
      </c>
      <c r="J73" s="52"/>
      <c r="K73" s="53">
        <v>43569</v>
      </c>
      <c r="L73" s="54" t="s">
        <v>417</v>
      </c>
      <c r="M73" s="55">
        <v>43564</v>
      </c>
      <c r="N73" s="56" t="s">
        <v>3440</v>
      </c>
      <c r="O73" s="55">
        <v>43569</v>
      </c>
      <c r="P73" s="58"/>
      <c r="Q73" s="52"/>
      <c r="R73" s="63" t="s">
        <v>3441</v>
      </c>
      <c r="S73" s="47"/>
    </row>
    <row r="74" spans="2:19" s="33" customFormat="1" ht="33" customHeight="1">
      <c r="B74" s="47" t="s">
        <v>88</v>
      </c>
      <c r="C74" s="48" t="s">
        <v>523</v>
      </c>
      <c r="D74" s="49" t="s">
        <v>588</v>
      </c>
      <c r="E74" s="50">
        <v>43511</v>
      </c>
      <c r="F74" s="52" t="s">
        <v>3435</v>
      </c>
      <c r="G74" s="64">
        <v>760</v>
      </c>
      <c r="H74" s="52">
        <f t="shared" si="5"/>
        <v>4</v>
      </c>
      <c r="I74" s="52">
        <f t="shared" si="6"/>
        <v>1</v>
      </c>
      <c r="J74" s="52"/>
      <c r="K74" s="53">
        <v>43583</v>
      </c>
      <c r="L74" s="54" t="s">
        <v>565</v>
      </c>
      <c r="M74" s="55">
        <v>43578</v>
      </c>
      <c r="N74" s="56" t="s">
        <v>3433</v>
      </c>
      <c r="O74" s="55">
        <v>43583</v>
      </c>
      <c r="P74" s="58"/>
      <c r="Q74" s="52"/>
      <c r="R74" s="63" t="s">
        <v>3442</v>
      </c>
      <c r="S74" s="47"/>
    </row>
    <row r="75" spans="2:19" s="33" customFormat="1" ht="33" customHeight="1">
      <c r="B75" s="47" t="s">
        <v>88</v>
      </c>
      <c r="C75" s="48" t="s">
        <v>589</v>
      </c>
      <c r="D75" s="49" t="s">
        <v>590</v>
      </c>
      <c r="E75" s="50">
        <v>43519</v>
      </c>
      <c r="F75" s="52" t="s">
        <v>3435</v>
      </c>
      <c r="G75" s="64">
        <v>760</v>
      </c>
      <c r="H75" s="52">
        <f t="shared" si="5"/>
        <v>4</v>
      </c>
      <c r="I75" s="52">
        <f t="shared" si="6"/>
        <v>1</v>
      </c>
      <c r="J75" s="52"/>
      <c r="K75" s="53">
        <v>43597</v>
      </c>
      <c r="L75" s="54" t="s">
        <v>3443</v>
      </c>
      <c r="M75" s="55">
        <v>43592</v>
      </c>
      <c r="N75" s="56" t="s">
        <v>3444</v>
      </c>
      <c r="O75" s="55">
        <v>43597</v>
      </c>
      <c r="P75" s="58"/>
      <c r="Q75" s="52"/>
      <c r="R75" s="63" t="s">
        <v>3445</v>
      </c>
      <c r="S75" s="47"/>
    </row>
    <row r="76" spans="2:19" s="30" customFormat="1" ht="33" customHeight="1">
      <c r="B76" s="46" t="s">
        <v>88</v>
      </c>
      <c r="C76" s="35" t="s">
        <v>3446</v>
      </c>
      <c r="D76" s="36" t="s">
        <v>1207</v>
      </c>
      <c r="E76" s="37">
        <v>43567</v>
      </c>
      <c r="F76" s="38" t="s">
        <v>3435</v>
      </c>
      <c r="G76" s="65">
        <v>760</v>
      </c>
      <c r="H76" s="38">
        <f t="shared" si="5"/>
        <v>4</v>
      </c>
      <c r="I76" s="38">
        <f t="shared" si="6"/>
        <v>1</v>
      </c>
      <c r="J76" s="38"/>
      <c r="K76" s="40">
        <v>43667</v>
      </c>
      <c r="L76" s="41" t="s">
        <v>3447</v>
      </c>
      <c r="M76" s="42">
        <v>43655</v>
      </c>
      <c r="N76" s="43" t="s">
        <v>3448</v>
      </c>
      <c r="O76" s="42">
        <v>43660</v>
      </c>
      <c r="P76" s="45"/>
      <c r="Q76" s="38"/>
      <c r="R76" s="66" t="s">
        <v>3449</v>
      </c>
      <c r="S76" s="46" t="s">
        <v>980</v>
      </c>
    </row>
    <row r="77" spans="2:19" s="30" customFormat="1" ht="33" customHeight="1">
      <c r="B77" s="46" t="s">
        <v>88</v>
      </c>
      <c r="C77" s="35" t="s">
        <v>2079</v>
      </c>
      <c r="D77" s="36" t="s">
        <v>3450</v>
      </c>
      <c r="E77" s="37">
        <v>43602</v>
      </c>
      <c r="F77" s="38" t="s">
        <v>3439</v>
      </c>
      <c r="G77" s="65">
        <v>760</v>
      </c>
      <c r="H77" s="38">
        <f t="shared" si="5"/>
        <v>4</v>
      </c>
      <c r="I77" s="38">
        <f t="shared" si="6"/>
        <v>1</v>
      </c>
      <c r="J77" s="38"/>
      <c r="K77" s="40">
        <v>43667</v>
      </c>
      <c r="L77" s="41" t="s">
        <v>3451</v>
      </c>
      <c r="M77" s="42">
        <v>43655</v>
      </c>
      <c r="N77" s="43" t="s">
        <v>3452</v>
      </c>
      <c r="O77" s="42">
        <v>43660</v>
      </c>
      <c r="P77" s="45"/>
      <c r="Q77" s="38"/>
      <c r="R77" s="66" t="s">
        <v>3453</v>
      </c>
      <c r="S77" s="46" t="s">
        <v>980</v>
      </c>
    </row>
    <row r="78" spans="2:19" s="30" customFormat="1" ht="33" customHeight="1">
      <c r="B78" s="46" t="s">
        <v>88</v>
      </c>
      <c r="C78" s="35" t="s">
        <v>2378</v>
      </c>
      <c r="D78" s="36" t="s">
        <v>2379</v>
      </c>
      <c r="E78" s="37">
        <v>43602</v>
      </c>
      <c r="F78" s="38" t="s">
        <v>3439</v>
      </c>
      <c r="G78" s="65">
        <v>760</v>
      </c>
      <c r="H78" s="38">
        <f t="shared" si="5"/>
        <v>4</v>
      </c>
      <c r="I78" s="38">
        <f t="shared" si="6"/>
        <v>1</v>
      </c>
      <c r="J78" s="38"/>
      <c r="K78" s="40">
        <v>43702</v>
      </c>
      <c r="L78" s="41" t="s">
        <v>3454</v>
      </c>
      <c r="M78" s="42">
        <v>43697</v>
      </c>
      <c r="N78" s="43" t="s">
        <v>3455</v>
      </c>
      <c r="O78" s="42">
        <v>43702</v>
      </c>
      <c r="P78" s="45"/>
      <c r="Q78" s="38"/>
      <c r="R78" s="66" t="s">
        <v>3456</v>
      </c>
      <c r="S78" s="46"/>
    </row>
    <row r="79" spans="2:19" s="30" customFormat="1" ht="33" customHeight="1">
      <c r="B79" s="46" t="s">
        <v>88</v>
      </c>
      <c r="C79" s="35" t="s">
        <v>2430</v>
      </c>
      <c r="D79" s="36" t="s">
        <v>3457</v>
      </c>
      <c r="E79" s="128">
        <v>43637</v>
      </c>
      <c r="F79" s="124" t="s">
        <v>3439</v>
      </c>
      <c r="G79" s="152">
        <v>760</v>
      </c>
      <c r="H79" s="124">
        <f t="shared" si="5"/>
        <v>4</v>
      </c>
      <c r="I79" s="124">
        <f t="shared" si="6"/>
        <v>1</v>
      </c>
      <c r="J79" s="124"/>
      <c r="K79" s="130">
        <v>43731</v>
      </c>
      <c r="L79" s="119" t="s">
        <v>3572</v>
      </c>
      <c r="M79" s="120">
        <v>43725</v>
      </c>
      <c r="N79" s="121" t="s">
        <v>3561</v>
      </c>
      <c r="O79" s="120">
        <v>43730</v>
      </c>
      <c r="P79" s="123"/>
      <c r="Q79" s="124"/>
      <c r="R79" s="134" t="s">
        <v>3458</v>
      </c>
      <c r="S79" s="122"/>
    </row>
    <row r="80" spans="2:19" s="33" customFormat="1" ht="33" customHeight="1">
      <c r="B80" s="47" t="s">
        <v>83</v>
      </c>
      <c r="C80" s="48" t="s">
        <v>244</v>
      </c>
      <c r="D80" s="49" t="s">
        <v>722</v>
      </c>
      <c r="E80" s="50">
        <v>43483</v>
      </c>
      <c r="F80" s="52" t="s">
        <v>77</v>
      </c>
      <c r="G80" s="51">
        <v>6720</v>
      </c>
      <c r="H80" s="52">
        <f t="shared" ref="H80:H85" si="7">SUM(G80/240)</f>
        <v>28</v>
      </c>
      <c r="I80" s="52">
        <f t="shared" ref="I80:I86" si="8">SUM(H80/4)</f>
        <v>7</v>
      </c>
      <c r="J80" s="52"/>
      <c r="K80" s="53">
        <v>43569</v>
      </c>
      <c r="L80" s="54" t="s">
        <v>480</v>
      </c>
      <c r="M80" s="55">
        <v>43564</v>
      </c>
      <c r="N80" s="56" t="s">
        <v>646</v>
      </c>
      <c r="O80" s="55">
        <v>43569</v>
      </c>
      <c r="P80" s="58" t="s">
        <v>3459</v>
      </c>
      <c r="Q80" s="52"/>
      <c r="R80" s="118" t="s">
        <v>3460</v>
      </c>
      <c r="S80" s="47"/>
    </row>
    <row r="81" spans="2:19" s="33" customFormat="1" ht="33" customHeight="1">
      <c r="B81" s="47" t="s">
        <v>83</v>
      </c>
      <c r="C81" s="48" t="s">
        <v>3461</v>
      </c>
      <c r="D81" s="49" t="s">
        <v>472</v>
      </c>
      <c r="E81" s="50">
        <v>43483</v>
      </c>
      <c r="F81" s="52" t="s">
        <v>77</v>
      </c>
      <c r="G81" s="51">
        <v>5760</v>
      </c>
      <c r="H81" s="52">
        <f t="shared" si="7"/>
        <v>24</v>
      </c>
      <c r="I81" s="52">
        <f t="shared" si="8"/>
        <v>6</v>
      </c>
      <c r="J81" s="52"/>
      <c r="K81" s="53">
        <v>43583</v>
      </c>
      <c r="L81" s="54" t="s">
        <v>448</v>
      </c>
      <c r="M81" s="55">
        <v>43578</v>
      </c>
      <c r="N81" s="56" t="s">
        <v>3462</v>
      </c>
      <c r="O81" s="55">
        <v>43583</v>
      </c>
      <c r="P81" s="58" t="s">
        <v>3463</v>
      </c>
      <c r="Q81" s="52"/>
      <c r="R81" s="118" t="s">
        <v>3460</v>
      </c>
      <c r="S81" s="47"/>
    </row>
    <row r="82" spans="2:19" s="33" customFormat="1" ht="33" customHeight="1">
      <c r="B82" s="47" t="s">
        <v>83</v>
      </c>
      <c r="C82" s="48" t="s">
        <v>258</v>
      </c>
      <c r="D82" s="49" t="s">
        <v>591</v>
      </c>
      <c r="E82" s="50">
        <v>43519</v>
      </c>
      <c r="F82" s="52" t="s">
        <v>77</v>
      </c>
      <c r="G82" s="51">
        <v>5760</v>
      </c>
      <c r="H82" s="52">
        <f t="shared" si="7"/>
        <v>24</v>
      </c>
      <c r="I82" s="52">
        <f t="shared" si="8"/>
        <v>6</v>
      </c>
      <c r="J82" s="52"/>
      <c r="K82" s="53">
        <v>43605</v>
      </c>
      <c r="L82" s="54" t="s">
        <v>3464</v>
      </c>
      <c r="M82" s="55">
        <v>43601</v>
      </c>
      <c r="N82" s="56" t="s">
        <v>3465</v>
      </c>
      <c r="O82" s="55">
        <v>43605</v>
      </c>
      <c r="P82" s="58" t="s">
        <v>3466</v>
      </c>
      <c r="Q82" s="52"/>
      <c r="R82" s="118" t="s">
        <v>3467</v>
      </c>
      <c r="S82" s="47"/>
    </row>
    <row r="83" spans="2:19" s="30" customFormat="1" ht="33" customHeight="1">
      <c r="B83" s="46" t="s">
        <v>83</v>
      </c>
      <c r="C83" s="35" t="s">
        <v>321</v>
      </c>
      <c r="D83" s="36" t="s">
        <v>727</v>
      </c>
      <c r="E83" s="37">
        <v>43532</v>
      </c>
      <c r="F83" s="38" t="s">
        <v>77</v>
      </c>
      <c r="G83" s="39">
        <v>6720</v>
      </c>
      <c r="H83" s="38">
        <f t="shared" si="7"/>
        <v>28</v>
      </c>
      <c r="I83" s="38">
        <f t="shared" si="8"/>
        <v>7</v>
      </c>
      <c r="J83" s="38"/>
      <c r="K83" s="40">
        <v>43633</v>
      </c>
      <c r="L83" s="41" t="s">
        <v>807</v>
      </c>
      <c r="M83" s="42">
        <v>43627</v>
      </c>
      <c r="N83" s="43" t="s">
        <v>808</v>
      </c>
      <c r="O83" s="42">
        <v>43632</v>
      </c>
      <c r="P83" s="45"/>
      <c r="Q83" s="38"/>
      <c r="R83" s="115" t="s">
        <v>3468</v>
      </c>
      <c r="S83" s="46"/>
    </row>
    <row r="84" spans="2:19" s="30" customFormat="1" ht="33" customHeight="1">
      <c r="B84" s="46" t="s">
        <v>83</v>
      </c>
      <c r="C84" s="35" t="s">
        <v>324</v>
      </c>
      <c r="D84" s="36" t="s">
        <v>1234</v>
      </c>
      <c r="E84" s="37">
        <v>43567</v>
      </c>
      <c r="F84" s="38" t="s">
        <v>77</v>
      </c>
      <c r="G84" s="39">
        <v>5760</v>
      </c>
      <c r="H84" s="38">
        <f t="shared" si="7"/>
        <v>24</v>
      </c>
      <c r="I84" s="38">
        <f t="shared" si="8"/>
        <v>6</v>
      </c>
      <c r="J84" s="38"/>
      <c r="K84" s="40">
        <v>43674</v>
      </c>
      <c r="L84" s="41" t="s">
        <v>3469</v>
      </c>
      <c r="M84" s="42">
        <v>43669</v>
      </c>
      <c r="N84" s="43" t="s">
        <v>3470</v>
      </c>
      <c r="O84" s="42">
        <v>43674</v>
      </c>
      <c r="P84" s="45"/>
      <c r="Q84" s="38"/>
      <c r="R84" s="115" t="s">
        <v>3471</v>
      </c>
      <c r="S84" s="46"/>
    </row>
    <row r="85" spans="2:19" s="30" customFormat="1" ht="33" customHeight="1">
      <c r="B85" s="46" t="s">
        <v>83</v>
      </c>
      <c r="C85" s="35" t="s">
        <v>430</v>
      </c>
      <c r="D85" s="36" t="s">
        <v>2696</v>
      </c>
      <c r="E85" s="37">
        <v>43609</v>
      </c>
      <c r="F85" s="38" t="s">
        <v>77</v>
      </c>
      <c r="G85" s="39">
        <v>7680</v>
      </c>
      <c r="H85" s="38">
        <f t="shared" si="7"/>
        <v>32</v>
      </c>
      <c r="I85" s="38">
        <f t="shared" si="8"/>
        <v>8</v>
      </c>
      <c r="J85" s="38"/>
      <c r="K85" s="40">
        <v>43702</v>
      </c>
      <c r="L85" s="41" t="s">
        <v>2509</v>
      </c>
      <c r="M85" s="42">
        <v>43697</v>
      </c>
      <c r="N85" s="43" t="s">
        <v>2498</v>
      </c>
      <c r="O85" s="42">
        <v>43702</v>
      </c>
      <c r="P85" s="45"/>
      <c r="Q85" s="38"/>
      <c r="R85" s="115" t="s">
        <v>3472</v>
      </c>
      <c r="S85" s="46"/>
    </row>
    <row r="86" spans="2:19" s="30" customFormat="1" ht="33" customHeight="1">
      <c r="B86" s="46" t="s">
        <v>3576</v>
      </c>
      <c r="C86" s="35" t="s">
        <v>519</v>
      </c>
      <c r="D86" s="36" t="s">
        <v>3473</v>
      </c>
      <c r="E86" s="128">
        <v>43637</v>
      </c>
      <c r="F86" s="124" t="s">
        <v>77</v>
      </c>
      <c r="G86" s="129">
        <v>9600</v>
      </c>
      <c r="H86" s="124">
        <f t="shared" ref="H86" si="9">SUM(G86/240)</f>
        <v>40</v>
      </c>
      <c r="I86" s="124">
        <f t="shared" si="8"/>
        <v>10</v>
      </c>
      <c r="J86" s="124"/>
      <c r="K86" s="130">
        <v>43716</v>
      </c>
      <c r="L86" s="119" t="s">
        <v>3566</v>
      </c>
      <c r="M86" s="120">
        <v>43711</v>
      </c>
      <c r="N86" s="121" t="s">
        <v>3557</v>
      </c>
      <c r="O86" s="120">
        <v>43716</v>
      </c>
      <c r="P86" s="123"/>
      <c r="Q86" s="124"/>
      <c r="R86" s="133" t="s">
        <v>3474</v>
      </c>
      <c r="S86" s="122"/>
    </row>
    <row r="87" spans="2:19" s="34" customFormat="1" ht="33" customHeight="1">
      <c r="B87" s="47" t="s">
        <v>210</v>
      </c>
      <c r="C87" s="48" t="s">
        <v>226</v>
      </c>
      <c r="D87" s="49" t="s">
        <v>593</v>
      </c>
      <c r="E87" s="50">
        <v>43483</v>
      </c>
      <c r="F87" s="52" t="s">
        <v>218</v>
      </c>
      <c r="G87" s="51">
        <v>640</v>
      </c>
      <c r="H87" s="52">
        <f t="shared" ref="H87:H112" si="10">SUM(G87/20)</f>
        <v>32</v>
      </c>
      <c r="I87" s="52">
        <f t="shared" ref="I87:I112" si="11">SUM(H87/32)</f>
        <v>1</v>
      </c>
      <c r="J87" s="52"/>
      <c r="K87" s="53">
        <v>43534</v>
      </c>
      <c r="L87" s="54" t="s">
        <v>3475</v>
      </c>
      <c r="M87" s="55"/>
      <c r="N87" s="56"/>
      <c r="O87" s="55">
        <v>43520</v>
      </c>
      <c r="P87" s="58" t="s">
        <v>651</v>
      </c>
      <c r="Q87" s="52"/>
      <c r="R87" s="63" t="s">
        <v>211</v>
      </c>
      <c r="S87" s="52"/>
    </row>
    <row r="88" spans="2:19" s="34" customFormat="1" ht="33" customHeight="1">
      <c r="B88" s="47" t="s">
        <v>210</v>
      </c>
      <c r="C88" s="48" t="s">
        <v>285</v>
      </c>
      <c r="D88" s="49" t="s">
        <v>526</v>
      </c>
      <c r="E88" s="50">
        <v>43507</v>
      </c>
      <c r="F88" s="52" t="s">
        <v>218</v>
      </c>
      <c r="G88" s="51">
        <v>3200</v>
      </c>
      <c r="H88" s="52">
        <f t="shared" si="10"/>
        <v>160</v>
      </c>
      <c r="I88" s="52">
        <f t="shared" si="11"/>
        <v>5</v>
      </c>
      <c r="J88" s="52"/>
      <c r="K88" s="53">
        <v>43576</v>
      </c>
      <c r="L88" s="54" t="s">
        <v>503</v>
      </c>
      <c r="M88" s="55">
        <v>43571</v>
      </c>
      <c r="N88" s="56" t="s">
        <v>3476</v>
      </c>
      <c r="O88" s="55">
        <v>43576</v>
      </c>
      <c r="P88" s="58"/>
      <c r="Q88" s="52" t="s">
        <v>643</v>
      </c>
      <c r="R88" s="63" t="s">
        <v>211</v>
      </c>
      <c r="S88" s="52"/>
    </row>
    <row r="89" spans="2:19" s="34" customFormat="1" ht="33" customHeight="1">
      <c r="B89" s="47" t="s">
        <v>210</v>
      </c>
      <c r="C89" s="48" t="s">
        <v>3477</v>
      </c>
      <c r="D89" s="49" t="s">
        <v>526</v>
      </c>
      <c r="E89" s="50">
        <v>43507</v>
      </c>
      <c r="F89" s="52" t="s">
        <v>218</v>
      </c>
      <c r="G89" s="51">
        <v>640</v>
      </c>
      <c r="H89" s="52">
        <f t="shared" si="10"/>
        <v>32</v>
      </c>
      <c r="I89" s="52">
        <f t="shared" si="11"/>
        <v>1</v>
      </c>
      <c r="J89" s="52"/>
      <c r="K89" s="53">
        <v>43576</v>
      </c>
      <c r="L89" s="54" t="s">
        <v>448</v>
      </c>
      <c r="M89" s="55">
        <v>43578</v>
      </c>
      <c r="N89" s="56" t="s">
        <v>3462</v>
      </c>
      <c r="O89" s="55">
        <v>43583</v>
      </c>
      <c r="P89" s="58"/>
      <c r="Q89" s="52" t="s">
        <v>643</v>
      </c>
      <c r="R89" s="63" t="s">
        <v>211</v>
      </c>
      <c r="S89" s="52"/>
    </row>
    <row r="90" spans="2:19" s="34" customFormat="1" ht="33" customHeight="1">
      <c r="B90" s="47" t="s">
        <v>210</v>
      </c>
      <c r="C90" s="48" t="s">
        <v>331</v>
      </c>
      <c r="D90" s="49" t="s">
        <v>3478</v>
      </c>
      <c r="E90" s="50">
        <v>43519</v>
      </c>
      <c r="F90" s="52" t="s">
        <v>218</v>
      </c>
      <c r="G90" s="51">
        <v>3200</v>
      </c>
      <c r="H90" s="52">
        <f t="shared" si="10"/>
        <v>160</v>
      </c>
      <c r="I90" s="52">
        <f t="shared" si="11"/>
        <v>5</v>
      </c>
      <c r="J90" s="52"/>
      <c r="K90" s="53">
        <v>43562</v>
      </c>
      <c r="L90" s="54" t="s">
        <v>608</v>
      </c>
      <c r="M90" s="55">
        <v>43557</v>
      </c>
      <c r="N90" s="56" t="s">
        <v>3479</v>
      </c>
      <c r="O90" s="55">
        <v>43562</v>
      </c>
      <c r="P90" s="58"/>
      <c r="Q90" s="52" t="s">
        <v>642</v>
      </c>
      <c r="R90" s="63" t="s">
        <v>211</v>
      </c>
      <c r="S90" s="52"/>
    </row>
    <row r="91" spans="2:19" s="34" customFormat="1" ht="33" customHeight="1">
      <c r="B91" s="47" t="s">
        <v>210</v>
      </c>
      <c r="C91" s="48" t="s">
        <v>3480</v>
      </c>
      <c r="D91" s="49" t="s">
        <v>3478</v>
      </c>
      <c r="E91" s="50">
        <v>43519</v>
      </c>
      <c r="F91" s="52" t="s">
        <v>218</v>
      </c>
      <c r="G91" s="51">
        <v>640</v>
      </c>
      <c r="H91" s="52">
        <f t="shared" si="10"/>
        <v>32</v>
      </c>
      <c r="I91" s="52">
        <f t="shared" si="11"/>
        <v>1</v>
      </c>
      <c r="J91" s="52"/>
      <c r="K91" s="53">
        <v>43562</v>
      </c>
      <c r="L91" s="54" t="s">
        <v>480</v>
      </c>
      <c r="M91" s="55">
        <v>43564</v>
      </c>
      <c r="N91" s="56" t="s">
        <v>646</v>
      </c>
      <c r="O91" s="55">
        <v>43569</v>
      </c>
      <c r="P91" s="58"/>
      <c r="Q91" s="52" t="s">
        <v>642</v>
      </c>
      <c r="R91" s="63" t="s">
        <v>211</v>
      </c>
      <c r="S91" s="52"/>
    </row>
    <row r="92" spans="2:19" s="32" customFormat="1" ht="33" customHeight="1">
      <c r="B92" s="46" t="s">
        <v>210</v>
      </c>
      <c r="C92" s="35" t="s">
        <v>2527</v>
      </c>
      <c r="D92" s="190" t="s">
        <v>3481</v>
      </c>
      <c r="E92" s="37">
        <v>43609</v>
      </c>
      <c r="F92" s="38" t="s">
        <v>218</v>
      </c>
      <c r="G92" s="39">
        <v>120</v>
      </c>
      <c r="H92" s="38">
        <f t="shared" si="10"/>
        <v>6</v>
      </c>
      <c r="I92" s="38">
        <f t="shared" si="11"/>
        <v>0.1875</v>
      </c>
      <c r="J92" s="38"/>
      <c r="K92" s="40">
        <v>43646</v>
      </c>
      <c r="L92" s="41" t="s">
        <v>1083</v>
      </c>
      <c r="M92" s="42">
        <v>43634</v>
      </c>
      <c r="N92" s="43" t="s">
        <v>1084</v>
      </c>
      <c r="O92" s="42">
        <v>43639</v>
      </c>
      <c r="P92" s="45"/>
      <c r="Q92" s="66" t="s">
        <v>2543</v>
      </c>
      <c r="R92" s="66" t="s">
        <v>3482</v>
      </c>
      <c r="S92" s="38"/>
    </row>
    <row r="93" spans="2:19" s="32" customFormat="1" ht="33" customHeight="1">
      <c r="B93" s="46" t="s">
        <v>3483</v>
      </c>
      <c r="C93" s="35" t="s">
        <v>2531</v>
      </c>
      <c r="D93" s="190" t="s">
        <v>3481</v>
      </c>
      <c r="E93" s="37">
        <v>43609</v>
      </c>
      <c r="F93" s="38" t="s">
        <v>3484</v>
      </c>
      <c r="G93" s="39">
        <v>120</v>
      </c>
      <c r="H93" s="38">
        <f t="shared" si="10"/>
        <v>6</v>
      </c>
      <c r="I93" s="38">
        <f t="shared" si="11"/>
        <v>0.1875</v>
      </c>
      <c r="J93" s="38"/>
      <c r="K93" s="40">
        <v>43646</v>
      </c>
      <c r="L93" s="41" t="s">
        <v>1083</v>
      </c>
      <c r="M93" s="42">
        <v>43634</v>
      </c>
      <c r="N93" s="43" t="s">
        <v>1084</v>
      </c>
      <c r="O93" s="42">
        <v>43639</v>
      </c>
      <c r="P93" s="45"/>
      <c r="Q93" s="66" t="s">
        <v>2544</v>
      </c>
      <c r="R93" s="66" t="s">
        <v>3482</v>
      </c>
      <c r="S93" s="38"/>
    </row>
    <row r="94" spans="2:19" s="34" customFormat="1" ht="33" customHeight="1">
      <c r="B94" s="47" t="s">
        <v>210</v>
      </c>
      <c r="C94" s="48" t="s">
        <v>431</v>
      </c>
      <c r="D94" s="49" t="s">
        <v>3485</v>
      </c>
      <c r="E94" s="50">
        <v>43523</v>
      </c>
      <c r="F94" s="52" t="s">
        <v>218</v>
      </c>
      <c r="G94" s="51">
        <v>3200</v>
      </c>
      <c r="H94" s="52">
        <f t="shared" si="10"/>
        <v>160</v>
      </c>
      <c r="I94" s="52">
        <f t="shared" si="11"/>
        <v>5</v>
      </c>
      <c r="J94" s="52"/>
      <c r="K94" s="53">
        <v>43597</v>
      </c>
      <c r="L94" s="54" t="s">
        <v>605</v>
      </c>
      <c r="M94" s="55">
        <v>43594</v>
      </c>
      <c r="N94" s="56" t="s">
        <v>3486</v>
      </c>
      <c r="O94" s="55">
        <v>43598</v>
      </c>
      <c r="P94" s="58"/>
      <c r="Q94" s="52" t="s">
        <v>641</v>
      </c>
      <c r="R94" s="63" t="s">
        <v>211</v>
      </c>
      <c r="S94" s="52"/>
    </row>
    <row r="95" spans="2:19" s="34" customFormat="1" ht="33" customHeight="1">
      <c r="B95" s="47" t="s">
        <v>210</v>
      </c>
      <c r="C95" s="48" t="s">
        <v>3487</v>
      </c>
      <c r="D95" s="49" t="s">
        <v>3485</v>
      </c>
      <c r="E95" s="50">
        <v>43523</v>
      </c>
      <c r="F95" s="52" t="s">
        <v>218</v>
      </c>
      <c r="G95" s="51">
        <v>640</v>
      </c>
      <c r="H95" s="52">
        <f t="shared" si="10"/>
        <v>32</v>
      </c>
      <c r="I95" s="52">
        <f t="shared" si="11"/>
        <v>1</v>
      </c>
      <c r="J95" s="52"/>
      <c r="K95" s="53">
        <v>43618</v>
      </c>
      <c r="L95" s="54" t="s">
        <v>3488</v>
      </c>
      <c r="M95" s="55">
        <v>43613</v>
      </c>
      <c r="N95" s="56" t="s">
        <v>3489</v>
      </c>
      <c r="O95" s="55">
        <v>43618</v>
      </c>
      <c r="P95" s="58"/>
      <c r="Q95" s="52" t="s">
        <v>641</v>
      </c>
      <c r="R95" s="63" t="s">
        <v>211</v>
      </c>
      <c r="S95" s="52"/>
    </row>
    <row r="96" spans="2:19" s="34" customFormat="1" ht="33" customHeight="1">
      <c r="B96" s="47" t="s">
        <v>210</v>
      </c>
      <c r="C96" s="48" t="s">
        <v>3490</v>
      </c>
      <c r="D96" s="49" t="s">
        <v>739</v>
      </c>
      <c r="E96" s="50">
        <v>43532</v>
      </c>
      <c r="F96" s="52" t="s">
        <v>218</v>
      </c>
      <c r="G96" s="51">
        <v>2560</v>
      </c>
      <c r="H96" s="52">
        <f t="shared" si="10"/>
        <v>128</v>
      </c>
      <c r="I96" s="52">
        <f t="shared" si="11"/>
        <v>4</v>
      </c>
      <c r="J96" s="52"/>
      <c r="K96" s="53">
        <v>43618</v>
      </c>
      <c r="L96" s="54" t="s">
        <v>3488</v>
      </c>
      <c r="M96" s="55">
        <v>43613</v>
      </c>
      <c r="N96" s="56" t="s">
        <v>3489</v>
      </c>
      <c r="O96" s="55">
        <v>43618</v>
      </c>
      <c r="P96" s="58"/>
      <c r="Q96" s="52" t="s">
        <v>970</v>
      </c>
      <c r="R96" s="63" t="s">
        <v>211</v>
      </c>
      <c r="S96" s="52"/>
    </row>
    <row r="97" spans="2:19" s="32" customFormat="1" ht="33" customHeight="1">
      <c r="B97" s="46" t="s">
        <v>210</v>
      </c>
      <c r="C97" s="35" t="s">
        <v>589</v>
      </c>
      <c r="D97" s="36" t="s">
        <v>1260</v>
      </c>
      <c r="E97" s="37">
        <v>43558</v>
      </c>
      <c r="F97" s="38" t="s">
        <v>218</v>
      </c>
      <c r="G97" s="39">
        <v>3200</v>
      </c>
      <c r="H97" s="38">
        <f t="shared" si="10"/>
        <v>160</v>
      </c>
      <c r="I97" s="38">
        <f t="shared" si="11"/>
        <v>5</v>
      </c>
      <c r="J97" s="38"/>
      <c r="K97" s="40">
        <v>43639</v>
      </c>
      <c r="L97" s="41" t="s">
        <v>3491</v>
      </c>
      <c r="M97" s="42">
        <v>43634</v>
      </c>
      <c r="N97" s="43" t="s">
        <v>3492</v>
      </c>
      <c r="O97" s="42">
        <v>43639</v>
      </c>
      <c r="P97" s="45"/>
      <c r="Q97" s="38" t="s">
        <v>973</v>
      </c>
      <c r="R97" s="66" t="s">
        <v>211</v>
      </c>
      <c r="S97" s="38"/>
    </row>
    <row r="98" spans="2:19" s="32" customFormat="1" ht="33" customHeight="1">
      <c r="B98" s="46" t="s">
        <v>210</v>
      </c>
      <c r="C98" s="35" t="s">
        <v>2078</v>
      </c>
      <c r="D98" s="36" t="s">
        <v>2426</v>
      </c>
      <c r="E98" s="37">
        <v>43602</v>
      </c>
      <c r="F98" s="38" t="s">
        <v>218</v>
      </c>
      <c r="G98" s="39">
        <v>3200</v>
      </c>
      <c r="H98" s="38">
        <f t="shared" si="10"/>
        <v>160</v>
      </c>
      <c r="I98" s="38">
        <f t="shared" si="11"/>
        <v>5</v>
      </c>
      <c r="J98" s="38"/>
      <c r="K98" s="40">
        <v>43653</v>
      </c>
      <c r="L98" s="41" t="s">
        <v>1326</v>
      </c>
      <c r="M98" s="42">
        <v>43648</v>
      </c>
      <c r="N98" s="43" t="s">
        <v>3493</v>
      </c>
      <c r="O98" s="42">
        <v>43653</v>
      </c>
      <c r="P98" s="45"/>
      <c r="Q98" s="38" t="s">
        <v>2148</v>
      </c>
      <c r="R98" s="66" t="s">
        <v>211</v>
      </c>
      <c r="S98" s="38"/>
    </row>
    <row r="99" spans="2:19" s="32" customFormat="1" ht="33" customHeight="1">
      <c r="B99" s="46" t="s">
        <v>210</v>
      </c>
      <c r="C99" s="35" t="s">
        <v>2079</v>
      </c>
      <c r="D99" s="36" t="s">
        <v>2428</v>
      </c>
      <c r="E99" s="37">
        <v>43602</v>
      </c>
      <c r="F99" s="38" t="s">
        <v>218</v>
      </c>
      <c r="G99" s="39">
        <v>3200</v>
      </c>
      <c r="H99" s="38">
        <f t="shared" si="10"/>
        <v>160</v>
      </c>
      <c r="I99" s="38">
        <f t="shared" si="11"/>
        <v>5</v>
      </c>
      <c r="J99" s="38"/>
      <c r="K99" s="40">
        <v>43667</v>
      </c>
      <c r="L99" s="41" t="s">
        <v>2146</v>
      </c>
      <c r="M99" s="42">
        <v>43669</v>
      </c>
      <c r="N99" s="43" t="s">
        <v>2551</v>
      </c>
      <c r="O99" s="42">
        <v>43674</v>
      </c>
      <c r="P99" s="45"/>
      <c r="Q99" s="38" t="s">
        <v>2150</v>
      </c>
      <c r="R99" s="66" t="s">
        <v>211</v>
      </c>
      <c r="S99" s="38"/>
    </row>
    <row r="100" spans="2:19" s="32" customFormat="1" ht="33" customHeight="1">
      <c r="B100" s="46" t="s">
        <v>210</v>
      </c>
      <c r="C100" s="35" t="s">
        <v>2378</v>
      </c>
      <c r="D100" s="36" t="s">
        <v>3494</v>
      </c>
      <c r="E100" s="37">
        <v>43602</v>
      </c>
      <c r="F100" s="38" t="s">
        <v>218</v>
      </c>
      <c r="G100" s="39">
        <v>3200</v>
      </c>
      <c r="H100" s="38">
        <f t="shared" si="10"/>
        <v>160</v>
      </c>
      <c r="I100" s="38">
        <f t="shared" si="11"/>
        <v>5</v>
      </c>
      <c r="J100" s="38"/>
      <c r="K100" s="40">
        <v>43688</v>
      </c>
      <c r="L100" s="41" t="s">
        <v>2505</v>
      </c>
      <c r="M100" s="42">
        <v>43683</v>
      </c>
      <c r="N100" s="43" t="s">
        <v>3495</v>
      </c>
      <c r="O100" s="42">
        <v>43688</v>
      </c>
      <c r="P100" s="45"/>
      <c r="Q100" s="38" t="s">
        <v>2762</v>
      </c>
      <c r="R100" s="66" t="s">
        <v>211</v>
      </c>
      <c r="S100" s="46" t="s">
        <v>2764</v>
      </c>
    </row>
    <row r="101" spans="2:19" s="32" customFormat="1" ht="33" customHeight="1">
      <c r="B101" s="46" t="s">
        <v>210</v>
      </c>
      <c r="C101" s="35" t="s">
        <v>2430</v>
      </c>
      <c r="D101" s="190" t="s">
        <v>3496</v>
      </c>
      <c r="E101" s="37">
        <v>43602</v>
      </c>
      <c r="F101" s="38" t="s">
        <v>218</v>
      </c>
      <c r="G101" s="39">
        <v>3200</v>
      </c>
      <c r="H101" s="38">
        <f t="shared" si="10"/>
        <v>160</v>
      </c>
      <c r="I101" s="38">
        <f t="shared" si="11"/>
        <v>5</v>
      </c>
      <c r="J101" s="38"/>
      <c r="K101" s="40">
        <v>43702</v>
      </c>
      <c r="L101" s="41" t="s">
        <v>2509</v>
      </c>
      <c r="M101" s="42">
        <v>43697</v>
      </c>
      <c r="N101" s="43" t="s">
        <v>3455</v>
      </c>
      <c r="O101" s="42">
        <v>43702</v>
      </c>
      <c r="P101" s="45"/>
      <c r="Q101" s="38" t="s">
        <v>2517</v>
      </c>
      <c r="R101" s="66" t="s">
        <v>211</v>
      </c>
      <c r="S101" s="38"/>
    </row>
    <row r="102" spans="2:19" s="32" customFormat="1" ht="33" customHeight="1">
      <c r="B102" s="46" t="s">
        <v>210</v>
      </c>
      <c r="C102" s="35" t="s">
        <v>2528</v>
      </c>
      <c r="D102" s="190" t="s">
        <v>2704</v>
      </c>
      <c r="E102" s="37">
        <v>43609</v>
      </c>
      <c r="F102" s="38" t="s">
        <v>218</v>
      </c>
      <c r="G102" s="39">
        <v>3200</v>
      </c>
      <c r="H102" s="38">
        <f t="shared" si="10"/>
        <v>160</v>
      </c>
      <c r="I102" s="38">
        <f t="shared" si="11"/>
        <v>5</v>
      </c>
      <c r="J102" s="38"/>
      <c r="K102" s="40">
        <v>43660</v>
      </c>
      <c r="L102" s="41" t="s">
        <v>1326</v>
      </c>
      <c r="M102" s="42">
        <v>43648</v>
      </c>
      <c r="N102" s="43" t="s">
        <v>2540</v>
      </c>
      <c r="O102" s="42">
        <v>43653</v>
      </c>
      <c r="P102" s="45"/>
      <c r="Q102" s="38" t="s">
        <v>2148</v>
      </c>
      <c r="R102" s="66" t="s">
        <v>211</v>
      </c>
      <c r="S102" s="38"/>
    </row>
    <row r="103" spans="2:19" s="32" customFormat="1" ht="33" customHeight="1">
      <c r="B103" s="46" t="s">
        <v>210</v>
      </c>
      <c r="C103" s="35" t="s">
        <v>2529</v>
      </c>
      <c r="D103" s="190" t="s">
        <v>2705</v>
      </c>
      <c r="E103" s="37">
        <v>43609</v>
      </c>
      <c r="F103" s="38" t="s">
        <v>218</v>
      </c>
      <c r="G103" s="39">
        <v>3200</v>
      </c>
      <c r="H103" s="38">
        <f t="shared" si="10"/>
        <v>160</v>
      </c>
      <c r="I103" s="38">
        <f t="shared" si="11"/>
        <v>5</v>
      </c>
      <c r="J103" s="38"/>
      <c r="K103" s="40">
        <v>43675</v>
      </c>
      <c r="L103" s="41" t="s">
        <v>2146</v>
      </c>
      <c r="M103" s="42">
        <v>43669</v>
      </c>
      <c r="N103" s="43" t="s">
        <v>2551</v>
      </c>
      <c r="O103" s="42">
        <v>43674</v>
      </c>
      <c r="P103" s="45"/>
      <c r="Q103" s="38" t="s">
        <v>2150</v>
      </c>
      <c r="R103" s="66" t="s">
        <v>211</v>
      </c>
      <c r="S103" s="38"/>
    </row>
    <row r="104" spans="2:19" s="32" customFormat="1" ht="33" customHeight="1">
      <c r="B104" s="46" t="s">
        <v>3577</v>
      </c>
      <c r="C104" s="35" t="s">
        <v>3497</v>
      </c>
      <c r="D104" s="190" t="s">
        <v>3498</v>
      </c>
      <c r="E104" s="128">
        <v>43637</v>
      </c>
      <c r="F104" s="124" t="s">
        <v>218</v>
      </c>
      <c r="G104" s="129">
        <v>3200</v>
      </c>
      <c r="H104" s="124">
        <f t="shared" si="10"/>
        <v>160</v>
      </c>
      <c r="I104" s="124">
        <f t="shared" si="11"/>
        <v>5</v>
      </c>
      <c r="J104" s="124"/>
      <c r="K104" s="130">
        <v>43716</v>
      </c>
      <c r="L104" s="119" t="s">
        <v>3565</v>
      </c>
      <c r="M104" s="120">
        <v>43711</v>
      </c>
      <c r="N104" s="121" t="s">
        <v>3557</v>
      </c>
      <c r="O104" s="120">
        <v>43716</v>
      </c>
      <c r="P104" s="123"/>
      <c r="Q104" s="124"/>
      <c r="R104" s="134" t="s">
        <v>211</v>
      </c>
      <c r="S104" s="124"/>
    </row>
    <row r="105" spans="2:19" s="32" customFormat="1" ht="33" customHeight="1">
      <c r="B105" s="46" t="s">
        <v>3579</v>
      </c>
      <c r="C105" s="35" t="s">
        <v>3499</v>
      </c>
      <c r="D105" s="190" t="s">
        <v>3500</v>
      </c>
      <c r="E105" s="128">
        <v>43637</v>
      </c>
      <c r="F105" s="124" t="s">
        <v>218</v>
      </c>
      <c r="G105" s="129">
        <v>3200</v>
      </c>
      <c r="H105" s="124">
        <f t="shared" si="10"/>
        <v>160</v>
      </c>
      <c r="I105" s="124">
        <f t="shared" si="11"/>
        <v>5</v>
      </c>
      <c r="J105" s="124"/>
      <c r="K105" s="130">
        <v>43730</v>
      </c>
      <c r="L105" s="119" t="s">
        <v>3575</v>
      </c>
      <c r="M105" s="120">
        <v>43725</v>
      </c>
      <c r="N105" s="121" t="s">
        <v>3561</v>
      </c>
      <c r="O105" s="120">
        <v>43730</v>
      </c>
      <c r="P105" s="123"/>
      <c r="Q105" s="124"/>
      <c r="R105" s="134" t="s">
        <v>211</v>
      </c>
      <c r="S105" s="124"/>
    </row>
    <row r="106" spans="2:19" s="32" customFormat="1" ht="33" customHeight="1">
      <c r="B106" s="46" t="s">
        <v>3577</v>
      </c>
      <c r="C106" s="35" t="s">
        <v>3501</v>
      </c>
      <c r="D106" s="190" t="s">
        <v>3502</v>
      </c>
      <c r="E106" s="128">
        <v>43637</v>
      </c>
      <c r="F106" s="124" t="s">
        <v>218</v>
      </c>
      <c r="G106" s="129">
        <v>3200</v>
      </c>
      <c r="H106" s="124">
        <f t="shared" si="10"/>
        <v>160</v>
      </c>
      <c r="I106" s="124">
        <f t="shared" si="11"/>
        <v>5</v>
      </c>
      <c r="J106" s="124"/>
      <c r="K106" s="130">
        <v>43737</v>
      </c>
      <c r="L106" s="119" t="s">
        <v>3568</v>
      </c>
      <c r="M106" s="120">
        <v>43732</v>
      </c>
      <c r="N106" s="121" t="s">
        <v>3562</v>
      </c>
      <c r="O106" s="120">
        <v>43737</v>
      </c>
      <c r="P106" s="123"/>
      <c r="Q106" s="124"/>
      <c r="R106" s="134" t="s">
        <v>211</v>
      </c>
      <c r="S106" s="124"/>
    </row>
    <row r="107" spans="2:19" s="34" customFormat="1" ht="33" customHeight="1">
      <c r="B107" s="47" t="s">
        <v>3483</v>
      </c>
      <c r="C107" s="48" t="s">
        <v>235</v>
      </c>
      <c r="D107" s="49" t="s">
        <v>744</v>
      </c>
      <c r="E107" s="50">
        <v>43532</v>
      </c>
      <c r="F107" s="52" t="s">
        <v>3484</v>
      </c>
      <c r="G107" s="51">
        <v>1280</v>
      </c>
      <c r="H107" s="52">
        <f t="shared" si="10"/>
        <v>64</v>
      </c>
      <c r="I107" s="52">
        <f t="shared" si="11"/>
        <v>2</v>
      </c>
      <c r="J107" s="52"/>
      <c r="K107" s="53">
        <v>43597</v>
      </c>
      <c r="L107" s="54" t="s">
        <v>605</v>
      </c>
      <c r="M107" s="55">
        <v>43594</v>
      </c>
      <c r="N107" s="56" t="s">
        <v>772</v>
      </c>
      <c r="O107" s="55">
        <v>43598</v>
      </c>
      <c r="P107" s="58"/>
      <c r="Q107" s="52" t="s">
        <v>641</v>
      </c>
      <c r="R107" s="63" t="s">
        <v>211</v>
      </c>
      <c r="S107" s="52"/>
    </row>
    <row r="108" spans="2:19" s="32" customFormat="1" ht="33" customHeight="1">
      <c r="B108" s="46" t="s">
        <v>3483</v>
      </c>
      <c r="C108" s="35" t="s">
        <v>1569</v>
      </c>
      <c r="D108" s="36" t="s">
        <v>3503</v>
      </c>
      <c r="E108" s="37">
        <v>43581</v>
      </c>
      <c r="F108" s="38" t="s">
        <v>3484</v>
      </c>
      <c r="G108" s="39">
        <v>1280</v>
      </c>
      <c r="H108" s="38">
        <f t="shared" si="10"/>
        <v>64</v>
      </c>
      <c r="I108" s="38">
        <f t="shared" si="11"/>
        <v>2</v>
      </c>
      <c r="J108" s="38"/>
      <c r="K108" s="40">
        <v>43632</v>
      </c>
      <c r="L108" s="41" t="s">
        <v>807</v>
      </c>
      <c r="M108" s="42">
        <v>43627</v>
      </c>
      <c r="N108" s="43" t="s">
        <v>3504</v>
      </c>
      <c r="O108" s="42">
        <v>43632</v>
      </c>
      <c r="P108" s="45"/>
      <c r="Q108" s="38" t="s">
        <v>1810</v>
      </c>
      <c r="R108" s="66" t="s">
        <v>211</v>
      </c>
      <c r="S108" s="38"/>
    </row>
    <row r="109" spans="2:19" s="32" customFormat="1" ht="33" customHeight="1">
      <c r="B109" s="46" t="s">
        <v>3483</v>
      </c>
      <c r="C109" s="35" t="s">
        <v>90</v>
      </c>
      <c r="D109" s="36" t="s">
        <v>3505</v>
      </c>
      <c r="E109" s="37">
        <v>43595</v>
      </c>
      <c r="F109" s="38" t="s">
        <v>3484</v>
      </c>
      <c r="G109" s="39">
        <v>1280</v>
      </c>
      <c r="H109" s="38">
        <f t="shared" si="10"/>
        <v>64</v>
      </c>
      <c r="I109" s="38">
        <f t="shared" si="11"/>
        <v>2</v>
      </c>
      <c r="J109" s="38"/>
      <c r="K109" s="40">
        <v>43646</v>
      </c>
      <c r="L109" s="41" t="s">
        <v>1326</v>
      </c>
      <c r="M109" s="42">
        <v>43648</v>
      </c>
      <c r="N109" s="43" t="s">
        <v>3493</v>
      </c>
      <c r="O109" s="42">
        <v>43653</v>
      </c>
      <c r="P109" s="45"/>
      <c r="Q109" s="38" t="s">
        <v>2148</v>
      </c>
      <c r="R109" s="66" t="s">
        <v>211</v>
      </c>
      <c r="S109" s="38"/>
    </row>
    <row r="110" spans="2:19" s="32" customFormat="1" ht="33" customHeight="1">
      <c r="B110" s="46" t="s">
        <v>3483</v>
      </c>
      <c r="C110" s="35" t="s">
        <v>2088</v>
      </c>
      <c r="D110" s="36" t="s">
        <v>3506</v>
      </c>
      <c r="E110" s="37">
        <v>43595</v>
      </c>
      <c r="F110" s="38" t="s">
        <v>3484</v>
      </c>
      <c r="G110" s="39">
        <v>640</v>
      </c>
      <c r="H110" s="38">
        <f t="shared" si="10"/>
        <v>32</v>
      </c>
      <c r="I110" s="38">
        <f t="shared" si="11"/>
        <v>1</v>
      </c>
      <c r="J110" s="38"/>
      <c r="K110" s="40">
        <v>43709</v>
      </c>
      <c r="L110" s="41" t="s">
        <v>3507</v>
      </c>
      <c r="M110" s="42">
        <v>43706</v>
      </c>
      <c r="N110" s="43" t="s">
        <v>3508</v>
      </c>
      <c r="O110" s="42">
        <v>43710</v>
      </c>
      <c r="P110" s="45"/>
      <c r="Q110" s="66" t="s">
        <v>2548</v>
      </c>
      <c r="R110" s="66" t="s">
        <v>211</v>
      </c>
      <c r="S110" s="38"/>
    </row>
    <row r="111" spans="2:19" s="32" customFormat="1" ht="33" customHeight="1">
      <c r="B111" s="46" t="s">
        <v>3580</v>
      </c>
      <c r="C111" s="35" t="s">
        <v>208</v>
      </c>
      <c r="D111" s="190" t="s">
        <v>3509</v>
      </c>
      <c r="E111" s="37">
        <v>43602</v>
      </c>
      <c r="F111" s="38" t="s">
        <v>3484</v>
      </c>
      <c r="G111" s="39">
        <v>640</v>
      </c>
      <c r="H111" s="38">
        <f t="shared" si="10"/>
        <v>32</v>
      </c>
      <c r="I111" s="38">
        <f t="shared" si="11"/>
        <v>1</v>
      </c>
      <c r="J111" s="38"/>
      <c r="K111" s="196">
        <v>43730</v>
      </c>
      <c r="L111" s="41" t="s">
        <v>3510</v>
      </c>
      <c r="M111" s="42">
        <v>43725</v>
      </c>
      <c r="N111" s="43" t="s">
        <v>3511</v>
      </c>
      <c r="O111" s="42">
        <v>43730</v>
      </c>
      <c r="P111" s="45"/>
      <c r="Q111" s="66" t="s">
        <v>2549</v>
      </c>
      <c r="R111" s="66" t="s">
        <v>211</v>
      </c>
      <c r="S111" s="38"/>
    </row>
    <row r="112" spans="2:19" s="32" customFormat="1" ht="33" customHeight="1">
      <c r="B112" s="135" t="s">
        <v>3483</v>
      </c>
      <c r="C112" s="136" t="s">
        <v>212</v>
      </c>
      <c r="D112" s="191" t="s">
        <v>3512</v>
      </c>
      <c r="E112" s="138">
        <v>43602</v>
      </c>
      <c r="F112" s="139" t="s">
        <v>3484</v>
      </c>
      <c r="G112" s="140">
        <v>640</v>
      </c>
      <c r="H112" s="139">
        <f t="shared" si="10"/>
        <v>32</v>
      </c>
      <c r="I112" s="139">
        <f t="shared" si="11"/>
        <v>1</v>
      </c>
      <c r="J112" s="139"/>
      <c r="K112" s="141" t="s">
        <v>2545</v>
      </c>
      <c r="L112" s="142"/>
      <c r="M112" s="143"/>
      <c r="N112" s="144"/>
      <c r="O112" s="143"/>
      <c r="P112" s="145"/>
      <c r="Q112" s="193" t="s">
        <v>2517</v>
      </c>
      <c r="R112" s="192" t="s">
        <v>211</v>
      </c>
      <c r="S112" s="139" t="s">
        <v>2541</v>
      </c>
    </row>
    <row r="113" spans="1:19" s="33" customFormat="1" ht="33" customHeight="1">
      <c r="A113" s="33" t="s">
        <v>3513</v>
      </c>
      <c r="B113" s="47" t="s">
        <v>3514</v>
      </c>
      <c r="C113" s="48" t="s">
        <v>225</v>
      </c>
      <c r="D113" s="49" t="s">
        <v>487</v>
      </c>
      <c r="E113" s="50">
        <v>43490</v>
      </c>
      <c r="F113" s="52" t="s">
        <v>3515</v>
      </c>
      <c r="G113" s="51">
        <v>1520</v>
      </c>
      <c r="H113" s="52">
        <f>SUM(G113/190)</f>
        <v>8</v>
      </c>
      <c r="I113" s="52">
        <f>SUM(H113/4)</f>
        <v>2</v>
      </c>
      <c r="J113" s="52"/>
      <c r="K113" s="53">
        <v>43569</v>
      </c>
      <c r="L113" s="54" t="s">
        <v>417</v>
      </c>
      <c r="M113" s="55">
        <v>43564</v>
      </c>
      <c r="N113" s="56" t="s">
        <v>3516</v>
      </c>
      <c r="O113" s="55">
        <v>43569</v>
      </c>
      <c r="P113" s="58"/>
      <c r="Q113" s="52"/>
      <c r="R113" s="63" t="s">
        <v>3517</v>
      </c>
      <c r="S113" s="47"/>
    </row>
    <row r="114" spans="1:19" s="30" customFormat="1" ht="33" customHeight="1">
      <c r="B114" s="46" t="s">
        <v>3514</v>
      </c>
      <c r="C114" s="35" t="s">
        <v>226</v>
      </c>
      <c r="D114" s="36" t="s">
        <v>833</v>
      </c>
      <c r="E114" s="37">
        <v>43546</v>
      </c>
      <c r="F114" s="38" t="s">
        <v>3515</v>
      </c>
      <c r="G114" s="39">
        <v>1520</v>
      </c>
      <c r="H114" s="38">
        <f>SUM(G114/190)</f>
        <v>8</v>
      </c>
      <c r="I114" s="38">
        <f>SUM(H114/4)</f>
        <v>2</v>
      </c>
      <c r="J114" s="38"/>
      <c r="K114" s="40">
        <v>43632</v>
      </c>
      <c r="L114" s="41" t="s">
        <v>3518</v>
      </c>
      <c r="M114" s="42">
        <v>43627</v>
      </c>
      <c r="N114" s="43" t="s">
        <v>3504</v>
      </c>
      <c r="O114" s="42">
        <v>43632</v>
      </c>
      <c r="P114" s="45"/>
      <c r="Q114" s="38"/>
      <c r="R114" s="66" t="s">
        <v>3519</v>
      </c>
      <c r="S114" s="46"/>
    </row>
    <row r="115" spans="1:19" s="30" customFormat="1" ht="33" customHeight="1">
      <c r="B115" s="46" t="s">
        <v>2514</v>
      </c>
      <c r="C115" s="35" t="s">
        <v>3520</v>
      </c>
      <c r="D115" s="36" t="s">
        <v>3521</v>
      </c>
      <c r="E115" s="37">
        <v>43602</v>
      </c>
      <c r="F115" s="38" t="s">
        <v>2516</v>
      </c>
      <c r="G115" s="39">
        <v>1520</v>
      </c>
      <c r="H115" s="38">
        <v>8</v>
      </c>
      <c r="I115" s="38">
        <v>2</v>
      </c>
      <c r="J115" s="38"/>
      <c r="K115" s="40">
        <v>43702</v>
      </c>
      <c r="L115" s="41" t="s">
        <v>3454</v>
      </c>
      <c r="M115" s="42">
        <v>43697</v>
      </c>
      <c r="N115" s="43" t="s">
        <v>3455</v>
      </c>
      <c r="O115" s="42">
        <v>43702</v>
      </c>
      <c r="P115" s="45"/>
      <c r="Q115" s="38"/>
      <c r="R115" s="66"/>
      <c r="S115" s="46"/>
    </row>
    <row r="116" spans="1:19" s="33" customFormat="1" ht="33" customHeight="1">
      <c r="B116" s="47" t="s">
        <v>238</v>
      </c>
      <c r="C116" s="48" t="s">
        <v>3522</v>
      </c>
      <c r="D116" s="49" t="s">
        <v>474</v>
      </c>
      <c r="E116" s="50"/>
      <c r="F116" s="52" t="s">
        <v>236</v>
      </c>
      <c r="G116" s="51">
        <v>3200</v>
      </c>
      <c r="H116" s="52">
        <f t="shared" ref="H116:H125" si="12">SUM(G116/200)</f>
        <v>16</v>
      </c>
      <c r="I116" s="52">
        <f t="shared" ref="I116:I125" si="13">SUM(H116/4)</f>
        <v>4</v>
      </c>
      <c r="J116" s="52"/>
      <c r="K116" s="53">
        <v>43562</v>
      </c>
      <c r="L116" s="54" t="s">
        <v>3523</v>
      </c>
      <c r="M116" s="55">
        <v>43557</v>
      </c>
      <c r="N116" s="56" t="s">
        <v>3479</v>
      </c>
      <c r="O116" s="55">
        <v>43562</v>
      </c>
      <c r="P116" s="58"/>
      <c r="Q116" s="52"/>
      <c r="R116" s="63"/>
      <c r="S116" s="47"/>
    </row>
    <row r="117" spans="1:19" s="33" customFormat="1" ht="33" customHeight="1">
      <c r="B117" s="47" t="s">
        <v>238</v>
      </c>
      <c r="C117" s="48" t="s">
        <v>3524</v>
      </c>
      <c r="D117" s="49" t="s">
        <v>475</v>
      </c>
      <c r="E117" s="50"/>
      <c r="F117" s="52" t="s">
        <v>236</v>
      </c>
      <c r="G117" s="51">
        <v>1600</v>
      </c>
      <c r="H117" s="52">
        <f t="shared" si="12"/>
        <v>8</v>
      </c>
      <c r="I117" s="52">
        <f t="shared" si="13"/>
        <v>2</v>
      </c>
      <c r="J117" s="52"/>
      <c r="K117" s="53">
        <v>43562</v>
      </c>
      <c r="L117" s="54" t="s">
        <v>3525</v>
      </c>
      <c r="M117" s="55">
        <v>43564</v>
      </c>
      <c r="N117" s="56" t="s">
        <v>3516</v>
      </c>
      <c r="O117" s="55">
        <v>43569</v>
      </c>
      <c r="P117" s="58"/>
      <c r="Q117" s="52"/>
      <c r="R117" s="63"/>
      <c r="S117" s="47"/>
    </row>
    <row r="118" spans="1:19" s="33" customFormat="1" ht="33" customHeight="1">
      <c r="B118" s="47" t="s">
        <v>238</v>
      </c>
      <c r="C118" s="48" t="s">
        <v>3526</v>
      </c>
      <c r="D118" s="49" t="s">
        <v>488</v>
      </c>
      <c r="E118" s="50">
        <v>43495</v>
      </c>
      <c r="F118" s="52" t="s">
        <v>236</v>
      </c>
      <c r="G118" s="51">
        <v>1600</v>
      </c>
      <c r="H118" s="52">
        <f t="shared" si="12"/>
        <v>8</v>
      </c>
      <c r="I118" s="52">
        <f t="shared" si="13"/>
        <v>2</v>
      </c>
      <c r="J118" s="52"/>
      <c r="K118" s="53">
        <v>43583</v>
      </c>
      <c r="L118" s="54" t="s">
        <v>3527</v>
      </c>
      <c r="M118" s="55">
        <v>43578</v>
      </c>
      <c r="N118" s="56" t="s">
        <v>3462</v>
      </c>
      <c r="O118" s="55">
        <v>43583</v>
      </c>
      <c r="P118" s="58"/>
      <c r="Q118" s="52"/>
      <c r="R118" s="63"/>
      <c r="S118" s="47"/>
    </row>
    <row r="119" spans="1:19" s="33" customFormat="1" ht="33" customHeight="1">
      <c r="B119" s="47" t="s">
        <v>238</v>
      </c>
      <c r="C119" s="48" t="s">
        <v>3528</v>
      </c>
      <c r="D119" s="49" t="s">
        <v>598</v>
      </c>
      <c r="E119" s="50">
        <v>43519</v>
      </c>
      <c r="F119" s="52" t="s">
        <v>236</v>
      </c>
      <c r="G119" s="51">
        <v>1600</v>
      </c>
      <c r="H119" s="52">
        <f t="shared" si="12"/>
        <v>8</v>
      </c>
      <c r="I119" s="52">
        <f t="shared" si="13"/>
        <v>2</v>
      </c>
      <c r="J119" s="52"/>
      <c r="K119" s="53">
        <v>43597</v>
      </c>
      <c r="L119" s="54" t="s">
        <v>3529</v>
      </c>
      <c r="M119" s="55">
        <v>43592</v>
      </c>
      <c r="N119" s="56" t="s">
        <v>3530</v>
      </c>
      <c r="O119" s="55">
        <v>43597</v>
      </c>
      <c r="P119" s="58"/>
      <c r="Q119" s="52"/>
      <c r="R119" s="63"/>
      <c r="S119" s="47"/>
    </row>
    <row r="120" spans="1:19" s="33" customFormat="1" ht="33" customHeight="1">
      <c r="B120" s="47" t="s">
        <v>238</v>
      </c>
      <c r="C120" s="48" t="s">
        <v>3531</v>
      </c>
      <c r="D120" s="49" t="s">
        <v>598</v>
      </c>
      <c r="E120" s="50">
        <v>43519</v>
      </c>
      <c r="F120" s="52" t="s">
        <v>236</v>
      </c>
      <c r="G120" s="51">
        <v>1600</v>
      </c>
      <c r="H120" s="52">
        <f t="shared" si="12"/>
        <v>8</v>
      </c>
      <c r="I120" s="52">
        <f t="shared" si="13"/>
        <v>2</v>
      </c>
      <c r="J120" s="52"/>
      <c r="K120" s="53">
        <v>43597</v>
      </c>
      <c r="L120" s="54" t="s">
        <v>3232</v>
      </c>
      <c r="M120" s="55">
        <v>43606</v>
      </c>
      <c r="N120" s="56" t="s">
        <v>3532</v>
      </c>
      <c r="O120" s="55">
        <v>43613</v>
      </c>
      <c r="P120" s="58"/>
      <c r="Q120" s="52"/>
      <c r="R120" s="63"/>
      <c r="S120" s="47"/>
    </row>
    <row r="121" spans="1:19" s="30" customFormat="1" ht="33" customHeight="1">
      <c r="B121" s="46" t="s">
        <v>238</v>
      </c>
      <c r="C121" s="35" t="s">
        <v>226</v>
      </c>
      <c r="D121" s="36" t="s">
        <v>749</v>
      </c>
      <c r="E121" s="37">
        <v>43532</v>
      </c>
      <c r="F121" s="38" t="s">
        <v>236</v>
      </c>
      <c r="G121" s="39">
        <v>3200</v>
      </c>
      <c r="H121" s="38">
        <f t="shared" si="12"/>
        <v>16</v>
      </c>
      <c r="I121" s="38">
        <f t="shared" si="13"/>
        <v>4</v>
      </c>
      <c r="J121" s="38"/>
      <c r="K121" s="40">
        <v>43625</v>
      </c>
      <c r="L121" s="41" t="s">
        <v>2538</v>
      </c>
      <c r="M121" s="42">
        <v>43627</v>
      </c>
      <c r="N121" s="43" t="s">
        <v>808</v>
      </c>
      <c r="O121" s="42">
        <v>43632</v>
      </c>
      <c r="P121" s="45"/>
      <c r="Q121" s="38"/>
      <c r="R121" s="66"/>
      <c r="S121" s="46" t="s">
        <v>2539</v>
      </c>
    </row>
    <row r="122" spans="1:19" s="30" customFormat="1" ht="33" customHeight="1">
      <c r="B122" s="46" t="s">
        <v>238</v>
      </c>
      <c r="C122" s="35" t="s">
        <v>233</v>
      </c>
      <c r="D122" s="36" t="s">
        <v>750</v>
      </c>
      <c r="E122" s="37">
        <v>43532</v>
      </c>
      <c r="F122" s="38" t="s">
        <v>236</v>
      </c>
      <c r="G122" s="39">
        <v>3200</v>
      </c>
      <c r="H122" s="38">
        <f t="shared" si="12"/>
        <v>16</v>
      </c>
      <c r="I122" s="38">
        <f t="shared" si="13"/>
        <v>4</v>
      </c>
      <c r="J122" s="38"/>
      <c r="K122" s="40">
        <v>43646</v>
      </c>
      <c r="L122" s="41" t="s">
        <v>3533</v>
      </c>
      <c r="M122" s="42">
        <v>43641</v>
      </c>
      <c r="N122" s="43" t="s">
        <v>3534</v>
      </c>
      <c r="O122" s="42">
        <v>43646</v>
      </c>
      <c r="P122" s="45"/>
      <c r="Q122" s="38"/>
      <c r="R122" s="66"/>
      <c r="S122" s="46"/>
    </row>
    <row r="123" spans="1:19" s="30" customFormat="1" ht="33" customHeight="1">
      <c r="B123" s="46" t="s">
        <v>238</v>
      </c>
      <c r="C123" s="35" t="s">
        <v>285</v>
      </c>
      <c r="D123" s="36" t="s">
        <v>1305</v>
      </c>
      <c r="E123" s="37">
        <v>43567</v>
      </c>
      <c r="F123" s="38" t="s">
        <v>236</v>
      </c>
      <c r="G123" s="39">
        <v>3200</v>
      </c>
      <c r="H123" s="38">
        <f t="shared" si="12"/>
        <v>16</v>
      </c>
      <c r="I123" s="38">
        <f t="shared" si="13"/>
        <v>4</v>
      </c>
      <c r="J123" s="38"/>
      <c r="K123" s="40">
        <v>43660</v>
      </c>
      <c r="L123" s="41" t="s">
        <v>3451</v>
      </c>
      <c r="M123" s="42">
        <v>43655</v>
      </c>
      <c r="N123" s="43" t="s">
        <v>3452</v>
      </c>
      <c r="O123" s="42">
        <v>43660</v>
      </c>
      <c r="P123" s="45"/>
      <c r="Q123" s="38"/>
      <c r="R123" s="66"/>
      <c r="S123" s="46"/>
    </row>
    <row r="124" spans="1:19" s="30" customFormat="1" ht="33" customHeight="1">
      <c r="B124" s="46" t="s">
        <v>238</v>
      </c>
      <c r="C124" s="35" t="s">
        <v>331</v>
      </c>
      <c r="D124" s="36" t="s">
        <v>1306</v>
      </c>
      <c r="E124" s="37">
        <v>43567</v>
      </c>
      <c r="F124" s="38" t="s">
        <v>236</v>
      </c>
      <c r="G124" s="39">
        <v>3200</v>
      </c>
      <c r="H124" s="38">
        <f t="shared" si="12"/>
        <v>16</v>
      </c>
      <c r="I124" s="38">
        <f t="shared" si="13"/>
        <v>4</v>
      </c>
      <c r="J124" s="38"/>
      <c r="K124" s="40">
        <v>43674</v>
      </c>
      <c r="L124" s="41" t="s">
        <v>3535</v>
      </c>
      <c r="M124" s="42">
        <v>43669</v>
      </c>
      <c r="N124" s="43" t="s">
        <v>3470</v>
      </c>
      <c r="O124" s="42">
        <v>43674</v>
      </c>
      <c r="P124" s="45"/>
      <c r="Q124" s="38"/>
      <c r="R124" s="66"/>
      <c r="S124" s="46"/>
    </row>
    <row r="125" spans="1:19" s="30" customFormat="1" ht="33" customHeight="1">
      <c r="B125" s="46" t="s">
        <v>3578</v>
      </c>
      <c r="C125" s="35" t="s">
        <v>431</v>
      </c>
      <c r="D125" s="36" t="s">
        <v>3536</v>
      </c>
      <c r="E125" s="128">
        <v>43637</v>
      </c>
      <c r="F125" s="124" t="s">
        <v>236</v>
      </c>
      <c r="G125" s="129">
        <v>3200</v>
      </c>
      <c r="H125" s="124">
        <f t="shared" si="12"/>
        <v>16</v>
      </c>
      <c r="I125" s="124">
        <f t="shared" si="13"/>
        <v>4</v>
      </c>
      <c r="J125" s="124"/>
      <c r="K125" s="130">
        <v>43730</v>
      </c>
      <c r="L125" s="119" t="s">
        <v>3571</v>
      </c>
      <c r="M125" s="120">
        <v>43725</v>
      </c>
      <c r="N125" s="121" t="s">
        <v>3563</v>
      </c>
      <c r="O125" s="120">
        <v>43730</v>
      </c>
      <c r="P125" s="123"/>
      <c r="Q125" s="124"/>
      <c r="R125" s="134"/>
      <c r="S125" s="122"/>
    </row>
    <row r="126" spans="1:19" s="19" customFormat="1">
      <c r="B126"/>
      <c r="C126" s="15"/>
      <c r="D126" s="1"/>
      <c r="E126" s="174"/>
      <c r="F126"/>
      <c r="G126" s="11"/>
      <c r="H126"/>
      <c r="I126"/>
      <c r="J126"/>
      <c r="K126" s="13"/>
      <c r="L126"/>
      <c r="N126" s="28"/>
      <c r="P126"/>
      <c r="Q126"/>
      <c r="R126" s="17"/>
      <c r="S126"/>
    </row>
    <row r="127" spans="1:19" s="19" customFormat="1" ht="26.4" hidden="1">
      <c r="B127"/>
      <c r="C127" s="15"/>
      <c r="D127" s="1"/>
      <c r="F127" s="177"/>
      <c r="L127" s="176" t="s">
        <v>1821</v>
      </c>
      <c r="M127" s="177"/>
      <c r="N127" s="177"/>
      <c r="O127"/>
      <c r="P127" s="13"/>
      <c r="Q127"/>
      <c r="S127" s="28"/>
    </row>
    <row r="128" spans="1:19" ht="26.4" hidden="1">
      <c r="F128" s="177"/>
      <c r="L128" s="176" t="s">
        <v>1822</v>
      </c>
      <c r="M128" s="177"/>
      <c r="N128" s="177"/>
      <c r="O128"/>
      <c r="P128" s="13"/>
      <c r="R128" s="19"/>
      <c r="S128" s="28"/>
    </row>
    <row r="129" spans="2:19" ht="26.4" hidden="1">
      <c r="F129" s="177"/>
      <c r="L129" s="176" t="s">
        <v>1823</v>
      </c>
      <c r="M129" s="177"/>
      <c r="N129" s="177"/>
      <c r="O129"/>
      <c r="P129" s="13"/>
      <c r="R129" s="19"/>
      <c r="S129" s="28"/>
    </row>
    <row r="130" spans="2:19" hidden="1">
      <c r="E130" s="175"/>
      <c r="L130" s="11"/>
      <c r="M130"/>
      <c r="N130"/>
      <c r="O130"/>
      <c r="P130" s="13"/>
      <c r="R130" s="19"/>
      <c r="S130" s="28"/>
    </row>
    <row r="131" spans="2:19" s="19" customFormat="1" hidden="1">
      <c r="B131"/>
      <c r="C131" s="15"/>
      <c r="D131" s="1"/>
      <c r="L131" s="178" t="s">
        <v>1825</v>
      </c>
      <c r="M131" s="178" t="s">
        <v>1826</v>
      </c>
      <c r="N131" s="178" t="s">
        <v>1827</v>
      </c>
      <c r="O131" s="178" t="s">
        <v>1828</v>
      </c>
      <c r="P131" s="179" t="s">
        <v>3537</v>
      </c>
      <c r="Q131" s="179" t="s">
        <v>3240</v>
      </c>
      <c r="R131" s="179" t="s">
        <v>1831</v>
      </c>
      <c r="S131" s="179"/>
    </row>
    <row r="132" spans="2:19" s="19" customFormat="1" hidden="1">
      <c r="B132"/>
      <c r="C132" s="15"/>
      <c r="D132" s="1"/>
      <c r="L132" s="180" t="s">
        <v>3538</v>
      </c>
      <c r="M132" s="181" t="s">
        <v>1833</v>
      </c>
      <c r="N132" s="181" t="s">
        <v>1834</v>
      </c>
      <c r="O132" s="182" t="s">
        <v>1835</v>
      </c>
      <c r="P132" s="183">
        <v>1000</v>
      </c>
      <c r="Q132" s="183">
        <v>4</v>
      </c>
      <c r="R132" s="184">
        <v>43598</v>
      </c>
      <c r="S132" s="181" t="s">
        <v>99</v>
      </c>
    </row>
    <row r="133" spans="2:19" s="19" customFormat="1" hidden="1">
      <c r="B133"/>
      <c r="C133" s="15"/>
      <c r="D133" s="1"/>
      <c r="L133" s="180" t="s">
        <v>3538</v>
      </c>
      <c r="M133" s="181" t="s">
        <v>1836</v>
      </c>
      <c r="N133" s="181" t="s">
        <v>1834</v>
      </c>
      <c r="O133" s="182" t="s">
        <v>1835</v>
      </c>
      <c r="P133" s="183">
        <v>6000</v>
      </c>
      <c r="Q133" s="183">
        <v>24</v>
      </c>
      <c r="R133" s="184">
        <v>43598</v>
      </c>
      <c r="S133" s="181" t="s">
        <v>99</v>
      </c>
    </row>
    <row r="134" spans="2:19" s="19" customFormat="1" hidden="1">
      <c r="B134"/>
      <c r="C134" s="15"/>
      <c r="D134" s="1"/>
      <c r="L134" s="180" t="s">
        <v>3538</v>
      </c>
      <c r="M134" s="181" t="s">
        <v>1837</v>
      </c>
      <c r="N134" s="181" t="s">
        <v>1834</v>
      </c>
      <c r="O134" s="182" t="s">
        <v>1835</v>
      </c>
      <c r="P134" s="183">
        <v>5000</v>
      </c>
      <c r="Q134" s="183">
        <v>20</v>
      </c>
      <c r="R134" s="185" t="s">
        <v>3539</v>
      </c>
      <c r="S134" s="180" t="s">
        <v>3540</v>
      </c>
    </row>
    <row r="135" spans="2:19" s="19" customFormat="1" hidden="1">
      <c r="B135"/>
      <c r="C135" s="15"/>
      <c r="D135" s="1"/>
      <c r="L135" s="180" t="s">
        <v>3538</v>
      </c>
      <c r="M135" s="181" t="s">
        <v>1840</v>
      </c>
      <c r="N135" s="181" t="s">
        <v>1834</v>
      </c>
      <c r="O135" s="182" t="s">
        <v>1835</v>
      </c>
      <c r="P135" s="183">
        <v>5000</v>
      </c>
      <c r="Q135" s="183">
        <v>20</v>
      </c>
      <c r="R135" s="184">
        <v>43605</v>
      </c>
      <c r="S135" s="181" t="s">
        <v>99</v>
      </c>
    </row>
    <row r="136" spans="2:19" s="19" customFormat="1" hidden="1">
      <c r="B136"/>
      <c r="C136" s="15"/>
      <c r="D136" s="1"/>
      <c r="L136" s="180" t="s">
        <v>3538</v>
      </c>
      <c r="M136" s="181" t="s">
        <v>1841</v>
      </c>
      <c r="N136" s="181" t="s">
        <v>1834</v>
      </c>
      <c r="O136" s="182" t="s">
        <v>1835</v>
      </c>
      <c r="P136" s="183">
        <v>7000</v>
      </c>
      <c r="Q136" s="183">
        <v>28</v>
      </c>
      <c r="R136" s="184">
        <v>43605</v>
      </c>
      <c r="S136" s="181" t="s">
        <v>99</v>
      </c>
    </row>
    <row r="137" spans="2:19" hidden="1">
      <c r="L137" s="180" t="s">
        <v>3541</v>
      </c>
      <c r="M137" s="181" t="s">
        <v>1843</v>
      </c>
      <c r="N137" s="181" t="s">
        <v>1844</v>
      </c>
      <c r="O137" s="182" t="s">
        <v>1835</v>
      </c>
      <c r="P137" s="183">
        <v>2000</v>
      </c>
      <c r="Q137" s="183">
        <v>8</v>
      </c>
      <c r="R137" s="184">
        <v>43598</v>
      </c>
      <c r="S137" s="181" t="s">
        <v>99</v>
      </c>
    </row>
    <row r="138" spans="2:19" hidden="1">
      <c r="L138" s="180" t="s">
        <v>3541</v>
      </c>
      <c r="M138" s="181" t="s">
        <v>1845</v>
      </c>
      <c r="N138" s="181" t="s">
        <v>1844</v>
      </c>
      <c r="O138" s="182" t="s">
        <v>1835</v>
      </c>
      <c r="P138" s="183">
        <v>2000</v>
      </c>
      <c r="Q138" s="183">
        <v>8</v>
      </c>
      <c r="R138" s="184">
        <v>43598</v>
      </c>
      <c r="S138" s="181" t="s">
        <v>99</v>
      </c>
    </row>
    <row r="139" spans="2:19" hidden="1">
      <c r="L139" s="180" t="s">
        <v>3541</v>
      </c>
      <c r="M139" s="181" t="s">
        <v>1846</v>
      </c>
      <c r="N139" s="181" t="s">
        <v>1844</v>
      </c>
      <c r="O139" s="182" t="s">
        <v>1835</v>
      </c>
      <c r="P139" s="183">
        <v>10000</v>
      </c>
      <c r="Q139" s="183">
        <v>40</v>
      </c>
      <c r="R139" s="184">
        <v>43598</v>
      </c>
      <c r="S139" s="181" t="s">
        <v>99</v>
      </c>
    </row>
    <row r="140" spans="2:19" hidden="1">
      <c r="L140" s="180" t="s">
        <v>3541</v>
      </c>
      <c r="M140" s="181" t="s">
        <v>1847</v>
      </c>
      <c r="N140" s="181" t="s">
        <v>1844</v>
      </c>
      <c r="O140" s="182" t="s">
        <v>1835</v>
      </c>
      <c r="P140" s="183">
        <v>8000</v>
      </c>
      <c r="Q140" s="183">
        <v>32</v>
      </c>
      <c r="R140" s="184">
        <v>43598</v>
      </c>
      <c r="S140" s="180"/>
    </row>
    <row r="141" spans="2:19" hidden="1">
      <c r="L141" s="180" t="s">
        <v>3541</v>
      </c>
      <c r="M141" s="181" t="s">
        <v>1848</v>
      </c>
      <c r="N141" s="181" t="s">
        <v>1844</v>
      </c>
      <c r="O141" s="182" t="s">
        <v>1835</v>
      </c>
      <c r="P141" s="183">
        <v>10000</v>
      </c>
      <c r="Q141" s="183">
        <v>40</v>
      </c>
      <c r="R141" s="185" t="s">
        <v>3542</v>
      </c>
      <c r="S141" s="180" t="s">
        <v>3540</v>
      </c>
    </row>
    <row r="142" spans="2:19" hidden="1">
      <c r="L142" s="182" t="s">
        <v>3543</v>
      </c>
      <c r="M142" s="181" t="s">
        <v>1851</v>
      </c>
      <c r="N142" s="181" t="s">
        <v>1834</v>
      </c>
      <c r="O142" s="182" t="s">
        <v>1852</v>
      </c>
      <c r="P142" s="183">
        <v>5000</v>
      </c>
      <c r="Q142" s="183">
        <v>20</v>
      </c>
      <c r="R142" s="184">
        <v>43605</v>
      </c>
      <c r="S142" s="181" t="s">
        <v>99</v>
      </c>
    </row>
    <row r="143" spans="2:19" hidden="1">
      <c r="L143" s="180" t="s">
        <v>3544</v>
      </c>
      <c r="M143" s="181" t="s">
        <v>1851</v>
      </c>
      <c r="N143" s="181" t="s">
        <v>1844</v>
      </c>
      <c r="O143" s="182" t="s">
        <v>1835</v>
      </c>
      <c r="P143" s="183">
        <v>2000</v>
      </c>
      <c r="Q143" s="183">
        <v>8</v>
      </c>
      <c r="R143" s="184">
        <v>43605</v>
      </c>
      <c r="S143" s="181" t="s">
        <v>99</v>
      </c>
    </row>
    <row r="144" spans="2:19" hidden="1">
      <c r="L144" s="182" t="s">
        <v>3545</v>
      </c>
      <c r="M144" s="181" t="s">
        <v>1855</v>
      </c>
      <c r="N144" s="181" t="s">
        <v>1834</v>
      </c>
      <c r="O144" s="182" t="s">
        <v>1852</v>
      </c>
      <c r="P144" s="183">
        <v>6000</v>
      </c>
      <c r="Q144" s="183">
        <v>24</v>
      </c>
      <c r="R144" s="184">
        <v>43605</v>
      </c>
      <c r="S144" s="181" t="s">
        <v>99</v>
      </c>
    </row>
    <row r="145" spans="12:19" hidden="1">
      <c r="L145" s="182" t="s">
        <v>3545</v>
      </c>
      <c r="M145" s="181" t="s">
        <v>1856</v>
      </c>
      <c r="N145" s="181" t="s">
        <v>1834</v>
      </c>
      <c r="O145" s="182" t="s">
        <v>1852</v>
      </c>
      <c r="P145" s="183">
        <v>6000</v>
      </c>
      <c r="Q145" s="183">
        <v>24</v>
      </c>
      <c r="R145" s="185">
        <v>43605</v>
      </c>
      <c r="S145" s="180"/>
    </row>
    <row r="146" spans="12:19" hidden="1">
      <c r="L146" s="182" t="s">
        <v>3545</v>
      </c>
      <c r="M146" s="181" t="s">
        <v>1857</v>
      </c>
      <c r="N146" s="181" t="s">
        <v>1834</v>
      </c>
      <c r="O146" s="182" t="s">
        <v>1852</v>
      </c>
      <c r="P146" s="183">
        <v>6000</v>
      </c>
      <c r="Q146" s="183">
        <v>24</v>
      </c>
      <c r="R146" s="184" t="s">
        <v>3546</v>
      </c>
      <c r="S146" s="181" t="s">
        <v>3547</v>
      </c>
    </row>
    <row r="149" spans="12:19" ht="16.2">
      <c r="L149" s="186"/>
    </row>
    <row r="150" spans="12:19" ht="16.2">
      <c r="L150" s="186"/>
    </row>
    <row r="151" spans="12:19" ht="16.2">
      <c r="L151" s="186"/>
    </row>
    <row r="152" spans="12:19">
      <c r="Q152" t="s">
        <v>3581</v>
      </c>
    </row>
  </sheetData>
  <autoFilter ref="B2:R125" xr:uid="{00000000-0009-0000-0000-000013000000}"/>
  <phoneticPr fontId="1"/>
  <pageMargins left="0.23622047244094491" right="0.23622047244094491" top="0.35433070866141736" bottom="0.35433070866141736" header="0.31496062992125984" footer="0.31496062992125984"/>
  <pageSetup paperSize="9" scale="77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63" filterMode="1">
    <pageSetUpPr fitToPage="1"/>
  </sheetPr>
  <dimension ref="A1:S150"/>
  <sheetViews>
    <sheetView zoomScale="77" zoomScaleNormal="77" workbookViewId="0">
      <pane xSplit="1" ySplit="2" topLeftCell="D3" activePane="bottomRight" state="frozen"/>
      <selection pane="topRight" activeCell="B1" sqref="B1"/>
      <selection pane="bottomLeft" activeCell="A3" sqref="A3"/>
      <selection pane="bottomRight" activeCell="F181" sqref="F181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7.12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B2" s="194"/>
      <c r="C2" s="14" t="s">
        <v>3255</v>
      </c>
      <c r="D2" s="5" t="s">
        <v>0</v>
      </c>
      <c r="E2" s="6" t="s">
        <v>3256</v>
      </c>
      <c r="F2" s="6" t="s">
        <v>3257</v>
      </c>
      <c r="G2" s="10" t="s">
        <v>1</v>
      </c>
      <c r="H2" s="6" t="s">
        <v>15</v>
      </c>
      <c r="I2" s="6" t="s">
        <v>16</v>
      </c>
      <c r="J2" s="6" t="s">
        <v>3258</v>
      </c>
      <c r="K2" s="12" t="s">
        <v>3259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3260</v>
      </c>
      <c r="Q2" s="6" t="s">
        <v>3261</v>
      </c>
      <c r="R2" s="16" t="s">
        <v>6</v>
      </c>
      <c r="S2" s="16" t="s">
        <v>3262</v>
      </c>
    </row>
    <row r="3" spans="2:19" s="33" customFormat="1" ht="33" hidden="1" customHeight="1">
      <c r="B3" s="47" t="s">
        <v>220</v>
      </c>
      <c r="C3" s="48" t="s">
        <v>377</v>
      </c>
      <c r="D3" s="49" t="s">
        <v>378</v>
      </c>
      <c r="E3" s="50">
        <v>43455</v>
      </c>
      <c r="F3" s="49" t="s">
        <v>3263</v>
      </c>
      <c r="G3" s="51">
        <v>14000</v>
      </c>
      <c r="H3" s="52">
        <f t="shared" ref="H3:H37" si="0">SUM(G3/250)</f>
        <v>56</v>
      </c>
      <c r="I3" s="52">
        <f t="shared" ref="I3:I59" si="1">SUM(H3/4)</f>
        <v>14</v>
      </c>
      <c r="J3" s="49"/>
      <c r="K3" s="53">
        <v>43548</v>
      </c>
      <c r="L3" s="54" t="s">
        <v>3264</v>
      </c>
      <c r="M3" s="55">
        <v>43563</v>
      </c>
      <c r="N3" s="56" t="s">
        <v>3265</v>
      </c>
      <c r="O3" s="55">
        <v>43569</v>
      </c>
      <c r="P3" s="54" t="s">
        <v>3266</v>
      </c>
      <c r="Q3" s="49"/>
      <c r="R3" s="57" t="s">
        <v>3267</v>
      </c>
      <c r="S3" s="47"/>
    </row>
    <row r="4" spans="2:19" s="33" customFormat="1" ht="33" hidden="1" customHeight="1">
      <c r="B4" s="47" t="s">
        <v>220</v>
      </c>
      <c r="C4" s="48" t="s">
        <v>421</v>
      </c>
      <c r="D4" s="49" t="s">
        <v>453</v>
      </c>
      <c r="E4" s="50">
        <v>43483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43576</v>
      </c>
      <c r="L4" s="54" t="s">
        <v>3268</v>
      </c>
      <c r="M4" s="55">
        <v>43570</v>
      </c>
      <c r="N4" s="56" t="s">
        <v>3269</v>
      </c>
      <c r="O4" s="55">
        <v>43576</v>
      </c>
      <c r="P4" s="54" t="s">
        <v>3270</v>
      </c>
      <c r="Q4" s="49"/>
      <c r="R4" s="57" t="s">
        <v>3271</v>
      </c>
      <c r="S4" s="47"/>
    </row>
    <row r="5" spans="2:19" s="33" customFormat="1" ht="33" hidden="1" customHeight="1">
      <c r="B5" s="47" t="s">
        <v>78</v>
      </c>
      <c r="C5" s="48" t="s">
        <v>422</v>
      </c>
      <c r="D5" s="49" t="s">
        <v>455</v>
      </c>
      <c r="E5" s="50">
        <v>43483</v>
      </c>
      <c r="F5" s="49" t="s">
        <v>3263</v>
      </c>
      <c r="G5" s="51">
        <v>10000</v>
      </c>
      <c r="H5" s="52">
        <f t="shared" si="0"/>
        <v>40</v>
      </c>
      <c r="I5" s="52">
        <f t="shared" si="1"/>
        <v>10</v>
      </c>
      <c r="J5" s="49"/>
      <c r="K5" s="53">
        <v>43618</v>
      </c>
      <c r="L5" s="54" t="s">
        <v>3272</v>
      </c>
      <c r="M5" s="55">
        <v>43612</v>
      </c>
      <c r="N5" s="56" t="s">
        <v>3273</v>
      </c>
      <c r="O5" s="55">
        <v>43618</v>
      </c>
      <c r="P5" s="54" t="s">
        <v>3274</v>
      </c>
      <c r="Q5" s="49" t="s">
        <v>82</v>
      </c>
      <c r="R5" s="57" t="s">
        <v>3275</v>
      </c>
      <c r="S5" s="47"/>
    </row>
    <row r="6" spans="2:19" s="33" customFormat="1" ht="33" hidden="1" customHeight="1">
      <c r="B6" s="47" t="s">
        <v>78</v>
      </c>
      <c r="C6" s="48" t="s">
        <v>3276</v>
      </c>
      <c r="D6" s="49" t="s">
        <v>455</v>
      </c>
      <c r="E6" s="50">
        <v>43523</v>
      </c>
      <c r="F6" s="49" t="s">
        <v>3263</v>
      </c>
      <c r="G6" s="51">
        <v>10000</v>
      </c>
      <c r="H6" s="52">
        <f t="shared" si="0"/>
        <v>40</v>
      </c>
      <c r="I6" s="52">
        <f t="shared" si="1"/>
        <v>10</v>
      </c>
      <c r="J6" s="49"/>
      <c r="K6" s="53">
        <v>43618</v>
      </c>
      <c r="L6" s="54" t="s">
        <v>638</v>
      </c>
      <c r="M6" s="55">
        <v>43612</v>
      </c>
      <c r="N6" s="56" t="s">
        <v>636</v>
      </c>
      <c r="O6" s="55">
        <v>43618</v>
      </c>
      <c r="P6" s="54" t="s">
        <v>3277</v>
      </c>
      <c r="Q6" s="49" t="s">
        <v>82</v>
      </c>
      <c r="R6" s="57" t="s">
        <v>3278</v>
      </c>
      <c r="S6" s="47"/>
    </row>
    <row r="7" spans="2:19" s="33" customFormat="1" ht="33" hidden="1" customHeight="1">
      <c r="B7" s="47" t="s">
        <v>78</v>
      </c>
      <c r="C7" s="48" t="s">
        <v>3279</v>
      </c>
      <c r="D7" s="49" t="s">
        <v>1337</v>
      </c>
      <c r="E7" s="50">
        <v>43483</v>
      </c>
      <c r="F7" s="49" t="s">
        <v>3263</v>
      </c>
      <c r="G7" s="51">
        <v>20000</v>
      </c>
      <c r="H7" s="52">
        <f t="shared" si="0"/>
        <v>80</v>
      </c>
      <c r="I7" s="52">
        <f t="shared" si="1"/>
        <v>20</v>
      </c>
      <c r="J7" s="49"/>
      <c r="K7" s="53">
        <v>43618</v>
      </c>
      <c r="L7" s="54" t="s">
        <v>3272</v>
      </c>
      <c r="M7" s="55">
        <v>43612</v>
      </c>
      <c r="N7" s="56" t="s">
        <v>3273</v>
      </c>
      <c r="O7" s="55">
        <v>43618</v>
      </c>
      <c r="P7" s="54" t="s">
        <v>3280</v>
      </c>
      <c r="Q7" s="49" t="s">
        <v>82</v>
      </c>
      <c r="R7" s="57" t="s">
        <v>3281</v>
      </c>
      <c r="S7" s="47" t="s">
        <v>479</v>
      </c>
    </row>
    <row r="8" spans="2:19" s="33" customFormat="1" ht="33" hidden="1" customHeight="1">
      <c r="B8" s="47" t="s">
        <v>78</v>
      </c>
      <c r="C8" s="48" t="s">
        <v>423</v>
      </c>
      <c r="D8" s="49" t="s">
        <v>457</v>
      </c>
      <c r="E8" s="50">
        <v>43483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43576</v>
      </c>
      <c r="L8" s="54" t="s">
        <v>3282</v>
      </c>
      <c r="M8" s="55">
        <v>43570</v>
      </c>
      <c r="N8" s="56" t="s">
        <v>3283</v>
      </c>
      <c r="O8" s="55">
        <v>43576</v>
      </c>
      <c r="P8" s="54" t="s">
        <v>3284</v>
      </c>
      <c r="Q8" s="49" t="s">
        <v>82</v>
      </c>
      <c r="R8" s="57" t="s">
        <v>3285</v>
      </c>
      <c r="S8" s="47"/>
    </row>
    <row r="9" spans="2:19" s="33" customFormat="1" ht="33" hidden="1" customHeight="1">
      <c r="B9" s="47" t="s">
        <v>220</v>
      </c>
      <c r="C9" s="48" t="s">
        <v>425</v>
      </c>
      <c r="D9" s="49" t="s">
        <v>459</v>
      </c>
      <c r="E9" s="50">
        <v>43483</v>
      </c>
      <c r="F9" s="49" t="s">
        <v>79</v>
      </c>
      <c r="G9" s="51">
        <v>20000</v>
      </c>
      <c r="H9" s="52">
        <f t="shared" si="0"/>
        <v>80</v>
      </c>
      <c r="I9" s="52">
        <f t="shared" si="1"/>
        <v>20</v>
      </c>
      <c r="J9" s="49"/>
      <c r="K9" s="53">
        <v>43583</v>
      </c>
      <c r="L9" s="54" t="s">
        <v>3286</v>
      </c>
      <c r="M9" s="55">
        <v>43577</v>
      </c>
      <c r="N9" s="56" t="s">
        <v>3287</v>
      </c>
      <c r="O9" s="55">
        <v>43583</v>
      </c>
      <c r="P9" s="54" t="s">
        <v>3288</v>
      </c>
      <c r="Q9" s="49"/>
      <c r="R9" s="57" t="s">
        <v>3289</v>
      </c>
      <c r="S9" s="47"/>
    </row>
    <row r="10" spans="2:19" s="33" customFormat="1" ht="33" hidden="1" customHeight="1">
      <c r="B10" s="47" t="s">
        <v>78</v>
      </c>
      <c r="C10" s="48" t="s">
        <v>462</v>
      </c>
      <c r="D10" s="49" t="s">
        <v>483</v>
      </c>
      <c r="E10" s="50">
        <v>43490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43583</v>
      </c>
      <c r="L10" s="54" t="s">
        <v>3286</v>
      </c>
      <c r="M10" s="55">
        <v>43577</v>
      </c>
      <c r="N10" s="56" t="s">
        <v>3287</v>
      </c>
      <c r="O10" s="55">
        <v>43583</v>
      </c>
      <c r="P10" s="54" t="s">
        <v>3290</v>
      </c>
      <c r="Q10" s="49" t="s">
        <v>82</v>
      </c>
      <c r="R10" s="57" t="s">
        <v>3291</v>
      </c>
      <c r="S10" s="47"/>
    </row>
    <row r="11" spans="2:19" s="33" customFormat="1" ht="33" hidden="1" customHeight="1">
      <c r="B11" s="47" t="s">
        <v>78</v>
      </c>
      <c r="C11" s="48" t="s">
        <v>570</v>
      </c>
      <c r="D11" s="49" t="s">
        <v>571</v>
      </c>
      <c r="E11" s="50">
        <v>43519</v>
      </c>
      <c r="F11" s="49" t="s">
        <v>79</v>
      </c>
      <c r="G11" s="51">
        <v>20000</v>
      </c>
      <c r="H11" s="52">
        <f t="shared" si="0"/>
        <v>80</v>
      </c>
      <c r="I11" s="52">
        <f t="shared" si="1"/>
        <v>20</v>
      </c>
      <c r="J11" s="49"/>
      <c r="K11" s="53">
        <v>43590</v>
      </c>
      <c r="L11" s="54" t="s">
        <v>602</v>
      </c>
      <c r="M11" s="55">
        <v>43577</v>
      </c>
      <c r="N11" s="56" t="s">
        <v>3287</v>
      </c>
      <c r="O11" s="55">
        <v>43583</v>
      </c>
      <c r="P11" s="54" t="s">
        <v>3292</v>
      </c>
      <c r="Q11" s="49" t="s">
        <v>82</v>
      </c>
      <c r="R11" s="57" t="s">
        <v>3293</v>
      </c>
      <c r="S11" s="47"/>
    </row>
    <row r="12" spans="2:19" s="33" customFormat="1" ht="33" hidden="1" customHeight="1">
      <c r="B12" s="47" t="s">
        <v>78</v>
      </c>
      <c r="C12" s="48" t="s">
        <v>573</v>
      </c>
      <c r="D12" s="49" t="s">
        <v>574</v>
      </c>
      <c r="E12" s="50">
        <v>43519</v>
      </c>
      <c r="F12" s="49" t="s">
        <v>79</v>
      </c>
      <c r="G12" s="51">
        <v>20000</v>
      </c>
      <c r="H12" s="52">
        <f t="shared" si="0"/>
        <v>80</v>
      </c>
      <c r="I12" s="52">
        <f t="shared" si="1"/>
        <v>20</v>
      </c>
      <c r="J12" s="49"/>
      <c r="K12" s="53">
        <v>43604</v>
      </c>
      <c r="L12" s="54" t="s">
        <v>3294</v>
      </c>
      <c r="M12" s="55">
        <v>43598</v>
      </c>
      <c r="N12" s="56" t="s">
        <v>3295</v>
      </c>
      <c r="O12" s="55">
        <v>43604</v>
      </c>
      <c r="P12" s="54" t="s">
        <v>3296</v>
      </c>
      <c r="Q12" s="49" t="s">
        <v>82</v>
      </c>
      <c r="R12" s="57" t="s">
        <v>3297</v>
      </c>
      <c r="S12" s="47"/>
    </row>
    <row r="13" spans="2:19" s="33" customFormat="1" ht="33" hidden="1" customHeight="1">
      <c r="B13" s="47" t="s">
        <v>78</v>
      </c>
      <c r="C13" s="48" t="s">
        <v>3298</v>
      </c>
      <c r="D13" s="49" t="s">
        <v>577</v>
      </c>
      <c r="E13" s="50">
        <v>43519</v>
      </c>
      <c r="F13" s="49" t="s">
        <v>3299</v>
      </c>
      <c r="G13" s="51">
        <v>10000</v>
      </c>
      <c r="H13" s="52">
        <f t="shared" si="0"/>
        <v>40</v>
      </c>
      <c r="I13" s="52">
        <f t="shared" si="1"/>
        <v>10</v>
      </c>
      <c r="J13" s="49"/>
      <c r="K13" s="53">
        <v>43598</v>
      </c>
      <c r="L13" s="54" t="s">
        <v>803</v>
      </c>
      <c r="M13" s="55">
        <v>43598</v>
      </c>
      <c r="N13" s="56" t="s">
        <v>804</v>
      </c>
      <c r="O13" s="55">
        <v>43604</v>
      </c>
      <c r="P13" s="54" t="s">
        <v>3300</v>
      </c>
      <c r="Q13" s="49" t="s">
        <v>82</v>
      </c>
      <c r="R13" s="57" t="s">
        <v>3301</v>
      </c>
      <c r="S13" s="47"/>
    </row>
    <row r="14" spans="2:19" s="33" customFormat="1" ht="33" hidden="1" customHeight="1">
      <c r="B14" s="47" t="s">
        <v>220</v>
      </c>
      <c r="C14" s="48" t="s">
        <v>579</v>
      </c>
      <c r="D14" s="49" t="s">
        <v>580</v>
      </c>
      <c r="E14" s="50">
        <v>43519</v>
      </c>
      <c r="F14" s="49" t="s">
        <v>79</v>
      </c>
      <c r="G14" s="51">
        <v>10000</v>
      </c>
      <c r="H14" s="52">
        <f t="shared" si="0"/>
        <v>40</v>
      </c>
      <c r="I14" s="52">
        <f t="shared" si="1"/>
        <v>10</v>
      </c>
      <c r="J14" s="49"/>
      <c r="K14" s="53">
        <v>43598</v>
      </c>
      <c r="L14" s="54" t="s">
        <v>803</v>
      </c>
      <c r="M14" s="55">
        <v>43598</v>
      </c>
      <c r="N14" s="56" t="s">
        <v>804</v>
      </c>
      <c r="O14" s="55">
        <v>43604</v>
      </c>
      <c r="P14" s="54" t="s">
        <v>3302</v>
      </c>
      <c r="Q14" s="49"/>
      <c r="R14" s="57" t="s">
        <v>3303</v>
      </c>
      <c r="S14" s="47"/>
    </row>
    <row r="15" spans="2:19" s="33" customFormat="1" ht="33" hidden="1" customHeight="1">
      <c r="B15" s="47" t="s">
        <v>78</v>
      </c>
      <c r="C15" s="48" t="s">
        <v>576</v>
      </c>
      <c r="D15" s="49" t="s">
        <v>577</v>
      </c>
      <c r="E15" s="50">
        <v>43519</v>
      </c>
      <c r="F15" s="49" t="s">
        <v>79</v>
      </c>
      <c r="G15" s="51">
        <v>20000</v>
      </c>
      <c r="H15" s="52">
        <f t="shared" si="0"/>
        <v>80</v>
      </c>
      <c r="I15" s="52">
        <f t="shared" si="1"/>
        <v>20</v>
      </c>
      <c r="J15" s="49"/>
      <c r="K15" s="53">
        <v>43611</v>
      </c>
      <c r="L15" s="54" t="s">
        <v>3304</v>
      </c>
      <c r="M15" s="55">
        <v>43605</v>
      </c>
      <c r="N15" s="56" t="s">
        <v>3305</v>
      </c>
      <c r="O15" s="55">
        <v>43611</v>
      </c>
      <c r="P15" s="54" t="s">
        <v>3306</v>
      </c>
      <c r="Q15" s="49" t="s">
        <v>82</v>
      </c>
      <c r="R15" s="57" t="s">
        <v>3307</v>
      </c>
      <c r="S15" s="47"/>
    </row>
    <row r="16" spans="2:19" s="30" customFormat="1" ht="33" hidden="1" customHeight="1">
      <c r="B16" s="46" t="s">
        <v>78</v>
      </c>
      <c r="C16" s="35" t="s">
        <v>685</v>
      </c>
      <c r="D16" s="36" t="s">
        <v>686</v>
      </c>
      <c r="E16" s="37">
        <v>43532</v>
      </c>
      <c r="F16" s="36" t="s">
        <v>79</v>
      </c>
      <c r="G16" s="39">
        <v>20000</v>
      </c>
      <c r="H16" s="38">
        <f t="shared" si="0"/>
        <v>80</v>
      </c>
      <c r="I16" s="38">
        <f t="shared" si="1"/>
        <v>20</v>
      </c>
      <c r="J16" s="36"/>
      <c r="K16" s="40">
        <v>43625</v>
      </c>
      <c r="L16" s="41" t="s">
        <v>3308</v>
      </c>
      <c r="M16" s="42">
        <v>43619</v>
      </c>
      <c r="N16" s="43" t="s">
        <v>3309</v>
      </c>
      <c r="O16" s="42">
        <v>43625</v>
      </c>
      <c r="P16" s="41"/>
      <c r="Q16" s="36" t="s">
        <v>82</v>
      </c>
      <c r="R16" s="44" t="s">
        <v>3310</v>
      </c>
      <c r="S16" s="46"/>
    </row>
    <row r="17" spans="2:19" s="30" customFormat="1" ht="33" hidden="1" customHeight="1">
      <c r="B17" s="46" t="s">
        <v>78</v>
      </c>
      <c r="C17" s="35" t="s">
        <v>3311</v>
      </c>
      <c r="D17" s="36" t="s">
        <v>1366</v>
      </c>
      <c r="E17" s="37">
        <v>43532</v>
      </c>
      <c r="F17" s="36" t="s">
        <v>79</v>
      </c>
      <c r="G17" s="39">
        <v>20000</v>
      </c>
      <c r="H17" s="38">
        <f t="shared" si="0"/>
        <v>80</v>
      </c>
      <c r="I17" s="38">
        <f t="shared" si="1"/>
        <v>20</v>
      </c>
      <c r="J17" s="36"/>
      <c r="K17" s="40">
        <v>43625</v>
      </c>
      <c r="L17" s="41" t="s">
        <v>3308</v>
      </c>
      <c r="M17" s="42">
        <v>43619</v>
      </c>
      <c r="N17" s="43" t="s">
        <v>3309</v>
      </c>
      <c r="O17" s="42">
        <v>43625</v>
      </c>
      <c r="P17" s="41"/>
      <c r="Q17" s="36" t="s">
        <v>82</v>
      </c>
      <c r="R17" s="44" t="s">
        <v>3310</v>
      </c>
      <c r="S17" s="46" t="s">
        <v>479</v>
      </c>
    </row>
    <row r="18" spans="2:19" s="30" customFormat="1" ht="33" hidden="1" customHeight="1">
      <c r="B18" s="46" t="s">
        <v>220</v>
      </c>
      <c r="C18" s="35" t="s">
        <v>688</v>
      </c>
      <c r="D18" s="36" t="s">
        <v>689</v>
      </c>
      <c r="E18" s="37">
        <v>43532</v>
      </c>
      <c r="F18" s="36" t="s">
        <v>79</v>
      </c>
      <c r="G18" s="39">
        <v>20000</v>
      </c>
      <c r="H18" s="38">
        <f t="shared" si="0"/>
        <v>80</v>
      </c>
      <c r="I18" s="38">
        <f t="shared" si="1"/>
        <v>20</v>
      </c>
      <c r="J18" s="36"/>
      <c r="K18" s="40">
        <v>43632</v>
      </c>
      <c r="L18" s="41" t="s">
        <v>3312</v>
      </c>
      <c r="M18" s="42">
        <v>43626</v>
      </c>
      <c r="N18" s="43" t="s">
        <v>3313</v>
      </c>
      <c r="O18" s="42">
        <v>43632</v>
      </c>
      <c r="P18" s="41" t="s">
        <v>3314</v>
      </c>
      <c r="Q18" s="36"/>
      <c r="R18" s="44" t="s">
        <v>3315</v>
      </c>
      <c r="S18" s="46"/>
    </row>
    <row r="19" spans="2:19" s="30" customFormat="1" ht="33" hidden="1" customHeight="1">
      <c r="B19" s="46" t="s">
        <v>78</v>
      </c>
      <c r="C19" s="35" t="s">
        <v>691</v>
      </c>
      <c r="D19" s="36" t="s">
        <v>692</v>
      </c>
      <c r="E19" s="37">
        <v>43532</v>
      </c>
      <c r="F19" s="36" t="s">
        <v>79</v>
      </c>
      <c r="G19" s="39">
        <v>20000</v>
      </c>
      <c r="H19" s="38">
        <f t="shared" si="0"/>
        <v>80</v>
      </c>
      <c r="I19" s="38">
        <f t="shared" si="1"/>
        <v>20</v>
      </c>
      <c r="J19" s="36"/>
      <c r="K19" s="40">
        <v>43639</v>
      </c>
      <c r="L19" s="41" t="s">
        <v>3316</v>
      </c>
      <c r="M19" s="42">
        <v>43633</v>
      </c>
      <c r="N19" s="43" t="s">
        <v>3317</v>
      </c>
      <c r="O19" s="42">
        <v>43639</v>
      </c>
      <c r="P19" s="41"/>
      <c r="Q19" s="36" t="s">
        <v>82</v>
      </c>
      <c r="R19" s="44" t="s">
        <v>3318</v>
      </c>
      <c r="S19" s="46"/>
    </row>
    <row r="20" spans="2:19" s="33" customFormat="1" ht="33" hidden="1" customHeight="1">
      <c r="B20" s="47" t="s">
        <v>78</v>
      </c>
      <c r="C20" s="48" t="s">
        <v>3319</v>
      </c>
      <c r="D20" s="49" t="s">
        <v>3320</v>
      </c>
      <c r="E20" s="50">
        <v>43566</v>
      </c>
      <c r="F20" s="49" t="s">
        <v>79</v>
      </c>
      <c r="G20" s="51">
        <v>6000</v>
      </c>
      <c r="H20" s="52">
        <f t="shared" si="0"/>
        <v>24</v>
      </c>
      <c r="I20" s="52">
        <f t="shared" si="1"/>
        <v>6</v>
      </c>
      <c r="J20" s="49"/>
      <c r="K20" s="53">
        <v>43611</v>
      </c>
      <c r="L20" s="54" t="s">
        <v>603</v>
      </c>
      <c r="M20" s="55">
        <v>43605</v>
      </c>
      <c r="N20" s="56" t="s">
        <v>1080</v>
      </c>
      <c r="O20" s="55">
        <v>43611</v>
      </c>
      <c r="P20" s="54" t="s">
        <v>3321</v>
      </c>
      <c r="Q20" s="49" t="s">
        <v>82</v>
      </c>
      <c r="R20" s="57" t="s">
        <v>3322</v>
      </c>
      <c r="S20" s="47"/>
    </row>
    <row r="21" spans="2:19" s="33" customFormat="1" ht="33" hidden="1" customHeight="1">
      <c r="B21" s="47" t="s">
        <v>3323</v>
      </c>
      <c r="C21" s="48" t="s">
        <v>986</v>
      </c>
      <c r="D21" s="49" t="s">
        <v>3320</v>
      </c>
      <c r="E21" s="50">
        <v>43566</v>
      </c>
      <c r="F21" s="49" t="s">
        <v>79</v>
      </c>
      <c r="G21" s="51">
        <v>14000</v>
      </c>
      <c r="H21" s="52">
        <f t="shared" si="0"/>
        <v>56</v>
      </c>
      <c r="I21" s="52">
        <f t="shared" si="1"/>
        <v>14</v>
      </c>
      <c r="J21" s="49"/>
      <c r="K21" s="53">
        <v>43611</v>
      </c>
      <c r="L21" s="54" t="s">
        <v>603</v>
      </c>
      <c r="M21" s="55">
        <v>43605</v>
      </c>
      <c r="N21" s="56" t="s">
        <v>1080</v>
      </c>
      <c r="O21" s="55">
        <v>43611</v>
      </c>
      <c r="P21" s="54" t="s">
        <v>3324</v>
      </c>
      <c r="Q21" s="49"/>
      <c r="R21" s="57" t="s">
        <v>3322</v>
      </c>
      <c r="S21" s="47"/>
    </row>
    <row r="22" spans="2:19" s="30" customFormat="1" ht="33" hidden="1" customHeight="1">
      <c r="B22" s="46" t="s">
        <v>78</v>
      </c>
      <c r="C22" s="35" t="s">
        <v>988</v>
      </c>
      <c r="D22" s="36" t="s">
        <v>3325</v>
      </c>
      <c r="E22" s="37">
        <v>43566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43632</v>
      </c>
      <c r="L22" s="41" t="s">
        <v>1081</v>
      </c>
      <c r="M22" s="42">
        <v>43626</v>
      </c>
      <c r="N22" s="43" t="s">
        <v>1082</v>
      </c>
      <c r="O22" s="42">
        <v>43632</v>
      </c>
      <c r="P22" s="41"/>
      <c r="Q22" s="36" t="s">
        <v>82</v>
      </c>
      <c r="R22" s="44" t="s">
        <v>3326</v>
      </c>
      <c r="S22" s="46"/>
    </row>
    <row r="23" spans="2:19" s="30" customFormat="1" ht="33" hidden="1" customHeight="1">
      <c r="B23" s="46" t="s">
        <v>78</v>
      </c>
      <c r="C23" s="35" t="s">
        <v>1160</v>
      </c>
      <c r="D23" s="36" t="s">
        <v>1161</v>
      </c>
      <c r="E23" s="37">
        <v>43567</v>
      </c>
      <c r="F23" s="36" t="s">
        <v>3327</v>
      </c>
      <c r="G23" s="39">
        <v>40000</v>
      </c>
      <c r="H23" s="38">
        <f t="shared" si="0"/>
        <v>160</v>
      </c>
      <c r="I23" s="38">
        <f t="shared" si="1"/>
        <v>40</v>
      </c>
      <c r="J23" s="36"/>
      <c r="K23" s="40">
        <v>43646</v>
      </c>
      <c r="L23" s="41" t="s">
        <v>3328</v>
      </c>
      <c r="M23" s="42">
        <v>43640</v>
      </c>
      <c r="N23" s="43" t="s">
        <v>3329</v>
      </c>
      <c r="O23" s="42">
        <v>43646</v>
      </c>
      <c r="P23" s="41"/>
      <c r="Q23" s="36" t="s">
        <v>82</v>
      </c>
      <c r="R23" s="44" t="s">
        <v>3330</v>
      </c>
      <c r="S23" s="46" t="s">
        <v>2140</v>
      </c>
    </row>
    <row r="24" spans="2:19" s="30" customFormat="1" ht="33" hidden="1" customHeight="1">
      <c r="B24" s="46" t="s">
        <v>220</v>
      </c>
      <c r="C24" s="35" t="s">
        <v>1163</v>
      </c>
      <c r="D24" s="36" t="s">
        <v>1164</v>
      </c>
      <c r="E24" s="37">
        <v>43567</v>
      </c>
      <c r="F24" s="36" t="s">
        <v>79</v>
      </c>
      <c r="G24" s="39">
        <v>20000</v>
      </c>
      <c r="H24" s="38">
        <f t="shared" si="0"/>
        <v>80</v>
      </c>
      <c r="I24" s="38">
        <f t="shared" si="1"/>
        <v>20</v>
      </c>
      <c r="J24" s="36"/>
      <c r="K24" s="40">
        <v>43646</v>
      </c>
      <c r="L24" s="41" t="s">
        <v>3328</v>
      </c>
      <c r="M24" s="42">
        <v>43640</v>
      </c>
      <c r="N24" s="43" t="s">
        <v>3329</v>
      </c>
      <c r="O24" s="42">
        <v>43646</v>
      </c>
      <c r="P24" s="41"/>
      <c r="Q24" s="36"/>
      <c r="R24" s="44" t="s">
        <v>3331</v>
      </c>
      <c r="S24" s="46" t="s">
        <v>2140</v>
      </c>
    </row>
    <row r="25" spans="2:19" s="30" customFormat="1" ht="33" hidden="1" customHeight="1">
      <c r="B25" s="46" t="s">
        <v>78</v>
      </c>
      <c r="C25" s="35" t="s">
        <v>1166</v>
      </c>
      <c r="D25" s="36" t="s">
        <v>1167</v>
      </c>
      <c r="E25" s="37">
        <v>43567</v>
      </c>
      <c r="F25" s="36" t="s">
        <v>79</v>
      </c>
      <c r="G25" s="39">
        <v>20000</v>
      </c>
      <c r="H25" s="38">
        <f t="shared" si="0"/>
        <v>80</v>
      </c>
      <c r="I25" s="38">
        <f t="shared" si="1"/>
        <v>20</v>
      </c>
      <c r="J25" s="36"/>
      <c r="K25" s="40">
        <v>43653</v>
      </c>
      <c r="L25" s="41" t="s">
        <v>3332</v>
      </c>
      <c r="M25" s="42">
        <v>43647</v>
      </c>
      <c r="N25" s="43" t="s">
        <v>3333</v>
      </c>
      <c r="O25" s="42">
        <v>43653</v>
      </c>
      <c r="P25" s="41"/>
      <c r="Q25" s="36" t="s">
        <v>82</v>
      </c>
      <c r="R25" s="44" t="s">
        <v>3334</v>
      </c>
      <c r="S25" s="46" t="s">
        <v>2140</v>
      </c>
    </row>
    <row r="26" spans="2:19" s="30" customFormat="1" ht="33" hidden="1" customHeight="1">
      <c r="B26" s="46" t="s">
        <v>78</v>
      </c>
      <c r="C26" s="35" t="s">
        <v>1169</v>
      </c>
      <c r="D26" s="36" t="s">
        <v>1170</v>
      </c>
      <c r="E26" s="37">
        <v>43567</v>
      </c>
      <c r="F26" s="36" t="s">
        <v>79</v>
      </c>
      <c r="G26" s="39">
        <v>20000</v>
      </c>
      <c r="H26" s="38">
        <f t="shared" si="0"/>
        <v>80</v>
      </c>
      <c r="I26" s="38">
        <f t="shared" si="1"/>
        <v>20</v>
      </c>
      <c r="J26" s="36"/>
      <c r="K26" s="40">
        <v>43660</v>
      </c>
      <c r="L26" s="41" t="s">
        <v>3335</v>
      </c>
      <c r="M26" s="42">
        <v>43654</v>
      </c>
      <c r="N26" s="43" t="s">
        <v>3336</v>
      </c>
      <c r="O26" s="42">
        <v>43660</v>
      </c>
      <c r="P26" s="41"/>
      <c r="Q26" s="36" t="s">
        <v>82</v>
      </c>
      <c r="R26" s="44" t="s">
        <v>3337</v>
      </c>
      <c r="S26" s="46" t="s">
        <v>2140</v>
      </c>
    </row>
    <row r="27" spans="2:19" s="30" customFormat="1" ht="33" hidden="1" customHeight="1">
      <c r="B27" s="46" t="s">
        <v>78</v>
      </c>
      <c r="C27" s="35" t="s">
        <v>1172</v>
      </c>
      <c r="D27" s="36" t="s">
        <v>1173</v>
      </c>
      <c r="E27" s="37">
        <v>43567</v>
      </c>
      <c r="F27" s="36" t="s">
        <v>79</v>
      </c>
      <c r="G27" s="39">
        <v>20000</v>
      </c>
      <c r="H27" s="38">
        <f t="shared" si="0"/>
        <v>80</v>
      </c>
      <c r="I27" s="38">
        <f t="shared" si="1"/>
        <v>20</v>
      </c>
      <c r="J27" s="36"/>
      <c r="K27" s="40">
        <v>43667</v>
      </c>
      <c r="L27" s="41" t="s">
        <v>3338</v>
      </c>
      <c r="M27" s="42">
        <v>43658</v>
      </c>
      <c r="N27" s="43" t="s">
        <v>3339</v>
      </c>
      <c r="O27" s="42">
        <v>43667</v>
      </c>
      <c r="P27" s="41"/>
      <c r="Q27" s="36" t="s">
        <v>82</v>
      </c>
      <c r="R27" s="44" t="s">
        <v>3087</v>
      </c>
      <c r="S27" s="46" t="s">
        <v>2140</v>
      </c>
    </row>
    <row r="28" spans="2:19" s="30" customFormat="1" ht="33" hidden="1" customHeight="1">
      <c r="B28" s="46" t="s">
        <v>220</v>
      </c>
      <c r="C28" s="35" t="s">
        <v>1175</v>
      </c>
      <c r="D28" s="36" t="s">
        <v>1176</v>
      </c>
      <c r="E28" s="37">
        <v>43567</v>
      </c>
      <c r="F28" s="36" t="s">
        <v>79</v>
      </c>
      <c r="G28" s="39">
        <v>20000</v>
      </c>
      <c r="H28" s="38">
        <f t="shared" si="0"/>
        <v>80</v>
      </c>
      <c r="I28" s="38">
        <f t="shared" si="1"/>
        <v>20</v>
      </c>
      <c r="J28" s="36"/>
      <c r="K28" s="40">
        <v>43667</v>
      </c>
      <c r="L28" s="41" t="s">
        <v>1319</v>
      </c>
      <c r="M28" s="42">
        <v>43658</v>
      </c>
      <c r="N28" s="43" t="s">
        <v>3340</v>
      </c>
      <c r="O28" s="42">
        <v>43667</v>
      </c>
      <c r="P28" s="41"/>
      <c r="Q28" s="36"/>
      <c r="R28" s="44" t="s">
        <v>3341</v>
      </c>
      <c r="S28" s="46"/>
    </row>
    <row r="29" spans="2:19" s="30" customFormat="1" ht="33" hidden="1" customHeight="1">
      <c r="B29" s="46" t="s">
        <v>78</v>
      </c>
      <c r="C29" s="35" t="s">
        <v>1178</v>
      </c>
      <c r="D29" s="36" t="s">
        <v>1179</v>
      </c>
      <c r="E29" s="37">
        <v>43567</v>
      </c>
      <c r="F29" s="36" t="s">
        <v>3342</v>
      </c>
      <c r="G29" s="39">
        <v>10000</v>
      </c>
      <c r="H29" s="38">
        <f t="shared" si="0"/>
        <v>40</v>
      </c>
      <c r="I29" s="38">
        <f t="shared" si="1"/>
        <v>10</v>
      </c>
      <c r="J29" s="36"/>
      <c r="K29" s="40">
        <v>43674</v>
      </c>
      <c r="L29" s="41" t="s">
        <v>3343</v>
      </c>
      <c r="M29" s="42">
        <v>43668</v>
      </c>
      <c r="N29" s="43" t="s">
        <v>3344</v>
      </c>
      <c r="O29" s="42">
        <v>43674</v>
      </c>
      <c r="P29" s="41"/>
      <c r="Q29" s="36" t="s">
        <v>82</v>
      </c>
      <c r="R29" s="44" t="s">
        <v>3345</v>
      </c>
      <c r="S29" s="46"/>
    </row>
    <row r="30" spans="2:19" s="30" customFormat="1" ht="33" hidden="1" customHeight="1">
      <c r="B30" s="46" t="s">
        <v>220</v>
      </c>
      <c r="C30" s="35" t="s">
        <v>1181</v>
      </c>
      <c r="D30" s="36" t="s">
        <v>1182</v>
      </c>
      <c r="E30" s="37">
        <v>43567</v>
      </c>
      <c r="F30" s="36" t="s">
        <v>3342</v>
      </c>
      <c r="G30" s="39">
        <v>10000</v>
      </c>
      <c r="H30" s="38">
        <f t="shared" si="0"/>
        <v>40</v>
      </c>
      <c r="I30" s="38">
        <f t="shared" si="1"/>
        <v>10</v>
      </c>
      <c r="J30" s="36"/>
      <c r="K30" s="40">
        <v>43674</v>
      </c>
      <c r="L30" s="41" t="s">
        <v>1321</v>
      </c>
      <c r="M30" s="42">
        <v>43668</v>
      </c>
      <c r="N30" s="43" t="s">
        <v>3344</v>
      </c>
      <c r="O30" s="42">
        <v>43674</v>
      </c>
      <c r="P30" s="41"/>
      <c r="Q30" s="36"/>
      <c r="R30" s="44" t="s">
        <v>3092</v>
      </c>
      <c r="S30" s="46"/>
    </row>
    <row r="31" spans="2:19" s="30" customFormat="1" ht="33" hidden="1" customHeight="1">
      <c r="B31" s="46" t="s">
        <v>78</v>
      </c>
      <c r="C31" s="35" t="s">
        <v>2273</v>
      </c>
      <c r="D31" s="36" t="s">
        <v>2274</v>
      </c>
      <c r="E31" s="37">
        <v>43602</v>
      </c>
      <c r="F31" s="36" t="s">
        <v>79</v>
      </c>
      <c r="G31" s="39">
        <v>20000</v>
      </c>
      <c r="H31" s="38">
        <f t="shared" si="0"/>
        <v>80</v>
      </c>
      <c r="I31" s="38">
        <f t="shared" si="1"/>
        <v>20</v>
      </c>
      <c r="J31" s="36"/>
      <c r="K31" s="40">
        <v>43688</v>
      </c>
      <c r="L31" s="41" t="s">
        <v>3346</v>
      </c>
      <c r="M31" s="42">
        <v>43682</v>
      </c>
      <c r="N31" s="43" t="s">
        <v>3347</v>
      </c>
      <c r="O31" s="42">
        <v>43688</v>
      </c>
      <c r="P31" s="41"/>
      <c r="Q31" s="36" t="s">
        <v>82</v>
      </c>
      <c r="R31" s="44" t="s">
        <v>3348</v>
      </c>
      <c r="S31" s="46"/>
    </row>
    <row r="32" spans="2:19" s="30" customFormat="1" ht="33" hidden="1" customHeight="1">
      <c r="B32" s="46" t="s">
        <v>78</v>
      </c>
      <c r="C32" s="35" t="s">
        <v>2276</v>
      </c>
      <c r="D32" s="36" t="s">
        <v>2277</v>
      </c>
      <c r="E32" s="37">
        <v>43602</v>
      </c>
      <c r="F32" s="36" t="s">
        <v>79</v>
      </c>
      <c r="G32" s="39">
        <v>20000</v>
      </c>
      <c r="H32" s="38">
        <f t="shared" si="0"/>
        <v>80</v>
      </c>
      <c r="I32" s="38">
        <f t="shared" si="1"/>
        <v>20</v>
      </c>
      <c r="J32" s="36"/>
      <c r="K32" s="40">
        <v>43695</v>
      </c>
      <c r="L32" s="41" t="s">
        <v>3346</v>
      </c>
      <c r="M32" s="42">
        <v>43682</v>
      </c>
      <c r="N32" s="43" t="s">
        <v>3347</v>
      </c>
      <c r="O32" s="42">
        <v>43688</v>
      </c>
      <c r="P32" s="41"/>
      <c r="Q32" s="36" t="s">
        <v>82</v>
      </c>
      <c r="R32" s="44" t="s">
        <v>3349</v>
      </c>
      <c r="S32" s="46"/>
    </row>
    <row r="33" spans="2:19" s="30" customFormat="1" ht="33" hidden="1" customHeight="1">
      <c r="B33" s="46" t="s">
        <v>220</v>
      </c>
      <c r="C33" s="35" t="s">
        <v>2279</v>
      </c>
      <c r="D33" s="36" t="s">
        <v>2280</v>
      </c>
      <c r="E33" s="37">
        <v>43602</v>
      </c>
      <c r="F33" s="36" t="s">
        <v>79</v>
      </c>
      <c r="G33" s="39">
        <v>20000</v>
      </c>
      <c r="H33" s="38">
        <f t="shared" si="0"/>
        <v>80</v>
      </c>
      <c r="I33" s="38">
        <f t="shared" si="1"/>
        <v>20</v>
      </c>
      <c r="J33" s="36"/>
      <c r="K33" s="40">
        <v>43695</v>
      </c>
      <c r="L33" s="41" t="s">
        <v>3346</v>
      </c>
      <c r="M33" s="42">
        <v>43682</v>
      </c>
      <c r="N33" s="43" t="s">
        <v>3347</v>
      </c>
      <c r="O33" s="42">
        <v>43688</v>
      </c>
      <c r="P33" s="41"/>
      <c r="Q33" s="36"/>
      <c r="R33" s="44" t="s">
        <v>3350</v>
      </c>
      <c r="S33" s="46"/>
    </row>
    <row r="34" spans="2:19" s="30" customFormat="1" ht="33" hidden="1" customHeight="1">
      <c r="B34" s="46" t="s">
        <v>78</v>
      </c>
      <c r="C34" s="35" t="s">
        <v>2282</v>
      </c>
      <c r="D34" s="36" t="s">
        <v>2283</v>
      </c>
      <c r="E34" s="37">
        <v>43602</v>
      </c>
      <c r="F34" s="36" t="s">
        <v>79</v>
      </c>
      <c r="G34" s="39">
        <v>20000</v>
      </c>
      <c r="H34" s="38">
        <f t="shared" si="0"/>
        <v>80</v>
      </c>
      <c r="I34" s="38">
        <f t="shared" si="1"/>
        <v>20</v>
      </c>
      <c r="J34" s="36"/>
      <c r="K34" s="40">
        <v>43709</v>
      </c>
      <c r="L34" s="41" t="s">
        <v>3351</v>
      </c>
      <c r="M34" s="42">
        <v>43703</v>
      </c>
      <c r="N34" s="43" t="s">
        <v>3352</v>
      </c>
      <c r="O34" s="42">
        <v>43709</v>
      </c>
      <c r="P34" s="41"/>
      <c r="Q34" s="36" t="s">
        <v>82</v>
      </c>
      <c r="R34" s="44" t="s">
        <v>3100</v>
      </c>
      <c r="S34" s="46"/>
    </row>
    <row r="35" spans="2:19" s="147" customFormat="1" ht="33" hidden="1" customHeight="1">
      <c r="B35" s="103" t="s">
        <v>220</v>
      </c>
      <c r="C35" s="104" t="s">
        <v>3353</v>
      </c>
      <c r="D35" s="105" t="s">
        <v>3354</v>
      </c>
      <c r="E35" s="106">
        <v>43637</v>
      </c>
      <c r="F35" s="105" t="s">
        <v>79</v>
      </c>
      <c r="G35" s="108">
        <v>20000</v>
      </c>
      <c r="H35" s="107">
        <f t="shared" si="0"/>
        <v>80</v>
      </c>
      <c r="I35" s="107">
        <f t="shared" si="1"/>
        <v>20</v>
      </c>
      <c r="J35" s="105"/>
      <c r="K35" s="109">
        <v>43716</v>
      </c>
      <c r="L35" s="110"/>
      <c r="M35" s="111"/>
      <c r="N35" s="112"/>
      <c r="O35" s="111"/>
      <c r="P35" s="110"/>
      <c r="Q35" s="105"/>
      <c r="R35" s="114" t="s">
        <v>3355</v>
      </c>
      <c r="S35" s="103"/>
    </row>
    <row r="36" spans="2:19" s="147" customFormat="1" ht="33" hidden="1" customHeight="1">
      <c r="B36" s="103" t="s">
        <v>78</v>
      </c>
      <c r="C36" s="104" t="s">
        <v>3356</v>
      </c>
      <c r="D36" s="105" t="s">
        <v>3357</v>
      </c>
      <c r="E36" s="106">
        <v>43637</v>
      </c>
      <c r="F36" s="105" t="s">
        <v>79</v>
      </c>
      <c r="G36" s="108">
        <v>20000</v>
      </c>
      <c r="H36" s="107">
        <f t="shared" si="0"/>
        <v>80</v>
      </c>
      <c r="I36" s="107">
        <f t="shared" si="1"/>
        <v>20</v>
      </c>
      <c r="J36" s="105"/>
      <c r="K36" s="109">
        <v>43723</v>
      </c>
      <c r="L36" s="110"/>
      <c r="M36" s="111"/>
      <c r="N36" s="112"/>
      <c r="O36" s="111"/>
      <c r="P36" s="110"/>
      <c r="Q36" s="105" t="s">
        <v>82</v>
      </c>
      <c r="R36" s="114" t="s">
        <v>3358</v>
      </c>
      <c r="S36" s="103"/>
    </row>
    <row r="37" spans="2:19" s="147" customFormat="1" ht="33" hidden="1" customHeight="1">
      <c r="B37" s="103" t="s">
        <v>78</v>
      </c>
      <c r="C37" s="104" t="s">
        <v>3359</v>
      </c>
      <c r="D37" s="105" t="s">
        <v>3360</v>
      </c>
      <c r="E37" s="106">
        <v>43637</v>
      </c>
      <c r="F37" s="105" t="s">
        <v>79</v>
      </c>
      <c r="G37" s="108">
        <v>20000</v>
      </c>
      <c r="H37" s="107">
        <f t="shared" si="0"/>
        <v>80</v>
      </c>
      <c r="I37" s="107">
        <f t="shared" si="1"/>
        <v>20</v>
      </c>
      <c r="J37" s="105"/>
      <c r="K37" s="109">
        <v>43730</v>
      </c>
      <c r="L37" s="110"/>
      <c r="M37" s="111"/>
      <c r="N37" s="112"/>
      <c r="O37" s="111"/>
      <c r="P37" s="110"/>
      <c r="Q37" s="105" t="s">
        <v>82</v>
      </c>
      <c r="R37" s="114" t="s">
        <v>3361</v>
      </c>
      <c r="S37" s="103"/>
    </row>
    <row r="38" spans="2:19" s="96" customFormat="1" ht="33" hidden="1" customHeight="1">
      <c r="B38" s="47" t="s">
        <v>17</v>
      </c>
      <c r="C38" s="48" t="s">
        <v>427</v>
      </c>
      <c r="D38" s="49" t="s">
        <v>3362</v>
      </c>
      <c r="E38" s="50">
        <v>43483</v>
      </c>
      <c r="F38" s="52" t="s">
        <v>84</v>
      </c>
      <c r="G38" s="51">
        <v>9200</v>
      </c>
      <c r="H38" s="52">
        <f t="shared" ref="H38:H59" si="2">SUM(G38/230)</f>
        <v>40</v>
      </c>
      <c r="I38" s="52">
        <f t="shared" si="1"/>
        <v>10</v>
      </c>
      <c r="J38" s="49"/>
      <c r="K38" s="53">
        <v>43576</v>
      </c>
      <c r="L38" s="54" t="s">
        <v>3363</v>
      </c>
      <c r="M38" s="55">
        <v>43571</v>
      </c>
      <c r="N38" s="56" t="s">
        <v>3364</v>
      </c>
      <c r="O38" s="55">
        <v>43576</v>
      </c>
      <c r="P38" s="58"/>
      <c r="Q38" s="52" t="s">
        <v>82</v>
      </c>
      <c r="R38" s="57" t="s">
        <v>3365</v>
      </c>
      <c r="S38" s="47"/>
    </row>
    <row r="39" spans="2:19" s="67" customFormat="1" ht="33" hidden="1" customHeight="1">
      <c r="B39" s="46" t="s">
        <v>17</v>
      </c>
      <c r="C39" s="35" t="s">
        <v>581</v>
      </c>
      <c r="D39" s="36" t="s">
        <v>582</v>
      </c>
      <c r="E39" s="37">
        <v>43519</v>
      </c>
      <c r="F39" s="38" t="s">
        <v>84</v>
      </c>
      <c r="G39" s="39">
        <v>9200</v>
      </c>
      <c r="H39" s="38">
        <f t="shared" si="2"/>
        <v>40</v>
      </c>
      <c r="I39" s="38">
        <f t="shared" si="1"/>
        <v>10</v>
      </c>
      <c r="J39" s="36"/>
      <c r="K39" s="40">
        <v>43632</v>
      </c>
      <c r="L39" s="41" t="s">
        <v>3366</v>
      </c>
      <c r="M39" s="42">
        <v>43620</v>
      </c>
      <c r="N39" s="43" t="s">
        <v>3367</v>
      </c>
      <c r="O39" s="42">
        <v>43625</v>
      </c>
      <c r="P39" s="45"/>
      <c r="Q39" s="38" t="s">
        <v>82</v>
      </c>
      <c r="R39" s="44" t="s">
        <v>3368</v>
      </c>
      <c r="S39" s="46"/>
    </row>
    <row r="40" spans="2:19" s="67" customFormat="1" ht="33" hidden="1" customHeight="1">
      <c r="B40" s="46" t="s">
        <v>17</v>
      </c>
      <c r="C40" s="35" t="s">
        <v>694</v>
      </c>
      <c r="D40" s="36" t="s">
        <v>695</v>
      </c>
      <c r="E40" s="37">
        <v>43532</v>
      </c>
      <c r="F40" s="38" t="s">
        <v>3369</v>
      </c>
      <c r="G40" s="39">
        <v>9200</v>
      </c>
      <c r="H40" s="38">
        <f t="shared" si="2"/>
        <v>40</v>
      </c>
      <c r="I40" s="38">
        <f t="shared" si="1"/>
        <v>10</v>
      </c>
      <c r="J40" s="36"/>
      <c r="K40" s="40">
        <v>43653</v>
      </c>
      <c r="L40" s="41" t="s">
        <v>1326</v>
      </c>
      <c r="M40" s="42">
        <v>43648</v>
      </c>
      <c r="N40" s="43" t="s">
        <v>2540</v>
      </c>
      <c r="O40" s="42">
        <v>43653</v>
      </c>
      <c r="P40" s="45"/>
      <c r="Q40" s="38" t="s">
        <v>82</v>
      </c>
      <c r="R40" s="44" t="s">
        <v>3370</v>
      </c>
      <c r="S40" s="46"/>
    </row>
    <row r="41" spans="2:19" s="67" customFormat="1" ht="33" hidden="1" customHeight="1">
      <c r="B41" s="46" t="s">
        <v>17</v>
      </c>
      <c r="C41" s="35" t="s">
        <v>2299</v>
      </c>
      <c r="D41" s="36" t="s">
        <v>2641</v>
      </c>
      <c r="E41" s="37">
        <v>43609</v>
      </c>
      <c r="F41" s="38" t="s">
        <v>3371</v>
      </c>
      <c r="G41" s="39">
        <v>2760</v>
      </c>
      <c r="H41" s="38">
        <f t="shared" si="2"/>
        <v>12</v>
      </c>
      <c r="I41" s="38">
        <f t="shared" si="1"/>
        <v>3</v>
      </c>
      <c r="J41" s="36"/>
      <c r="K41" s="40">
        <v>43653</v>
      </c>
      <c r="L41" s="41" t="s">
        <v>1326</v>
      </c>
      <c r="M41" s="42">
        <v>43648</v>
      </c>
      <c r="N41" s="43" t="s">
        <v>2540</v>
      </c>
      <c r="O41" s="42">
        <v>43653</v>
      </c>
      <c r="P41" s="45"/>
      <c r="Q41" s="38" t="s">
        <v>82</v>
      </c>
      <c r="R41" s="44" t="s">
        <v>3370</v>
      </c>
      <c r="S41" s="46"/>
    </row>
    <row r="42" spans="2:19" s="67" customFormat="1" ht="33" hidden="1" customHeight="1">
      <c r="B42" s="46" t="s">
        <v>17</v>
      </c>
      <c r="C42" s="35" t="s">
        <v>3372</v>
      </c>
      <c r="D42" s="36" t="s">
        <v>2300</v>
      </c>
      <c r="E42" s="37">
        <v>43602</v>
      </c>
      <c r="F42" s="38" t="s">
        <v>3369</v>
      </c>
      <c r="G42" s="39">
        <v>9200</v>
      </c>
      <c r="H42" s="38">
        <f t="shared" si="2"/>
        <v>40</v>
      </c>
      <c r="I42" s="38">
        <f t="shared" si="1"/>
        <v>10</v>
      </c>
      <c r="J42" s="36"/>
      <c r="K42" s="40">
        <v>43695</v>
      </c>
      <c r="L42" s="41" t="s">
        <v>3373</v>
      </c>
      <c r="M42" s="42">
        <v>43683</v>
      </c>
      <c r="N42" s="43" t="s">
        <v>3374</v>
      </c>
      <c r="O42" s="42">
        <v>43688</v>
      </c>
      <c r="P42" s="45"/>
      <c r="Q42" s="38" t="s">
        <v>82</v>
      </c>
      <c r="R42" s="44" t="s">
        <v>3375</v>
      </c>
      <c r="S42" s="46" t="s">
        <v>2764</v>
      </c>
    </row>
    <row r="43" spans="2:19" s="117" customFormat="1" ht="33" hidden="1" customHeight="1">
      <c r="B43" s="103" t="s">
        <v>17</v>
      </c>
      <c r="C43" s="104" t="s">
        <v>3376</v>
      </c>
      <c r="D43" s="105" t="s">
        <v>3377</v>
      </c>
      <c r="E43" s="106">
        <v>43637</v>
      </c>
      <c r="F43" s="107" t="s">
        <v>3369</v>
      </c>
      <c r="G43" s="108">
        <v>9200</v>
      </c>
      <c r="H43" s="107">
        <f t="shared" si="2"/>
        <v>40</v>
      </c>
      <c r="I43" s="107">
        <f t="shared" si="1"/>
        <v>10</v>
      </c>
      <c r="J43" s="105"/>
      <c r="K43" s="109">
        <v>43716</v>
      </c>
      <c r="L43" s="110"/>
      <c r="M43" s="111"/>
      <c r="N43" s="112"/>
      <c r="O43" s="111"/>
      <c r="P43" s="113"/>
      <c r="Q43" s="107"/>
      <c r="R43" s="114" t="s">
        <v>3378</v>
      </c>
      <c r="S43" s="103"/>
    </row>
    <row r="44" spans="2:19" s="117" customFormat="1" ht="33" hidden="1" customHeight="1">
      <c r="B44" s="103" t="s">
        <v>17</v>
      </c>
      <c r="C44" s="104" t="s">
        <v>3379</v>
      </c>
      <c r="D44" s="105" t="s">
        <v>3380</v>
      </c>
      <c r="E44" s="106">
        <v>43637</v>
      </c>
      <c r="F44" s="107" t="s">
        <v>3369</v>
      </c>
      <c r="G44" s="108">
        <v>9200</v>
      </c>
      <c r="H44" s="107">
        <f t="shared" si="2"/>
        <v>40</v>
      </c>
      <c r="I44" s="107">
        <f t="shared" si="1"/>
        <v>10</v>
      </c>
      <c r="J44" s="105"/>
      <c r="K44" s="109">
        <v>43744</v>
      </c>
      <c r="L44" s="110"/>
      <c r="M44" s="111"/>
      <c r="N44" s="112"/>
      <c r="O44" s="111"/>
      <c r="P44" s="113"/>
      <c r="Q44" s="107"/>
      <c r="R44" s="114" t="s">
        <v>3381</v>
      </c>
      <c r="S44" s="103"/>
    </row>
    <row r="45" spans="2:19" s="96" customFormat="1" ht="33" hidden="1" customHeight="1">
      <c r="B45" s="47" t="s">
        <v>81</v>
      </c>
      <c r="C45" s="48" t="s">
        <v>279</v>
      </c>
      <c r="D45" s="49" t="s">
        <v>3382</v>
      </c>
      <c r="E45" s="50">
        <v>43392</v>
      </c>
      <c r="F45" s="52" t="s">
        <v>84</v>
      </c>
      <c r="G45" s="51">
        <v>11960</v>
      </c>
      <c r="H45" s="52">
        <f t="shared" si="2"/>
        <v>52</v>
      </c>
      <c r="I45" s="52">
        <f t="shared" si="1"/>
        <v>13</v>
      </c>
      <c r="J45" s="52"/>
      <c r="K45" s="53">
        <v>43597</v>
      </c>
      <c r="L45" s="54" t="s">
        <v>3383</v>
      </c>
      <c r="M45" s="55">
        <v>43594</v>
      </c>
      <c r="N45" s="56" t="s">
        <v>3384</v>
      </c>
      <c r="O45" s="55">
        <v>43598</v>
      </c>
      <c r="P45" s="58" t="s">
        <v>3385</v>
      </c>
      <c r="Q45" s="47"/>
      <c r="R45" s="57" t="s">
        <v>3386</v>
      </c>
      <c r="S45" s="47"/>
    </row>
    <row r="46" spans="2:19" s="96" customFormat="1" ht="33" hidden="1" customHeight="1">
      <c r="B46" s="47" t="s">
        <v>81</v>
      </c>
      <c r="C46" s="48" t="s">
        <v>3387</v>
      </c>
      <c r="D46" s="49" t="s">
        <v>3382</v>
      </c>
      <c r="E46" s="50">
        <v>43392</v>
      </c>
      <c r="F46" s="52" t="s">
        <v>84</v>
      </c>
      <c r="G46" s="51">
        <v>1840</v>
      </c>
      <c r="H46" s="52">
        <f t="shared" si="2"/>
        <v>8</v>
      </c>
      <c r="I46" s="52">
        <f t="shared" si="1"/>
        <v>2</v>
      </c>
      <c r="J46" s="52"/>
      <c r="K46" s="53">
        <v>43597</v>
      </c>
      <c r="L46" s="54" t="s">
        <v>773</v>
      </c>
      <c r="M46" s="55">
        <v>43601</v>
      </c>
      <c r="N46" s="56" t="s">
        <v>3388</v>
      </c>
      <c r="O46" s="55">
        <v>43605</v>
      </c>
      <c r="P46" s="58" t="s">
        <v>3385</v>
      </c>
      <c r="Q46" s="47"/>
      <c r="R46" s="57" t="s">
        <v>3386</v>
      </c>
      <c r="S46" s="47" t="s">
        <v>1329</v>
      </c>
    </row>
    <row r="47" spans="2:19" s="96" customFormat="1" ht="33" hidden="1" customHeight="1">
      <c r="B47" s="47" t="s">
        <v>81</v>
      </c>
      <c r="C47" s="48" t="s">
        <v>318</v>
      </c>
      <c r="D47" s="49" t="s">
        <v>319</v>
      </c>
      <c r="E47" s="50">
        <v>43420</v>
      </c>
      <c r="F47" s="52" t="s">
        <v>3369</v>
      </c>
      <c r="G47" s="51">
        <v>17940</v>
      </c>
      <c r="H47" s="52">
        <f t="shared" si="2"/>
        <v>78</v>
      </c>
      <c r="I47" s="52">
        <f t="shared" si="1"/>
        <v>19.5</v>
      </c>
      <c r="J47" s="52"/>
      <c r="K47" s="53">
        <v>43576</v>
      </c>
      <c r="L47" s="54" t="s">
        <v>480</v>
      </c>
      <c r="M47" s="55">
        <v>43564</v>
      </c>
      <c r="N47" s="56" t="s">
        <v>3389</v>
      </c>
      <c r="O47" s="55">
        <v>43569</v>
      </c>
      <c r="P47" s="58"/>
      <c r="Q47" s="47"/>
      <c r="R47" s="57" t="s">
        <v>3390</v>
      </c>
      <c r="S47" s="47" t="s">
        <v>3391</v>
      </c>
    </row>
    <row r="48" spans="2:19" s="96" customFormat="1" ht="33" hidden="1" customHeight="1">
      <c r="B48" s="47" t="s">
        <v>81</v>
      </c>
      <c r="C48" s="48" t="s">
        <v>3392</v>
      </c>
      <c r="D48" s="49" t="s">
        <v>701</v>
      </c>
      <c r="E48" s="50">
        <v>43532</v>
      </c>
      <c r="F48" s="52" t="s">
        <v>3369</v>
      </c>
      <c r="G48" s="51">
        <v>13800</v>
      </c>
      <c r="H48" s="52">
        <f t="shared" si="2"/>
        <v>60</v>
      </c>
      <c r="I48" s="52">
        <f t="shared" si="1"/>
        <v>15</v>
      </c>
      <c r="J48" s="52"/>
      <c r="K48" s="53">
        <v>43615</v>
      </c>
      <c r="L48" s="54" t="s">
        <v>3393</v>
      </c>
      <c r="M48" s="55">
        <v>43613</v>
      </c>
      <c r="N48" s="56" t="s">
        <v>3394</v>
      </c>
      <c r="O48" s="55">
        <v>43618</v>
      </c>
      <c r="P48" s="58"/>
      <c r="Q48" s="47"/>
      <c r="R48" s="57" t="s">
        <v>3395</v>
      </c>
      <c r="S48" s="47"/>
    </row>
    <row r="49" spans="2:19" s="67" customFormat="1" ht="33" hidden="1" customHeight="1">
      <c r="B49" s="46" t="s">
        <v>81</v>
      </c>
      <c r="C49" s="35" t="s">
        <v>3396</v>
      </c>
      <c r="D49" s="36" t="s">
        <v>3397</v>
      </c>
      <c r="E49" s="37">
        <v>43532</v>
      </c>
      <c r="F49" s="38" t="s">
        <v>3369</v>
      </c>
      <c r="G49" s="39">
        <v>4600</v>
      </c>
      <c r="H49" s="38">
        <f t="shared" si="2"/>
        <v>20</v>
      </c>
      <c r="I49" s="38">
        <f t="shared" si="1"/>
        <v>5</v>
      </c>
      <c r="J49" s="38"/>
      <c r="K49" s="40">
        <v>43615</v>
      </c>
      <c r="L49" s="41" t="s">
        <v>3366</v>
      </c>
      <c r="M49" s="42">
        <v>43620</v>
      </c>
      <c r="N49" s="43" t="s">
        <v>3367</v>
      </c>
      <c r="O49" s="42">
        <v>43625</v>
      </c>
      <c r="P49" s="45"/>
      <c r="Q49" s="46"/>
      <c r="R49" s="44" t="s">
        <v>3395</v>
      </c>
      <c r="S49" s="46"/>
    </row>
    <row r="50" spans="2:19" s="67" customFormat="1" ht="33" hidden="1" customHeight="1">
      <c r="B50" s="46" t="s">
        <v>81</v>
      </c>
      <c r="C50" s="35" t="s">
        <v>702</v>
      </c>
      <c r="D50" s="36" t="s">
        <v>703</v>
      </c>
      <c r="E50" s="37">
        <v>43532</v>
      </c>
      <c r="F50" s="38" t="s">
        <v>3369</v>
      </c>
      <c r="G50" s="39">
        <v>9200</v>
      </c>
      <c r="H50" s="38">
        <f t="shared" si="2"/>
        <v>40</v>
      </c>
      <c r="I50" s="38">
        <f t="shared" si="1"/>
        <v>10</v>
      </c>
      <c r="J50" s="38"/>
      <c r="K50" s="40">
        <v>43632</v>
      </c>
      <c r="L50" s="41" t="s">
        <v>807</v>
      </c>
      <c r="M50" s="42">
        <v>43627</v>
      </c>
      <c r="N50" s="43" t="s">
        <v>808</v>
      </c>
      <c r="O50" s="42">
        <v>43632</v>
      </c>
      <c r="P50" s="45"/>
      <c r="Q50" s="46"/>
      <c r="R50" s="44" t="s">
        <v>3398</v>
      </c>
      <c r="S50" s="46"/>
    </row>
    <row r="51" spans="2:19" s="67" customFormat="1" ht="33" hidden="1" customHeight="1">
      <c r="B51" s="46" t="s">
        <v>81</v>
      </c>
      <c r="C51" s="35" t="s">
        <v>852</v>
      </c>
      <c r="D51" s="36" t="s">
        <v>1990</v>
      </c>
      <c r="E51" s="37">
        <v>43558</v>
      </c>
      <c r="F51" s="38" t="s">
        <v>3369</v>
      </c>
      <c r="G51" s="39">
        <v>9200</v>
      </c>
      <c r="H51" s="38">
        <f t="shared" si="2"/>
        <v>40</v>
      </c>
      <c r="I51" s="38">
        <f t="shared" si="1"/>
        <v>10</v>
      </c>
      <c r="J51" s="38"/>
      <c r="K51" s="40">
        <v>43639</v>
      </c>
      <c r="L51" s="41" t="s">
        <v>1083</v>
      </c>
      <c r="M51" s="42">
        <v>43634</v>
      </c>
      <c r="N51" s="43" t="s">
        <v>1084</v>
      </c>
      <c r="O51" s="42">
        <v>43639</v>
      </c>
      <c r="P51" s="45"/>
      <c r="Q51" s="46"/>
      <c r="R51" s="44" t="s">
        <v>3398</v>
      </c>
      <c r="S51" s="46"/>
    </row>
    <row r="52" spans="2:19" s="67" customFormat="1" ht="33" hidden="1" customHeight="1">
      <c r="B52" s="46" t="s">
        <v>81</v>
      </c>
      <c r="C52" s="35" t="s">
        <v>1435</v>
      </c>
      <c r="D52" s="36" t="s">
        <v>1436</v>
      </c>
      <c r="E52" s="37">
        <v>43574</v>
      </c>
      <c r="F52" s="38" t="s">
        <v>3369</v>
      </c>
      <c r="G52" s="39">
        <v>18400</v>
      </c>
      <c r="H52" s="38">
        <f t="shared" si="2"/>
        <v>80</v>
      </c>
      <c r="I52" s="38">
        <f t="shared" si="1"/>
        <v>20</v>
      </c>
      <c r="J52" s="38"/>
      <c r="K52" s="130">
        <v>43646</v>
      </c>
      <c r="L52" s="119" t="s">
        <v>3399</v>
      </c>
      <c r="M52" s="120">
        <v>43641</v>
      </c>
      <c r="N52" s="121" t="s">
        <v>3400</v>
      </c>
      <c r="O52" s="120">
        <v>43646</v>
      </c>
      <c r="P52" s="45"/>
      <c r="Q52" s="46"/>
      <c r="R52" s="44" t="s">
        <v>3401</v>
      </c>
      <c r="S52" s="122" t="s">
        <v>3251</v>
      </c>
    </row>
    <row r="53" spans="2:19" s="67" customFormat="1" ht="33" hidden="1" customHeight="1">
      <c r="B53" s="46" t="s">
        <v>81</v>
      </c>
      <c r="C53" s="35" t="s">
        <v>2322</v>
      </c>
      <c r="D53" s="36" t="s">
        <v>2323</v>
      </c>
      <c r="E53" s="37">
        <v>43602</v>
      </c>
      <c r="F53" s="38" t="s">
        <v>3369</v>
      </c>
      <c r="G53" s="39">
        <v>18400</v>
      </c>
      <c r="H53" s="38">
        <f t="shared" si="2"/>
        <v>80</v>
      </c>
      <c r="I53" s="38">
        <f t="shared" si="1"/>
        <v>20</v>
      </c>
      <c r="J53" s="38"/>
      <c r="K53" s="40">
        <v>43674</v>
      </c>
      <c r="L53" s="41" t="s">
        <v>2146</v>
      </c>
      <c r="M53" s="42">
        <v>43669</v>
      </c>
      <c r="N53" s="43" t="s">
        <v>2551</v>
      </c>
      <c r="O53" s="42">
        <v>43674</v>
      </c>
      <c r="P53" s="45"/>
      <c r="Q53" s="46"/>
      <c r="R53" s="44" t="s">
        <v>3402</v>
      </c>
      <c r="S53" s="46"/>
    </row>
    <row r="54" spans="2:19" s="67" customFormat="1" ht="33" customHeight="1">
      <c r="B54" s="46" t="s">
        <v>81</v>
      </c>
      <c r="C54" s="35" t="s">
        <v>2325</v>
      </c>
      <c r="D54" s="36" t="s">
        <v>2326</v>
      </c>
      <c r="E54" s="37">
        <v>43602</v>
      </c>
      <c r="F54" s="38" t="s">
        <v>3369</v>
      </c>
      <c r="G54" s="166">
        <v>10580</v>
      </c>
      <c r="H54" s="165">
        <f t="shared" si="2"/>
        <v>46</v>
      </c>
      <c r="I54" s="165">
        <f t="shared" si="1"/>
        <v>11.5</v>
      </c>
      <c r="J54" s="38"/>
      <c r="K54" s="130">
        <v>43681</v>
      </c>
      <c r="L54" s="119" t="s">
        <v>3403</v>
      </c>
      <c r="M54" s="120">
        <v>43676</v>
      </c>
      <c r="N54" s="121" t="s">
        <v>3404</v>
      </c>
      <c r="O54" s="120">
        <v>43681</v>
      </c>
      <c r="P54" s="45"/>
      <c r="Q54" s="46"/>
      <c r="R54" s="44" t="s">
        <v>3405</v>
      </c>
      <c r="S54" s="122" t="s">
        <v>3251</v>
      </c>
    </row>
    <row r="55" spans="2:19" s="117" customFormat="1" ht="33" hidden="1" customHeight="1">
      <c r="B55" s="103" t="s">
        <v>81</v>
      </c>
      <c r="C55" s="104" t="s">
        <v>3406</v>
      </c>
      <c r="D55" s="105" t="s">
        <v>3407</v>
      </c>
      <c r="E55" s="106">
        <v>43637</v>
      </c>
      <c r="F55" s="107" t="s">
        <v>3369</v>
      </c>
      <c r="G55" s="108">
        <v>13800</v>
      </c>
      <c r="H55" s="107">
        <f t="shared" si="2"/>
        <v>60</v>
      </c>
      <c r="I55" s="107">
        <f t="shared" si="1"/>
        <v>15</v>
      </c>
      <c r="J55" s="107"/>
      <c r="K55" s="109">
        <v>43723</v>
      </c>
      <c r="L55" s="110"/>
      <c r="M55" s="111"/>
      <c r="N55" s="112"/>
      <c r="O55" s="111"/>
      <c r="P55" s="113"/>
      <c r="Q55" s="103"/>
      <c r="R55" s="114" t="s">
        <v>3408</v>
      </c>
      <c r="S55" s="103"/>
    </row>
    <row r="56" spans="2:19" s="117" customFormat="1" ht="33" hidden="1" customHeight="1">
      <c r="B56" s="103" t="s">
        <v>81</v>
      </c>
      <c r="C56" s="104" t="s">
        <v>3409</v>
      </c>
      <c r="D56" s="105"/>
      <c r="E56" s="106">
        <v>43637</v>
      </c>
      <c r="F56" s="107" t="s">
        <v>3369</v>
      </c>
      <c r="G56" s="108">
        <v>9200</v>
      </c>
      <c r="H56" s="107">
        <f t="shared" si="2"/>
        <v>40</v>
      </c>
      <c r="I56" s="107">
        <f t="shared" si="1"/>
        <v>10</v>
      </c>
      <c r="J56" s="107"/>
      <c r="K56" s="109">
        <v>43667</v>
      </c>
      <c r="L56" s="110"/>
      <c r="M56" s="111"/>
      <c r="N56" s="112"/>
      <c r="O56" s="111"/>
      <c r="P56" s="113"/>
      <c r="Q56" s="103"/>
      <c r="R56" s="114"/>
      <c r="S56" s="103"/>
    </row>
    <row r="57" spans="2:19" s="96" customFormat="1" ht="33" hidden="1" customHeight="1">
      <c r="B57" s="47" t="s">
        <v>3410</v>
      </c>
      <c r="C57" s="48" t="s">
        <v>3411</v>
      </c>
      <c r="D57" s="49" t="s">
        <v>705</v>
      </c>
      <c r="E57" s="50">
        <v>43532</v>
      </c>
      <c r="F57" s="52" t="s">
        <v>3369</v>
      </c>
      <c r="G57" s="51">
        <v>920</v>
      </c>
      <c r="H57" s="52">
        <f t="shared" si="2"/>
        <v>4</v>
      </c>
      <c r="I57" s="52">
        <f t="shared" si="1"/>
        <v>1</v>
      </c>
      <c r="J57" s="52"/>
      <c r="K57" s="53">
        <v>43609</v>
      </c>
      <c r="L57" s="54" t="s">
        <v>773</v>
      </c>
      <c r="M57" s="55">
        <v>43601</v>
      </c>
      <c r="N57" s="56" t="s">
        <v>774</v>
      </c>
      <c r="O57" s="55">
        <v>43605</v>
      </c>
      <c r="P57" s="58"/>
      <c r="Q57" s="47"/>
      <c r="R57" s="57"/>
      <c r="S57" s="47" t="s">
        <v>3412</v>
      </c>
    </row>
    <row r="58" spans="2:19" s="96" customFormat="1" ht="33" hidden="1" customHeight="1">
      <c r="B58" s="47" t="s">
        <v>3413</v>
      </c>
      <c r="C58" s="48" t="s">
        <v>3411</v>
      </c>
      <c r="D58" s="49" t="s">
        <v>3414</v>
      </c>
      <c r="E58" s="50">
        <v>43511</v>
      </c>
      <c r="F58" s="52" t="s">
        <v>3369</v>
      </c>
      <c r="G58" s="51">
        <v>460</v>
      </c>
      <c r="H58" s="52">
        <f t="shared" si="2"/>
        <v>2</v>
      </c>
      <c r="I58" s="52">
        <f t="shared" si="1"/>
        <v>0.5</v>
      </c>
      <c r="J58" s="52"/>
      <c r="K58" s="53">
        <v>43576</v>
      </c>
      <c r="L58" s="54" t="s">
        <v>480</v>
      </c>
      <c r="M58" s="55">
        <v>43564</v>
      </c>
      <c r="N58" s="56" t="s">
        <v>646</v>
      </c>
      <c r="O58" s="55">
        <v>43569</v>
      </c>
      <c r="P58" s="58"/>
      <c r="Q58" s="47"/>
      <c r="R58" s="57" t="s">
        <v>3390</v>
      </c>
      <c r="S58" s="47"/>
    </row>
    <row r="59" spans="2:19" s="67" customFormat="1" ht="33" customHeight="1">
      <c r="B59" s="46" t="s">
        <v>3413</v>
      </c>
      <c r="C59" s="35" t="s">
        <v>2333</v>
      </c>
      <c r="D59" s="36" t="s">
        <v>2334</v>
      </c>
      <c r="E59" s="37">
        <v>43602</v>
      </c>
      <c r="F59" s="38" t="s">
        <v>3369</v>
      </c>
      <c r="G59" s="39">
        <v>460</v>
      </c>
      <c r="H59" s="38">
        <f t="shared" si="2"/>
        <v>2</v>
      </c>
      <c r="I59" s="38">
        <f t="shared" si="1"/>
        <v>0.5</v>
      </c>
      <c r="J59" s="38"/>
      <c r="K59" s="130">
        <v>43681</v>
      </c>
      <c r="L59" s="119" t="s">
        <v>3403</v>
      </c>
      <c r="M59" s="120">
        <v>43676</v>
      </c>
      <c r="N59" s="121" t="s">
        <v>3404</v>
      </c>
      <c r="O59" s="120">
        <v>43681</v>
      </c>
      <c r="P59" s="45"/>
      <c r="Q59" s="46"/>
      <c r="R59" s="44" t="s">
        <v>3415</v>
      </c>
      <c r="S59" s="122" t="s">
        <v>3251</v>
      </c>
    </row>
    <row r="60" spans="2:19" s="33" customFormat="1" ht="33" hidden="1" customHeight="1">
      <c r="B60" s="47" t="s">
        <v>3416</v>
      </c>
      <c r="C60" s="48" t="s">
        <v>430</v>
      </c>
      <c r="D60" s="49" t="s">
        <v>470</v>
      </c>
      <c r="E60" s="50">
        <v>43473</v>
      </c>
      <c r="F60" s="52" t="s">
        <v>3369</v>
      </c>
      <c r="G60" s="51">
        <v>1920</v>
      </c>
      <c r="H60" s="52">
        <f t="shared" ref="H60:H69" si="3">SUM(G60/20)</f>
        <v>96</v>
      </c>
      <c r="I60" s="52">
        <f t="shared" ref="I60:I69" si="4">SUM(H60/32)</f>
        <v>3</v>
      </c>
      <c r="J60" s="59"/>
      <c r="K60" s="53">
        <v>43555</v>
      </c>
      <c r="L60" s="54" t="s">
        <v>480</v>
      </c>
      <c r="M60" s="55">
        <v>43564</v>
      </c>
      <c r="N60" s="56" t="s">
        <v>3389</v>
      </c>
      <c r="O60" s="55">
        <v>43569</v>
      </c>
      <c r="P60" s="58"/>
      <c r="Q60" s="60" t="s">
        <v>89</v>
      </c>
      <c r="R60" s="57" t="s">
        <v>3417</v>
      </c>
      <c r="S60" s="47"/>
    </row>
    <row r="61" spans="2:19" s="33" customFormat="1" ht="33" hidden="1" customHeight="1">
      <c r="B61" s="47" t="s">
        <v>3416</v>
      </c>
      <c r="C61" s="48" t="s">
        <v>519</v>
      </c>
      <c r="D61" s="49" t="s">
        <v>710</v>
      </c>
      <c r="E61" s="50">
        <v>43511</v>
      </c>
      <c r="F61" s="52" t="s">
        <v>3369</v>
      </c>
      <c r="G61" s="51">
        <v>640</v>
      </c>
      <c r="H61" s="52">
        <f t="shared" si="3"/>
        <v>32</v>
      </c>
      <c r="I61" s="52">
        <f t="shared" si="4"/>
        <v>1</v>
      </c>
      <c r="J61" s="59"/>
      <c r="K61" s="53">
        <v>43555</v>
      </c>
      <c r="L61" s="54" t="s">
        <v>608</v>
      </c>
      <c r="M61" s="55">
        <v>43557</v>
      </c>
      <c r="N61" s="56" t="s">
        <v>3418</v>
      </c>
      <c r="O61" s="55">
        <v>43562</v>
      </c>
      <c r="P61" s="58"/>
      <c r="Q61" s="60" t="s">
        <v>89</v>
      </c>
      <c r="R61" s="57" t="s">
        <v>3417</v>
      </c>
      <c r="S61" s="47"/>
    </row>
    <row r="62" spans="2:19" s="33" customFormat="1" ht="33" hidden="1" customHeight="1">
      <c r="B62" s="47" t="s">
        <v>3416</v>
      </c>
      <c r="C62" s="48" t="s">
        <v>520</v>
      </c>
      <c r="D62" s="49" t="s">
        <v>584</v>
      </c>
      <c r="E62" s="50">
        <v>43511</v>
      </c>
      <c r="F62" s="52" t="s">
        <v>3369</v>
      </c>
      <c r="G62" s="51">
        <v>1920</v>
      </c>
      <c r="H62" s="52">
        <f t="shared" si="3"/>
        <v>96</v>
      </c>
      <c r="I62" s="52">
        <f t="shared" si="4"/>
        <v>3</v>
      </c>
      <c r="J62" s="59"/>
      <c r="K62" s="53">
        <v>43576</v>
      </c>
      <c r="L62" s="54" t="s">
        <v>503</v>
      </c>
      <c r="M62" s="55">
        <v>43571</v>
      </c>
      <c r="N62" s="56" t="s">
        <v>3364</v>
      </c>
      <c r="O62" s="55">
        <v>43576</v>
      </c>
      <c r="P62" s="58"/>
      <c r="Q62" s="60" t="s">
        <v>89</v>
      </c>
      <c r="R62" s="57" t="s">
        <v>3419</v>
      </c>
      <c r="S62" s="47"/>
    </row>
    <row r="63" spans="2:19" s="33" customFormat="1" ht="33" hidden="1" customHeight="1">
      <c r="B63" s="47" t="s">
        <v>3416</v>
      </c>
      <c r="C63" s="48" t="s">
        <v>586</v>
      </c>
      <c r="D63" s="49" t="s">
        <v>640</v>
      </c>
      <c r="E63" s="50">
        <v>43519</v>
      </c>
      <c r="F63" s="52" t="s">
        <v>3369</v>
      </c>
      <c r="G63" s="51">
        <v>2560</v>
      </c>
      <c r="H63" s="52">
        <f t="shared" si="3"/>
        <v>128</v>
      </c>
      <c r="I63" s="52">
        <f t="shared" si="4"/>
        <v>4</v>
      </c>
      <c r="J63" s="59"/>
      <c r="K63" s="53">
        <v>43611</v>
      </c>
      <c r="L63" s="54" t="s">
        <v>773</v>
      </c>
      <c r="M63" s="55">
        <v>43601</v>
      </c>
      <c r="N63" s="56" t="s">
        <v>3388</v>
      </c>
      <c r="O63" s="55">
        <v>43605</v>
      </c>
      <c r="P63" s="58"/>
      <c r="Q63" s="60" t="s">
        <v>89</v>
      </c>
      <c r="R63" s="57" t="s">
        <v>3420</v>
      </c>
      <c r="S63" s="47" t="s">
        <v>980</v>
      </c>
    </row>
    <row r="64" spans="2:19" s="30" customFormat="1" ht="33" hidden="1" customHeight="1">
      <c r="B64" s="46" t="s">
        <v>3416</v>
      </c>
      <c r="C64" s="35" t="s">
        <v>713</v>
      </c>
      <c r="D64" s="36" t="s">
        <v>714</v>
      </c>
      <c r="E64" s="37">
        <v>43532</v>
      </c>
      <c r="F64" s="38" t="s">
        <v>3369</v>
      </c>
      <c r="G64" s="39">
        <v>1920</v>
      </c>
      <c r="H64" s="38">
        <f t="shared" si="3"/>
        <v>96</v>
      </c>
      <c r="I64" s="38">
        <f t="shared" si="4"/>
        <v>3</v>
      </c>
      <c r="J64" s="61"/>
      <c r="K64" s="40">
        <v>43639</v>
      </c>
      <c r="L64" s="41" t="s">
        <v>1083</v>
      </c>
      <c r="M64" s="42">
        <v>43634</v>
      </c>
      <c r="N64" s="43" t="s">
        <v>1084</v>
      </c>
      <c r="O64" s="42">
        <v>43639</v>
      </c>
      <c r="P64" s="45"/>
      <c r="Q64" s="62" t="s">
        <v>89</v>
      </c>
      <c r="R64" s="44" t="s">
        <v>3421</v>
      </c>
      <c r="S64" s="46"/>
    </row>
    <row r="65" spans="2:19" s="30" customFormat="1" ht="33" hidden="1" customHeight="1">
      <c r="B65" s="46" t="s">
        <v>3416</v>
      </c>
      <c r="C65" s="35" t="s">
        <v>1184</v>
      </c>
      <c r="D65" s="36" t="s">
        <v>1185</v>
      </c>
      <c r="E65" s="37">
        <v>43567</v>
      </c>
      <c r="F65" s="38" t="s">
        <v>3369</v>
      </c>
      <c r="G65" s="39">
        <v>2560</v>
      </c>
      <c r="H65" s="38">
        <f t="shared" si="3"/>
        <v>128</v>
      </c>
      <c r="I65" s="38">
        <f t="shared" si="4"/>
        <v>4</v>
      </c>
      <c r="J65" s="61"/>
      <c r="K65" s="40">
        <v>43653</v>
      </c>
      <c r="L65" s="41" t="s">
        <v>1326</v>
      </c>
      <c r="M65" s="42">
        <v>43648</v>
      </c>
      <c r="N65" s="43" t="s">
        <v>2540</v>
      </c>
      <c r="O65" s="42">
        <v>43653</v>
      </c>
      <c r="P65" s="45"/>
      <c r="Q65" s="62" t="s">
        <v>89</v>
      </c>
      <c r="R65" s="44" t="s">
        <v>3422</v>
      </c>
      <c r="S65" s="46"/>
    </row>
    <row r="66" spans="2:19" s="30" customFormat="1" ht="33" hidden="1" customHeight="1">
      <c r="B66" s="46" t="s">
        <v>3423</v>
      </c>
      <c r="C66" s="35" t="s">
        <v>3424</v>
      </c>
      <c r="D66" s="36" t="s">
        <v>2685</v>
      </c>
      <c r="E66" s="37">
        <v>43609</v>
      </c>
      <c r="F66" s="38" t="s">
        <v>3369</v>
      </c>
      <c r="G66" s="39">
        <v>1280</v>
      </c>
      <c r="H66" s="38">
        <f t="shared" si="3"/>
        <v>64</v>
      </c>
      <c r="I66" s="38">
        <f t="shared" si="4"/>
        <v>2</v>
      </c>
      <c r="J66" s="61"/>
      <c r="K66" s="40">
        <v>43653</v>
      </c>
      <c r="L66" s="41" t="s">
        <v>1326</v>
      </c>
      <c r="M66" s="42">
        <v>43648</v>
      </c>
      <c r="N66" s="43" t="s">
        <v>2540</v>
      </c>
      <c r="O66" s="42">
        <v>43653</v>
      </c>
      <c r="P66" s="45"/>
      <c r="Q66" s="62" t="s">
        <v>89</v>
      </c>
      <c r="R66" s="44" t="s">
        <v>3425</v>
      </c>
      <c r="S66" s="46"/>
    </row>
    <row r="67" spans="2:19" s="30" customFormat="1" ht="33" hidden="1" customHeight="1">
      <c r="B67" s="46" t="s">
        <v>3416</v>
      </c>
      <c r="C67" s="35" t="s">
        <v>2357</v>
      </c>
      <c r="D67" s="36" t="s">
        <v>2358</v>
      </c>
      <c r="E67" s="37">
        <v>43602</v>
      </c>
      <c r="F67" s="38" t="s">
        <v>3369</v>
      </c>
      <c r="G67" s="39">
        <v>2560</v>
      </c>
      <c r="H67" s="38">
        <f t="shared" si="3"/>
        <v>128</v>
      </c>
      <c r="I67" s="38">
        <f t="shared" si="4"/>
        <v>4</v>
      </c>
      <c r="J67" s="61"/>
      <c r="K67" s="40">
        <v>43674</v>
      </c>
      <c r="L67" s="41" t="s">
        <v>2146</v>
      </c>
      <c r="M67" s="42">
        <v>43669</v>
      </c>
      <c r="N67" s="43" t="s">
        <v>2551</v>
      </c>
      <c r="O67" s="42">
        <v>43674</v>
      </c>
      <c r="P67" s="45"/>
      <c r="Q67" s="62" t="s">
        <v>89</v>
      </c>
      <c r="R67" s="44" t="s">
        <v>3426</v>
      </c>
      <c r="S67" s="46"/>
    </row>
    <row r="68" spans="2:19" s="30" customFormat="1" ht="33" hidden="1" customHeight="1">
      <c r="B68" s="46" t="s">
        <v>3416</v>
      </c>
      <c r="C68" s="35" t="s">
        <v>2360</v>
      </c>
      <c r="D68" s="36" t="s">
        <v>3427</v>
      </c>
      <c r="E68" s="37">
        <v>43602</v>
      </c>
      <c r="F68" s="38" t="s">
        <v>3369</v>
      </c>
      <c r="G68" s="39">
        <v>2560</v>
      </c>
      <c r="H68" s="38">
        <f t="shared" si="3"/>
        <v>128</v>
      </c>
      <c r="I68" s="38">
        <f t="shared" si="4"/>
        <v>4</v>
      </c>
      <c r="J68" s="61"/>
      <c r="K68" s="40">
        <v>43695</v>
      </c>
      <c r="L68" s="41" t="s">
        <v>2505</v>
      </c>
      <c r="M68" s="42">
        <v>43683</v>
      </c>
      <c r="N68" s="43" t="s">
        <v>3374</v>
      </c>
      <c r="O68" s="42">
        <v>43688</v>
      </c>
      <c r="P68" s="45"/>
      <c r="Q68" s="62" t="s">
        <v>89</v>
      </c>
      <c r="R68" s="44" t="s">
        <v>3428</v>
      </c>
      <c r="S68" s="46"/>
    </row>
    <row r="69" spans="2:19" s="147" customFormat="1" ht="33" hidden="1" customHeight="1">
      <c r="B69" s="103" t="s">
        <v>3416</v>
      </c>
      <c r="C69" s="104" t="s">
        <v>3429</v>
      </c>
      <c r="D69" s="105" t="s">
        <v>3430</v>
      </c>
      <c r="E69" s="106">
        <v>43637</v>
      </c>
      <c r="F69" s="107" t="s">
        <v>3369</v>
      </c>
      <c r="G69" s="108">
        <v>3840</v>
      </c>
      <c r="H69" s="107">
        <f t="shared" si="3"/>
        <v>192</v>
      </c>
      <c r="I69" s="107">
        <f t="shared" si="4"/>
        <v>6</v>
      </c>
      <c r="J69" s="148"/>
      <c r="K69" s="109">
        <v>43723</v>
      </c>
      <c r="L69" s="110"/>
      <c r="M69" s="111"/>
      <c r="N69" s="112"/>
      <c r="O69" s="111"/>
      <c r="P69" s="113"/>
      <c r="Q69" s="149" t="s">
        <v>89</v>
      </c>
      <c r="R69" s="114" t="s">
        <v>3431</v>
      </c>
      <c r="S69" s="103"/>
    </row>
    <row r="70" spans="2:19" s="33" customFormat="1" ht="33" hidden="1" customHeight="1">
      <c r="B70" s="47" t="s">
        <v>38</v>
      </c>
      <c r="C70" s="48" t="s">
        <v>225</v>
      </c>
      <c r="D70" s="49" t="s">
        <v>587</v>
      </c>
      <c r="E70" s="50">
        <v>43519</v>
      </c>
      <c r="F70" s="52" t="s">
        <v>3432</v>
      </c>
      <c r="G70" s="64">
        <v>640</v>
      </c>
      <c r="H70" s="52">
        <f>SUBTOTAL(9,G70)/20</f>
        <v>0</v>
      </c>
      <c r="I70" s="52">
        <f>H70/32</f>
        <v>0</v>
      </c>
      <c r="J70" s="52"/>
      <c r="K70" s="53">
        <v>43583</v>
      </c>
      <c r="L70" s="54" t="s">
        <v>565</v>
      </c>
      <c r="M70" s="55">
        <v>43578</v>
      </c>
      <c r="N70" s="56" t="s">
        <v>3433</v>
      </c>
      <c r="O70" s="55">
        <v>43583</v>
      </c>
      <c r="P70" s="58"/>
      <c r="Q70" s="52"/>
      <c r="R70" s="63" t="s">
        <v>3434</v>
      </c>
      <c r="S70" s="47"/>
    </row>
    <row r="71" spans="2:19" s="30" customFormat="1" ht="33" hidden="1" customHeight="1">
      <c r="B71" s="46" t="s">
        <v>38</v>
      </c>
      <c r="C71" s="35" t="s">
        <v>226</v>
      </c>
      <c r="D71" s="36" t="s">
        <v>1194</v>
      </c>
      <c r="E71" s="37">
        <v>43567</v>
      </c>
      <c r="F71" s="38" t="s">
        <v>3435</v>
      </c>
      <c r="G71" s="65">
        <v>640</v>
      </c>
      <c r="H71" s="38">
        <f>SUBTOTAL(9,G71)/20</f>
        <v>0</v>
      </c>
      <c r="I71" s="38">
        <f>H71/32</f>
        <v>0</v>
      </c>
      <c r="J71" s="38"/>
      <c r="K71" s="40">
        <v>43730</v>
      </c>
      <c r="L71" s="41" t="s">
        <v>3436</v>
      </c>
      <c r="M71" s="42">
        <v>43727</v>
      </c>
      <c r="N71" s="43" t="s">
        <v>3437</v>
      </c>
      <c r="O71" s="42">
        <v>43731</v>
      </c>
      <c r="P71" s="45"/>
      <c r="Q71" s="38"/>
      <c r="R71" s="66" t="s">
        <v>3438</v>
      </c>
      <c r="S71" s="46"/>
    </row>
    <row r="72" spans="2:19" s="33" customFormat="1" ht="33" hidden="1" customHeight="1">
      <c r="B72" s="47" t="s">
        <v>88</v>
      </c>
      <c r="C72" s="48" t="s">
        <v>431</v>
      </c>
      <c r="D72" s="49" t="s">
        <v>471</v>
      </c>
      <c r="E72" s="50">
        <v>43483</v>
      </c>
      <c r="F72" s="52" t="s">
        <v>3439</v>
      </c>
      <c r="G72" s="64">
        <v>760</v>
      </c>
      <c r="H72" s="52">
        <f t="shared" ref="H72:H78" si="5">SUBTOTAL(9,G72)/190</f>
        <v>0</v>
      </c>
      <c r="I72" s="52">
        <f t="shared" ref="I72:I78" si="6">H72/4</f>
        <v>0</v>
      </c>
      <c r="J72" s="52"/>
      <c r="K72" s="53">
        <v>43569</v>
      </c>
      <c r="L72" s="54" t="s">
        <v>417</v>
      </c>
      <c r="M72" s="55">
        <v>43564</v>
      </c>
      <c r="N72" s="56" t="s">
        <v>3440</v>
      </c>
      <c r="O72" s="55">
        <v>43569</v>
      </c>
      <c r="P72" s="58"/>
      <c r="Q72" s="52"/>
      <c r="R72" s="63" t="s">
        <v>3441</v>
      </c>
      <c r="S72" s="47"/>
    </row>
    <row r="73" spans="2:19" s="33" customFormat="1" ht="33" hidden="1" customHeight="1">
      <c r="B73" s="47" t="s">
        <v>88</v>
      </c>
      <c r="C73" s="48" t="s">
        <v>523</v>
      </c>
      <c r="D73" s="49" t="s">
        <v>588</v>
      </c>
      <c r="E73" s="50">
        <v>43511</v>
      </c>
      <c r="F73" s="52" t="s">
        <v>3435</v>
      </c>
      <c r="G73" s="64">
        <v>760</v>
      </c>
      <c r="H73" s="52">
        <f t="shared" si="5"/>
        <v>0</v>
      </c>
      <c r="I73" s="52">
        <f t="shared" si="6"/>
        <v>0</v>
      </c>
      <c r="J73" s="52"/>
      <c r="K73" s="53">
        <v>43583</v>
      </c>
      <c r="L73" s="54" t="s">
        <v>565</v>
      </c>
      <c r="M73" s="55">
        <v>43578</v>
      </c>
      <c r="N73" s="56" t="s">
        <v>3433</v>
      </c>
      <c r="O73" s="55">
        <v>43583</v>
      </c>
      <c r="P73" s="58"/>
      <c r="Q73" s="52"/>
      <c r="R73" s="63" t="s">
        <v>3442</v>
      </c>
      <c r="S73" s="47"/>
    </row>
    <row r="74" spans="2:19" s="33" customFormat="1" ht="33" hidden="1" customHeight="1">
      <c r="B74" s="47" t="s">
        <v>88</v>
      </c>
      <c r="C74" s="48" t="s">
        <v>589</v>
      </c>
      <c r="D74" s="49" t="s">
        <v>590</v>
      </c>
      <c r="E74" s="50">
        <v>43519</v>
      </c>
      <c r="F74" s="52" t="s">
        <v>3435</v>
      </c>
      <c r="G74" s="64">
        <v>760</v>
      </c>
      <c r="H74" s="52">
        <f t="shared" si="5"/>
        <v>0</v>
      </c>
      <c r="I74" s="52">
        <f t="shared" si="6"/>
        <v>0</v>
      </c>
      <c r="J74" s="52"/>
      <c r="K74" s="53">
        <v>43597</v>
      </c>
      <c r="L74" s="54" t="s">
        <v>3443</v>
      </c>
      <c r="M74" s="55">
        <v>43592</v>
      </c>
      <c r="N74" s="56" t="s">
        <v>3444</v>
      </c>
      <c r="O74" s="55">
        <v>43597</v>
      </c>
      <c r="P74" s="58"/>
      <c r="Q74" s="52"/>
      <c r="R74" s="63" t="s">
        <v>3445</v>
      </c>
      <c r="S74" s="47"/>
    </row>
    <row r="75" spans="2:19" s="30" customFormat="1" ht="33" hidden="1" customHeight="1">
      <c r="B75" s="46" t="s">
        <v>88</v>
      </c>
      <c r="C75" s="35" t="s">
        <v>3446</v>
      </c>
      <c r="D75" s="36" t="s">
        <v>1207</v>
      </c>
      <c r="E75" s="37">
        <v>43567</v>
      </c>
      <c r="F75" s="38" t="s">
        <v>3435</v>
      </c>
      <c r="G75" s="65">
        <v>760</v>
      </c>
      <c r="H75" s="38">
        <f t="shared" si="5"/>
        <v>0</v>
      </c>
      <c r="I75" s="38">
        <f t="shared" si="6"/>
        <v>0</v>
      </c>
      <c r="J75" s="38"/>
      <c r="K75" s="40">
        <v>43667</v>
      </c>
      <c r="L75" s="119" t="s">
        <v>3447</v>
      </c>
      <c r="M75" s="120">
        <v>43655</v>
      </c>
      <c r="N75" s="121" t="s">
        <v>3448</v>
      </c>
      <c r="O75" s="120">
        <v>43660</v>
      </c>
      <c r="P75" s="45"/>
      <c r="Q75" s="38"/>
      <c r="R75" s="66" t="s">
        <v>3449</v>
      </c>
      <c r="S75" s="122" t="s">
        <v>980</v>
      </c>
    </row>
    <row r="76" spans="2:19" s="30" customFormat="1" ht="33" hidden="1" customHeight="1">
      <c r="B76" s="46" t="s">
        <v>88</v>
      </c>
      <c r="C76" s="35" t="s">
        <v>2079</v>
      </c>
      <c r="D76" s="36" t="s">
        <v>3450</v>
      </c>
      <c r="E76" s="37">
        <v>43602</v>
      </c>
      <c r="F76" s="38" t="s">
        <v>3439</v>
      </c>
      <c r="G76" s="65">
        <v>760</v>
      </c>
      <c r="H76" s="38">
        <f t="shared" si="5"/>
        <v>0</v>
      </c>
      <c r="I76" s="38">
        <f t="shared" si="6"/>
        <v>0</v>
      </c>
      <c r="J76" s="38"/>
      <c r="K76" s="40">
        <v>43667</v>
      </c>
      <c r="L76" s="119" t="s">
        <v>3451</v>
      </c>
      <c r="M76" s="120">
        <v>43655</v>
      </c>
      <c r="N76" s="121" t="s">
        <v>3452</v>
      </c>
      <c r="O76" s="120">
        <v>43660</v>
      </c>
      <c r="P76" s="45"/>
      <c r="Q76" s="38"/>
      <c r="R76" s="66" t="s">
        <v>3453</v>
      </c>
      <c r="S76" s="122" t="s">
        <v>980</v>
      </c>
    </row>
    <row r="77" spans="2:19" s="30" customFormat="1" ht="33" hidden="1" customHeight="1">
      <c r="B77" s="46" t="s">
        <v>88</v>
      </c>
      <c r="C77" s="35" t="s">
        <v>2378</v>
      </c>
      <c r="D77" s="36" t="s">
        <v>2379</v>
      </c>
      <c r="E77" s="37">
        <v>43602</v>
      </c>
      <c r="F77" s="38" t="s">
        <v>3439</v>
      </c>
      <c r="G77" s="65">
        <v>760</v>
      </c>
      <c r="H77" s="38">
        <f t="shared" si="5"/>
        <v>0</v>
      </c>
      <c r="I77" s="38">
        <f t="shared" si="6"/>
        <v>0</v>
      </c>
      <c r="J77" s="38"/>
      <c r="K77" s="40">
        <v>43702</v>
      </c>
      <c r="L77" s="41" t="s">
        <v>3454</v>
      </c>
      <c r="M77" s="42">
        <v>43697</v>
      </c>
      <c r="N77" s="43" t="s">
        <v>3455</v>
      </c>
      <c r="O77" s="42">
        <v>43702</v>
      </c>
      <c r="P77" s="45"/>
      <c r="Q77" s="38"/>
      <c r="R77" s="66" t="s">
        <v>3456</v>
      </c>
      <c r="S77" s="46"/>
    </row>
    <row r="78" spans="2:19" s="147" customFormat="1" ht="33" hidden="1" customHeight="1">
      <c r="B78" s="103" t="s">
        <v>88</v>
      </c>
      <c r="C78" s="104" t="s">
        <v>2430</v>
      </c>
      <c r="D78" s="105" t="s">
        <v>3457</v>
      </c>
      <c r="E78" s="106">
        <v>43637</v>
      </c>
      <c r="F78" s="107" t="s">
        <v>3439</v>
      </c>
      <c r="G78" s="151">
        <v>760</v>
      </c>
      <c r="H78" s="107">
        <f t="shared" si="5"/>
        <v>0</v>
      </c>
      <c r="I78" s="107">
        <f t="shared" si="6"/>
        <v>0</v>
      </c>
      <c r="J78" s="107"/>
      <c r="K78" s="109">
        <v>43731</v>
      </c>
      <c r="L78" s="110"/>
      <c r="M78" s="111"/>
      <c r="N78" s="112"/>
      <c r="O78" s="111"/>
      <c r="P78" s="113"/>
      <c r="Q78" s="107"/>
      <c r="R78" s="116" t="s">
        <v>3458</v>
      </c>
      <c r="S78" s="103"/>
    </row>
    <row r="79" spans="2:19" s="33" customFormat="1" ht="33" hidden="1" customHeight="1">
      <c r="B79" s="47" t="s">
        <v>83</v>
      </c>
      <c r="C79" s="48" t="s">
        <v>244</v>
      </c>
      <c r="D79" s="49" t="s">
        <v>722</v>
      </c>
      <c r="E79" s="50">
        <v>43483</v>
      </c>
      <c r="F79" s="52" t="s">
        <v>77</v>
      </c>
      <c r="G79" s="51">
        <v>6720</v>
      </c>
      <c r="H79" s="52">
        <f t="shared" ref="H79:H84" si="7">SUM(G79/240)</f>
        <v>28</v>
      </c>
      <c r="I79" s="52">
        <f t="shared" ref="I79:I85" si="8">SUM(H79/4)</f>
        <v>7</v>
      </c>
      <c r="J79" s="52"/>
      <c r="K79" s="53">
        <v>43569</v>
      </c>
      <c r="L79" s="54" t="s">
        <v>480</v>
      </c>
      <c r="M79" s="55">
        <v>43564</v>
      </c>
      <c r="N79" s="56" t="s">
        <v>646</v>
      </c>
      <c r="O79" s="55">
        <v>43569</v>
      </c>
      <c r="P79" s="58" t="s">
        <v>3459</v>
      </c>
      <c r="Q79" s="52"/>
      <c r="R79" s="118" t="s">
        <v>3460</v>
      </c>
      <c r="S79" s="47"/>
    </row>
    <row r="80" spans="2:19" s="33" customFormat="1" ht="33" hidden="1" customHeight="1">
      <c r="B80" s="47" t="s">
        <v>83</v>
      </c>
      <c r="C80" s="48" t="s">
        <v>3461</v>
      </c>
      <c r="D80" s="49" t="s">
        <v>472</v>
      </c>
      <c r="E80" s="50">
        <v>43483</v>
      </c>
      <c r="F80" s="52" t="s">
        <v>77</v>
      </c>
      <c r="G80" s="51">
        <v>5760</v>
      </c>
      <c r="H80" s="52">
        <f t="shared" si="7"/>
        <v>24</v>
      </c>
      <c r="I80" s="52">
        <f t="shared" si="8"/>
        <v>6</v>
      </c>
      <c r="J80" s="52"/>
      <c r="K80" s="53">
        <v>43583</v>
      </c>
      <c r="L80" s="54" t="s">
        <v>448</v>
      </c>
      <c r="M80" s="55">
        <v>43578</v>
      </c>
      <c r="N80" s="56" t="s">
        <v>3462</v>
      </c>
      <c r="O80" s="55">
        <v>43583</v>
      </c>
      <c r="P80" s="58" t="s">
        <v>3463</v>
      </c>
      <c r="Q80" s="52"/>
      <c r="R80" s="118" t="s">
        <v>3460</v>
      </c>
      <c r="S80" s="47"/>
    </row>
    <row r="81" spans="2:19" s="33" customFormat="1" ht="33" hidden="1" customHeight="1">
      <c r="B81" s="47" t="s">
        <v>83</v>
      </c>
      <c r="C81" s="48" t="s">
        <v>258</v>
      </c>
      <c r="D81" s="49" t="s">
        <v>591</v>
      </c>
      <c r="E81" s="50">
        <v>43519</v>
      </c>
      <c r="F81" s="52" t="s">
        <v>77</v>
      </c>
      <c r="G81" s="51">
        <v>5760</v>
      </c>
      <c r="H81" s="52">
        <f t="shared" si="7"/>
        <v>24</v>
      </c>
      <c r="I81" s="52">
        <f t="shared" si="8"/>
        <v>6</v>
      </c>
      <c r="J81" s="52"/>
      <c r="K81" s="53">
        <v>43605</v>
      </c>
      <c r="L81" s="54" t="s">
        <v>3464</v>
      </c>
      <c r="M81" s="55">
        <v>43601</v>
      </c>
      <c r="N81" s="56" t="s">
        <v>3465</v>
      </c>
      <c r="O81" s="55">
        <v>43605</v>
      </c>
      <c r="P81" s="58" t="s">
        <v>3466</v>
      </c>
      <c r="Q81" s="52"/>
      <c r="R81" s="118" t="s">
        <v>3467</v>
      </c>
      <c r="S81" s="47"/>
    </row>
    <row r="82" spans="2:19" s="30" customFormat="1" ht="33" hidden="1" customHeight="1">
      <c r="B82" s="46" t="s">
        <v>83</v>
      </c>
      <c r="C82" s="35" t="s">
        <v>321</v>
      </c>
      <c r="D82" s="36" t="s">
        <v>727</v>
      </c>
      <c r="E82" s="37">
        <v>43532</v>
      </c>
      <c r="F82" s="38" t="s">
        <v>77</v>
      </c>
      <c r="G82" s="39">
        <v>6720</v>
      </c>
      <c r="H82" s="38">
        <f t="shared" si="7"/>
        <v>28</v>
      </c>
      <c r="I82" s="38">
        <f t="shared" si="8"/>
        <v>7</v>
      </c>
      <c r="J82" s="38"/>
      <c r="K82" s="40">
        <v>43633</v>
      </c>
      <c r="L82" s="41" t="s">
        <v>807</v>
      </c>
      <c r="M82" s="42">
        <v>43627</v>
      </c>
      <c r="N82" s="43" t="s">
        <v>808</v>
      </c>
      <c r="O82" s="42">
        <v>43632</v>
      </c>
      <c r="P82" s="45"/>
      <c r="Q82" s="38"/>
      <c r="R82" s="115" t="s">
        <v>3468</v>
      </c>
      <c r="S82" s="46"/>
    </row>
    <row r="83" spans="2:19" s="30" customFormat="1" ht="33" hidden="1" customHeight="1">
      <c r="B83" s="46" t="s">
        <v>83</v>
      </c>
      <c r="C83" s="35" t="s">
        <v>324</v>
      </c>
      <c r="D83" s="36" t="s">
        <v>1234</v>
      </c>
      <c r="E83" s="37">
        <v>43567</v>
      </c>
      <c r="F83" s="38" t="s">
        <v>77</v>
      </c>
      <c r="G83" s="39">
        <v>5760</v>
      </c>
      <c r="H83" s="38">
        <f t="shared" si="7"/>
        <v>24</v>
      </c>
      <c r="I83" s="38">
        <f t="shared" si="8"/>
        <v>6</v>
      </c>
      <c r="J83" s="38"/>
      <c r="K83" s="40">
        <v>43674</v>
      </c>
      <c r="L83" s="41" t="s">
        <v>3469</v>
      </c>
      <c r="M83" s="42">
        <v>43669</v>
      </c>
      <c r="N83" s="43" t="s">
        <v>3470</v>
      </c>
      <c r="O83" s="42">
        <v>43674</v>
      </c>
      <c r="P83" s="45"/>
      <c r="Q83" s="38"/>
      <c r="R83" s="115" t="s">
        <v>3471</v>
      </c>
      <c r="S83" s="46"/>
    </row>
    <row r="84" spans="2:19" s="30" customFormat="1" ht="33" hidden="1" customHeight="1">
      <c r="B84" s="46" t="s">
        <v>83</v>
      </c>
      <c r="C84" s="35" t="s">
        <v>430</v>
      </c>
      <c r="D84" s="36" t="s">
        <v>2696</v>
      </c>
      <c r="E84" s="37">
        <v>43609</v>
      </c>
      <c r="F84" s="38" t="s">
        <v>77</v>
      </c>
      <c r="G84" s="39">
        <v>7680</v>
      </c>
      <c r="H84" s="38">
        <f t="shared" si="7"/>
        <v>32</v>
      </c>
      <c r="I84" s="38">
        <f t="shared" si="8"/>
        <v>8</v>
      </c>
      <c r="J84" s="38"/>
      <c r="K84" s="40">
        <v>43702</v>
      </c>
      <c r="L84" s="41" t="s">
        <v>2509</v>
      </c>
      <c r="M84" s="42">
        <v>43697</v>
      </c>
      <c r="N84" s="43" t="s">
        <v>2498</v>
      </c>
      <c r="O84" s="42">
        <v>43702</v>
      </c>
      <c r="P84" s="45"/>
      <c r="Q84" s="38"/>
      <c r="R84" s="115" t="s">
        <v>3472</v>
      </c>
      <c r="S84" s="46"/>
    </row>
    <row r="85" spans="2:19" s="147" customFormat="1" ht="33" hidden="1" customHeight="1">
      <c r="B85" s="103" t="s">
        <v>83</v>
      </c>
      <c r="C85" s="104" t="s">
        <v>519</v>
      </c>
      <c r="D85" s="105" t="s">
        <v>3473</v>
      </c>
      <c r="E85" s="106">
        <v>43637</v>
      </c>
      <c r="F85" s="107" t="s">
        <v>77</v>
      </c>
      <c r="G85" s="108">
        <v>9600</v>
      </c>
      <c r="H85" s="107">
        <f t="shared" ref="H85" si="9">SUM(G85/240)</f>
        <v>40</v>
      </c>
      <c r="I85" s="107">
        <f t="shared" si="8"/>
        <v>10</v>
      </c>
      <c r="J85" s="107"/>
      <c r="K85" s="109">
        <v>43716</v>
      </c>
      <c r="L85" s="110"/>
      <c r="M85" s="111"/>
      <c r="N85" s="112"/>
      <c r="O85" s="111"/>
      <c r="P85" s="113"/>
      <c r="Q85" s="107"/>
      <c r="R85" s="150" t="s">
        <v>3474</v>
      </c>
      <c r="S85" s="103"/>
    </row>
    <row r="86" spans="2:19" s="34" customFormat="1" ht="33" hidden="1" customHeight="1">
      <c r="B86" s="47" t="s">
        <v>210</v>
      </c>
      <c r="C86" s="48" t="s">
        <v>226</v>
      </c>
      <c r="D86" s="49" t="s">
        <v>593</v>
      </c>
      <c r="E86" s="50">
        <v>43483</v>
      </c>
      <c r="F86" s="52" t="s">
        <v>218</v>
      </c>
      <c r="G86" s="51">
        <v>640</v>
      </c>
      <c r="H86" s="52">
        <f t="shared" ref="H86:H111" si="10">SUM(G86/20)</f>
        <v>32</v>
      </c>
      <c r="I86" s="52">
        <f t="shared" ref="I86:I111" si="11">SUM(H86/32)</f>
        <v>1</v>
      </c>
      <c r="J86" s="52"/>
      <c r="K86" s="53">
        <v>43534</v>
      </c>
      <c r="L86" s="54" t="s">
        <v>3475</v>
      </c>
      <c r="M86" s="55"/>
      <c r="N86" s="56"/>
      <c r="O86" s="55">
        <v>43520</v>
      </c>
      <c r="P86" s="58" t="s">
        <v>651</v>
      </c>
      <c r="Q86" s="52"/>
      <c r="R86" s="63" t="s">
        <v>211</v>
      </c>
      <c r="S86" s="52"/>
    </row>
    <row r="87" spans="2:19" s="34" customFormat="1" ht="33" hidden="1" customHeight="1">
      <c r="B87" s="47" t="s">
        <v>210</v>
      </c>
      <c r="C87" s="48" t="s">
        <v>285</v>
      </c>
      <c r="D87" s="49" t="s">
        <v>526</v>
      </c>
      <c r="E87" s="50">
        <v>43507</v>
      </c>
      <c r="F87" s="52" t="s">
        <v>218</v>
      </c>
      <c r="G87" s="51">
        <v>3200</v>
      </c>
      <c r="H87" s="52">
        <f t="shared" si="10"/>
        <v>160</v>
      </c>
      <c r="I87" s="52">
        <f t="shared" si="11"/>
        <v>5</v>
      </c>
      <c r="J87" s="52"/>
      <c r="K87" s="53">
        <v>43576</v>
      </c>
      <c r="L87" s="54" t="s">
        <v>503</v>
      </c>
      <c r="M87" s="55">
        <v>43571</v>
      </c>
      <c r="N87" s="56" t="s">
        <v>3476</v>
      </c>
      <c r="O87" s="55">
        <v>43576</v>
      </c>
      <c r="P87" s="58"/>
      <c r="Q87" s="52" t="s">
        <v>643</v>
      </c>
      <c r="R87" s="63" t="s">
        <v>211</v>
      </c>
      <c r="S87" s="52"/>
    </row>
    <row r="88" spans="2:19" s="34" customFormat="1" ht="33" hidden="1" customHeight="1">
      <c r="B88" s="47" t="s">
        <v>210</v>
      </c>
      <c r="C88" s="48" t="s">
        <v>3477</v>
      </c>
      <c r="D88" s="49" t="s">
        <v>526</v>
      </c>
      <c r="E88" s="50">
        <v>43507</v>
      </c>
      <c r="F88" s="52" t="s">
        <v>218</v>
      </c>
      <c r="G88" s="51">
        <v>640</v>
      </c>
      <c r="H88" s="52">
        <f t="shared" si="10"/>
        <v>32</v>
      </c>
      <c r="I88" s="52">
        <f t="shared" si="11"/>
        <v>1</v>
      </c>
      <c r="J88" s="52"/>
      <c r="K88" s="53">
        <v>43576</v>
      </c>
      <c r="L88" s="54" t="s">
        <v>448</v>
      </c>
      <c r="M88" s="55">
        <v>43578</v>
      </c>
      <c r="N88" s="56" t="s">
        <v>3462</v>
      </c>
      <c r="O88" s="55">
        <v>43583</v>
      </c>
      <c r="P88" s="58"/>
      <c r="Q88" s="52" t="s">
        <v>643</v>
      </c>
      <c r="R88" s="63" t="s">
        <v>211</v>
      </c>
      <c r="S88" s="52"/>
    </row>
    <row r="89" spans="2:19" s="34" customFormat="1" ht="33" hidden="1" customHeight="1">
      <c r="B89" s="47" t="s">
        <v>210</v>
      </c>
      <c r="C89" s="48" t="s">
        <v>331</v>
      </c>
      <c r="D89" s="49" t="s">
        <v>3478</v>
      </c>
      <c r="E89" s="50">
        <v>43519</v>
      </c>
      <c r="F89" s="52" t="s">
        <v>218</v>
      </c>
      <c r="G89" s="51">
        <v>3200</v>
      </c>
      <c r="H89" s="52">
        <f t="shared" si="10"/>
        <v>160</v>
      </c>
      <c r="I89" s="52">
        <f t="shared" si="11"/>
        <v>5</v>
      </c>
      <c r="J89" s="52"/>
      <c r="K89" s="53">
        <v>43562</v>
      </c>
      <c r="L89" s="54" t="s">
        <v>608</v>
      </c>
      <c r="M89" s="55">
        <v>43557</v>
      </c>
      <c r="N89" s="56" t="s">
        <v>3479</v>
      </c>
      <c r="O89" s="55">
        <v>43562</v>
      </c>
      <c r="P89" s="58"/>
      <c r="Q89" s="52" t="s">
        <v>642</v>
      </c>
      <c r="R89" s="63" t="s">
        <v>211</v>
      </c>
      <c r="S89" s="52"/>
    </row>
    <row r="90" spans="2:19" s="34" customFormat="1" ht="33" hidden="1" customHeight="1">
      <c r="B90" s="47" t="s">
        <v>210</v>
      </c>
      <c r="C90" s="48" t="s">
        <v>3480</v>
      </c>
      <c r="D90" s="49" t="s">
        <v>3478</v>
      </c>
      <c r="E90" s="50">
        <v>43519</v>
      </c>
      <c r="F90" s="52" t="s">
        <v>218</v>
      </c>
      <c r="G90" s="51">
        <v>640</v>
      </c>
      <c r="H90" s="52">
        <f t="shared" si="10"/>
        <v>32</v>
      </c>
      <c r="I90" s="52">
        <f t="shared" si="11"/>
        <v>1</v>
      </c>
      <c r="J90" s="52"/>
      <c r="K90" s="53">
        <v>43562</v>
      </c>
      <c r="L90" s="54" t="s">
        <v>480</v>
      </c>
      <c r="M90" s="55">
        <v>43564</v>
      </c>
      <c r="N90" s="56" t="s">
        <v>646</v>
      </c>
      <c r="O90" s="55">
        <v>43569</v>
      </c>
      <c r="P90" s="58"/>
      <c r="Q90" s="52" t="s">
        <v>642</v>
      </c>
      <c r="R90" s="63" t="s">
        <v>211</v>
      </c>
      <c r="S90" s="52"/>
    </row>
    <row r="91" spans="2:19" s="32" customFormat="1" ht="33" hidden="1" customHeight="1">
      <c r="B91" s="46" t="s">
        <v>210</v>
      </c>
      <c r="C91" s="35" t="s">
        <v>2527</v>
      </c>
      <c r="D91" s="190" t="s">
        <v>3481</v>
      </c>
      <c r="E91" s="37">
        <v>43609</v>
      </c>
      <c r="F91" s="38" t="s">
        <v>218</v>
      </c>
      <c r="G91" s="39">
        <v>120</v>
      </c>
      <c r="H91" s="38">
        <f t="shared" si="10"/>
        <v>6</v>
      </c>
      <c r="I91" s="38">
        <f t="shared" si="11"/>
        <v>0.1875</v>
      </c>
      <c r="J91" s="38"/>
      <c r="K91" s="40">
        <v>43646</v>
      </c>
      <c r="L91" s="41" t="s">
        <v>1083</v>
      </c>
      <c r="M91" s="42">
        <v>43634</v>
      </c>
      <c r="N91" s="43" t="s">
        <v>1084</v>
      </c>
      <c r="O91" s="42">
        <v>43639</v>
      </c>
      <c r="P91" s="45"/>
      <c r="Q91" s="66" t="s">
        <v>2543</v>
      </c>
      <c r="R91" s="66" t="s">
        <v>3482</v>
      </c>
      <c r="S91" s="38"/>
    </row>
    <row r="92" spans="2:19" s="32" customFormat="1" ht="33" hidden="1" customHeight="1">
      <c r="B92" s="46" t="s">
        <v>3483</v>
      </c>
      <c r="C92" s="35" t="s">
        <v>2531</v>
      </c>
      <c r="D92" s="190" t="s">
        <v>3481</v>
      </c>
      <c r="E92" s="37">
        <v>43609</v>
      </c>
      <c r="F92" s="38" t="s">
        <v>3484</v>
      </c>
      <c r="G92" s="39">
        <v>120</v>
      </c>
      <c r="H92" s="38">
        <f t="shared" si="10"/>
        <v>6</v>
      </c>
      <c r="I92" s="38">
        <f t="shared" si="11"/>
        <v>0.1875</v>
      </c>
      <c r="J92" s="38"/>
      <c r="K92" s="40">
        <v>43646</v>
      </c>
      <c r="L92" s="41" t="s">
        <v>1083</v>
      </c>
      <c r="M92" s="42">
        <v>43634</v>
      </c>
      <c r="N92" s="43" t="s">
        <v>1084</v>
      </c>
      <c r="O92" s="42">
        <v>43639</v>
      </c>
      <c r="P92" s="45"/>
      <c r="Q92" s="66" t="s">
        <v>2544</v>
      </c>
      <c r="R92" s="66" t="s">
        <v>3482</v>
      </c>
      <c r="S92" s="38"/>
    </row>
    <row r="93" spans="2:19" s="34" customFormat="1" ht="33" hidden="1" customHeight="1">
      <c r="B93" s="47" t="s">
        <v>210</v>
      </c>
      <c r="C93" s="48" t="s">
        <v>431</v>
      </c>
      <c r="D93" s="49" t="s">
        <v>3485</v>
      </c>
      <c r="E93" s="50">
        <v>43523</v>
      </c>
      <c r="F93" s="52" t="s">
        <v>218</v>
      </c>
      <c r="G93" s="51">
        <v>3200</v>
      </c>
      <c r="H93" s="52">
        <f t="shared" si="10"/>
        <v>160</v>
      </c>
      <c r="I93" s="52">
        <f t="shared" si="11"/>
        <v>5</v>
      </c>
      <c r="J93" s="52"/>
      <c r="K93" s="53">
        <v>43597</v>
      </c>
      <c r="L93" s="54" t="s">
        <v>605</v>
      </c>
      <c r="M93" s="55">
        <v>43594</v>
      </c>
      <c r="N93" s="56" t="s">
        <v>3486</v>
      </c>
      <c r="O93" s="55">
        <v>43598</v>
      </c>
      <c r="P93" s="58"/>
      <c r="Q93" s="52" t="s">
        <v>641</v>
      </c>
      <c r="R93" s="63" t="s">
        <v>211</v>
      </c>
      <c r="S93" s="52"/>
    </row>
    <row r="94" spans="2:19" s="34" customFormat="1" ht="33" hidden="1" customHeight="1">
      <c r="B94" s="47" t="s">
        <v>210</v>
      </c>
      <c r="C94" s="48" t="s">
        <v>3487</v>
      </c>
      <c r="D94" s="49" t="s">
        <v>3485</v>
      </c>
      <c r="E94" s="50">
        <v>43523</v>
      </c>
      <c r="F94" s="52" t="s">
        <v>218</v>
      </c>
      <c r="G94" s="51">
        <v>640</v>
      </c>
      <c r="H94" s="52">
        <f t="shared" si="10"/>
        <v>32</v>
      </c>
      <c r="I94" s="52">
        <f t="shared" si="11"/>
        <v>1</v>
      </c>
      <c r="J94" s="52"/>
      <c r="K94" s="53">
        <v>43618</v>
      </c>
      <c r="L94" s="54" t="s">
        <v>3488</v>
      </c>
      <c r="M94" s="55">
        <v>43613</v>
      </c>
      <c r="N94" s="56" t="s">
        <v>3489</v>
      </c>
      <c r="O94" s="55">
        <v>43618</v>
      </c>
      <c r="P94" s="58"/>
      <c r="Q94" s="52" t="s">
        <v>641</v>
      </c>
      <c r="R94" s="63" t="s">
        <v>211</v>
      </c>
      <c r="S94" s="52"/>
    </row>
    <row r="95" spans="2:19" s="34" customFormat="1" ht="33" hidden="1" customHeight="1">
      <c r="B95" s="47" t="s">
        <v>210</v>
      </c>
      <c r="C95" s="48" t="s">
        <v>3490</v>
      </c>
      <c r="D95" s="49" t="s">
        <v>739</v>
      </c>
      <c r="E95" s="50">
        <v>43532</v>
      </c>
      <c r="F95" s="52" t="s">
        <v>218</v>
      </c>
      <c r="G95" s="51">
        <v>2560</v>
      </c>
      <c r="H95" s="52">
        <f t="shared" si="10"/>
        <v>128</v>
      </c>
      <c r="I95" s="52">
        <f t="shared" si="11"/>
        <v>4</v>
      </c>
      <c r="J95" s="52"/>
      <c r="K95" s="53">
        <v>43618</v>
      </c>
      <c r="L95" s="54" t="s">
        <v>3488</v>
      </c>
      <c r="M95" s="55">
        <v>43613</v>
      </c>
      <c r="N95" s="56" t="s">
        <v>3489</v>
      </c>
      <c r="O95" s="55">
        <v>43618</v>
      </c>
      <c r="P95" s="58"/>
      <c r="Q95" s="52" t="s">
        <v>970</v>
      </c>
      <c r="R95" s="63" t="s">
        <v>211</v>
      </c>
      <c r="S95" s="52"/>
    </row>
    <row r="96" spans="2:19" s="32" customFormat="1" ht="33" hidden="1" customHeight="1">
      <c r="B96" s="46" t="s">
        <v>210</v>
      </c>
      <c r="C96" s="35" t="s">
        <v>589</v>
      </c>
      <c r="D96" s="36" t="s">
        <v>1260</v>
      </c>
      <c r="E96" s="37">
        <v>43558</v>
      </c>
      <c r="F96" s="38" t="s">
        <v>218</v>
      </c>
      <c r="G96" s="39">
        <v>3200</v>
      </c>
      <c r="H96" s="38">
        <f t="shared" si="10"/>
        <v>160</v>
      </c>
      <c r="I96" s="38">
        <f t="shared" si="11"/>
        <v>5</v>
      </c>
      <c r="J96" s="38"/>
      <c r="K96" s="40">
        <v>43639</v>
      </c>
      <c r="L96" s="41" t="s">
        <v>3491</v>
      </c>
      <c r="M96" s="42">
        <v>43634</v>
      </c>
      <c r="N96" s="43" t="s">
        <v>3492</v>
      </c>
      <c r="O96" s="42">
        <v>43639</v>
      </c>
      <c r="P96" s="45"/>
      <c r="Q96" s="38" t="s">
        <v>973</v>
      </c>
      <c r="R96" s="66" t="s">
        <v>211</v>
      </c>
      <c r="S96" s="38"/>
    </row>
    <row r="97" spans="1:19" s="32" customFormat="1" ht="33" hidden="1" customHeight="1">
      <c r="B97" s="46" t="s">
        <v>210</v>
      </c>
      <c r="C97" s="35" t="s">
        <v>2078</v>
      </c>
      <c r="D97" s="36" t="s">
        <v>2426</v>
      </c>
      <c r="E97" s="37">
        <v>43602</v>
      </c>
      <c r="F97" s="38" t="s">
        <v>218</v>
      </c>
      <c r="G97" s="39">
        <v>3200</v>
      </c>
      <c r="H97" s="38">
        <f t="shared" si="10"/>
        <v>160</v>
      </c>
      <c r="I97" s="38">
        <f t="shared" si="11"/>
        <v>5</v>
      </c>
      <c r="J97" s="38"/>
      <c r="K97" s="40">
        <v>43653</v>
      </c>
      <c r="L97" s="41" t="s">
        <v>1326</v>
      </c>
      <c r="M97" s="42">
        <v>43648</v>
      </c>
      <c r="N97" s="43" t="s">
        <v>3493</v>
      </c>
      <c r="O97" s="42">
        <v>43653</v>
      </c>
      <c r="P97" s="45"/>
      <c r="Q97" s="38" t="s">
        <v>2148</v>
      </c>
      <c r="R97" s="66" t="s">
        <v>211</v>
      </c>
      <c r="S97" s="38"/>
    </row>
    <row r="98" spans="1:19" s="32" customFormat="1" ht="33" hidden="1" customHeight="1">
      <c r="B98" s="46" t="s">
        <v>210</v>
      </c>
      <c r="C98" s="35" t="s">
        <v>2079</v>
      </c>
      <c r="D98" s="36" t="s">
        <v>2428</v>
      </c>
      <c r="E98" s="37">
        <v>43602</v>
      </c>
      <c r="F98" s="38" t="s">
        <v>218</v>
      </c>
      <c r="G98" s="39">
        <v>3200</v>
      </c>
      <c r="H98" s="38">
        <f t="shared" si="10"/>
        <v>160</v>
      </c>
      <c r="I98" s="38">
        <f t="shared" si="11"/>
        <v>5</v>
      </c>
      <c r="J98" s="38"/>
      <c r="K98" s="40">
        <v>43667</v>
      </c>
      <c r="L98" s="41" t="s">
        <v>2146</v>
      </c>
      <c r="M98" s="42">
        <v>43669</v>
      </c>
      <c r="N98" s="43" t="s">
        <v>2551</v>
      </c>
      <c r="O98" s="42">
        <v>43674</v>
      </c>
      <c r="P98" s="45"/>
      <c r="Q98" s="38" t="s">
        <v>2150</v>
      </c>
      <c r="R98" s="66" t="s">
        <v>211</v>
      </c>
      <c r="S98" s="38"/>
    </row>
    <row r="99" spans="1:19" s="32" customFormat="1" ht="33" hidden="1" customHeight="1">
      <c r="B99" s="46" t="s">
        <v>210</v>
      </c>
      <c r="C99" s="35" t="s">
        <v>2378</v>
      </c>
      <c r="D99" s="36" t="s">
        <v>3494</v>
      </c>
      <c r="E99" s="37">
        <v>43602</v>
      </c>
      <c r="F99" s="38" t="s">
        <v>218</v>
      </c>
      <c r="G99" s="39">
        <v>3200</v>
      </c>
      <c r="H99" s="38">
        <f t="shared" si="10"/>
        <v>160</v>
      </c>
      <c r="I99" s="38">
        <f t="shared" si="11"/>
        <v>5</v>
      </c>
      <c r="J99" s="38"/>
      <c r="K99" s="40">
        <v>43688</v>
      </c>
      <c r="L99" s="41" t="s">
        <v>2505</v>
      </c>
      <c r="M99" s="42">
        <v>43683</v>
      </c>
      <c r="N99" s="43" t="s">
        <v>3495</v>
      </c>
      <c r="O99" s="42">
        <v>43688</v>
      </c>
      <c r="P99" s="45"/>
      <c r="Q99" s="38" t="s">
        <v>2762</v>
      </c>
      <c r="R99" s="66" t="s">
        <v>211</v>
      </c>
      <c r="S99" s="46" t="s">
        <v>2764</v>
      </c>
    </row>
    <row r="100" spans="1:19" s="32" customFormat="1" ht="33" hidden="1" customHeight="1">
      <c r="B100" s="46" t="s">
        <v>210</v>
      </c>
      <c r="C100" s="35" t="s">
        <v>2430</v>
      </c>
      <c r="D100" s="190" t="s">
        <v>3496</v>
      </c>
      <c r="E100" s="37">
        <v>43602</v>
      </c>
      <c r="F100" s="38" t="s">
        <v>218</v>
      </c>
      <c r="G100" s="39">
        <v>3200</v>
      </c>
      <c r="H100" s="38">
        <f t="shared" si="10"/>
        <v>160</v>
      </c>
      <c r="I100" s="38">
        <f t="shared" si="11"/>
        <v>5</v>
      </c>
      <c r="J100" s="38"/>
      <c r="K100" s="40">
        <v>43702</v>
      </c>
      <c r="L100" s="41" t="s">
        <v>2509</v>
      </c>
      <c r="M100" s="42">
        <v>43697</v>
      </c>
      <c r="N100" s="43" t="s">
        <v>3455</v>
      </c>
      <c r="O100" s="42">
        <v>43702</v>
      </c>
      <c r="P100" s="45"/>
      <c r="Q100" s="38" t="s">
        <v>2517</v>
      </c>
      <c r="R100" s="66" t="s">
        <v>211</v>
      </c>
      <c r="S100" s="38"/>
    </row>
    <row r="101" spans="1:19" s="32" customFormat="1" ht="33" hidden="1" customHeight="1">
      <c r="B101" s="46" t="s">
        <v>210</v>
      </c>
      <c r="C101" s="35" t="s">
        <v>2528</v>
      </c>
      <c r="D101" s="190" t="s">
        <v>2704</v>
      </c>
      <c r="E101" s="37">
        <v>43609</v>
      </c>
      <c r="F101" s="38" t="s">
        <v>218</v>
      </c>
      <c r="G101" s="39">
        <v>3200</v>
      </c>
      <c r="H101" s="38">
        <f t="shared" si="10"/>
        <v>160</v>
      </c>
      <c r="I101" s="38">
        <f t="shared" si="11"/>
        <v>5</v>
      </c>
      <c r="J101" s="38"/>
      <c r="K101" s="40">
        <v>43660</v>
      </c>
      <c r="L101" s="41" t="s">
        <v>1326</v>
      </c>
      <c r="M101" s="42">
        <v>43648</v>
      </c>
      <c r="N101" s="43" t="s">
        <v>2540</v>
      </c>
      <c r="O101" s="42">
        <v>43653</v>
      </c>
      <c r="P101" s="45"/>
      <c r="Q101" s="38" t="s">
        <v>2148</v>
      </c>
      <c r="R101" s="66" t="s">
        <v>211</v>
      </c>
      <c r="S101" s="38"/>
    </row>
    <row r="102" spans="1:19" s="32" customFormat="1" ht="33" hidden="1" customHeight="1">
      <c r="B102" s="46" t="s">
        <v>210</v>
      </c>
      <c r="C102" s="35" t="s">
        <v>2529</v>
      </c>
      <c r="D102" s="190" t="s">
        <v>2705</v>
      </c>
      <c r="E102" s="37">
        <v>43609</v>
      </c>
      <c r="F102" s="38" t="s">
        <v>218</v>
      </c>
      <c r="G102" s="39">
        <v>3200</v>
      </c>
      <c r="H102" s="38">
        <f t="shared" si="10"/>
        <v>160</v>
      </c>
      <c r="I102" s="38">
        <f t="shared" si="11"/>
        <v>5</v>
      </c>
      <c r="J102" s="38"/>
      <c r="K102" s="40">
        <v>43675</v>
      </c>
      <c r="L102" s="41" t="s">
        <v>2146</v>
      </c>
      <c r="M102" s="42">
        <v>43669</v>
      </c>
      <c r="N102" s="43" t="s">
        <v>2551</v>
      </c>
      <c r="O102" s="42">
        <v>43674</v>
      </c>
      <c r="P102" s="45"/>
      <c r="Q102" s="38" t="s">
        <v>2150</v>
      </c>
      <c r="R102" s="66" t="s">
        <v>211</v>
      </c>
      <c r="S102" s="38"/>
    </row>
    <row r="103" spans="1:19" s="153" customFormat="1" ht="33" hidden="1" customHeight="1">
      <c r="B103" s="103" t="s">
        <v>210</v>
      </c>
      <c r="C103" s="104" t="s">
        <v>3497</v>
      </c>
      <c r="D103" s="189" t="s">
        <v>3498</v>
      </c>
      <c r="E103" s="106">
        <v>43637</v>
      </c>
      <c r="F103" s="107" t="s">
        <v>218</v>
      </c>
      <c r="G103" s="108">
        <v>3200</v>
      </c>
      <c r="H103" s="107">
        <f t="shared" si="10"/>
        <v>160</v>
      </c>
      <c r="I103" s="107">
        <f t="shared" si="11"/>
        <v>5</v>
      </c>
      <c r="J103" s="107"/>
      <c r="K103" s="109">
        <v>43716</v>
      </c>
      <c r="L103" s="110"/>
      <c r="M103" s="111"/>
      <c r="N103" s="112"/>
      <c r="O103" s="111"/>
      <c r="P103" s="113"/>
      <c r="Q103" s="107"/>
      <c r="R103" s="116" t="s">
        <v>211</v>
      </c>
      <c r="S103" s="107"/>
    </row>
    <row r="104" spans="1:19" s="153" customFormat="1" ht="33" hidden="1" customHeight="1">
      <c r="B104" s="103" t="s">
        <v>210</v>
      </c>
      <c r="C104" s="104" t="s">
        <v>3499</v>
      </c>
      <c r="D104" s="189" t="s">
        <v>3500</v>
      </c>
      <c r="E104" s="106">
        <v>43637</v>
      </c>
      <c r="F104" s="107" t="s">
        <v>218</v>
      </c>
      <c r="G104" s="108">
        <v>3200</v>
      </c>
      <c r="H104" s="107">
        <f t="shared" si="10"/>
        <v>160</v>
      </c>
      <c r="I104" s="107">
        <f t="shared" si="11"/>
        <v>5</v>
      </c>
      <c r="J104" s="107"/>
      <c r="K104" s="109">
        <v>43730</v>
      </c>
      <c r="L104" s="110"/>
      <c r="M104" s="111"/>
      <c r="N104" s="112"/>
      <c r="O104" s="111"/>
      <c r="P104" s="113"/>
      <c r="Q104" s="107"/>
      <c r="R104" s="116" t="s">
        <v>211</v>
      </c>
      <c r="S104" s="107"/>
    </row>
    <row r="105" spans="1:19" s="153" customFormat="1" ht="33" hidden="1" customHeight="1">
      <c r="B105" s="103" t="s">
        <v>210</v>
      </c>
      <c r="C105" s="104" t="s">
        <v>3501</v>
      </c>
      <c r="D105" s="189" t="s">
        <v>3502</v>
      </c>
      <c r="E105" s="106">
        <v>43637</v>
      </c>
      <c r="F105" s="107" t="s">
        <v>218</v>
      </c>
      <c r="G105" s="108">
        <v>3200</v>
      </c>
      <c r="H105" s="107">
        <f t="shared" si="10"/>
        <v>160</v>
      </c>
      <c r="I105" s="107">
        <f t="shared" si="11"/>
        <v>5</v>
      </c>
      <c r="J105" s="107"/>
      <c r="K105" s="109">
        <v>43737</v>
      </c>
      <c r="L105" s="110"/>
      <c r="M105" s="111"/>
      <c r="N105" s="112"/>
      <c r="O105" s="111"/>
      <c r="P105" s="113"/>
      <c r="Q105" s="107"/>
      <c r="R105" s="116" t="s">
        <v>211</v>
      </c>
      <c r="S105" s="107"/>
    </row>
    <row r="106" spans="1:19" s="34" customFormat="1" ht="33" hidden="1" customHeight="1">
      <c r="B106" s="47" t="s">
        <v>3483</v>
      </c>
      <c r="C106" s="48" t="s">
        <v>235</v>
      </c>
      <c r="D106" s="49" t="s">
        <v>744</v>
      </c>
      <c r="E106" s="50">
        <v>43532</v>
      </c>
      <c r="F106" s="52" t="s">
        <v>3484</v>
      </c>
      <c r="G106" s="51">
        <v>1280</v>
      </c>
      <c r="H106" s="52">
        <f t="shared" si="10"/>
        <v>64</v>
      </c>
      <c r="I106" s="52">
        <f t="shared" si="11"/>
        <v>2</v>
      </c>
      <c r="J106" s="52"/>
      <c r="K106" s="53">
        <v>43597</v>
      </c>
      <c r="L106" s="54" t="s">
        <v>605</v>
      </c>
      <c r="M106" s="55">
        <v>43594</v>
      </c>
      <c r="N106" s="56" t="s">
        <v>772</v>
      </c>
      <c r="O106" s="55">
        <v>43598</v>
      </c>
      <c r="P106" s="58"/>
      <c r="Q106" s="52" t="s">
        <v>641</v>
      </c>
      <c r="R106" s="63" t="s">
        <v>211</v>
      </c>
      <c r="S106" s="52"/>
    </row>
    <row r="107" spans="1:19" s="32" customFormat="1" ht="33" hidden="1" customHeight="1">
      <c r="B107" s="46" t="s">
        <v>3483</v>
      </c>
      <c r="C107" s="35" t="s">
        <v>1569</v>
      </c>
      <c r="D107" s="36" t="s">
        <v>3503</v>
      </c>
      <c r="E107" s="37">
        <v>43581</v>
      </c>
      <c r="F107" s="38" t="s">
        <v>3484</v>
      </c>
      <c r="G107" s="39">
        <v>1280</v>
      </c>
      <c r="H107" s="38">
        <f t="shared" si="10"/>
        <v>64</v>
      </c>
      <c r="I107" s="38">
        <f t="shared" si="11"/>
        <v>2</v>
      </c>
      <c r="J107" s="38"/>
      <c r="K107" s="40">
        <v>43632</v>
      </c>
      <c r="L107" s="41" t="s">
        <v>807</v>
      </c>
      <c r="M107" s="42">
        <v>43627</v>
      </c>
      <c r="N107" s="43" t="s">
        <v>3504</v>
      </c>
      <c r="O107" s="42">
        <v>43632</v>
      </c>
      <c r="P107" s="45"/>
      <c r="Q107" s="38" t="s">
        <v>1810</v>
      </c>
      <c r="R107" s="66" t="s">
        <v>211</v>
      </c>
      <c r="S107" s="38"/>
    </row>
    <row r="108" spans="1:19" s="32" customFormat="1" ht="33" hidden="1" customHeight="1">
      <c r="B108" s="46" t="s">
        <v>3483</v>
      </c>
      <c r="C108" s="35" t="s">
        <v>90</v>
      </c>
      <c r="D108" s="36" t="s">
        <v>3505</v>
      </c>
      <c r="E108" s="37">
        <v>43595</v>
      </c>
      <c r="F108" s="38" t="s">
        <v>3484</v>
      </c>
      <c r="G108" s="39">
        <v>1280</v>
      </c>
      <c r="H108" s="38">
        <f t="shared" si="10"/>
        <v>64</v>
      </c>
      <c r="I108" s="38">
        <f t="shared" si="11"/>
        <v>2</v>
      </c>
      <c r="J108" s="38"/>
      <c r="K108" s="40">
        <v>43646</v>
      </c>
      <c r="L108" s="41" t="s">
        <v>1326</v>
      </c>
      <c r="M108" s="42">
        <v>43648</v>
      </c>
      <c r="N108" s="43" t="s">
        <v>3493</v>
      </c>
      <c r="O108" s="42">
        <v>43653</v>
      </c>
      <c r="P108" s="45"/>
      <c r="Q108" s="38" t="s">
        <v>2148</v>
      </c>
      <c r="R108" s="66" t="s">
        <v>211</v>
      </c>
      <c r="S108" s="38"/>
    </row>
    <row r="109" spans="1:19" s="32" customFormat="1" ht="33" hidden="1" customHeight="1">
      <c r="B109" s="46" t="s">
        <v>3483</v>
      </c>
      <c r="C109" s="35" t="s">
        <v>2088</v>
      </c>
      <c r="D109" s="36" t="s">
        <v>3506</v>
      </c>
      <c r="E109" s="37">
        <v>43595</v>
      </c>
      <c r="F109" s="38" t="s">
        <v>3484</v>
      </c>
      <c r="G109" s="39">
        <v>640</v>
      </c>
      <c r="H109" s="38">
        <f t="shared" si="10"/>
        <v>32</v>
      </c>
      <c r="I109" s="38">
        <f t="shared" si="11"/>
        <v>1</v>
      </c>
      <c r="J109" s="38"/>
      <c r="K109" s="40">
        <v>43709</v>
      </c>
      <c r="L109" s="41" t="s">
        <v>3507</v>
      </c>
      <c r="M109" s="42">
        <v>43706</v>
      </c>
      <c r="N109" s="43" t="s">
        <v>3508</v>
      </c>
      <c r="O109" s="42">
        <v>43710</v>
      </c>
      <c r="P109" s="45"/>
      <c r="Q109" s="66" t="s">
        <v>2548</v>
      </c>
      <c r="R109" s="66" t="s">
        <v>211</v>
      </c>
      <c r="S109" s="38"/>
    </row>
    <row r="110" spans="1:19" s="32" customFormat="1" ht="33" hidden="1" customHeight="1">
      <c r="B110" s="46" t="s">
        <v>3483</v>
      </c>
      <c r="C110" s="35" t="s">
        <v>208</v>
      </c>
      <c r="D110" s="190" t="s">
        <v>3509</v>
      </c>
      <c r="E110" s="37">
        <v>43602</v>
      </c>
      <c r="F110" s="38" t="s">
        <v>3484</v>
      </c>
      <c r="G110" s="39">
        <v>640</v>
      </c>
      <c r="H110" s="38">
        <f t="shared" si="10"/>
        <v>32</v>
      </c>
      <c r="I110" s="38">
        <f t="shared" si="11"/>
        <v>1</v>
      </c>
      <c r="J110" s="38"/>
      <c r="K110" s="196">
        <v>43730</v>
      </c>
      <c r="L110" s="41" t="s">
        <v>3510</v>
      </c>
      <c r="M110" s="42">
        <v>43725</v>
      </c>
      <c r="N110" s="43" t="s">
        <v>3511</v>
      </c>
      <c r="O110" s="42">
        <v>43730</v>
      </c>
      <c r="P110" s="45"/>
      <c r="Q110" s="66" t="s">
        <v>2549</v>
      </c>
      <c r="R110" s="66" t="s">
        <v>211</v>
      </c>
      <c r="S110" s="38"/>
    </row>
    <row r="111" spans="1:19" s="32" customFormat="1" ht="33" hidden="1" customHeight="1">
      <c r="B111" s="135" t="s">
        <v>3483</v>
      </c>
      <c r="C111" s="136" t="s">
        <v>212</v>
      </c>
      <c r="D111" s="191" t="s">
        <v>3512</v>
      </c>
      <c r="E111" s="138">
        <v>43602</v>
      </c>
      <c r="F111" s="139" t="s">
        <v>3484</v>
      </c>
      <c r="G111" s="140">
        <v>640</v>
      </c>
      <c r="H111" s="139">
        <f t="shared" si="10"/>
        <v>32</v>
      </c>
      <c r="I111" s="139">
        <f t="shared" si="11"/>
        <v>1</v>
      </c>
      <c r="J111" s="139"/>
      <c r="K111" s="141" t="s">
        <v>2545</v>
      </c>
      <c r="L111" s="142"/>
      <c r="M111" s="143"/>
      <c r="N111" s="144"/>
      <c r="O111" s="143"/>
      <c r="P111" s="145"/>
      <c r="Q111" s="193" t="s">
        <v>2517</v>
      </c>
      <c r="R111" s="192" t="s">
        <v>211</v>
      </c>
      <c r="S111" s="139" t="s">
        <v>2541</v>
      </c>
    </row>
    <row r="112" spans="1:19" s="33" customFormat="1" ht="33" hidden="1" customHeight="1">
      <c r="A112" s="33" t="s">
        <v>3513</v>
      </c>
      <c r="B112" s="47" t="s">
        <v>3514</v>
      </c>
      <c r="C112" s="48" t="s">
        <v>225</v>
      </c>
      <c r="D112" s="49" t="s">
        <v>487</v>
      </c>
      <c r="E112" s="50">
        <v>43490</v>
      </c>
      <c r="F112" s="52" t="s">
        <v>3515</v>
      </c>
      <c r="G112" s="51">
        <v>1520</v>
      </c>
      <c r="H112" s="52">
        <f>SUM(G112/190)</f>
        <v>8</v>
      </c>
      <c r="I112" s="52">
        <f>SUM(H112/4)</f>
        <v>2</v>
      </c>
      <c r="J112" s="52"/>
      <c r="K112" s="53">
        <v>43569</v>
      </c>
      <c r="L112" s="54" t="s">
        <v>417</v>
      </c>
      <c r="M112" s="55">
        <v>43564</v>
      </c>
      <c r="N112" s="56" t="s">
        <v>3516</v>
      </c>
      <c r="O112" s="55">
        <v>43569</v>
      </c>
      <c r="P112" s="58"/>
      <c r="Q112" s="52"/>
      <c r="R112" s="63" t="s">
        <v>3517</v>
      </c>
      <c r="S112" s="47"/>
    </row>
    <row r="113" spans="2:19" s="30" customFormat="1" ht="33" hidden="1" customHeight="1">
      <c r="B113" s="46" t="s">
        <v>3514</v>
      </c>
      <c r="C113" s="35" t="s">
        <v>226</v>
      </c>
      <c r="D113" s="36" t="s">
        <v>833</v>
      </c>
      <c r="E113" s="37">
        <v>43546</v>
      </c>
      <c r="F113" s="38" t="s">
        <v>3515</v>
      </c>
      <c r="G113" s="39">
        <v>1520</v>
      </c>
      <c r="H113" s="38">
        <f>SUM(G113/190)</f>
        <v>8</v>
      </c>
      <c r="I113" s="38">
        <f>SUM(H113/4)</f>
        <v>2</v>
      </c>
      <c r="J113" s="38"/>
      <c r="K113" s="40">
        <v>43632</v>
      </c>
      <c r="L113" s="41" t="s">
        <v>3518</v>
      </c>
      <c r="M113" s="42">
        <v>43627</v>
      </c>
      <c r="N113" s="43" t="s">
        <v>3504</v>
      </c>
      <c r="O113" s="42">
        <v>43632</v>
      </c>
      <c r="P113" s="45"/>
      <c r="Q113" s="38"/>
      <c r="R113" s="66" t="s">
        <v>3519</v>
      </c>
      <c r="S113" s="46"/>
    </row>
    <row r="114" spans="2:19" s="30" customFormat="1" ht="33" hidden="1" customHeight="1">
      <c r="B114" s="46" t="s">
        <v>2514</v>
      </c>
      <c r="C114" s="35" t="s">
        <v>3520</v>
      </c>
      <c r="D114" s="36" t="s">
        <v>3521</v>
      </c>
      <c r="E114" s="37">
        <v>43602</v>
      </c>
      <c r="F114" s="38" t="s">
        <v>2516</v>
      </c>
      <c r="G114" s="39">
        <v>1520</v>
      </c>
      <c r="H114" s="38">
        <v>8</v>
      </c>
      <c r="I114" s="38">
        <v>2</v>
      </c>
      <c r="J114" s="38"/>
      <c r="K114" s="40">
        <v>43702</v>
      </c>
      <c r="L114" s="41" t="s">
        <v>3454</v>
      </c>
      <c r="M114" s="42">
        <v>43697</v>
      </c>
      <c r="N114" s="43" t="s">
        <v>3455</v>
      </c>
      <c r="O114" s="42">
        <v>43702</v>
      </c>
      <c r="P114" s="45"/>
      <c r="Q114" s="38"/>
      <c r="R114" s="66"/>
      <c r="S114" s="46"/>
    </row>
    <row r="115" spans="2:19" s="33" customFormat="1" ht="33" hidden="1" customHeight="1">
      <c r="B115" s="47" t="s">
        <v>238</v>
      </c>
      <c r="C115" s="48" t="s">
        <v>3522</v>
      </c>
      <c r="D115" s="49" t="s">
        <v>474</v>
      </c>
      <c r="E115" s="50"/>
      <c r="F115" s="52" t="s">
        <v>236</v>
      </c>
      <c r="G115" s="51">
        <v>3200</v>
      </c>
      <c r="H115" s="52">
        <f t="shared" ref="H115:H124" si="12">SUM(G115/200)</f>
        <v>16</v>
      </c>
      <c r="I115" s="52">
        <f t="shared" ref="I115:I124" si="13">SUM(H115/4)</f>
        <v>4</v>
      </c>
      <c r="J115" s="52"/>
      <c r="K115" s="53">
        <v>43562</v>
      </c>
      <c r="L115" s="54" t="s">
        <v>3523</v>
      </c>
      <c r="M115" s="55">
        <v>43557</v>
      </c>
      <c r="N115" s="56" t="s">
        <v>3479</v>
      </c>
      <c r="O115" s="55">
        <v>43562</v>
      </c>
      <c r="P115" s="58"/>
      <c r="Q115" s="52"/>
      <c r="R115" s="63"/>
      <c r="S115" s="47"/>
    </row>
    <row r="116" spans="2:19" s="33" customFormat="1" ht="33" hidden="1" customHeight="1">
      <c r="B116" s="47" t="s">
        <v>238</v>
      </c>
      <c r="C116" s="48" t="s">
        <v>3524</v>
      </c>
      <c r="D116" s="49" t="s">
        <v>475</v>
      </c>
      <c r="E116" s="50"/>
      <c r="F116" s="52" t="s">
        <v>236</v>
      </c>
      <c r="G116" s="51">
        <v>1600</v>
      </c>
      <c r="H116" s="52">
        <f t="shared" si="12"/>
        <v>8</v>
      </c>
      <c r="I116" s="52">
        <f t="shared" si="13"/>
        <v>2</v>
      </c>
      <c r="J116" s="52"/>
      <c r="K116" s="53">
        <v>43562</v>
      </c>
      <c r="L116" s="54" t="s">
        <v>3525</v>
      </c>
      <c r="M116" s="55">
        <v>43564</v>
      </c>
      <c r="N116" s="56" t="s">
        <v>3516</v>
      </c>
      <c r="O116" s="55">
        <v>43569</v>
      </c>
      <c r="P116" s="58"/>
      <c r="Q116" s="52"/>
      <c r="R116" s="63"/>
      <c r="S116" s="47"/>
    </row>
    <row r="117" spans="2:19" s="33" customFormat="1" ht="33" hidden="1" customHeight="1">
      <c r="B117" s="47" t="s">
        <v>238</v>
      </c>
      <c r="C117" s="48" t="s">
        <v>3526</v>
      </c>
      <c r="D117" s="49" t="s">
        <v>488</v>
      </c>
      <c r="E117" s="50">
        <v>43495</v>
      </c>
      <c r="F117" s="52" t="s">
        <v>236</v>
      </c>
      <c r="G117" s="51">
        <v>1600</v>
      </c>
      <c r="H117" s="52">
        <f t="shared" si="12"/>
        <v>8</v>
      </c>
      <c r="I117" s="52">
        <f t="shared" si="13"/>
        <v>2</v>
      </c>
      <c r="J117" s="52"/>
      <c r="K117" s="53">
        <v>43583</v>
      </c>
      <c r="L117" s="54" t="s">
        <v>3527</v>
      </c>
      <c r="M117" s="55">
        <v>43578</v>
      </c>
      <c r="N117" s="56" t="s">
        <v>3462</v>
      </c>
      <c r="O117" s="55">
        <v>43583</v>
      </c>
      <c r="P117" s="58"/>
      <c r="Q117" s="52"/>
      <c r="R117" s="63"/>
      <c r="S117" s="47"/>
    </row>
    <row r="118" spans="2:19" s="33" customFormat="1" ht="33" hidden="1" customHeight="1">
      <c r="B118" s="47" t="s">
        <v>238</v>
      </c>
      <c r="C118" s="48" t="s">
        <v>3528</v>
      </c>
      <c r="D118" s="49" t="s">
        <v>598</v>
      </c>
      <c r="E118" s="50">
        <v>43519</v>
      </c>
      <c r="F118" s="52" t="s">
        <v>236</v>
      </c>
      <c r="G118" s="51">
        <v>1600</v>
      </c>
      <c r="H118" s="52">
        <f t="shared" si="12"/>
        <v>8</v>
      </c>
      <c r="I118" s="52">
        <f t="shared" si="13"/>
        <v>2</v>
      </c>
      <c r="J118" s="52"/>
      <c r="K118" s="53">
        <v>43597</v>
      </c>
      <c r="L118" s="54" t="s">
        <v>3529</v>
      </c>
      <c r="M118" s="55">
        <v>43592</v>
      </c>
      <c r="N118" s="56" t="s">
        <v>3530</v>
      </c>
      <c r="O118" s="55">
        <v>43597</v>
      </c>
      <c r="P118" s="58"/>
      <c r="Q118" s="52"/>
      <c r="R118" s="63"/>
      <c r="S118" s="47"/>
    </row>
    <row r="119" spans="2:19" s="33" customFormat="1" ht="33" hidden="1" customHeight="1">
      <c r="B119" s="47" t="s">
        <v>238</v>
      </c>
      <c r="C119" s="48" t="s">
        <v>3531</v>
      </c>
      <c r="D119" s="49" t="s">
        <v>598</v>
      </c>
      <c r="E119" s="50">
        <v>43519</v>
      </c>
      <c r="F119" s="52" t="s">
        <v>236</v>
      </c>
      <c r="G119" s="51">
        <v>1600</v>
      </c>
      <c r="H119" s="52">
        <f t="shared" si="12"/>
        <v>8</v>
      </c>
      <c r="I119" s="52">
        <f t="shared" si="13"/>
        <v>2</v>
      </c>
      <c r="J119" s="52"/>
      <c r="K119" s="53">
        <v>43597</v>
      </c>
      <c r="L119" s="54" t="s">
        <v>3232</v>
      </c>
      <c r="M119" s="55">
        <v>43606</v>
      </c>
      <c r="N119" s="56" t="s">
        <v>3532</v>
      </c>
      <c r="O119" s="55">
        <v>43613</v>
      </c>
      <c r="P119" s="58"/>
      <c r="Q119" s="52"/>
      <c r="R119" s="63"/>
      <c r="S119" s="47"/>
    </row>
    <row r="120" spans="2:19" s="30" customFormat="1" ht="33" hidden="1" customHeight="1">
      <c r="B120" s="46" t="s">
        <v>238</v>
      </c>
      <c r="C120" s="35" t="s">
        <v>226</v>
      </c>
      <c r="D120" s="36" t="s">
        <v>749</v>
      </c>
      <c r="E120" s="37">
        <v>43532</v>
      </c>
      <c r="F120" s="38" t="s">
        <v>236</v>
      </c>
      <c r="G120" s="39">
        <v>3200</v>
      </c>
      <c r="H120" s="38">
        <f t="shared" si="12"/>
        <v>16</v>
      </c>
      <c r="I120" s="38">
        <f t="shared" si="13"/>
        <v>4</v>
      </c>
      <c r="J120" s="38"/>
      <c r="K120" s="40">
        <v>43625</v>
      </c>
      <c r="L120" s="41" t="s">
        <v>2538</v>
      </c>
      <c r="M120" s="42">
        <v>43627</v>
      </c>
      <c r="N120" s="43" t="s">
        <v>808</v>
      </c>
      <c r="O120" s="42">
        <v>43632</v>
      </c>
      <c r="P120" s="45"/>
      <c r="Q120" s="38"/>
      <c r="R120" s="66"/>
      <c r="S120" s="46" t="s">
        <v>2539</v>
      </c>
    </row>
    <row r="121" spans="2:19" s="30" customFormat="1" ht="33" hidden="1" customHeight="1">
      <c r="B121" s="46" t="s">
        <v>238</v>
      </c>
      <c r="C121" s="35" t="s">
        <v>233</v>
      </c>
      <c r="D121" s="36" t="s">
        <v>750</v>
      </c>
      <c r="E121" s="37">
        <v>43532</v>
      </c>
      <c r="F121" s="38" t="s">
        <v>236</v>
      </c>
      <c r="G121" s="39">
        <v>3200</v>
      </c>
      <c r="H121" s="38">
        <f t="shared" si="12"/>
        <v>16</v>
      </c>
      <c r="I121" s="38">
        <f t="shared" si="13"/>
        <v>4</v>
      </c>
      <c r="J121" s="38"/>
      <c r="K121" s="40">
        <v>43646</v>
      </c>
      <c r="L121" s="41" t="s">
        <v>3533</v>
      </c>
      <c r="M121" s="42">
        <v>43641</v>
      </c>
      <c r="N121" s="43" t="s">
        <v>3534</v>
      </c>
      <c r="O121" s="42">
        <v>43646</v>
      </c>
      <c r="P121" s="45"/>
      <c r="Q121" s="38"/>
      <c r="R121" s="66"/>
      <c r="S121" s="46"/>
    </row>
    <row r="122" spans="2:19" s="30" customFormat="1" ht="33" hidden="1" customHeight="1">
      <c r="B122" s="46" t="s">
        <v>238</v>
      </c>
      <c r="C122" s="35" t="s">
        <v>285</v>
      </c>
      <c r="D122" s="36" t="s">
        <v>1305</v>
      </c>
      <c r="E122" s="37">
        <v>43567</v>
      </c>
      <c r="F122" s="38" t="s">
        <v>236</v>
      </c>
      <c r="G122" s="39">
        <v>3200</v>
      </c>
      <c r="H122" s="38">
        <f t="shared" si="12"/>
        <v>16</v>
      </c>
      <c r="I122" s="38">
        <f t="shared" si="13"/>
        <v>4</v>
      </c>
      <c r="J122" s="38"/>
      <c r="K122" s="40">
        <v>43660</v>
      </c>
      <c r="L122" s="41" t="s">
        <v>3451</v>
      </c>
      <c r="M122" s="42">
        <v>43655</v>
      </c>
      <c r="N122" s="43" t="s">
        <v>3452</v>
      </c>
      <c r="O122" s="42">
        <v>43660</v>
      </c>
      <c r="P122" s="45"/>
      <c r="Q122" s="38"/>
      <c r="R122" s="66"/>
      <c r="S122" s="46"/>
    </row>
    <row r="123" spans="2:19" s="30" customFormat="1" ht="33" hidden="1" customHeight="1">
      <c r="B123" s="46" t="s">
        <v>238</v>
      </c>
      <c r="C123" s="35" t="s">
        <v>331</v>
      </c>
      <c r="D123" s="36" t="s">
        <v>1306</v>
      </c>
      <c r="E123" s="37">
        <v>43567</v>
      </c>
      <c r="F123" s="38" t="s">
        <v>236</v>
      </c>
      <c r="G123" s="39">
        <v>3200</v>
      </c>
      <c r="H123" s="38">
        <f t="shared" si="12"/>
        <v>16</v>
      </c>
      <c r="I123" s="38">
        <f t="shared" si="13"/>
        <v>4</v>
      </c>
      <c r="J123" s="38"/>
      <c r="K123" s="40">
        <v>43674</v>
      </c>
      <c r="L123" s="41" t="s">
        <v>3535</v>
      </c>
      <c r="M123" s="42">
        <v>43669</v>
      </c>
      <c r="N123" s="43" t="s">
        <v>3470</v>
      </c>
      <c r="O123" s="42">
        <v>43674</v>
      </c>
      <c r="P123" s="45"/>
      <c r="Q123" s="38"/>
      <c r="R123" s="66"/>
      <c r="S123" s="46"/>
    </row>
    <row r="124" spans="2:19" s="147" customFormat="1" ht="33" hidden="1" customHeight="1">
      <c r="B124" s="103" t="s">
        <v>238</v>
      </c>
      <c r="C124" s="104" t="s">
        <v>431</v>
      </c>
      <c r="D124" s="105" t="s">
        <v>3536</v>
      </c>
      <c r="E124" s="106">
        <v>43637</v>
      </c>
      <c r="F124" s="107" t="s">
        <v>236</v>
      </c>
      <c r="G124" s="108">
        <v>3200</v>
      </c>
      <c r="H124" s="107">
        <f t="shared" si="12"/>
        <v>16</v>
      </c>
      <c r="I124" s="107">
        <f t="shared" si="13"/>
        <v>4</v>
      </c>
      <c r="J124" s="107"/>
      <c r="K124" s="109">
        <v>43730</v>
      </c>
      <c r="L124" s="110"/>
      <c r="M124" s="111"/>
      <c r="N124" s="112"/>
      <c r="O124" s="111"/>
      <c r="P124" s="113"/>
      <c r="Q124" s="107"/>
      <c r="R124" s="116"/>
      <c r="S124" s="103"/>
    </row>
    <row r="125" spans="2:19" s="19" customFormat="1">
      <c r="B125"/>
      <c r="C125" s="15"/>
      <c r="D125" s="1"/>
      <c r="E125" s="174"/>
      <c r="F125"/>
      <c r="G125" s="11"/>
      <c r="H125"/>
      <c r="I125"/>
      <c r="J125"/>
      <c r="K125" s="13"/>
      <c r="L125"/>
      <c r="N125" s="28"/>
      <c r="P125"/>
      <c r="Q125"/>
      <c r="R125" s="17"/>
      <c r="S125"/>
    </row>
    <row r="126" spans="2:19" s="19" customFormat="1" ht="26.4" hidden="1">
      <c r="B126"/>
      <c r="C126" s="15"/>
      <c r="D126" s="1"/>
      <c r="F126" s="177"/>
      <c r="L126" s="176" t="s">
        <v>1821</v>
      </c>
      <c r="M126" s="177"/>
      <c r="N126" s="177"/>
      <c r="O126"/>
      <c r="P126" s="13"/>
      <c r="Q126"/>
      <c r="S126" s="28"/>
    </row>
    <row r="127" spans="2:19" ht="26.4" hidden="1">
      <c r="F127" s="177"/>
      <c r="L127" s="176" t="s">
        <v>1822</v>
      </c>
      <c r="M127" s="177"/>
      <c r="N127" s="177"/>
      <c r="O127"/>
      <c r="P127" s="13"/>
      <c r="R127" s="19"/>
      <c r="S127" s="28"/>
    </row>
    <row r="128" spans="2:19" ht="26.4" hidden="1">
      <c r="F128" s="177"/>
      <c r="L128" s="176" t="s">
        <v>1823</v>
      </c>
      <c r="M128" s="177"/>
      <c r="N128" s="177"/>
      <c r="O128"/>
      <c r="P128" s="13"/>
      <c r="R128" s="19"/>
      <c r="S128" s="28"/>
    </row>
    <row r="129" spans="2:19" hidden="1">
      <c r="E129" s="175"/>
      <c r="L129" s="11"/>
      <c r="M129"/>
      <c r="N129"/>
      <c r="O129"/>
      <c r="P129" s="13"/>
      <c r="R129" s="19"/>
      <c r="S129" s="28"/>
    </row>
    <row r="130" spans="2:19" s="19" customFormat="1" hidden="1">
      <c r="B130"/>
      <c r="C130" s="15"/>
      <c r="D130" s="1"/>
      <c r="L130" s="178" t="s">
        <v>1825</v>
      </c>
      <c r="M130" s="178" t="s">
        <v>1826</v>
      </c>
      <c r="N130" s="178" t="s">
        <v>1827</v>
      </c>
      <c r="O130" s="178" t="s">
        <v>1828</v>
      </c>
      <c r="P130" s="179" t="s">
        <v>3537</v>
      </c>
      <c r="Q130" s="179" t="s">
        <v>3240</v>
      </c>
      <c r="R130" s="179" t="s">
        <v>1831</v>
      </c>
      <c r="S130" s="179"/>
    </row>
    <row r="131" spans="2:19" s="19" customFormat="1" hidden="1">
      <c r="B131"/>
      <c r="C131" s="15"/>
      <c r="D131" s="1"/>
      <c r="L131" s="180" t="s">
        <v>3538</v>
      </c>
      <c r="M131" s="181" t="s">
        <v>1833</v>
      </c>
      <c r="N131" s="181" t="s">
        <v>1834</v>
      </c>
      <c r="O131" s="182" t="s">
        <v>1835</v>
      </c>
      <c r="P131" s="183">
        <v>1000</v>
      </c>
      <c r="Q131" s="183">
        <v>4</v>
      </c>
      <c r="R131" s="184">
        <v>43598</v>
      </c>
      <c r="S131" s="181" t="s">
        <v>99</v>
      </c>
    </row>
    <row r="132" spans="2:19" s="19" customFormat="1" hidden="1">
      <c r="B132"/>
      <c r="C132" s="15"/>
      <c r="D132" s="1"/>
      <c r="L132" s="180" t="s">
        <v>3538</v>
      </c>
      <c r="M132" s="181" t="s">
        <v>1836</v>
      </c>
      <c r="N132" s="181" t="s">
        <v>1834</v>
      </c>
      <c r="O132" s="182" t="s">
        <v>1835</v>
      </c>
      <c r="P132" s="183">
        <v>6000</v>
      </c>
      <c r="Q132" s="183">
        <v>24</v>
      </c>
      <c r="R132" s="184">
        <v>43598</v>
      </c>
      <c r="S132" s="181" t="s">
        <v>99</v>
      </c>
    </row>
    <row r="133" spans="2:19" s="19" customFormat="1" hidden="1">
      <c r="B133"/>
      <c r="C133" s="15"/>
      <c r="D133" s="1"/>
      <c r="L133" s="180" t="s">
        <v>3538</v>
      </c>
      <c r="M133" s="181" t="s">
        <v>1837</v>
      </c>
      <c r="N133" s="181" t="s">
        <v>1834</v>
      </c>
      <c r="O133" s="182" t="s">
        <v>1835</v>
      </c>
      <c r="P133" s="183">
        <v>5000</v>
      </c>
      <c r="Q133" s="183">
        <v>20</v>
      </c>
      <c r="R133" s="185" t="s">
        <v>3539</v>
      </c>
      <c r="S133" s="180" t="s">
        <v>3540</v>
      </c>
    </row>
    <row r="134" spans="2:19" s="19" customFormat="1" hidden="1">
      <c r="B134"/>
      <c r="C134" s="15"/>
      <c r="D134" s="1"/>
      <c r="L134" s="180" t="s">
        <v>3538</v>
      </c>
      <c r="M134" s="181" t="s">
        <v>1840</v>
      </c>
      <c r="N134" s="181" t="s">
        <v>1834</v>
      </c>
      <c r="O134" s="182" t="s">
        <v>1835</v>
      </c>
      <c r="P134" s="183">
        <v>5000</v>
      </c>
      <c r="Q134" s="183">
        <v>20</v>
      </c>
      <c r="R134" s="184">
        <v>43605</v>
      </c>
      <c r="S134" s="181" t="s">
        <v>99</v>
      </c>
    </row>
    <row r="135" spans="2:19" s="19" customFormat="1" hidden="1">
      <c r="B135"/>
      <c r="C135" s="15"/>
      <c r="D135" s="1"/>
      <c r="L135" s="180" t="s">
        <v>3538</v>
      </c>
      <c r="M135" s="181" t="s">
        <v>1841</v>
      </c>
      <c r="N135" s="181" t="s">
        <v>1834</v>
      </c>
      <c r="O135" s="182" t="s">
        <v>1835</v>
      </c>
      <c r="P135" s="183">
        <v>7000</v>
      </c>
      <c r="Q135" s="183">
        <v>28</v>
      </c>
      <c r="R135" s="184">
        <v>43605</v>
      </c>
      <c r="S135" s="181" t="s">
        <v>99</v>
      </c>
    </row>
    <row r="136" spans="2:19" hidden="1">
      <c r="L136" s="180" t="s">
        <v>3541</v>
      </c>
      <c r="M136" s="181" t="s">
        <v>1843</v>
      </c>
      <c r="N136" s="181" t="s">
        <v>1844</v>
      </c>
      <c r="O136" s="182" t="s">
        <v>1835</v>
      </c>
      <c r="P136" s="183">
        <v>2000</v>
      </c>
      <c r="Q136" s="183">
        <v>8</v>
      </c>
      <c r="R136" s="184">
        <v>43598</v>
      </c>
      <c r="S136" s="181" t="s">
        <v>99</v>
      </c>
    </row>
    <row r="137" spans="2:19" hidden="1">
      <c r="L137" s="180" t="s">
        <v>3541</v>
      </c>
      <c r="M137" s="181" t="s">
        <v>1845</v>
      </c>
      <c r="N137" s="181" t="s">
        <v>1844</v>
      </c>
      <c r="O137" s="182" t="s">
        <v>1835</v>
      </c>
      <c r="P137" s="183">
        <v>2000</v>
      </c>
      <c r="Q137" s="183">
        <v>8</v>
      </c>
      <c r="R137" s="184">
        <v>43598</v>
      </c>
      <c r="S137" s="181" t="s">
        <v>99</v>
      </c>
    </row>
    <row r="138" spans="2:19" hidden="1">
      <c r="L138" s="180" t="s">
        <v>3541</v>
      </c>
      <c r="M138" s="181" t="s">
        <v>1846</v>
      </c>
      <c r="N138" s="181" t="s">
        <v>1844</v>
      </c>
      <c r="O138" s="182" t="s">
        <v>1835</v>
      </c>
      <c r="P138" s="183">
        <v>10000</v>
      </c>
      <c r="Q138" s="183">
        <v>40</v>
      </c>
      <c r="R138" s="184">
        <v>43598</v>
      </c>
      <c r="S138" s="181" t="s">
        <v>99</v>
      </c>
    </row>
    <row r="139" spans="2:19" hidden="1">
      <c r="L139" s="180" t="s">
        <v>3541</v>
      </c>
      <c r="M139" s="181" t="s">
        <v>1847</v>
      </c>
      <c r="N139" s="181" t="s">
        <v>1844</v>
      </c>
      <c r="O139" s="182" t="s">
        <v>1835</v>
      </c>
      <c r="P139" s="183">
        <v>8000</v>
      </c>
      <c r="Q139" s="183">
        <v>32</v>
      </c>
      <c r="R139" s="184">
        <v>43598</v>
      </c>
      <c r="S139" s="180"/>
    </row>
    <row r="140" spans="2:19" hidden="1">
      <c r="L140" s="180" t="s">
        <v>3541</v>
      </c>
      <c r="M140" s="181" t="s">
        <v>1848</v>
      </c>
      <c r="N140" s="181" t="s">
        <v>1844</v>
      </c>
      <c r="O140" s="182" t="s">
        <v>1835</v>
      </c>
      <c r="P140" s="183">
        <v>10000</v>
      </c>
      <c r="Q140" s="183">
        <v>40</v>
      </c>
      <c r="R140" s="185" t="s">
        <v>3542</v>
      </c>
      <c r="S140" s="180" t="s">
        <v>3540</v>
      </c>
    </row>
    <row r="141" spans="2:19" hidden="1">
      <c r="L141" s="182" t="s">
        <v>3543</v>
      </c>
      <c r="M141" s="181" t="s">
        <v>1851</v>
      </c>
      <c r="N141" s="181" t="s">
        <v>1834</v>
      </c>
      <c r="O141" s="182" t="s">
        <v>1852</v>
      </c>
      <c r="P141" s="183">
        <v>5000</v>
      </c>
      <c r="Q141" s="183">
        <v>20</v>
      </c>
      <c r="R141" s="184">
        <v>43605</v>
      </c>
      <c r="S141" s="181" t="s">
        <v>99</v>
      </c>
    </row>
    <row r="142" spans="2:19" hidden="1">
      <c r="L142" s="180" t="s">
        <v>3544</v>
      </c>
      <c r="M142" s="181" t="s">
        <v>1851</v>
      </c>
      <c r="N142" s="181" t="s">
        <v>1844</v>
      </c>
      <c r="O142" s="182" t="s">
        <v>1835</v>
      </c>
      <c r="P142" s="183">
        <v>2000</v>
      </c>
      <c r="Q142" s="183">
        <v>8</v>
      </c>
      <c r="R142" s="184">
        <v>43605</v>
      </c>
      <c r="S142" s="181" t="s">
        <v>99</v>
      </c>
    </row>
    <row r="143" spans="2:19" hidden="1">
      <c r="L143" s="182" t="s">
        <v>3545</v>
      </c>
      <c r="M143" s="181" t="s">
        <v>1855</v>
      </c>
      <c r="N143" s="181" t="s">
        <v>1834</v>
      </c>
      <c r="O143" s="182" t="s">
        <v>1852</v>
      </c>
      <c r="P143" s="183">
        <v>6000</v>
      </c>
      <c r="Q143" s="183">
        <v>24</v>
      </c>
      <c r="R143" s="184">
        <v>43605</v>
      </c>
      <c r="S143" s="181" t="s">
        <v>99</v>
      </c>
    </row>
    <row r="144" spans="2:19" hidden="1">
      <c r="L144" s="182" t="s">
        <v>3545</v>
      </c>
      <c r="M144" s="181" t="s">
        <v>1856</v>
      </c>
      <c r="N144" s="181" t="s">
        <v>1834</v>
      </c>
      <c r="O144" s="182" t="s">
        <v>1852</v>
      </c>
      <c r="P144" s="183">
        <v>6000</v>
      </c>
      <c r="Q144" s="183">
        <v>24</v>
      </c>
      <c r="R144" s="185">
        <v>43605</v>
      </c>
      <c r="S144" s="180"/>
    </row>
    <row r="145" spans="12:19" hidden="1">
      <c r="L145" s="182" t="s">
        <v>3545</v>
      </c>
      <c r="M145" s="181" t="s">
        <v>1857</v>
      </c>
      <c r="N145" s="181" t="s">
        <v>1834</v>
      </c>
      <c r="O145" s="182" t="s">
        <v>1852</v>
      </c>
      <c r="P145" s="183">
        <v>6000</v>
      </c>
      <c r="Q145" s="183">
        <v>24</v>
      </c>
      <c r="R145" s="184" t="s">
        <v>3546</v>
      </c>
      <c r="S145" s="181" t="s">
        <v>3547</v>
      </c>
    </row>
    <row r="148" spans="12:19" ht="16.2">
      <c r="L148" s="186"/>
    </row>
    <row r="149" spans="12:19" ht="16.2">
      <c r="L149" s="186"/>
    </row>
    <row r="150" spans="12:19" ht="16.2">
      <c r="L150" s="186"/>
    </row>
  </sheetData>
  <autoFilter ref="B2:R124" xr:uid="{00000000-0009-0000-0000-000014000000}">
    <filterColumn colId="2">
      <filters>
        <filter val="010805160009"/>
        <filter val="010805160010"/>
      </filters>
    </filterColumn>
  </autoFilter>
  <phoneticPr fontId="1"/>
  <pageMargins left="0.23622047244094491" right="0.23622047244094491" top="0.35433070866141736" bottom="0.35433070866141736" header="0.31496062992125984" footer="0.31496062992125984"/>
  <pageSetup paperSize="9" scale="77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62">
    <pageSetUpPr fitToPage="1"/>
  </sheetPr>
  <dimension ref="A1:S136"/>
  <sheetViews>
    <sheetView zoomScale="77" zoomScaleNormal="77" workbookViewId="0">
      <pane xSplit="1" ySplit="2" topLeftCell="B96" activePane="bottomRight" state="frozen"/>
      <selection pane="topRight" activeCell="B1" sqref="B1"/>
      <selection pane="bottomLeft" activeCell="A3" sqref="A3"/>
      <selection pane="bottomRight" activeCell="E136" sqref="E136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7.12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B2" s="194"/>
      <c r="C2" s="14" t="s">
        <v>92</v>
      </c>
      <c r="D2" s="5" t="s">
        <v>0</v>
      </c>
      <c r="E2" s="6" t="s">
        <v>93</v>
      </c>
      <c r="F2" s="6" t="s">
        <v>94</v>
      </c>
      <c r="G2" s="10" t="s">
        <v>1</v>
      </c>
      <c r="H2" s="6" t="s">
        <v>15</v>
      </c>
      <c r="I2" s="6" t="s">
        <v>16</v>
      </c>
      <c r="J2" s="6" t="s">
        <v>95</v>
      </c>
      <c r="K2" s="12" t="s">
        <v>296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85</v>
      </c>
      <c r="Q2" s="6" t="s">
        <v>96</v>
      </c>
      <c r="R2" s="16" t="s">
        <v>6</v>
      </c>
      <c r="S2" s="16" t="s">
        <v>80</v>
      </c>
    </row>
    <row r="3" spans="2:19" s="33" customFormat="1" ht="33" customHeight="1">
      <c r="B3" s="47" t="s">
        <v>220</v>
      </c>
      <c r="C3" s="48" t="s">
        <v>377</v>
      </c>
      <c r="D3" s="49" t="s">
        <v>378</v>
      </c>
      <c r="E3" s="50">
        <v>43455</v>
      </c>
      <c r="F3" s="49" t="s">
        <v>91</v>
      </c>
      <c r="G3" s="51">
        <v>14000</v>
      </c>
      <c r="H3" s="52">
        <f t="shared" ref="H3:H34" si="0">SUM(G3/250)</f>
        <v>56</v>
      </c>
      <c r="I3" s="52">
        <f t="shared" ref="I3:I51" si="1">SUM(H3/4)</f>
        <v>14</v>
      </c>
      <c r="J3" s="49"/>
      <c r="K3" s="53">
        <v>43548</v>
      </c>
      <c r="L3" s="54" t="s">
        <v>3015</v>
      </c>
      <c r="M3" s="55">
        <v>43563</v>
      </c>
      <c r="N3" s="56" t="s">
        <v>3016</v>
      </c>
      <c r="O3" s="55">
        <v>43569</v>
      </c>
      <c r="P3" s="54" t="s">
        <v>3017</v>
      </c>
      <c r="Q3" s="49"/>
      <c r="R3" s="57" t="s">
        <v>3018</v>
      </c>
      <c r="S3" s="47"/>
    </row>
    <row r="4" spans="2:19" s="33" customFormat="1" ht="33" customHeight="1">
      <c r="B4" s="47" t="s">
        <v>220</v>
      </c>
      <c r="C4" s="48" t="s">
        <v>421</v>
      </c>
      <c r="D4" s="49" t="s">
        <v>453</v>
      </c>
      <c r="E4" s="50">
        <v>43483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43576</v>
      </c>
      <c r="L4" s="54" t="s">
        <v>3019</v>
      </c>
      <c r="M4" s="55">
        <v>43570</v>
      </c>
      <c r="N4" s="56" t="s">
        <v>3020</v>
      </c>
      <c r="O4" s="55">
        <v>43576</v>
      </c>
      <c r="P4" s="54" t="s">
        <v>3021</v>
      </c>
      <c r="Q4" s="49"/>
      <c r="R4" s="57" t="s">
        <v>3022</v>
      </c>
      <c r="S4" s="47"/>
    </row>
    <row r="5" spans="2:19" s="33" customFormat="1" ht="33" customHeight="1">
      <c r="B5" s="47" t="s">
        <v>78</v>
      </c>
      <c r="C5" s="48" t="s">
        <v>422</v>
      </c>
      <c r="D5" s="49" t="s">
        <v>455</v>
      </c>
      <c r="E5" s="50">
        <v>43483</v>
      </c>
      <c r="F5" s="49" t="s">
        <v>3023</v>
      </c>
      <c r="G5" s="51">
        <v>10000</v>
      </c>
      <c r="H5" s="52">
        <f t="shared" si="0"/>
        <v>40</v>
      </c>
      <c r="I5" s="52">
        <f t="shared" si="1"/>
        <v>10</v>
      </c>
      <c r="J5" s="49"/>
      <c r="K5" s="53">
        <v>43618</v>
      </c>
      <c r="L5" s="54" t="s">
        <v>3024</v>
      </c>
      <c r="M5" s="55">
        <v>43612</v>
      </c>
      <c r="N5" s="56" t="s">
        <v>3025</v>
      </c>
      <c r="O5" s="55">
        <v>43618</v>
      </c>
      <c r="P5" s="54" t="s">
        <v>3026</v>
      </c>
      <c r="Q5" s="49" t="s">
        <v>82</v>
      </c>
      <c r="R5" s="57" t="s">
        <v>3027</v>
      </c>
      <c r="S5" s="47"/>
    </row>
    <row r="6" spans="2:19" s="33" customFormat="1" ht="33" customHeight="1">
      <c r="B6" s="47" t="s">
        <v>78</v>
      </c>
      <c r="C6" s="48" t="s">
        <v>3028</v>
      </c>
      <c r="D6" s="49" t="s">
        <v>455</v>
      </c>
      <c r="E6" s="50">
        <v>43523</v>
      </c>
      <c r="F6" s="49" t="s">
        <v>3023</v>
      </c>
      <c r="G6" s="51">
        <v>10000</v>
      </c>
      <c r="H6" s="52">
        <f t="shared" si="0"/>
        <v>40</v>
      </c>
      <c r="I6" s="52">
        <f t="shared" si="1"/>
        <v>10</v>
      </c>
      <c r="J6" s="49"/>
      <c r="K6" s="53">
        <v>43618</v>
      </c>
      <c r="L6" s="54" t="s">
        <v>638</v>
      </c>
      <c r="M6" s="55">
        <v>43612</v>
      </c>
      <c r="N6" s="56" t="s">
        <v>636</v>
      </c>
      <c r="O6" s="55">
        <v>43618</v>
      </c>
      <c r="P6" s="54" t="s">
        <v>2156</v>
      </c>
      <c r="Q6" s="49" t="s">
        <v>82</v>
      </c>
      <c r="R6" s="57" t="s">
        <v>618</v>
      </c>
      <c r="S6" s="47"/>
    </row>
    <row r="7" spans="2:19" s="33" customFormat="1" ht="33" customHeight="1">
      <c r="B7" s="47" t="s">
        <v>78</v>
      </c>
      <c r="C7" s="48" t="s">
        <v>1330</v>
      </c>
      <c r="D7" s="49" t="s">
        <v>1337</v>
      </c>
      <c r="E7" s="50">
        <v>43483</v>
      </c>
      <c r="F7" s="49" t="s">
        <v>91</v>
      </c>
      <c r="G7" s="51">
        <v>20000</v>
      </c>
      <c r="H7" s="52">
        <f t="shared" si="0"/>
        <v>80</v>
      </c>
      <c r="I7" s="52">
        <f t="shared" si="1"/>
        <v>20</v>
      </c>
      <c r="J7" s="49"/>
      <c r="K7" s="53">
        <v>43618</v>
      </c>
      <c r="L7" s="54" t="s">
        <v>442</v>
      </c>
      <c r="M7" s="55">
        <v>43612</v>
      </c>
      <c r="N7" s="56" t="s">
        <v>637</v>
      </c>
      <c r="O7" s="55">
        <v>43618</v>
      </c>
      <c r="P7" s="54" t="s">
        <v>2157</v>
      </c>
      <c r="Q7" s="49" t="s">
        <v>82</v>
      </c>
      <c r="R7" s="57" t="s">
        <v>616</v>
      </c>
      <c r="S7" s="47" t="s">
        <v>479</v>
      </c>
    </row>
    <row r="8" spans="2:19" s="33" customFormat="1" ht="33" customHeight="1">
      <c r="B8" s="47" t="s">
        <v>78</v>
      </c>
      <c r="C8" s="48" t="s">
        <v>423</v>
      </c>
      <c r="D8" s="49" t="s">
        <v>457</v>
      </c>
      <c r="E8" s="50">
        <v>43483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43576</v>
      </c>
      <c r="L8" s="54" t="s">
        <v>3029</v>
      </c>
      <c r="M8" s="55">
        <v>43570</v>
      </c>
      <c r="N8" s="56" t="s">
        <v>3030</v>
      </c>
      <c r="O8" s="55">
        <v>43576</v>
      </c>
      <c r="P8" s="54" t="s">
        <v>3031</v>
      </c>
      <c r="Q8" s="49" t="s">
        <v>82</v>
      </c>
      <c r="R8" s="57" t="s">
        <v>3032</v>
      </c>
      <c r="S8" s="47"/>
    </row>
    <row r="9" spans="2:19" s="33" customFormat="1" ht="33" customHeight="1">
      <c r="B9" s="47" t="s">
        <v>220</v>
      </c>
      <c r="C9" s="48" t="s">
        <v>425</v>
      </c>
      <c r="D9" s="49" t="s">
        <v>459</v>
      </c>
      <c r="E9" s="50">
        <v>43483</v>
      </c>
      <c r="F9" s="49" t="s">
        <v>79</v>
      </c>
      <c r="G9" s="51">
        <v>20000</v>
      </c>
      <c r="H9" s="52">
        <f t="shared" si="0"/>
        <v>80</v>
      </c>
      <c r="I9" s="52">
        <f t="shared" si="1"/>
        <v>20</v>
      </c>
      <c r="J9" s="49"/>
      <c r="K9" s="53">
        <v>43583</v>
      </c>
      <c r="L9" s="54" t="s">
        <v>3033</v>
      </c>
      <c r="M9" s="55">
        <v>43577</v>
      </c>
      <c r="N9" s="56" t="s">
        <v>3034</v>
      </c>
      <c r="O9" s="55">
        <v>43583</v>
      </c>
      <c r="P9" s="54" t="s">
        <v>3035</v>
      </c>
      <c r="Q9" s="49"/>
      <c r="R9" s="57" t="s">
        <v>3036</v>
      </c>
      <c r="S9" s="47"/>
    </row>
    <row r="10" spans="2:19" s="33" customFormat="1" ht="33" customHeight="1">
      <c r="B10" s="47" t="s">
        <v>78</v>
      </c>
      <c r="C10" s="48" t="s">
        <v>462</v>
      </c>
      <c r="D10" s="49" t="s">
        <v>483</v>
      </c>
      <c r="E10" s="50">
        <v>43490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43583</v>
      </c>
      <c r="L10" s="54" t="s">
        <v>3033</v>
      </c>
      <c r="M10" s="55">
        <v>43577</v>
      </c>
      <c r="N10" s="56" t="s">
        <v>3034</v>
      </c>
      <c r="O10" s="55">
        <v>43583</v>
      </c>
      <c r="P10" s="54" t="s">
        <v>3037</v>
      </c>
      <c r="Q10" s="49" t="s">
        <v>82</v>
      </c>
      <c r="R10" s="57" t="s">
        <v>3038</v>
      </c>
      <c r="S10" s="47"/>
    </row>
    <row r="11" spans="2:19" s="33" customFormat="1" ht="33" customHeight="1">
      <c r="B11" s="47" t="s">
        <v>78</v>
      </c>
      <c r="C11" s="48" t="s">
        <v>570</v>
      </c>
      <c r="D11" s="49" t="s">
        <v>571</v>
      </c>
      <c r="E11" s="50">
        <v>43519</v>
      </c>
      <c r="F11" s="49" t="s">
        <v>79</v>
      </c>
      <c r="G11" s="51">
        <v>20000</v>
      </c>
      <c r="H11" s="52">
        <f t="shared" si="0"/>
        <v>80</v>
      </c>
      <c r="I11" s="52">
        <f t="shared" si="1"/>
        <v>20</v>
      </c>
      <c r="J11" s="49"/>
      <c r="K11" s="53">
        <v>43590</v>
      </c>
      <c r="L11" s="54" t="s">
        <v>602</v>
      </c>
      <c r="M11" s="55">
        <v>43577</v>
      </c>
      <c r="N11" s="56" t="s">
        <v>3034</v>
      </c>
      <c r="O11" s="55">
        <v>43583</v>
      </c>
      <c r="P11" s="54" t="s">
        <v>3039</v>
      </c>
      <c r="Q11" s="49" t="s">
        <v>82</v>
      </c>
      <c r="R11" s="57" t="s">
        <v>3040</v>
      </c>
      <c r="S11" s="47"/>
    </row>
    <row r="12" spans="2:19" s="33" customFormat="1" ht="33" customHeight="1">
      <c r="B12" s="47" t="s">
        <v>78</v>
      </c>
      <c r="C12" s="48" t="s">
        <v>573</v>
      </c>
      <c r="D12" s="49" t="s">
        <v>574</v>
      </c>
      <c r="E12" s="50">
        <v>43519</v>
      </c>
      <c r="F12" s="49" t="s">
        <v>79</v>
      </c>
      <c r="G12" s="51">
        <v>20000</v>
      </c>
      <c r="H12" s="52">
        <f t="shared" si="0"/>
        <v>80</v>
      </c>
      <c r="I12" s="52">
        <f t="shared" si="1"/>
        <v>20</v>
      </c>
      <c r="J12" s="49"/>
      <c r="K12" s="53">
        <v>43604</v>
      </c>
      <c r="L12" s="54" t="s">
        <v>3041</v>
      </c>
      <c r="M12" s="55">
        <v>43598</v>
      </c>
      <c r="N12" s="56" t="s">
        <v>3042</v>
      </c>
      <c r="O12" s="55">
        <v>43604</v>
      </c>
      <c r="P12" s="54" t="s">
        <v>3043</v>
      </c>
      <c r="Q12" s="49" t="s">
        <v>82</v>
      </c>
      <c r="R12" s="57" t="s">
        <v>3044</v>
      </c>
      <c r="S12" s="47"/>
    </row>
    <row r="13" spans="2:19" s="33" customFormat="1" ht="33" customHeight="1">
      <c r="B13" s="47" t="s">
        <v>78</v>
      </c>
      <c r="C13" s="48" t="s">
        <v>3045</v>
      </c>
      <c r="D13" s="49" t="s">
        <v>577</v>
      </c>
      <c r="E13" s="50">
        <v>43519</v>
      </c>
      <c r="F13" s="49" t="s">
        <v>3046</v>
      </c>
      <c r="G13" s="51">
        <v>10000</v>
      </c>
      <c r="H13" s="52">
        <f t="shared" si="0"/>
        <v>40</v>
      </c>
      <c r="I13" s="52">
        <f t="shared" si="1"/>
        <v>10</v>
      </c>
      <c r="J13" s="49"/>
      <c r="K13" s="53">
        <v>43598</v>
      </c>
      <c r="L13" s="54" t="s">
        <v>803</v>
      </c>
      <c r="M13" s="55">
        <v>43598</v>
      </c>
      <c r="N13" s="56" t="s">
        <v>804</v>
      </c>
      <c r="O13" s="55">
        <v>43604</v>
      </c>
      <c r="P13" s="54" t="s">
        <v>3047</v>
      </c>
      <c r="Q13" s="49" t="s">
        <v>82</v>
      </c>
      <c r="R13" s="57" t="s">
        <v>3048</v>
      </c>
      <c r="S13" s="47"/>
    </row>
    <row r="14" spans="2:19" s="33" customFormat="1" ht="33" customHeight="1">
      <c r="B14" s="47" t="s">
        <v>220</v>
      </c>
      <c r="C14" s="48" t="s">
        <v>579</v>
      </c>
      <c r="D14" s="49" t="s">
        <v>580</v>
      </c>
      <c r="E14" s="50">
        <v>43519</v>
      </c>
      <c r="F14" s="49" t="s">
        <v>79</v>
      </c>
      <c r="G14" s="51">
        <v>10000</v>
      </c>
      <c r="H14" s="52">
        <f t="shared" si="0"/>
        <v>40</v>
      </c>
      <c r="I14" s="52">
        <f t="shared" si="1"/>
        <v>10</v>
      </c>
      <c r="J14" s="49"/>
      <c r="K14" s="53">
        <v>43598</v>
      </c>
      <c r="L14" s="54" t="s">
        <v>803</v>
      </c>
      <c r="M14" s="55">
        <v>43598</v>
      </c>
      <c r="N14" s="56" t="s">
        <v>804</v>
      </c>
      <c r="O14" s="55">
        <v>43604</v>
      </c>
      <c r="P14" s="54" t="s">
        <v>3049</v>
      </c>
      <c r="Q14" s="49"/>
      <c r="R14" s="57" t="s">
        <v>3050</v>
      </c>
      <c r="S14" s="47"/>
    </row>
    <row r="15" spans="2:19" s="33" customFormat="1" ht="33" customHeight="1">
      <c r="B15" s="47" t="s">
        <v>78</v>
      </c>
      <c r="C15" s="48" t="s">
        <v>576</v>
      </c>
      <c r="D15" s="49" t="s">
        <v>577</v>
      </c>
      <c r="E15" s="50">
        <v>43519</v>
      </c>
      <c r="F15" s="49" t="s">
        <v>79</v>
      </c>
      <c r="G15" s="51">
        <v>20000</v>
      </c>
      <c r="H15" s="52">
        <f t="shared" si="0"/>
        <v>80</v>
      </c>
      <c r="I15" s="52">
        <f t="shared" si="1"/>
        <v>20</v>
      </c>
      <c r="J15" s="49"/>
      <c r="K15" s="53">
        <v>43611</v>
      </c>
      <c r="L15" s="54" t="s">
        <v>3051</v>
      </c>
      <c r="M15" s="55">
        <v>43605</v>
      </c>
      <c r="N15" s="56" t="s">
        <v>3052</v>
      </c>
      <c r="O15" s="55">
        <v>43611</v>
      </c>
      <c r="P15" s="54" t="s">
        <v>3053</v>
      </c>
      <c r="Q15" s="49" t="s">
        <v>82</v>
      </c>
      <c r="R15" s="57" t="s">
        <v>3054</v>
      </c>
      <c r="S15" s="47"/>
    </row>
    <row r="16" spans="2:19" s="30" customFormat="1" ht="33" customHeight="1">
      <c r="B16" s="46" t="s">
        <v>78</v>
      </c>
      <c r="C16" s="35" t="s">
        <v>685</v>
      </c>
      <c r="D16" s="36" t="s">
        <v>686</v>
      </c>
      <c r="E16" s="37">
        <v>43532</v>
      </c>
      <c r="F16" s="36" t="s">
        <v>79</v>
      </c>
      <c r="G16" s="39">
        <v>20000</v>
      </c>
      <c r="H16" s="38">
        <f t="shared" si="0"/>
        <v>80</v>
      </c>
      <c r="I16" s="38">
        <f t="shared" si="1"/>
        <v>20</v>
      </c>
      <c r="J16" s="36"/>
      <c r="K16" s="40">
        <v>43625</v>
      </c>
      <c r="L16" s="41" t="s">
        <v>3055</v>
      </c>
      <c r="M16" s="42">
        <v>43619</v>
      </c>
      <c r="N16" s="43" t="s">
        <v>3056</v>
      </c>
      <c r="O16" s="42">
        <v>43625</v>
      </c>
      <c r="P16" s="41"/>
      <c r="Q16" s="36" t="s">
        <v>82</v>
      </c>
      <c r="R16" s="44" t="s">
        <v>3057</v>
      </c>
      <c r="S16" s="46"/>
    </row>
    <row r="17" spans="2:19" s="30" customFormat="1" ht="33" customHeight="1">
      <c r="B17" s="46" t="s">
        <v>78</v>
      </c>
      <c r="C17" s="35" t="s">
        <v>3058</v>
      </c>
      <c r="D17" s="36" t="s">
        <v>1366</v>
      </c>
      <c r="E17" s="37">
        <v>43532</v>
      </c>
      <c r="F17" s="36" t="s">
        <v>79</v>
      </c>
      <c r="G17" s="39">
        <v>20000</v>
      </c>
      <c r="H17" s="38">
        <f t="shared" si="0"/>
        <v>80</v>
      </c>
      <c r="I17" s="38">
        <f t="shared" si="1"/>
        <v>20</v>
      </c>
      <c r="J17" s="36"/>
      <c r="K17" s="40">
        <v>43625</v>
      </c>
      <c r="L17" s="41" t="s">
        <v>3055</v>
      </c>
      <c r="M17" s="42">
        <v>43619</v>
      </c>
      <c r="N17" s="43" t="s">
        <v>3056</v>
      </c>
      <c r="O17" s="42">
        <v>43625</v>
      </c>
      <c r="P17" s="41"/>
      <c r="Q17" s="36" t="s">
        <v>82</v>
      </c>
      <c r="R17" s="44" t="s">
        <v>3057</v>
      </c>
      <c r="S17" s="46" t="s">
        <v>479</v>
      </c>
    </row>
    <row r="18" spans="2:19" s="30" customFormat="1" ht="33" customHeight="1">
      <c r="B18" s="46" t="s">
        <v>220</v>
      </c>
      <c r="C18" s="35" t="s">
        <v>688</v>
      </c>
      <c r="D18" s="36" t="s">
        <v>689</v>
      </c>
      <c r="E18" s="37">
        <v>43532</v>
      </c>
      <c r="F18" s="36" t="s">
        <v>79</v>
      </c>
      <c r="G18" s="39">
        <v>20000</v>
      </c>
      <c r="H18" s="38">
        <f t="shared" si="0"/>
        <v>80</v>
      </c>
      <c r="I18" s="38">
        <f t="shared" si="1"/>
        <v>20</v>
      </c>
      <c r="J18" s="36"/>
      <c r="K18" s="40">
        <v>43632</v>
      </c>
      <c r="L18" s="41" t="s">
        <v>3059</v>
      </c>
      <c r="M18" s="42">
        <v>43626</v>
      </c>
      <c r="N18" s="43" t="s">
        <v>3060</v>
      </c>
      <c r="O18" s="42">
        <v>43632</v>
      </c>
      <c r="P18" s="41" t="s">
        <v>3061</v>
      </c>
      <c r="Q18" s="36"/>
      <c r="R18" s="44" t="s">
        <v>3062</v>
      </c>
      <c r="S18" s="46"/>
    </row>
    <row r="19" spans="2:19" s="30" customFormat="1" ht="33" customHeight="1">
      <c r="B19" s="46" t="s">
        <v>78</v>
      </c>
      <c r="C19" s="35" t="s">
        <v>691</v>
      </c>
      <c r="D19" s="36" t="s">
        <v>692</v>
      </c>
      <c r="E19" s="37">
        <v>43532</v>
      </c>
      <c r="F19" s="36" t="s">
        <v>79</v>
      </c>
      <c r="G19" s="39">
        <v>20000</v>
      </c>
      <c r="H19" s="38">
        <f t="shared" si="0"/>
        <v>80</v>
      </c>
      <c r="I19" s="38">
        <f t="shared" si="1"/>
        <v>20</v>
      </c>
      <c r="J19" s="36"/>
      <c r="K19" s="40">
        <v>43639</v>
      </c>
      <c r="L19" s="41" t="s">
        <v>3063</v>
      </c>
      <c r="M19" s="42">
        <v>43633</v>
      </c>
      <c r="N19" s="43" t="s">
        <v>3064</v>
      </c>
      <c r="O19" s="42">
        <v>43639</v>
      </c>
      <c r="P19" s="41"/>
      <c r="Q19" s="36" t="s">
        <v>82</v>
      </c>
      <c r="R19" s="44" t="s">
        <v>3065</v>
      </c>
      <c r="S19" s="46"/>
    </row>
    <row r="20" spans="2:19" s="33" customFormat="1" ht="33" customHeight="1">
      <c r="B20" s="47" t="s">
        <v>78</v>
      </c>
      <c r="C20" s="48" t="s">
        <v>3066</v>
      </c>
      <c r="D20" s="49" t="s">
        <v>3067</v>
      </c>
      <c r="E20" s="50">
        <v>43566</v>
      </c>
      <c r="F20" s="49" t="s">
        <v>79</v>
      </c>
      <c r="G20" s="51">
        <v>6000</v>
      </c>
      <c r="H20" s="52">
        <f t="shared" si="0"/>
        <v>24</v>
      </c>
      <c r="I20" s="52">
        <f t="shared" si="1"/>
        <v>6</v>
      </c>
      <c r="J20" s="49"/>
      <c r="K20" s="53">
        <v>43611</v>
      </c>
      <c r="L20" s="54" t="s">
        <v>603</v>
      </c>
      <c r="M20" s="55">
        <v>43605</v>
      </c>
      <c r="N20" s="56" t="s">
        <v>1080</v>
      </c>
      <c r="O20" s="55">
        <v>43611</v>
      </c>
      <c r="P20" s="54" t="s">
        <v>3068</v>
      </c>
      <c r="Q20" s="49" t="s">
        <v>82</v>
      </c>
      <c r="R20" s="57" t="s">
        <v>3069</v>
      </c>
      <c r="S20" s="47"/>
    </row>
    <row r="21" spans="2:19" s="33" customFormat="1" ht="33" customHeight="1">
      <c r="B21" s="47" t="s">
        <v>3070</v>
      </c>
      <c r="C21" s="48" t="s">
        <v>986</v>
      </c>
      <c r="D21" s="49" t="s">
        <v>3067</v>
      </c>
      <c r="E21" s="50">
        <v>43566</v>
      </c>
      <c r="F21" s="49" t="s">
        <v>79</v>
      </c>
      <c r="G21" s="51">
        <v>14000</v>
      </c>
      <c r="H21" s="52">
        <f t="shared" si="0"/>
        <v>56</v>
      </c>
      <c r="I21" s="52">
        <f t="shared" si="1"/>
        <v>14</v>
      </c>
      <c r="J21" s="49"/>
      <c r="K21" s="53">
        <v>43611</v>
      </c>
      <c r="L21" s="54" t="s">
        <v>603</v>
      </c>
      <c r="M21" s="55">
        <v>43605</v>
      </c>
      <c r="N21" s="56" t="s">
        <v>1080</v>
      </c>
      <c r="O21" s="55">
        <v>43611</v>
      </c>
      <c r="P21" s="54" t="s">
        <v>3071</v>
      </c>
      <c r="Q21" s="49"/>
      <c r="R21" s="57" t="s">
        <v>3069</v>
      </c>
      <c r="S21" s="47"/>
    </row>
    <row r="22" spans="2:19" s="30" customFormat="1" ht="33" customHeight="1">
      <c r="B22" s="46" t="s">
        <v>78</v>
      </c>
      <c r="C22" s="35" t="s">
        <v>988</v>
      </c>
      <c r="D22" s="36" t="s">
        <v>3072</v>
      </c>
      <c r="E22" s="37">
        <v>43566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43632</v>
      </c>
      <c r="L22" s="41" t="s">
        <v>1081</v>
      </c>
      <c r="M22" s="42">
        <v>43626</v>
      </c>
      <c r="N22" s="43" t="s">
        <v>1082</v>
      </c>
      <c r="O22" s="42">
        <v>43632</v>
      </c>
      <c r="P22" s="41"/>
      <c r="Q22" s="36" t="s">
        <v>82</v>
      </c>
      <c r="R22" s="44" t="s">
        <v>3073</v>
      </c>
      <c r="S22" s="46"/>
    </row>
    <row r="23" spans="2:19" s="30" customFormat="1" ht="33" customHeight="1">
      <c r="B23" s="46" t="s">
        <v>78</v>
      </c>
      <c r="C23" s="35" t="s">
        <v>1160</v>
      </c>
      <c r="D23" s="36" t="s">
        <v>1161</v>
      </c>
      <c r="E23" s="37">
        <v>43567</v>
      </c>
      <c r="F23" s="36" t="s">
        <v>3074</v>
      </c>
      <c r="G23" s="39">
        <v>40000</v>
      </c>
      <c r="H23" s="38">
        <f t="shared" si="0"/>
        <v>160</v>
      </c>
      <c r="I23" s="38">
        <f t="shared" si="1"/>
        <v>40</v>
      </c>
      <c r="J23" s="36"/>
      <c r="K23" s="40">
        <v>43646</v>
      </c>
      <c r="L23" s="41" t="s">
        <v>3075</v>
      </c>
      <c r="M23" s="42">
        <v>43640</v>
      </c>
      <c r="N23" s="43" t="s">
        <v>3076</v>
      </c>
      <c r="O23" s="42">
        <v>43646</v>
      </c>
      <c r="P23" s="41"/>
      <c r="Q23" s="36" t="s">
        <v>82</v>
      </c>
      <c r="R23" s="44" t="s">
        <v>3077</v>
      </c>
      <c r="S23" s="46" t="s">
        <v>2140</v>
      </c>
    </row>
    <row r="24" spans="2:19" s="30" customFormat="1" ht="33" customHeight="1">
      <c r="B24" s="46" t="s">
        <v>220</v>
      </c>
      <c r="C24" s="35" t="s">
        <v>1163</v>
      </c>
      <c r="D24" s="36" t="s">
        <v>1164</v>
      </c>
      <c r="E24" s="37">
        <v>43567</v>
      </c>
      <c r="F24" s="36" t="s">
        <v>79</v>
      </c>
      <c r="G24" s="39">
        <v>20000</v>
      </c>
      <c r="H24" s="38">
        <f t="shared" si="0"/>
        <v>80</v>
      </c>
      <c r="I24" s="38">
        <f t="shared" si="1"/>
        <v>20</v>
      </c>
      <c r="J24" s="36"/>
      <c r="K24" s="40">
        <v>43646</v>
      </c>
      <c r="L24" s="41" t="s">
        <v>3075</v>
      </c>
      <c r="M24" s="42">
        <v>43640</v>
      </c>
      <c r="N24" s="43" t="s">
        <v>3076</v>
      </c>
      <c r="O24" s="42">
        <v>43646</v>
      </c>
      <c r="P24" s="41"/>
      <c r="Q24" s="36"/>
      <c r="R24" s="44" t="s">
        <v>3078</v>
      </c>
      <c r="S24" s="46" t="s">
        <v>2140</v>
      </c>
    </row>
    <row r="25" spans="2:19" s="30" customFormat="1" ht="33" customHeight="1">
      <c r="B25" s="46" t="s">
        <v>78</v>
      </c>
      <c r="C25" s="35" t="s">
        <v>1166</v>
      </c>
      <c r="D25" s="36" t="s">
        <v>1167</v>
      </c>
      <c r="E25" s="37">
        <v>43567</v>
      </c>
      <c r="F25" s="36" t="s">
        <v>79</v>
      </c>
      <c r="G25" s="39">
        <v>20000</v>
      </c>
      <c r="H25" s="38">
        <f t="shared" si="0"/>
        <v>80</v>
      </c>
      <c r="I25" s="38">
        <f t="shared" si="1"/>
        <v>20</v>
      </c>
      <c r="J25" s="36"/>
      <c r="K25" s="40">
        <v>43653</v>
      </c>
      <c r="L25" s="41" t="s">
        <v>3079</v>
      </c>
      <c r="M25" s="42">
        <v>43647</v>
      </c>
      <c r="N25" s="43" t="s">
        <v>3080</v>
      </c>
      <c r="O25" s="42">
        <v>43653</v>
      </c>
      <c r="P25" s="41"/>
      <c r="Q25" s="36" t="s">
        <v>82</v>
      </c>
      <c r="R25" s="44" t="s">
        <v>3081</v>
      </c>
      <c r="S25" s="46" t="s">
        <v>2140</v>
      </c>
    </row>
    <row r="26" spans="2:19" s="30" customFormat="1" ht="33" customHeight="1">
      <c r="B26" s="46" t="s">
        <v>78</v>
      </c>
      <c r="C26" s="35" t="s">
        <v>1169</v>
      </c>
      <c r="D26" s="36" t="s">
        <v>1170</v>
      </c>
      <c r="E26" s="37">
        <v>43567</v>
      </c>
      <c r="F26" s="36" t="s">
        <v>79</v>
      </c>
      <c r="G26" s="39">
        <v>20000</v>
      </c>
      <c r="H26" s="38">
        <f t="shared" si="0"/>
        <v>80</v>
      </c>
      <c r="I26" s="38">
        <f t="shared" si="1"/>
        <v>20</v>
      </c>
      <c r="J26" s="36"/>
      <c r="K26" s="40">
        <v>43660</v>
      </c>
      <c r="L26" s="41" t="s">
        <v>3082</v>
      </c>
      <c r="M26" s="42">
        <v>43654</v>
      </c>
      <c r="N26" s="43" t="s">
        <v>3083</v>
      </c>
      <c r="O26" s="42">
        <v>43660</v>
      </c>
      <c r="P26" s="41"/>
      <c r="Q26" s="36" t="s">
        <v>82</v>
      </c>
      <c r="R26" s="44" t="s">
        <v>3084</v>
      </c>
      <c r="S26" s="46" t="s">
        <v>2140</v>
      </c>
    </row>
    <row r="27" spans="2:19" s="30" customFormat="1" ht="33" customHeight="1">
      <c r="B27" s="46" t="s">
        <v>78</v>
      </c>
      <c r="C27" s="35" t="s">
        <v>1172</v>
      </c>
      <c r="D27" s="36" t="s">
        <v>1173</v>
      </c>
      <c r="E27" s="37">
        <v>43567</v>
      </c>
      <c r="F27" s="36" t="s">
        <v>79</v>
      </c>
      <c r="G27" s="39">
        <v>20000</v>
      </c>
      <c r="H27" s="38">
        <f t="shared" si="0"/>
        <v>80</v>
      </c>
      <c r="I27" s="38">
        <f t="shared" si="1"/>
        <v>20</v>
      </c>
      <c r="J27" s="36"/>
      <c r="K27" s="40">
        <v>43667</v>
      </c>
      <c r="L27" s="41" t="s">
        <v>3085</v>
      </c>
      <c r="M27" s="42">
        <v>43658</v>
      </c>
      <c r="N27" s="43" t="s">
        <v>3086</v>
      </c>
      <c r="O27" s="42">
        <v>43667</v>
      </c>
      <c r="P27" s="41"/>
      <c r="Q27" s="36" t="s">
        <v>82</v>
      </c>
      <c r="R27" s="44" t="s">
        <v>3087</v>
      </c>
      <c r="S27" s="46" t="s">
        <v>2140</v>
      </c>
    </row>
    <row r="28" spans="2:19" s="30" customFormat="1" ht="33" customHeight="1">
      <c r="B28" s="46" t="s">
        <v>220</v>
      </c>
      <c r="C28" s="35" t="s">
        <v>1175</v>
      </c>
      <c r="D28" s="36" t="s">
        <v>1176</v>
      </c>
      <c r="E28" s="37">
        <v>43567</v>
      </c>
      <c r="F28" s="36" t="s">
        <v>79</v>
      </c>
      <c r="G28" s="39">
        <v>20000</v>
      </c>
      <c r="H28" s="38">
        <f t="shared" si="0"/>
        <v>80</v>
      </c>
      <c r="I28" s="38">
        <f t="shared" si="1"/>
        <v>20</v>
      </c>
      <c r="J28" s="36"/>
      <c r="K28" s="40">
        <v>43667</v>
      </c>
      <c r="L28" s="41" t="s">
        <v>1319</v>
      </c>
      <c r="M28" s="42">
        <v>43658</v>
      </c>
      <c r="N28" s="43" t="s">
        <v>3086</v>
      </c>
      <c r="O28" s="42">
        <v>43667</v>
      </c>
      <c r="P28" s="41"/>
      <c r="Q28" s="36"/>
      <c r="R28" s="44" t="s">
        <v>3088</v>
      </c>
      <c r="S28" s="46"/>
    </row>
    <row r="29" spans="2:19" s="30" customFormat="1" ht="33" customHeight="1">
      <c r="B29" s="46" t="s">
        <v>78</v>
      </c>
      <c r="C29" s="35" t="s">
        <v>1178</v>
      </c>
      <c r="D29" s="36" t="s">
        <v>1179</v>
      </c>
      <c r="E29" s="37">
        <v>43567</v>
      </c>
      <c r="F29" s="36" t="s">
        <v>3046</v>
      </c>
      <c r="G29" s="39">
        <v>10000</v>
      </c>
      <c r="H29" s="38">
        <f t="shared" si="0"/>
        <v>40</v>
      </c>
      <c r="I29" s="38">
        <f t="shared" si="1"/>
        <v>10</v>
      </c>
      <c r="J29" s="36"/>
      <c r="K29" s="40">
        <v>43674</v>
      </c>
      <c r="L29" s="41" t="s">
        <v>3089</v>
      </c>
      <c r="M29" s="42">
        <v>43668</v>
      </c>
      <c r="N29" s="43" t="s">
        <v>3090</v>
      </c>
      <c r="O29" s="42">
        <v>43674</v>
      </c>
      <c r="P29" s="41"/>
      <c r="Q29" s="36" t="s">
        <v>82</v>
      </c>
      <c r="R29" s="44" t="s">
        <v>3091</v>
      </c>
      <c r="S29" s="46"/>
    </row>
    <row r="30" spans="2:19" s="30" customFormat="1" ht="33" customHeight="1">
      <c r="B30" s="46" t="s">
        <v>220</v>
      </c>
      <c r="C30" s="35" t="s">
        <v>1181</v>
      </c>
      <c r="D30" s="36" t="s">
        <v>1182</v>
      </c>
      <c r="E30" s="37">
        <v>43567</v>
      </c>
      <c r="F30" s="36" t="s">
        <v>3046</v>
      </c>
      <c r="G30" s="39">
        <v>10000</v>
      </c>
      <c r="H30" s="38">
        <f t="shared" si="0"/>
        <v>40</v>
      </c>
      <c r="I30" s="38">
        <f t="shared" si="1"/>
        <v>10</v>
      </c>
      <c r="J30" s="36"/>
      <c r="K30" s="40">
        <v>43674</v>
      </c>
      <c r="L30" s="41" t="s">
        <v>1321</v>
      </c>
      <c r="M30" s="42">
        <v>43668</v>
      </c>
      <c r="N30" s="43" t="s">
        <v>3090</v>
      </c>
      <c r="O30" s="42">
        <v>43674</v>
      </c>
      <c r="P30" s="41"/>
      <c r="Q30" s="36"/>
      <c r="R30" s="44" t="s">
        <v>3092</v>
      </c>
      <c r="S30" s="46"/>
    </row>
    <row r="31" spans="2:19" s="30" customFormat="1" ht="33" customHeight="1">
      <c r="B31" s="46" t="s">
        <v>78</v>
      </c>
      <c r="C31" s="35" t="s">
        <v>2273</v>
      </c>
      <c r="D31" s="36" t="s">
        <v>2274</v>
      </c>
      <c r="E31" s="37">
        <v>43602</v>
      </c>
      <c r="F31" s="36" t="s">
        <v>79</v>
      </c>
      <c r="G31" s="39">
        <v>20000</v>
      </c>
      <c r="H31" s="38">
        <f t="shared" si="0"/>
        <v>80</v>
      </c>
      <c r="I31" s="38">
        <f t="shared" si="1"/>
        <v>20</v>
      </c>
      <c r="J31" s="36"/>
      <c r="K31" s="40">
        <v>43688</v>
      </c>
      <c r="L31" s="41" t="s">
        <v>3093</v>
      </c>
      <c r="M31" s="42">
        <v>43682</v>
      </c>
      <c r="N31" s="43" t="s">
        <v>3094</v>
      </c>
      <c r="O31" s="42">
        <v>43688</v>
      </c>
      <c r="P31" s="41"/>
      <c r="Q31" s="36" t="s">
        <v>82</v>
      </c>
      <c r="R31" s="44" t="s">
        <v>3095</v>
      </c>
      <c r="S31" s="46"/>
    </row>
    <row r="32" spans="2:19" s="30" customFormat="1" ht="33" customHeight="1">
      <c r="B32" s="46" t="s">
        <v>78</v>
      </c>
      <c r="C32" s="35" t="s">
        <v>2276</v>
      </c>
      <c r="D32" s="36" t="s">
        <v>2277</v>
      </c>
      <c r="E32" s="37">
        <v>43602</v>
      </c>
      <c r="F32" s="36" t="s">
        <v>79</v>
      </c>
      <c r="G32" s="39">
        <v>20000</v>
      </c>
      <c r="H32" s="38">
        <f t="shared" si="0"/>
        <v>80</v>
      </c>
      <c r="I32" s="38">
        <f t="shared" si="1"/>
        <v>20</v>
      </c>
      <c r="J32" s="36"/>
      <c r="K32" s="40">
        <v>43695</v>
      </c>
      <c r="L32" s="41" t="s">
        <v>3093</v>
      </c>
      <c r="M32" s="42">
        <v>43682</v>
      </c>
      <c r="N32" s="43" t="s">
        <v>3094</v>
      </c>
      <c r="O32" s="42">
        <v>43688</v>
      </c>
      <c r="P32" s="41"/>
      <c r="Q32" s="36" t="s">
        <v>82</v>
      </c>
      <c r="R32" s="44" t="s">
        <v>3096</v>
      </c>
      <c r="S32" s="46"/>
    </row>
    <row r="33" spans="2:19" s="30" customFormat="1" ht="33" customHeight="1">
      <c r="B33" s="46" t="s">
        <v>220</v>
      </c>
      <c r="C33" s="35" t="s">
        <v>2279</v>
      </c>
      <c r="D33" s="36" t="s">
        <v>2280</v>
      </c>
      <c r="E33" s="37">
        <v>43602</v>
      </c>
      <c r="F33" s="36" t="s">
        <v>79</v>
      </c>
      <c r="G33" s="39">
        <v>20000</v>
      </c>
      <c r="H33" s="38">
        <f t="shared" si="0"/>
        <v>80</v>
      </c>
      <c r="I33" s="38">
        <f t="shared" si="1"/>
        <v>20</v>
      </c>
      <c r="J33" s="36"/>
      <c r="K33" s="40">
        <v>43695</v>
      </c>
      <c r="L33" s="41" t="s">
        <v>3093</v>
      </c>
      <c r="M33" s="42">
        <v>43682</v>
      </c>
      <c r="N33" s="43" t="s">
        <v>3094</v>
      </c>
      <c r="O33" s="42">
        <v>43688</v>
      </c>
      <c r="P33" s="41"/>
      <c r="Q33" s="36"/>
      <c r="R33" s="44" t="s">
        <v>3097</v>
      </c>
      <c r="S33" s="46"/>
    </row>
    <row r="34" spans="2:19" s="30" customFormat="1" ht="33" customHeight="1">
      <c r="B34" s="46" t="s">
        <v>78</v>
      </c>
      <c r="C34" s="35" t="s">
        <v>2282</v>
      </c>
      <c r="D34" s="36" t="s">
        <v>2283</v>
      </c>
      <c r="E34" s="37">
        <v>43602</v>
      </c>
      <c r="F34" s="36" t="s">
        <v>79</v>
      </c>
      <c r="G34" s="39">
        <v>20000</v>
      </c>
      <c r="H34" s="38">
        <f t="shared" si="0"/>
        <v>80</v>
      </c>
      <c r="I34" s="38">
        <f t="shared" si="1"/>
        <v>20</v>
      </c>
      <c r="J34" s="36"/>
      <c r="K34" s="40">
        <v>43709</v>
      </c>
      <c r="L34" s="41" t="s">
        <v>3098</v>
      </c>
      <c r="M34" s="42">
        <v>43703</v>
      </c>
      <c r="N34" s="43" t="s">
        <v>3099</v>
      </c>
      <c r="O34" s="42">
        <v>43709</v>
      </c>
      <c r="P34" s="41"/>
      <c r="Q34" s="36" t="s">
        <v>82</v>
      </c>
      <c r="R34" s="44" t="s">
        <v>3100</v>
      </c>
      <c r="S34" s="46"/>
    </row>
    <row r="35" spans="2:19" s="96" customFormat="1" ht="33" customHeight="1">
      <c r="B35" s="47" t="s">
        <v>17</v>
      </c>
      <c r="C35" s="48" t="s">
        <v>427</v>
      </c>
      <c r="D35" s="49" t="s">
        <v>3101</v>
      </c>
      <c r="E35" s="50">
        <v>43483</v>
      </c>
      <c r="F35" s="52" t="s">
        <v>84</v>
      </c>
      <c r="G35" s="51">
        <v>9200</v>
      </c>
      <c r="H35" s="52">
        <f t="shared" ref="H35:H51" si="2">SUM(G35/230)</f>
        <v>40</v>
      </c>
      <c r="I35" s="52">
        <f t="shared" si="1"/>
        <v>10</v>
      </c>
      <c r="J35" s="49"/>
      <c r="K35" s="53">
        <v>43576</v>
      </c>
      <c r="L35" s="54" t="s">
        <v>3102</v>
      </c>
      <c r="M35" s="55">
        <v>43571</v>
      </c>
      <c r="N35" s="56" t="s">
        <v>3103</v>
      </c>
      <c r="O35" s="55">
        <v>43576</v>
      </c>
      <c r="P35" s="58"/>
      <c r="Q35" s="52" t="s">
        <v>82</v>
      </c>
      <c r="R35" s="57" t="s">
        <v>3104</v>
      </c>
      <c r="S35" s="47"/>
    </row>
    <row r="36" spans="2:19" s="67" customFormat="1" ht="33" customHeight="1">
      <c r="B36" s="46" t="s">
        <v>17</v>
      </c>
      <c r="C36" s="35" t="s">
        <v>581</v>
      </c>
      <c r="D36" s="36" t="s">
        <v>582</v>
      </c>
      <c r="E36" s="37">
        <v>43519</v>
      </c>
      <c r="F36" s="38" t="s">
        <v>84</v>
      </c>
      <c r="G36" s="39">
        <v>9200</v>
      </c>
      <c r="H36" s="38">
        <f t="shared" si="2"/>
        <v>40</v>
      </c>
      <c r="I36" s="38">
        <f t="shared" si="1"/>
        <v>10</v>
      </c>
      <c r="J36" s="36"/>
      <c r="K36" s="40">
        <v>43632</v>
      </c>
      <c r="L36" s="41" t="s">
        <v>3105</v>
      </c>
      <c r="M36" s="42">
        <v>43620</v>
      </c>
      <c r="N36" s="43" t="s">
        <v>3106</v>
      </c>
      <c r="O36" s="42">
        <v>43625</v>
      </c>
      <c r="P36" s="45"/>
      <c r="Q36" s="38" t="s">
        <v>82</v>
      </c>
      <c r="R36" s="44" t="s">
        <v>3107</v>
      </c>
      <c r="S36" s="46"/>
    </row>
    <row r="37" spans="2:19" s="67" customFormat="1" ht="33" customHeight="1">
      <c r="B37" s="46" t="s">
        <v>17</v>
      </c>
      <c r="C37" s="35" t="s">
        <v>694</v>
      </c>
      <c r="D37" s="36" t="s">
        <v>695</v>
      </c>
      <c r="E37" s="37">
        <v>43532</v>
      </c>
      <c r="F37" s="38" t="s">
        <v>3108</v>
      </c>
      <c r="G37" s="39">
        <v>9200</v>
      </c>
      <c r="H37" s="38">
        <f t="shared" si="2"/>
        <v>40</v>
      </c>
      <c r="I37" s="38">
        <f t="shared" si="1"/>
        <v>10</v>
      </c>
      <c r="J37" s="36"/>
      <c r="K37" s="40">
        <v>43653</v>
      </c>
      <c r="L37" s="41" t="s">
        <v>1326</v>
      </c>
      <c r="M37" s="42">
        <v>43648</v>
      </c>
      <c r="N37" s="43" t="s">
        <v>2540</v>
      </c>
      <c r="O37" s="42">
        <v>43653</v>
      </c>
      <c r="P37" s="45"/>
      <c r="Q37" s="38" t="s">
        <v>82</v>
      </c>
      <c r="R37" s="44" t="s">
        <v>3109</v>
      </c>
      <c r="S37" s="46"/>
    </row>
    <row r="38" spans="2:19" s="67" customFormat="1" ht="33" customHeight="1">
      <c r="B38" s="46" t="s">
        <v>17</v>
      </c>
      <c r="C38" s="35" t="s">
        <v>2299</v>
      </c>
      <c r="D38" s="36" t="s">
        <v>2641</v>
      </c>
      <c r="E38" s="37">
        <v>43609</v>
      </c>
      <c r="F38" s="38" t="s">
        <v>3108</v>
      </c>
      <c r="G38" s="39">
        <v>2760</v>
      </c>
      <c r="H38" s="38">
        <f t="shared" si="2"/>
        <v>12</v>
      </c>
      <c r="I38" s="38">
        <f t="shared" si="1"/>
        <v>3</v>
      </c>
      <c r="J38" s="36"/>
      <c r="K38" s="40">
        <v>43653</v>
      </c>
      <c r="L38" s="41" t="s">
        <v>1326</v>
      </c>
      <c r="M38" s="42">
        <v>43648</v>
      </c>
      <c r="N38" s="43" t="s">
        <v>2540</v>
      </c>
      <c r="O38" s="42">
        <v>43653</v>
      </c>
      <c r="P38" s="45"/>
      <c r="Q38" s="38" t="s">
        <v>82</v>
      </c>
      <c r="R38" s="44" t="s">
        <v>3109</v>
      </c>
      <c r="S38" s="46"/>
    </row>
    <row r="39" spans="2:19" s="67" customFormat="1" ht="33" customHeight="1">
      <c r="B39" s="46" t="s">
        <v>17</v>
      </c>
      <c r="C39" s="35" t="s">
        <v>3110</v>
      </c>
      <c r="D39" s="36" t="s">
        <v>2300</v>
      </c>
      <c r="E39" s="37">
        <v>43602</v>
      </c>
      <c r="F39" s="38" t="s">
        <v>3108</v>
      </c>
      <c r="G39" s="39">
        <v>9200</v>
      </c>
      <c r="H39" s="38">
        <f t="shared" si="2"/>
        <v>40</v>
      </c>
      <c r="I39" s="38">
        <f t="shared" si="1"/>
        <v>10</v>
      </c>
      <c r="J39" s="36"/>
      <c r="K39" s="40">
        <v>43695</v>
      </c>
      <c r="L39" s="41" t="s">
        <v>3111</v>
      </c>
      <c r="M39" s="42">
        <v>43683</v>
      </c>
      <c r="N39" s="43" t="s">
        <v>3112</v>
      </c>
      <c r="O39" s="42">
        <v>43688</v>
      </c>
      <c r="P39" s="45"/>
      <c r="Q39" s="38" t="s">
        <v>82</v>
      </c>
      <c r="R39" s="44" t="s">
        <v>3113</v>
      </c>
      <c r="S39" s="46" t="s">
        <v>2764</v>
      </c>
    </row>
    <row r="40" spans="2:19" s="96" customFormat="1" ht="33" customHeight="1">
      <c r="B40" s="47" t="s">
        <v>81</v>
      </c>
      <c r="C40" s="48" t="s">
        <v>279</v>
      </c>
      <c r="D40" s="49" t="s">
        <v>3114</v>
      </c>
      <c r="E40" s="50">
        <v>43392</v>
      </c>
      <c r="F40" s="52" t="s">
        <v>84</v>
      </c>
      <c r="G40" s="51">
        <v>11960</v>
      </c>
      <c r="H40" s="52">
        <f t="shared" si="2"/>
        <v>52</v>
      </c>
      <c r="I40" s="52">
        <f t="shared" si="1"/>
        <v>13</v>
      </c>
      <c r="J40" s="52"/>
      <c r="K40" s="53">
        <v>43597</v>
      </c>
      <c r="L40" s="54" t="s">
        <v>3115</v>
      </c>
      <c r="M40" s="55">
        <v>43594</v>
      </c>
      <c r="N40" s="56" t="s">
        <v>3116</v>
      </c>
      <c r="O40" s="55">
        <v>43598</v>
      </c>
      <c r="P40" s="58" t="s">
        <v>3117</v>
      </c>
      <c r="Q40" s="47"/>
      <c r="R40" s="57" t="s">
        <v>3118</v>
      </c>
      <c r="S40" s="47"/>
    </row>
    <row r="41" spans="2:19" s="96" customFormat="1" ht="33" customHeight="1">
      <c r="B41" s="47" t="s">
        <v>81</v>
      </c>
      <c r="C41" s="48" t="s">
        <v>3119</v>
      </c>
      <c r="D41" s="49" t="s">
        <v>3114</v>
      </c>
      <c r="E41" s="50">
        <v>43392</v>
      </c>
      <c r="F41" s="52" t="s">
        <v>84</v>
      </c>
      <c r="G41" s="51">
        <v>1840</v>
      </c>
      <c r="H41" s="52">
        <f t="shared" si="2"/>
        <v>8</v>
      </c>
      <c r="I41" s="52">
        <f t="shared" si="1"/>
        <v>2</v>
      </c>
      <c r="J41" s="52"/>
      <c r="K41" s="53">
        <v>43597</v>
      </c>
      <c r="L41" s="54" t="s">
        <v>773</v>
      </c>
      <c r="M41" s="55">
        <v>43601</v>
      </c>
      <c r="N41" s="56" t="s">
        <v>3120</v>
      </c>
      <c r="O41" s="55">
        <v>43605</v>
      </c>
      <c r="P41" s="58" t="s">
        <v>3117</v>
      </c>
      <c r="Q41" s="47"/>
      <c r="R41" s="57" t="s">
        <v>3118</v>
      </c>
      <c r="S41" s="47" t="s">
        <v>1329</v>
      </c>
    </row>
    <row r="42" spans="2:19" s="96" customFormat="1" ht="33" customHeight="1">
      <c r="B42" s="47" t="s">
        <v>81</v>
      </c>
      <c r="C42" s="48" t="s">
        <v>318</v>
      </c>
      <c r="D42" s="49" t="s">
        <v>319</v>
      </c>
      <c r="E42" s="50">
        <v>43420</v>
      </c>
      <c r="F42" s="52" t="s">
        <v>3108</v>
      </c>
      <c r="G42" s="51">
        <v>17940</v>
      </c>
      <c r="H42" s="52">
        <f t="shared" si="2"/>
        <v>78</v>
      </c>
      <c r="I42" s="52">
        <f t="shared" si="1"/>
        <v>19.5</v>
      </c>
      <c r="J42" s="52"/>
      <c r="K42" s="53">
        <v>43576</v>
      </c>
      <c r="L42" s="54" t="s">
        <v>480</v>
      </c>
      <c r="M42" s="55">
        <v>43564</v>
      </c>
      <c r="N42" s="56" t="s">
        <v>3121</v>
      </c>
      <c r="O42" s="55">
        <v>43569</v>
      </c>
      <c r="P42" s="58"/>
      <c r="Q42" s="47"/>
      <c r="R42" s="57" t="s">
        <v>3122</v>
      </c>
      <c r="S42" s="47" t="s">
        <v>3123</v>
      </c>
    </row>
    <row r="43" spans="2:19" s="96" customFormat="1" ht="33" customHeight="1">
      <c r="B43" s="47" t="s">
        <v>81</v>
      </c>
      <c r="C43" s="48" t="s">
        <v>3124</v>
      </c>
      <c r="D43" s="49" t="s">
        <v>701</v>
      </c>
      <c r="E43" s="50">
        <v>43532</v>
      </c>
      <c r="F43" s="52" t="s">
        <v>3108</v>
      </c>
      <c r="G43" s="51">
        <v>13800</v>
      </c>
      <c r="H43" s="52">
        <f t="shared" si="2"/>
        <v>60</v>
      </c>
      <c r="I43" s="52">
        <f t="shared" si="1"/>
        <v>15</v>
      </c>
      <c r="J43" s="52"/>
      <c r="K43" s="53">
        <v>43615</v>
      </c>
      <c r="L43" s="54" t="s">
        <v>3125</v>
      </c>
      <c r="M43" s="55">
        <v>43613</v>
      </c>
      <c r="N43" s="56" t="s">
        <v>3126</v>
      </c>
      <c r="O43" s="55">
        <v>43618</v>
      </c>
      <c r="P43" s="58"/>
      <c r="Q43" s="47"/>
      <c r="R43" s="57" t="s">
        <v>3127</v>
      </c>
      <c r="S43" s="47"/>
    </row>
    <row r="44" spans="2:19" s="67" customFormat="1" ht="33" customHeight="1">
      <c r="B44" s="46" t="s">
        <v>81</v>
      </c>
      <c r="C44" s="35" t="s">
        <v>3128</v>
      </c>
      <c r="D44" s="36" t="s">
        <v>3129</v>
      </c>
      <c r="E44" s="37">
        <v>43532</v>
      </c>
      <c r="F44" s="38" t="s">
        <v>3108</v>
      </c>
      <c r="G44" s="39">
        <v>4600</v>
      </c>
      <c r="H44" s="38">
        <f t="shared" si="2"/>
        <v>20</v>
      </c>
      <c r="I44" s="38">
        <f t="shared" si="1"/>
        <v>5</v>
      </c>
      <c r="J44" s="38"/>
      <c r="K44" s="40">
        <v>43615</v>
      </c>
      <c r="L44" s="41" t="s">
        <v>3105</v>
      </c>
      <c r="M44" s="42">
        <v>43620</v>
      </c>
      <c r="N44" s="43" t="s">
        <v>3106</v>
      </c>
      <c r="O44" s="42">
        <v>43625</v>
      </c>
      <c r="P44" s="45"/>
      <c r="Q44" s="46"/>
      <c r="R44" s="44" t="s">
        <v>3127</v>
      </c>
      <c r="S44" s="46"/>
    </row>
    <row r="45" spans="2:19" s="67" customFormat="1" ht="33" customHeight="1">
      <c r="B45" s="46" t="s">
        <v>81</v>
      </c>
      <c r="C45" s="35" t="s">
        <v>702</v>
      </c>
      <c r="D45" s="36" t="s">
        <v>703</v>
      </c>
      <c r="E45" s="37">
        <v>43532</v>
      </c>
      <c r="F45" s="38" t="s">
        <v>3108</v>
      </c>
      <c r="G45" s="39">
        <v>9200</v>
      </c>
      <c r="H45" s="38">
        <f t="shared" si="2"/>
        <v>40</v>
      </c>
      <c r="I45" s="38">
        <f t="shared" si="1"/>
        <v>10</v>
      </c>
      <c r="J45" s="38"/>
      <c r="K45" s="40">
        <v>43632</v>
      </c>
      <c r="L45" s="41" t="s">
        <v>807</v>
      </c>
      <c r="M45" s="42">
        <v>43627</v>
      </c>
      <c r="N45" s="43" t="s">
        <v>808</v>
      </c>
      <c r="O45" s="42">
        <v>43632</v>
      </c>
      <c r="P45" s="45"/>
      <c r="Q45" s="46"/>
      <c r="R45" s="44" t="s">
        <v>3130</v>
      </c>
      <c r="S45" s="46"/>
    </row>
    <row r="46" spans="2:19" s="67" customFormat="1" ht="33" customHeight="1">
      <c r="B46" s="46" t="s">
        <v>81</v>
      </c>
      <c r="C46" s="35" t="s">
        <v>852</v>
      </c>
      <c r="D46" s="36" t="s">
        <v>1990</v>
      </c>
      <c r="E46" s="37">
        <v>43558</v>
      </c>
      <c r="F46" s="38" t="s">
        <v>3108</v>
      </c>
      <c r="G46" s="39">
        <v>9200</v>
      </c>
      <c r="H46" s="38">
        <f t="shared" si="2"/>
        <v>40</v>
      </c>
      <c r="I46" s="38">
        <f t="shared" si="1"/>
        <v>10</v>
      </c>
      <c r="J46" s="38"/>
      <c r="K46" s="40">
        <v>43639</v>
      </c>
      <c r="L46" s="41" t="s">
        <v>1083</v>
      </c>
      <c r="M46" s="42">
        <v>43634</v>
      </c>
      <c r="N46" s="43" t="s">
        <v>1084</v>
      </c>
      <c r="O46" s="42">
        <v>43639</v>
      </c>
      <c r="P46" s="45"/>
      <c r="Q46" s="46"/>
      <c r="R46" s="44" t="s">
        <v>3130</v>
      </c>
      <c r="S46" s="46"/>
    </row>
    <row r="47" spans="2:19" s="67" customFormat="1" ht="33" customHeight="1">
      <c r="B47" s="46" t="s">
        <v>81</v>
      </c>
      <c r="C47" s="35" t="s">
        <v>1435</v>
      </c>
      <c r="D47" s="36" t="s">
        <v>1436</v>
      </c>
      <c r="E47" s="37">
        <v>43574</v>
      </c>
      <c r="F47" s="38" t="s">
        <v>3108</v>
      </c>
      <c r="G47" s="39">
        <v>18400</v>
      </c>
      <c r="H47" s="38">
        <f t="shared" si="2"/>
        <v>80</v>
      </c>
      <c r="I47" s="38">
        <f t="shared" si="1"/>
        <v>20</v>
      </c>
      <c r="J47" s="38"/>
      <c r="K47" s="130">
        <v>43646</v>
      </c>
      <c r="L47" s="119" t="s">
        <v>3252</v>
      </c>
      <c r="M47" s="120">
        <v>43641</v>
      </c>
      <c r="N47" s="121" t="s">
        <v>776</v>
      </c>
      <c r="O47" s="120">
        <v>43646</v>
      </c>
      <c r="P47" s="45"/>
      <c r="Q47" s="46"/>
      <c r="R47" s="44" t="s">
        <v>3131</v>
      </c>
      <c r="S47" s="122" t="s">
        <v>3251</v>
      </c>
    </row>
    <row r="48" spans="2:19" s="67" customFormat="1" ht="33" customHeight="1">
      <c r="B48" s="46" t="s">
        <v>81</v>
      </c>
      <c r="C48" s="35" t="s">
        <v>2322</v>
      </c>
      <c r="D48" s="36" t="s">
        <v>2323</v>
      </c>
      <c r="E48" s="37">
        <v>43602</v>
      </c>
      <c r="F48" s="38" t="s">
        <v>3108</v>
      </c>
      <c r="G48" s="39">
        <v>18400</v>
      </c>
      <c r="H48" s="38">
        <f t="shared" si="2"/>
        <v>80</v>
      </c>
      <c r="I48" s="38">
        <f t="shared" si="1"/>
        <v>20</v>
      </c>
      <c r="J48" s="38"/>
      <c r="K48" s="40">
        <v>43674</v>
      </c>
      <c r="L48" s="41" t="s">
        <v>2146</v>
      </c>
      <c r="M48" s="42">
        <v>43669</v>
      </c>
      <c r="N48" s="43" t="s">
        <v>2551</v>
      </c>
      <c r="O48" s="42">
        <v>43674</v>
      </c>
      <c r="P48" s="45"/>
      <c r="Q48" s="46"/>
      <c r="R48" s="44" t="s">
        <v>3132</v>
      </c>
      <c r="S48" s="46"/>
    </row>
    <row r="49" spans="2:19" s="67" customFormat="1" ht="33" customHeight="1">
      <c r="B49" s="46" t="s">
        <v>81</v>
      </c>
      <c r="C49" s="35" t="s">
        <v>2325</v>
      </c>
      <c r="D49" s="36" t="s">
        <v>2326</v>
      </c>
      <c r="E49" s="37">
        <v>43602</v>
      </c>
      <c r="F49" s="38" t="s">
        <v>3108</v>
      </c>
      <c r="G49" s="39">
        <v>17940</v>
      </c>
      <c r="H49" s="38">
        <f t="shared" si="2"/>
        <v>78</v>
      </c>
      <c r="I49" s="38">
        <f t="shared" si="1"/>
        <v>19.5</v>
      </c>
      <c r="J49" s="38"/>
      <c r="K49" s="130">
        <v>43681</v>
      </c>
      <c r="L49" s="119" t="s">
        <v>3253</v>
      </c>
      <c r="M49" s="120">
        <v>43676</v>
      </c>
      <c r="N49" s="121" t="s">
        <v>2497</v>
      </c>
      <c r="O49" s="120">
        <v>43681</v>
      </c>
      <c r="P49" s="45"/>
      <c r="Q49" s="46"/>
      <c r="R49" s="44" t="s">
        <v>3133</v>
      </c>
      <c r="S49" s="122" t="s">
        <v>3251</v>
      </c>
    </row>
    <row r="50" spans="2:19" s="96" customFormat="1" ht="33" customHeight="1">
      <c r="B50" s="47" t="s">
        <v>3134</v>
      </c>
      <c r="C50" s="48" t="s">
        <v>3135</v>
      </c>
      <c r="D50" s="49" t="s">
        <v>705</v>
      </c>
      <c r="E50" s="50">
        <v>43532</v>
      </c>
      <c r="F50" s="52" t="s">
        <v>3108</v>
      </c>
      <c r="G50" s="51">
        <v>920</v>
      </c>
      <c r="H50" s="52">
        <f t="shared" si="2"/>
        <v>4</v>
      </c>
      <c r="I50" s="52">
        <f t="shared" si="1"/>
        <v>1</v>
      </c>
      <c r="J50" s="52"/>
      <c r="K50" s="53">
        <v>43609</v>
      </c>
      <c r="L50" s="54" t="s">
        <v>773</v>
      </c>
      <c r="M50" s="55">
        <v>43601</v>
      </c>
      <c r="N50" s="56" t="s">
        <v>774</v>
      </c>
      <c r="O50" s="55">
        <v>43605</v>
      </c>
      <c r="P50" s="58"/>
      <c r="Q50" s="47"/>
      <c r="R50" s="57"/>
      <c r="S50" s="47" t="s">
        <v>3136</v>
      </c>
    </row>
    <row r="51" spans="2:19" s="96" customFormat="1" ht="33" customHeight="1">
      <c r="B51" s="47" t="s">
        <v>3137</v>
      </c>
      <c r="C51" s="48" t="s">
        <v>3135</v>
      </c>
      <c r="D51" s="49" t="s">
        <v>3138</v>
      </c>
      <c r="E51" s="50">
        <v>43511</v>
      </c>
      <c r="F51" s="52" t="s">
        <v>3108</v>
      </c>
      <c r="G51" s="51">
        <v>460</v>
      </c>
      <c r="H51" s="52">
        <f t="shared" si="2"/>
        <v>2</v>
      </c>
      <c r="I51" s="52">
        <f t="shared" si="1"/>
        <v>0.5</v>
      </c>
      <c r="J51" s="52"/>
      <c r="K51" s="53">
        <v>43576</v>
      </c>
      <c r="L51" s="54" t="s">
        <v>480</v>
      </c>
      <c r="M51" s="55">
        <v>43564</v>
      </c>
      <c r="N51" s="56" t="s">
        <v>646</v>
      </c>
      <c r="O51" s="55">
        <v>43569</v>
      </c>
      <c r="P51" s="58"/>
      <c r="Q51" s="47"/>
      <c r="R51" s="57" t="s">
        <v>3122</v>
      </c>
      <c r="S51" s="47"/>
    </row>
    <row r="52" spans="2:19" s="67" customFormat="1" ht="33" customHeight="1">
      <c r="B52" s="46" t="s">
        <v>517</v>
      </c>
      <c r="C52" s="35" t="s">
        <v>2333</v>
      </c>
      <c r="D52" s="36" t="s">
        <v>2334</v>
      </c>
      <c r="E52" s="37">
        <v>43602</v>
      </c>
      <c r="F52" s="38" t="s">
        <v>213</v>
      </c>
      <c r="G52" s="39">
        <v>460</v>
      </c>
      <c r="H52" s="38">
        <f t="shared" ref="H52" si="3">SUM(G52/230)</f>
        <v>2</v>
      </c>
      <c r="I52" s="38">
        <f t="shared" ref="I52" si="4">SUM(H52/4)</f>
        <v>0.5</v>
      </c>
      <c r="J52" s="38"/>
      <c r="K52" s="130">
        <v>43681</v>
      </c>
      <c r="L52" s="119" t="s">
        <v>3253</v>
      </c>
      <c r="M52" s="120">
        <v>43676</v>
      </c>
      <c r="N52" s="121" t="s">
        <v>2497</v>
      </c>
      <c r="O52" s="120">
        <v>43681</v>
      </c>
      <c r="P52" s="45"/>
      <c r="Q52" s="46"/>
      <c r="R52" s="44" t="s">
        <v>3139</v>
      </c>
      <c r="S52" s="122" t="s">
        <v>3251</v>
      </c>
    </row>
    <row r="53" spans="2:19" s="33" customFormat="1" ht="33" customHeight="1">
      <c r="B53" s="47" t="s">
        <v>3140</v>
      </c>
      <c r="C53" s="48" t="s">
        <v>430</v>
      </c>
      <c r="D53" s="49" t="s">
        <v>470</v>
      </c>
      <c r="E53" s="50">
        <v>43473</v>
      </c>
      <c r="F53" s="52" t="s">
        <v>3108</v>
      </c>
      <c r="G53" s="51">
        <v>1920</v>
      </c>
      <c r="H53" s="52">
        <f t="shared" ref="H53:H61" si="5">SUM(G53/20)</f>
        <v>96</v>
      </c>
      <c r="I53" s="52">
        <f t="shared" ref="I53:I61" si="6">SUM(H53/32)</f>
        <v>3</v>
      </c>
      <c r="J53" s="59"/>
      <c r="K53" s="53">
        <v>43555</v>
      </c>
      <c r="L53" s="54" t="s">
        <v>480</v>
      </c>
      <c r="M53" s="55">
        <v>43564</v>
      </c>
      <c r="N53" s="56" t="s">
        <v>3121</v>
      </c>
      <c r="O53" s="55">
        <v>43569</v>
      </c>
      <c r="P53" s="58"/>
      <c r="Q53" s="60" t="s">
        <v>89</v>
      </c>
      <c r="R53" s="57" t="s">
        <v>3141</v>
      </c>
      <c r="S53" s="47"/>
    </row>
    <row r="54" spans="2:19" s="33" customFormat="1" ht="33" customHeight="1">
      <c r="B54" s="47" t="s">
        <v>3140</v>
      </c>
      <c r="C54" s="48" t="s">
        <v>519</v>
      </c>
      <c r="D54" s="49" t="s">
        <v>710</v>
      </c>
      <c r="E54" s="50">
        <v>43511</v>
      </c>
      <c r="F54" s="52" t="s">
        <v>3108</v>
      </c>
      <c r="G54" s="51">
        <v>640</v>
      </c>
      <c r="H54" s="52">
        <f t="shared" si="5"/>
        <v>32</v>
      </c>
      <c r="I54" s="52">
        <f t="shared" si="6"/>
        <v>1</v>
      </c>
      <c r="J54" s="59"/>
      <c r="K54" s="53">
        <v>43555</v>
      </c>
      <c r="L54" s="54" t="s">
        <v>608</v>
      </c>
      <c r="M54" s="55">
        <v>43557</v>
      </c>
      <c r="N54" s="56" t="s">
        <v>3142</v>
      </c>
      <c r="O54" s="55">
        <v>43562</v>
      </c>
      <c r="P54" s="58"/>
      <c r="Q54" s="60" t="s">
        <v>89</v>
      </c>
      <c r="R54" s="57" t="s">
        <v>3141</v>
      </c>
      <c r="S54" s="47"/>
    </row>
    <row r="55" spans="2:19" s="33" customFormat="1" ht="33" customHeight="1">
      <c r="B55" s="47" t="s">
        <v>3140</v>
      </c>
      <c r="C55" s="48" t="s">
        <v>520</v>
      </c>
      <c r="D55" s="49" t="s">
        <v>584</v>
      </c>
      <c r="E55" s="50">
        <v>43511</v>
      </c>
      <c r="F55" s="52" t="s">
        <v>3108</v>
      </c>
      <c r="G55" s="51">
        <v>1920</v>
      </c>
      <c r="H55" s="52">
        <f t="shared" si="5"/>
        <v>96</v>
      </c>
      <c r="I55" s="52">
        <f t="shared" si="6"/>
        <v>3</v>
      </c>
      <c r="J55" s="59"/>
      <c r="K55" s="53">
        <v>43576</v>
      </c>
      <c r="L55" s="54" t="s">
        <v>503</v>
      </c>
      <c r="M55" s="55">
        <v>43571</v>
      </c>
      <c r="N55" s="56" t="s">
        <v>3103</v>
      </c>
      <c r="O55" s="55">
        <v>43576</v>
      </c>
      <c r="P55" s="58"/>
      <c r="Q55" s="60" t="s">
        <v>89</v>
      </c>
      <c r="R55" s="57" t="s">
        <v>3143</v>
      </c>
      <c r="S55" s="47"/>
    </row>
    <row r="56" spans="2:19" s="33" customFormat="1" ht="33" customHeight="1">
      <c r="B56" s="47" t="s">
        <v>3140</v>
      </c>
      <c r="C56" s="48" t="s">
        <v>586</v>
      </c>
      <c r="D56" s="49" t="s">
        <v>640</v>
      </c>
      <c r="E56" s="50">
        <v>43519</v>
      </c>
      <c r="F56" s="52" t="s">
        <v>3108</v>
      </c>
      <c r="G56" s="51">
        <v>2560</v>
      </c>
      <c r="H56" s="52">
        <f t="shared" si="5"/>
        <v>128</v>
      </c>
      <c r="I56" s="52">
        <f t="shared" si="6"/>
        <v>4</v>
      </c>
      <c r="J56" s="59"/>
      <c r="K56" s="53">
        <v>43611</v>
      </c>
      <c r="L56" s="54" t="s">
        <v>773</v>
      </c>
      <c r="M56" s="55">
        <v>43601</v>
      </c>
      <c r="N56" s="56" t="s">
        <v>3120</v>
      </c>
      <c r="O56" s="55">
        <v>43605</v>
      </c>
      <c r="P56" s="58"/>
      <c r="Q56" s="60" t="s">
        <v>89</v>
      </c>
      <c r="R56" s="57" t="s">
        <v>3144</v>
      </c>
      <c r="S56" s="47" t="s">
        <v>980</v>
      </c>
    </row>
    <row r="57" spans="2:19" s="30" customFormat="1" ht="33" customHeight="1">
      <c r="B57" s="46" t="s">
        <v>3140</v>
      </c>
      <c r="C57" s="35" t="s">
        <v>713</v>
      </c>
      <c r="D57" s="36" t="s">
        <v>714</v>
      </c>
      <c r="E57" s="37">
        <v>43532</v>
      </c>
      <c r="F57" s="38" t="s">
        <v>3108</v>
      </c>
      <c r="G57" s="39">
        <v>1920</v>
      </c>
      <c r="H57" s="38">
        <f t="shared" si="5"/>
        <v>96</v>
      </c>
      <c r="I57" s="38">
        <f t="shared" si="6"/>
        <v>3</v>
      </c>
      <c r="J57" s="61"/>
      <c r="K57" s="40">
        <v>43639</v>
      </c>
      <c r="L57" s="41" t="s">
        <v>1083</v>
      </c>
      <c r="M57" s="42">
        <v>43634</v>
      </c>
      <c r="N57" s="43" t="s">
        <v>1084</v>
      </c>
      <c r="O57" s="42">
        <v>43639</v>
      </c>
      <c r="P57" s="45"/>
      <c r="Q57" s="62" t="s">
        <v>89</v>
      </c>
      <c r="R57" s="44" t="s">
        <v>3145</v>
      </c>
      <c r="S57" s="46"/>
    </row>
    <row r="58" spans="2:19" s="30" customFormat="1" ht="33" customHeight="1">
      <c r="B58" s="46" t="s">
        <v>3140</v>
      </c>
      <c r="C58" s="35" t="s">
        <v>1184</v>
      </c>
      <c r="D58" s="36" t="s">
        <v>1185</v>
      </c>
      <c r="E58" s="37">
        <v>43567</v>
      </c>
      <c r="F58" s="38" t="s">
        <v>3108</v>
      </c>
      <c r="G58" s="39">
        <v>2560</v>
      </c>
      <c r="H58" s="38">
        <f t="shared" si="5"/>
        <v>128</v>
      </c>
      <c r="I58" s="38">
        <f t="shared" si="6"/>
        <v>4</v>
      </c>
      <c r="J58" s="61"/>
      <c r="K58" s="40">
        <v>43653</v>
      </c>
      <c r="L58" s="41" t="s">
        <v>1326</v>
      </c>
      <c r="M58" s="42">
        <v>43648</v>
      </c>
      <c r="N58" s="43" t="s">
        <v>2540</v>
      </c>
      <c r="O58" s="42">
        <v>43653</v>
      </c>
      <c r="P58" s="45"/>
      <c r="Q58" s="62" t="s">
        <v>89</v>
      </c>
      <c r="R58" s="44" t="s">
        <v>3146</v>
      </c>
      <c r="S58" s="46"/>
    </row>
    <row r="59" spans="2:19" s="30" customFormat="1" ht="33" customHeight="1">
      <c r="B59" s="46" t="s">
        <v>3140</v>
      </c>
      <c r="C59" s="35" t="s">
        <v>3147</v>
      </c>
      <c r="D59" s="36" t="s">
        <v>2685</v>
      </c>
      <c r="E59" s="37">
        <v>43609</v>
      </c>
      <c r="F59" s="38" t="s">
        <v>3108</v>
      </c>
      <c r="G59" s="39">
        <v>1280</v>
      </c>
      <c r="H59" s="38">
        <f t="shared" si="5"/>
        <v>64</v>
      </c>
      <c r="I59" s="38">
        <f t="shared" si="6"/>
        <v>2</v>
      </c>
      <c r="J59" s="61"/>
      <c r="K59" s="40">
        <v>43653</v>
      </c>
      <c r="L59" s="41" t="s">
        <v>1326</v>
      </c>
      <c r="M59" s="42">
        <v>43648</v>
      </c>
      <c r="N59" s="43" t="s">
        <v>2540</v>
      </c>
      <c r="O59" s="42">
        <v>43653</v>
      </c>
      <c r="P59" s="45"/>
      <c r="Q59" s="62" t="s">
        <v>89</v>
      </c>
      <c r="R59" s="44" t="s">
        <v>3146</v>
      </c>
      <c r="S59" s="46"/>
    </row>
    <row r="60" spans="2:19" s="30" customFormat="1" ht="33" customHeight="1">
      <c r="B60" s="46" t="s">
        <v>3140</v>
      </c>
      <c r="C60" s="35" t="s">
        <v>2357</v>
      </c>
      <c r="D60" s="36" t="s">
        <v>2358</v>
      </c>
      <c r="E60" s="37">
        <v>43602</v>
      </c>
      <c r="F60" s="38" t="s">
        <v>3108</v>
      </c>
      <c r="G60" s="39">
        <v>2560</v>
      </c>
      <c r="H60" s="38">
        <f t="shared" si="5"/>
        <v>128</v>
      </c>
      <c r="I60" s="38">
        <f t="shared" si="6"/>
        <v>4</v>
      </c>
      <c r="J60" s="61"/>
      <c r="K60" s="40">
        <v>43674</v>
      </c>
      <c r="L60" s="41" t="s">
        <v>2146</v>
      </c>
      <c r="M60" s="42">
        <v>43669</v>
      </c>
      <c r="N60" s="43" t="s">
        <v>2551</v>
      </c>
      <c r="O60" s="42">
        <v>43674</v>
      </c>
      <c r="P60" s="45"/>
      <c r="Q60" s="62" t="s">
        <v>89</v>
      </c>
      <c r="R60" s="44" t="s">
        <v>3148</v>
      </c>
      <c r="S60" s="46"/>
    </row>
    <row r="61" spans="2:19" s="30" customFormat="1" ht="33" customHeight="1">
      <c r="B61" s="46" t="s">
        <v>3140</v>
      </c>
      <c r="C61" s="35" t="s">
        <v>2360</v>
      </c>
      <c r="D61" s="36" t="s">
        <v>3149</v>
      </c>
      <c r="E61" s="37">
        <v>43602</v>
      </c>
      <c r="F61" s="38" t="s">
        <v>3108</v>
      </c>
      <c r="G61" s="39">
        <v>2560</v>
      </c>
      <c r="H61" s="38">
        <f t="shared" si="5"/>
        <v>128</v>
      </c>
      <c r="I61" s="38">
        <f t="shared" si="6"/>
        <v>4</v>
      </c>
      <c r="J61" s="61"/>
      <c r="K61" s="40">
        <v>43695</v>
      </c>
      <c r="L61" s="41" t="s">
        <v>2505</v>
      </c>
      <c r="M61" s="42">
        <v>43683</v>
      </c>
      <c r="N61" s="43" t="s">
        <v>3112</v>
      </c>
      <c r="O61" s="42">
        <v>43688</v>
      </c>
      <c r="P61" s="45"/>
      <c r="Q61" s="62" t="s">
        <v>89</v>
      </c>
      <c r="R61" s="44" t="s">
        <v>3150</v>
      </c>
      <c r="S61" s="46"/>
    </row>
    <row r="62" spans="2:19" s="33" customFormat="1" ht="33" customHeight="1">
      <c r="B62" s="47" t="s">
        <v>38</v>
      </c>
      <c r="C62" s="48" t="s">
        <v>225</v>
      </c>
      <c r="D62" s="49" t="s">
        <v>587</v>
      </c>
      <c r="E62" s="50">
        <v>43519</v>
      </c>
      <c r="F62" s="52" t="s">
        <v>3151</v>
      </c>
      <c r="G62" s="64">
        <v>640</v>
      </c>
      <c r="H62" s="52">
        <f>SUBTOTAL(9,G62)/20</f>
        <v>32</v>
      </c>
      <c r="I62" s="52">
        <f>H62/32</f>
        <v>1</v>
      </c>
      <c r="J62" s="52"/>
      <c r="K62" s="53">
        <v>43583</v>
      </c>
      <c r="L62" s="54" t="s">
        <v>565</v>
      </c>
      <c r="M62" s="55">
        <v>43578</v>
      </c>
      <c r="N62" s="56" t="s">
        <v>3152</v>
      </c>
      <c r="O62" s="55">
        <v>43583</v>
      </c>
      <c r="P62" s="58"/>
      <c r="Q62" s="52"/>
      <c r="R62" s="63" t="s">
        <v>3118</v>
      </c>
      <c r="S62" s="47"/>
    </row>
    <row r="63" spans="2:19" s="30" customFormat="1" ht="33" customHeight="1">
      <c r="B63" s="46" t="s">
        <v>38</v>
      </c>
      <c r="C63" s="35" t="s">
        <v>226</v>
      </c>
      <c r="D63" s="36" t="s">
        <v>1194</v>
      </c>
      <c r="E63" s="37">
        <v>43567</v>
      </c>
      <c r="F63" s="38" t="s">
        <v>3151</v>
      </c>
      <c r="G63" s="65">
        <v>640</v>
      </c>
      <c r="H63" s="38">
        <f>SUBTOTAL(9,G63)/20</f>
        <v>32</v>
      </c>
      <c r="I63" s="38">
        <f>H63/32</f>
        <v>1</v>
      </c>
      <c r="J63" s="38"/>
      <c r="K63" s="40">
        <v>43730</v>
      </c>
      <c r="L63" s="41" t="s">
        <v>3153</v>
      </c>
      <c r="M63" s="42">
        <v>43727</v>
      </c>
      <c r="N63" s="43" t="s">
        <v>3154</v>
      </c>
      <c r="O63" s="42">
        <v>43731</v>
      </c>
      <c r="P63" s="45"/>
      <c r="Q63" s="38"/>
      <c r="R63" s="66" t="s">
        <v>3155</v>
      </c>
      <c r="S63" s="46"/>
    </row>
    <row r="64" spans="2:19" s="33" customFormat="1" ht="33" customHeight="1">
      <c r="B64" s="47" t="s">
        <v>88</v>
      </c>
      <c r="C64" s="48" t="s">
        <v>431</v>
      </c>
      <c r="D64" s="49" t="s">
        <v>471</v>
      </c>
      <c r="E64" s="50">
        <v>43483</v>
      </c>
      <c r="F64" s="52" t="s">
        <v>3156</v>
      </c>
      <c r="G64" s="64">
        <v>760</v>
      </c>
      <c r="H64" s="52">
        <f t="shared" ref="H64:H69" si="7">SUBTOTAL(9,G64)/190</f>
        <v>4</v>
      </c>
      <c r="I64" s="52">
        <f t="shared" ref="I64:I69" si="8">H64/4</f>
        <v>1</v>
      </c>
      <c r="J64" s="52"/>
      <c r="K64" s="53">
        <v>43569</v>
      </c>
      <c r="L64" s="54" t="s">
        <v>417</v>
      </c>
      <c r="M64" s="55">
        <v>43564</v>
      </c>
      <c r="N64" s="56" t="s">
        <v>3157</v>
      </c>
      <c r="O64" s="55">
        <v>43569</v>
      </c>
      <c r="P64" s="58"/>
      <c r="Q64" s="52"/>
      <c r="R64" s="63" t="s">
        <v>3158</v>
      </c>
      <c r="S64" s="47"/>
    </row>
    <row r="65" spans="2:19" s="33" customFormat="1" ht="33" customHeight="1">
      <c r="B65" s="47" t="s">
        <v>88</v>
      </c>
      <c r="C65" s="48" t="s">
        <v>523</v>
      </c>
      <c r="D65" s="49" t="s">
        <v>588</v>
      </c>
      <c r="E65" s="50">
        <v>43511</v>
      </c>
      <c r="F65" s="52" t="s">
        <v>3159</v>
      </c>
      <c r="G65" s="64">
        <v>760</v>
      </c>
      <c r="H65" s="52">
        <f t="shared" si="7"/>
        <v>4</v>
      </c>
      <c r="I65" s="52">
        <f t="shared" si="8"/>
        <v>1</v>
      </c>
      <c r="J65" s="52"/>
      <c r="K65" s="53">
        <v>43583</v>
      </c>
      <c r="L65" s="54" t="s">
        <v>565</v>
      </c>
      <c r="M65" s="55">
        <v>43578</v>
      </c>
      <c r="N65" s="56" t="s">
        <v>3160</v>
      </c>
      <c r="O65" s="55">
        <v>43583</v>
      </c>
      <c r="P65" s="58"/>
      <c r="Q65" s="52"/>
      <c r="R65" s="63" t="s">
        <v>3161</v>
      </c>
      <c r="S65" s="47"/>
    </row>
    <row r="66" spans="2:19" s="33" customFormat="1" ht="33" customHeight="1">
      <c r="B66" s="47" t="s">
        <v>88</v>
      </c>
      <c r="C66" s="48" t="s">
        <v>589</v>
      </c>
      <c r="D66" s="49" t="s">
        <v>590</v>
      </c>
      <c r="E66" s="50">
        <v>43519</v>
      </c>
      <c r="F66" s="52" t="s">
        <v>3159</v>
      </c>
      <c r="G66" s="64">
        <v>760</v>
      </c>
      <c r="H66" s="52">
        <f t="shared" si="7"/>
        <v>4</v>
      </c>
      <c r="I66" s="52">
        <f t="shared" si="8"/>
        <v>1</v>
      </c>
      <c r="J66" s="52"/>
      <c r="K66" s="53">
        <v>43597</v>
      </c>
      <c r="L66" s="54" t="s">
        <v>3162</v>
      </c>
      <c r="M66" s="55">
        <v>43592</v>
      </c>
      <c r="N66" s="56" t="s">
        <v>3163</v>
      </c>
      <c r="O66" s="55">
        <v>43597</v>
      </c>
      <c r="P66" s="58"/>
      <c r="Q66" s="52"/>
      <c r="R66" s="63" t="s">
        <v>3164</v>
      </c>
      <c r="S66" s="47"/>
    </row>
    <row r="67" spans="2:19" s="30" customFormat="1" ht="33" customHeight="1">
      <c r="B67" s="46" t="s">
        <v>88</v>
      </c>
      <c r="C67" s="35" t="s">
        <v>3165</v>
      </c>
      <c r="D67" s="36" t="s">
        <v>1207</v>
      </c>
      <c r="E67" s="37">
        <v>43567</v>
      </c>
      <c r="F67" s="38" t="s">
        <v>3159</v>
      </c>
      <c r="G67" s="65">
        <v>760</v>
      </c>
      <c r="H67" s="38">
        <f t="shared" si="7"/>
        <v>4</v>
      </c>
      <c r="I67" s="38">
        <f t="shared" si="8"/>
        <v>1</v>
      </c>
      <c r="J67" s="38"/>
      <c r="K67" s="40">
        <v>43667</v>
      </c>
      <c r="L67" s="119" t="s">
        <v>3236</v>
      </c>
      <c r="M67" s="120">
        <v>43655</v>
      </c>
      <c r="N67" s="121" t="s">
        <v>3237</v>
      </c>
      <c r="O67" s="120">
        <v>43660</v>
      </c>
      <c r="P67" s="45"/>
      <c r="Q67" s="38"/>
      <c r="R67" s="66" t="s">
        <v>3166</v>
      </c>
      <c r="S67" s="122" t="s">
        <v>980</v>
      </c>
    </row>
    <row r="68" spans="2:19" s="30" customFormat="1" ht="33" customHeight="1">
      <c r="B68" s="46" t="s">
        <v>88</v>
      </c>
      <c r="C68" s="35" t="s">
        <v>2079</v>
      </c>
      <c r="D68" s="36" t="s">
        <v>3167</v>
      </c>
      <c r="E68" s="37">
        <v>43602</v>
      </c>
      <c r="F68" s="38" t="s">
        <v>3159</v>
      </c>
      <c r="G68" s="65">
        <v>760</v>
      </c>
      <c r="H68" s="38">
        <f t="shared" si="7"/>
        <v>4</v>
      </c>
      <c r="I68" s="38">
        <f t="shared" si="8"/>
        <v>1</v>
      </c>
      <c r="J68" s="38"/>
      <c r="K68" s="40">
        <v>43667</v>
      </c>
      <c r="L68" s="119" t="s">
        <v>3236</v>
      </c>
      <c r="M68" s="120">
        <v>43655</v>
      </c>
      <c r="N68" s="121" t="s">
        <v>3237</v>
      </c>
      <c r="O68" s="120">
        <v>43660</v>
      </c>
      <c r="P68" s="45"/>
      <c r="Q68" s="38"/>
      <c r="R68" s="66" t="s">
        <v>3166</v>
      </c>
      <c r="S68" s="122" t="s">
        <v>980</v>
      </c>
    </row>
    <row r="69" spans="2:19" s="30" customFormat="1" ht="33" customHeight="1">
      <c r="B69" s="46" t="s">
        <v>88</v>
      </c>
      <c r="C69" s="35" t="s">
        <v>2378</v>
      </c>
      <c r="D69" s="36" t="s">
        <v>2379</v>
      </c>
      <c r="E69" s="37">
        <v>43602</v>
      </c>
      <c r="F69" s="38" t="s">
        <v>3159</v>
      </c>
      <c r="G69" s="65">
        <v>760</v>
      </c>
      <c r="H69" s="38">
        <f t="shared" si="7"/>
        <v>4</v>
      </c>
      <c r="I69" s="38">
        <f t="shared" si="8"/>
        <v>1</v>
      </c>
      <c r="J69" s="38"/>
      <c r="K69" s="40">
        <v>43702</v>
      </c>
      <c r="L69" s="41" t="s">
        <v>3168</v>
      </c>
      <c r="M69" s="42">
        <v>43697</v>
      </c>
      <c r="N69" s="43" t="s">
        <v>3169</v>
      </c>
      <c r="O69" s="42">
        <v>43702</v>
      </c>
      <c r="P69" s="45"/>
      <c r="Q69" s="38"/>
      <c r="R69" s="66" t="s">
        <v>3170</v>
      </c>
      <c r="S69" s="46"/>
    </row>
    <row r="70" spans="2:19" s="33" customFormat="1" ht="33" customHeight="1">
      <c r="B70" s="47" t="s">
        <v>83</v>
      </c>
      <c r="C70" s="48" t="s">
        <v>244</v>
      </c>
      <c r="D70" s="49" t="s">
        <v>722</v>
      </c>
      <c r="E70" s="50">
        <v>43483</v>
      </c>
      <c r="F70" s="52" t="s">
        <v>77</v>
      </c>
      <c r="G70" s="51">
        <v>6720</v>
      </c>
      <c r="H70" s="52">
        <f t="shared" ref="H70:H75" si="9">SUM(G70/240)</f>
        <v>28</v>
      </c>
      <c r="I70" s="52">
        <f t="shared" ref="I70:I75" si="10">SUM(H70/4)</f>
        <v>7</v>
      </c>
      <c r="J70" s="52"/>
      <c r="K70" s="53">
        <v>43569</v>
      </c>
      <c r="L70" s="54" t="s">
        <v>480</v>
      </c>
      <c r="M70" s="55">
        <v>43564</v>
      </c>
      <c r="N70" s="56" t="s">
        <v>646</v>
      </c>
      <c r="O70" s="55">
        <v>43569</v>
      </c>
      <c r="P70" s="58" t="s">
        <v>3171</v>
      </c>
      <c r="Q70" s="52"/>
      <c r="R70" s="118" t="s">
        <v>3172</v>
      </c>
      <c r="S70" s="47"/>
    </row>
    <row r="71" spans="2:19" s="33" customFormat="1" ht="33" customHeight="1">
      <c r="B71" s="47" t="s">
        <v>83</v>
      </c>
      <c r="C71" s="48" t="s">
        <v>3173</v>
      </c>
      <c r="D71" s="49" t="s">
        <v>472</v>
      </c>
      <c r="E71" s="50">
        <v>43483</v>
      </c>
      <c r="F71" s="52" t="s">
        <v>77</v>
      </c>
      <c r="G71" s="51">
        <v>5760</v>
      </c>
      <c r="H71" s="52">
        <f t="shared" si="9"/>
        <v>24</v>
      </c>
      <c r="I71" s="52">
        <f t="shared" si="10"/>
        <v>6</v>
      </c>
      <c r="J71" s="52"/>
      <c r="K71" s="53">
        <v>43583</v>
      </c>
      <c r="L71" s="54" t="s">
        <v>448</v>
      </c>
      <c r="M71" s="55">
        <v>43578</v>
      </c>
      <c r="N71" s="56" t="s">
        <v>3160</v>
      </c>
      <c r="O71" s="55">
        <v>43583</v>
      </c>
      <c r="P71" s="58" t="s">
        <v>3174</v>
      </c>
      <c r="Q71" s="52"/>
      <c r="R71" s="118" t="s">
        <v>3172</v>
      </c>
      <c r="S71" s="47"/>
    </row>
    <row r="72" spans="2:19" s="33" customFormat="1" ht="33" customHeight="1">
      <c r="B72" s="47" t="s">
        <v>83</v>
      </c>
      <c r="C72" s="48" t="s">
        <v>258</v>
      </c>
      <c r="D72" s="49" t="s">
        <v>591</v>
      </c>
      <c r="E72" s="50">
        <v>43519</v>
      </c>
      <c r="F72" s="52" t="s">
        <v>77</v>
      </c>
      <c r="G72" s="51">
        <v>5760</v>
      </c>
      <c r="H72" s="52">
        <f t="shared" si="9"/>
        <v>24</v>
      </c>
      <c r="I72" s="52">
        <f t="shared" si="10"/>
        <v>6</v>
      </c>
      <c r="J72" s="52"/>
      <c r="K72" s="53">
        <v>43605</v>
      </c>
      <c r="L72" s="54" t="s">
        <v>3175</v>
      </c>
      <c r="M72" s="55">
        <v>43601</v>
      </c>
      <c r="N72" s="56" t="s">
        <v>3176</v>
      </c>
      <c r="O72" s="55">
        <v>43605</v>
      </c>
      <c r="P72" s="58" t="s">
        <v>3177</v>
      </c>
      <c r="Q72" s="52"/>
      <c r="R72" s="118" t="s">
        <v>3178</v>
      </c>
      <c r="S72" s="47"/>
    </row>
    <row r="73" spans="2:19" s="30" customFormat="1" ht="33" customHeight="1">
      <c r="B73" s="46" t="s">
        <v>83</v>
      </c>
      <c r="C73" s="35" t="s">
        <v>321</v>
      </c>
      <c r="D73" s="36" t="s">
        <v>727</v>
      </c>
      <c r="E73" s="37">
        <v>43532</v>
      </c>
      <c r="F73" s="38" t="s">
        <v>77</v>
      </c>
      <c r="G73" s="39">
        <v>6720</v>
      </c>
      <c r="H73" s="38">
        <f t="shared" si="9"/>
        <v>28</v>
      </c>
      <c r="I73" s="38">
        <f t="shared" si="10"/>
        <v>7</v>
      </c>
      <c r="J73" s="38"/>
      <c r="K73" s="40">
        <v>43633</v>
      </c>
      <c r="L73" s="41" t="s">
        <v>807</v>
      </c>
      <c r="M73" s="42">
        <v>43627</v>
      </c>
      <c r="N73" s="43" t="s">
        <v>808</v>
      </c>
      <c r="O73" s="42">
        <v>43632</v>
      </c>
      <c r="P73" s="45"/>
      <c r="Q73" s="38"/>
      <c r="R73" s="115" t="s">
        <v>3179</v>
      </c>
      <c r="S73" s="46"/>
    </row>
    <row r="74" spans="2:19" s="30" customFormat="1" ht="33" customHeight="1">
      <c r="B74" s="46" t="s">
        <v>83</v>
      </c>
      <c r="C74" s="35" t="s">
        <v>324</v>
      </c>
      <c r="D74" s="36" t="s">
        <v>1234</v>
      </c>
      <c r="E74" s="37">
        <v>43567</v>
      </c>
      <c r="F74" s="38" t="s">
        <v>77</v>
      </c>
      <c r="G74" s="39">
        <v>5760</v>
      </c>
      <c r="H74" s="38">
        <f t="shared" si="9"/>
        <v>24</v>
      </c>
      <c r="I74" s="38">
        <f t="shared" si="10"/>
        <v>6</v>
      </c>
      <c r="J74" s="38"/>
      <c r="K74" s="40">
        <v>43674</v>
      </c>
      <c r="L74" s="41" t="s">
        <v>3180</v>
      </c>
      <c r="M74" s="42">
        <v>43669</v>
      </c>
      <c r="N74" s="43" t="s">
        <v>3181</v>
      </c>
      <c r="O74" s="42">
        <v>43674</v>
      </c>
      <c r="P74" s="45"/>
      <c r="Q74" s="38"/>
      <c r="R74" s="115" t="s">
        <v>3182</v>
      </c>
      <c r="S74" s="46"/>
    </row>
    <row r="75" spans="2:19" s="30" customFormat="1" ht="33" customHeight="1">
      <c r="B75" s="46" t="s">
        <v>83</v>
      </c>
      <c r="C75" s="35" t="s">
        <v>430</v>
      </c>
      <c r="D75" s="36" t="s">
        <v>2696</v>
      </c>
      <c r="E75" s="37">
        <v>43609</v>
      </c>
      <c r="F75" s="38" t="s">
        <v>77</v>
      </c>
      <c r="G75" s="39">
        <v>7680</v>
      </c>
      <c r="H75" s="38">
        <f t="shared" si="9"/>
        <v>32</v>
      </c>
      <c r="I75" s="38">
        <f t="shared" si="10"/>
        <v>8</v>
      </c>
      <c r="J75" s="38"/>
      <c r="K75" s="40">
        <v>43702</v>
      </c>
      <c r="L75" s="41" t="s">
        <v>2509</v>
      </c>
      <c r="M75" s="42">
        <v>43697</v>
      </c>
      <c r="N75" s="43" t="s">
        <v>2498</v>
      </c>
      <c r="O75" s="42">
        <v>43702</v>
      </c>
      <c r="P75" s="45"/>
      <c r="Q75" s="38"/>
      <c r="R75" s="115" t="s">
        <v>3183</v>
      </c>
      <c r="S75" s="46"/>
    </row>
    <row r="76" spans="2:19" s="34" customFormat="1" ht="33" customHeight="1">
      <c r="B76" s="47" t="s">
        <v>210</v>
      </c>
      <c r="C76" s="48" t="s">
        <v>226</v>
      </c>
      <c r="D76" s="49" t="s">
        <v>593</v>
      </c>
      <c r="E76" s="50">
        <v>43483</v>
      </c>
      <c r="F76" s="52" t="s">
        <v>218</v>
      </c>
      <c r="G76" s="51">
        <v>640</v>
      </c>
      <c r="H76" s="52">
        <f t="shared" ref="H76:H98" si="11">SUM(G76/20)</f>
        <v>32</v>
      </c>
      <c r="I76" s="52">
        <f t="shared" ref="I76:I98" si="12">SUM(H76/32)</f>
        <v>1</v>
      </c>
      <c r="J76" s="52"/>
      <c r="K76" s="53">
        <v>43534</v>
      </c>
      <c r="L76" s="54" t="s">
        <v>3184</v>
      </c>
      <c r="M76" s="55"/>
      <c r="N76" s="56"/>
      <c r="O76" s="55">
        <v>43520</v>
      </c>
      <c r="P76" s="58" t="s">
        <v>651</v>
      </c>
      <c r="Q76" s="52"/>
      <c r="R76" s="63" t="s">
        <v>211</v>
      </c>
      <c r="S76" s="52"/>
    </row>
    <row r="77" spans="2:19" s="34" customFormat="1" ht="33" customHeight="1">
      <c r="B77" s="47" t="s">
        <v>210</v>
      </c>
      <c r="C77" s="48" t="s">
        <v>285</v>
      </c>
      <c r="D77" s="49" t="s">
        <v>526</v>
      </c>
      <c r="E77" s="50">
        <v>43507</v>
      </c>
      <c r="F77" s="52" t="s">
        <v>218</v>
      </c>
      <c r="G77" s="51">
        <v>3200</v>
      </c>
      <c r="H77" s="52">
        <f t="shared" si="11"/>
        <v>160</v>
      </c>
      <c r="I77" s="52">
        <f t="shared" si="12"/>
        <v>5</v>
      </c>
      <c r="J77" s="52"/>
      <c r="K77" s="53">
        <v>43576</v>
      </c>
      <c r="L77" s="54" t="s">
        <v>503</v>
      </c>
      <c r="M77" s="55">
        <v>43571</v>
      </c>
      <c r="N77" s="56" t="s">
        <v>3185</v>
      </c>
      <c r="O77" s="55">
        <v>43576</v>
      </c>
      <c r="P77" s="58"/>
      <c r="Q77" s="52" t="s">
        <v>643</v>
      </c>
      <c r="R77" s="63" t="s">
        <v>211</v>
      </c>
      <c r="S77" s="52"/>
    </row>
    <row r="78" spans="2:19" s="34" customFormat="1" ht="33" customHeight="1">
      <c r="B78" s="47" t="s">
        <v>210</v>
      </c>
      <c r="C78" s="48" t="s">
        <v>3186</v>
      </c>
      <c r="D78" s="49" t="s">
        <v>526</v>
      </c>
      <c r="E78" s="50">
        <v>43507</v>
      </c>
      <c r="F78" s="52" t="s">
        <v>218</v>
      </c>
      <c r="G78" s="51">
        <v>640</v>
      </c>
      <c r="H78" s="52">
        <f t="shared" si="11"/>
        <v>32</v>
      </c>
      <c r="I78" s="52">
        <f t="shared" si="12"/>
        <v>1</v>
      </c>
      <c r="J78" s="52"/>
      <c r="K78" s="53">
        <v>43576</v>
      </c>
      <c r="L78" s="54" t="s">
        <v>448</v>
      </c>
      <c r="M78" s="55">
        <v>43578</v>
      </c>
      <c r="N78" s="56" t="s">
        <v>3160</v>
      </c>
      <c r="O78" s="55">
        <v>43583</v>
      </c>
      <c r="P78" s="58"/>
      <c r="Q78" s="52" t="s">
        <v>643</v>
      </c>
      <c r="R78" s="63" t="s">
        <v>211</v>
      </c>
      <c r="S78" s="52"/>
    </row>
    <row r="79" spans="2:19" s="34" customFormat="1" ht="33" customHeight="1">
      <c r="B79" s="47" t="s">
        <v>210</v>
      </c>
      <c r="C79" s="48" t="s">
        <v>331</v>
      </c>
      <c r="D79" s="49" t="s">
        <v>3187</v>
      </c>
      <c r="E79" s="50">
        <v>43519</v>
      </c>
      <c r="F79" s="52" t="s">
        <v>218</v>
      </c>
      <c r="G79" s="51">
        <v>3200</v>
      </c>
      <c r="H79" s="52">
        <f t="shared" si="11"/>
        <v>160</v>
      </c>
      <c r="I79" s="52">
        <f t="shared" si="12"/>
        <v>5</v>
      </c>
      <c r="J79" s="52"/>
      <c r="K79" s="53">
        <v>43562</v>
      </c>
      <c r="L79" s="54" t="s">
        <v>608</v>
      </c>
      <c r="M79" s="55">
        <v>43557</v>
      </c>
      <c r="N79" s="56" t="s">
        <v>3188</v>
      </c>
      <c r="O79" s="55">
        <v>43562</v>
      </c>
      <c r="P79" s="58"/>
      <c r="Q79" s="52" t="s">
        <v>642</v>
      </c>
      <c r="R79" s="63" t="s">
        <v>211</v>
      </c>
      <c r="S79" s="52"/>
    </row>
    <row r="80" spans="2:19" s="34" customFormat="1" ht="33" customHeight="1">
      <c r="B80" s="47" t="s">
        <v>210</v>
      </c>
      <c r="C80" s="48" t="s">
        <v>3189</v>
      </c>
      <c r="D80" s="49" t="s">
        <v>3187</v>
      </c>
      <c r="E80" s="50">
        <v>43519</v>
      </c>
      <c r="F80" s="52" t="s">
        <v>218</v>
      </c>
      <c r="G80" s="51">
        <v>640</v>
      </c>
      <c r="H80" s="52">
        <f t="shared" si="11"/>
        <v>32</v>
      </c>
      <c r="I80" s="52">
        <f t="shared" si="12"/>
        <v>1</v>
      </c>
      <c r="J80" s="52"/>
      <c r="K80" s="53">
        <v>43562</v>
      </c>
      <c r="L80" s="54" t="s">
        <v>480</v>
      </c>
      <c r="M80" s="55">
        <v>43564</v>
      </c>
      <c r="N80" s="56" t="s">
        <v>646</v>
      </c>
      <c r="O80" s="55">
        <v>43569</v>
      </c>
      <c r="P80" s="58"/>
      <c r="Q80" s="52" t="s">
        <v>642</v>
      </c>
      <c r="R80" s="63" t="s">
        <v>211</v>
      </c>
      <c r="S80" s="52"/>
    </row>
    <row r="81" spans="2:19" s="32" customFormat="1" ht="33" customHeight="1">
      <c r="B81" s="46" t="s">
        <v>210</v>
      </c>
      <c r="C81" s="35" t="s">
        <v>2527</v>
      </c>
      <c r="D81" s="190" t="s">
        <v>3190</v>
      </c>
      <c r="E81" s="37">
        <v>43609</v>
      </c>
      <c r="F81" s="38" t="s">
        <v>218</v>
      </c>
      <c r="G81" s="39">
        <v>120</v>
      </c>
      <c r="H81" s="38">
        <f t="shared" si="11"/>
        <v>6</v>
      </c>
      <c r="I81" s="38">
        <f t="shared" si="12"/>
        <v>0.1875</v>
      </c>
      <c r="J81" s="38"/>
      <c r="K81" s="40">
        <v>43646</v>
      </c>
      <c r="L81" s="41" t="s">
        <v>1083</v>
      </c>
      <c r="M81" s="42">
        <v>43634</v>
      </c>
      <c r="N81" s="43" t="s">
        <v>1084</v>
      </c>
      <c r="O81" s="42">
        <v>43639</v>
      </c>
      <c r="P81" s="45"/>
      <c r="Q81" s="66" t="s">
        <v>2543</v>
      </c>
      <c r="R81" s="66" t="s">
        <v>3191</v>
      </c>
      <c r="S81" s="38"/>
    </row>
    <row r="82" spans="2:19" s="32" customFormat="1" ht="33" customHeight="1">
      <c r="B82" s="46" t="s">
        <v>3192</v>
      </c>
      <c r="C82" s="35" t="s">
        <v>2531</v>
      </c>
      <c r="D82" s="190" t="s">
        <v>3190</v>
      </c>
      <c r="E82" s="37">
        <v>43609</v>
      </c>
      <c r="F82" s="38" t="s">
        <v>3193</v>
      </c>
      <c r="G82" s="39">
        <v>120</v>
      </c>
      <c r="H82" s="38">
        <f t="shared" si="11"/>
        <v>6</v>
      </c>
      <c r="I82" s="38">
        <f t="shared" si="12"/>
        <v>0.1875</v>
      </c>
      <c r="J82" s="38"/>
      <c r="K82" s="40">
        <v>43646</v>
      </c>
      <c r="L82" s="41" t="s">
        <v>1083</v>
      </c>
      <c r="M82" s="42">
        <v>43634</v>
      </c>
      <c r="N82" s="43" t="s">
        <v>1084</v>
      </c>
      <c r="O82" s="42">
        <v>43639</v>
      </c>
      <c r="P82" s="45"/>
      <c r="Q82" s="66" t="s">
        <v>2544</v>
      </c>
      <c r="R82" s="66" t="s">
        <v>3191</v>
      </c>
      <c r="S82" s="38"/>
    </row>
    <row r="83" spans="2:19" s="34" customFormat="1" ht="33" customHeight="1">
      <c r="B83" s="47" t="s">
        <v>210</v>
      </c>
      <c r="C83" s="48" t="s">
        <v>431</v>
      </c>
      <c r="D83" s="49" t="s">
        <v>3194</v>
      </c>
      <c r="E83" s="50">
        <v>43523</v>
      </c>
      <c r="F83" s="52" t="s">
        <v>218</v>
      </c>
      <c r="G83" s="51">
        <v>3200</v>
      </c>
      <c r="H83" s="52">
        <f t="shared" si="11"/>
        <v>160</v>
      </c>
      <c r="I83" s="52">
        <f t="shared" si="12"/>
        <v>5</v>
      </c>
      <c r="J83" s="52"/>
      <c r="K83" s="53">
        <v>43597</v>
      </c>
      <c r="L83" s="54" t="s">
        <v>605</v>
      </c>
      <c r="M83" s="55">
        <v>43594</v>
      </c>
      <c r="N83" s="56" t="s">
        <v>3195</v>
      </c>
      <c r="O83" s="55">
        <v>43598</v>
      </c>
      <c r="P83" s="58"/>
      <c r="Q83" s="52" t="s">
        <v>641</v>
      </c>
      <c r="R83" s="63" t="s">
        <v>211</v>
      </c>
      <c r="S83" s="52"/>
    </row>
    <row r="84" spans="2:19" s="34" customFormat="1" ht="33" customHeight="1">
      <c r="B84" s="47" t="s">
        <v>210</v>
      </c>
      <c r="C84" s="48" t="s">
        <v>3196</v>
      </c>
      <c r="D84" s="49" t="s">
        <v>3194</v>
      </c>
      <c r="E84" s="50">
        <v>43523</v>
      </c>
      <c r="F84" s="52" t="s">
        <v>218</v>
      </c>
      <c r="G84" s="51">
        <v>640</v>
      </c>
      <c r="H84" s="52">
        <f t="shared" si="11"/>
        <v>32</v>
      </c>
      <c r="I84" s="52">
        <f t="shared" si="12"/>
        <v>1</v>
      </c>
      <c r="J84" s="52"/>
      <c r="K84" s="53">
        <v>43618</v>
      </c>
      <c r="L84" s="54" t="s">
        <v>3197</v>
      </c>
      <c r="M84" s="55">
        <v>43613</v>
      </c>
      <c r="N84" s="56" t="s">
        <v>3198</v>
      </c>
      <c r="O84" s="55">
        <v>43618</v>
      </c>
      <c r="P84" s="58"/>
      <c r="Q84" s="52" t="s">
        <v>641</v>
      </c>
      <c r="R84" s="63" t="s">
        <v>211</v>
      </c>
      <c r="S84" s="52"/>
    </row>
    <row r="85" spans="2:19" s="34" customFormat="1" ht="33" customHeight="1">
      <c r="B85" s="47" t="s">
        <v>210</v>
      </c>
      <c r="C85" s="48" t="s">
        <v>3199</v>
      </c>
      <c r="D85" s="49" t="s">
        <v>739</v>
      </c>
      <c r="E85" s="50">
        <v>43532</v>
      </c>
      <c r="F85" s="52" t="s">
        <v>218</v>
      </c>
      <c r="G85" s="51">
        <v>2560</v>
      </c>
      <c r="H85" s="52">
        <f t="shared" si="11"/>
        <v>128</v>
      </c>
      <c r="I85" s="52">
        <f t="shared" si="12"/>
        <v>4</v>
      </c>
      <c r="J85" s="52"/>
      <c r="K85" s="53">
        <v>43618</v>
      </c>
      <c r="L85" s="54" t="s">
        <v>3197</v>
      </c>
      <c r="M85" s="55">
        <v>43613</v>
      </c>
      <c r="N85" s="56" t="s">
        <v>3198</v>
      </c>
      <c r="O85" s="55">
        <v>43618</v>
      </c>
      <c r="P85" s="58"/>
      <c r="Q85" s="52" t="s">
        <v>970</v>
      </c>
      <c r="R85" s="63" t="s">
        <v>211</v>
      </c>
      <c r="S85" s="52"/>
    </row>
    <row r="86" spans="2:19" s="32" customFormat="1" ht="33" customHeight="1">
      <c r="B86" s="46" t="s">
        <v>210</v>
      </c>
      <c r="C86" s="35" t="s">
        <v>589</v>
      </c>
      <c r="D86" s="36" t="s">
        <v>1260</v>
      </c>
      <c r="E86" s="37">
        <v>43558</v>
      </c>
      <c r="F86" s="38" t="s">
        <v>218</v>
      </c>
      <c r="G86" s="39">
        <v>3200</v>
      </c>
      <c r="H86" s="38">
        <f t="shared" si="11"/>
        <v>160</v>
      </c>
      <c r="I86" s="38">
        <f t="shared" si="12"/>
        <v>5</v>
      </c>
      <c r="J86" s="38"/>
      <c r="K86" s="40">
        <v>43639</v>
      </c>
      <c r="L86" s="41" t="s">
        <v>3200</v>
      </c>
      <c r="M86" s="42">
        <v>43634</v>
      </c>
      <c r="N86" s="43" t="s">
        <v>3201</v>
      </c>
      <c r="O86" s="42">
        <v>43639</v>
      </c>
      <c r="P86" s="45"/>
      <c r="Q86" s="38" t="s">
        <v>973</v>
      </c>
      <c r="R86" s="66" t="s">
        <v>211</v>
      </c>
      <c r="S86" s="38"/>
    </row>
    <row r="87" spans="2:19" s="32" customFormat="1" ht="33" customHeight="1">
      <c r="B87" s="46" t="s">
        <v>3254</v>
      </c>
      <c r="C87" s="35" t="s">
        <v>2078</v>
      </c>
      <c r="D87" s="36" t="s">
        <v>2426</v>
      </c>
      <c r="E87" s="37">
        <v>43602</v>
      </c>
      <c r="F87" s="38" t="s">
        <v>218</v>
      </c>
      <c r="G87" s="39">
        <v>3200</v>
      </c>
      <c r="H87" s="38">
        <f t="shared" si="11"/>
        <v>160</v>
      </c>
      <c r="I87" s="38">
        <f t="shared" si="12"/>
        <v>5</v>
      </c>
      <c r="J87" s="38"/>
      <c r="K87" s="40">
        <v>43653</v>
      </c>
      <c r="L87" s="41" t="s">
        <v>1326</v>
      </c>
      <c r="M87" s="42">
        <v>43648</v>
      </c>
      <c r="N87" s="43" t="s">
        <v>3202</v>
      </c>
      <c r="O87" s="42">
        <v>43653</v>
      </c>
      <c r="P87" s="45"/>
      <c r="Q87" s="38" t="s">
        <v>2148</v>
      </c>
      <c r="R87" s="66" t="s">
        <v>211</v>
      </c>
      <c r="S87" s="38"/>
    </row>
    <row r="88" spans="2:19" s="32" customFormat="1" ht="33" customHeight="1">
      <c r="B88" s="46" t="s">
        <v>210</v>
      </c>
      <c r="C88" s="35" t="s">
        <v>2079</v>
      </c>
      <c r="D88" s="36" t="s">
        <v>2428</v>
      </c>
      <c r="E88" s="37">
        <v>43602</v>
      </c>
      <c r="F88" s="38" t="s">
        <v>218</v>
      </c>
      <c r="G88" s="39">
        <v>3200</v>
      </c>
      <c r="H88" s="38">
        <f t="shared" si="11"/>
        <v>160</v>
      </c>
      <c r="I88" s="38">
        <f t="shared" si="12"/>
        <v>5</v>
      </c>
      <c r="J88" s="38"/>
      <c r="K88" s="40">
        <v>43667</v>
      </c>
      <c r="L88" s="41" t="s">
        <v>2146</v>
      </c>
      <c r="M88" s="42">
        <v>43669</v>
      </c>
      <c r="N88" s="43" t="s">
        <v>2551</v>
      </c>
      <c r="O88" s="42">
        <v>43674</v>
      </c>
      <c r="P88" s="45"/>
      <c r="Q88" s="38" t="s">
        <v>2150</v>
      </c>
      <c r="R88" s="66" t="s">
        <v>211</v>
      </c>
      <c r="S88" s="38"/>
    </row>
    <row r="89" spans="2:19" s="32" customFormat="1" ht="33" customHeight="1">
      <c r="B89" s="46" t="s">
        <v>210</v>
      </c>
      <c r="C89" s="35" t="s">
        <v>2378</v>
      </c>
      <c r="D89" s="36" t="s">
        <v>3203</v>
      </c>
      <c r="E89" s="37">
        <v>43602</v>
      </c>
      <c r="F89" s="38" t="s">
        <v>218</v>
      </c>
      <c r="G89" s="39">
        <v>3200</v>
      </c>
      <c r="H89" s="38">
        <f t="shared" si="11"/>
        <v>160</v>
      </c>
      <c r="I89" s="38">
        <f t="shared" si="12"/>
        <v>5</v>
      </c>
      <c r="J89" s="38"/>
      <c r="K89" s="40">
        <v>43688</v>
      </c>
      <c r="L89" s="41" t="s">
        <v>2505</v>
      </c>
      <c r="M89" s="42">
        <v>43683</v>
      </c>
      <c r="N89" s="43" t="s">
        <v>3204</v>
      </c>
      <c r="O89" s="42">
        <v>43688</v>
      </c>
      <c r="P89" s="45"/>
      <c r="Q89" s="38" t="s">
        <v>2762</v>
      </c>
      <c r="R89" s="66" t="s">
        <v>211</v>
      </c>
      <c r="S89" s="46" t="s">
        <v>2764</v>
      </c>
    </row>
    <row r="90" spans="2:19" s="32" customFormat="1" ht="33" customHeight="1">
      <c r="B90" s="46" t="s">
        <v>210</v>
      </c>
      <c r="C90" s="35" t="s">
        <v>2430</v>
      </c>
      <c r="D90" s="190" t="s">
        <v>3205</v>
      </c>
      <c r="E90" s="37">
        <v>43602</v>
      </c>
      <c r="F90" s="38" t="s">
        <v>218</v>
      </c>
      <c r="G90" s="39">
        <v>3200</v>
      </c>
      <c r="H90" s="38">
        <f t="shared" si="11"/>
        <v>160</v>
      </c>
      <c r="I90" s="38">
        <f t="shared" si="12"/>
        <v>5</v>
      </c>
      <c r="J90" s="38"/>
      <c r="K90" s="40">
        <v>43702</v>
      </c>
      <c r="L90" s="41" t="s">
        <v>2509</v>
      </c>
      <c r="M90" s="42">
        <v>43697</v>
      </c>
      <c r="N90" s="43" t="s">
        <v>3169</v>
      </c>
      <c r="O90" s="42">
        <v>43702</v>
      </c>
      <c r="P90" s="45"/>
      <c r="Q90" s="38" t="s">
        <v>2517</v>
      </c>
      <c r="R90" s="66" t="s">
        <v>211</v>
      </c>
      <c r="S90" s="38"/>
    </row>
    <row r="91" spans="2:19" s="32" customFormat="1" ht="33" customHeight="1">
      <c r="B91" s="46" t="s">
        <v>210</v>
      </c>
      <c r="C91" s="35" t="s">
        <v>2528</v>
      </c>
      <c r="D91" s="190" t="s">
        <v>2704</v>
      </c>
      <c r="E91" s="37">
        <v>43609</v>
      </c>
      <c r="F91" s="38" t="s">
        <v>218</v>
      </c>
      <c r="G91" s="39">
        <v>3200</v>
      </c>
      <c r="H91" s="38">
        <f t="shared" si="11"/>
        <v>160</v>
      </c>
      <c r="I91" s="38">
        <f t="shared" si="12"/>
        <v>5</v>
      </c>
      <c r="J91" s="38"/>
      <c r="K91" s="40">
        <v>43660</v>
      </c>
      <c r="L91" s="41" t="s">
        <v>1326</v>
      </c>
      <c r="M91" s="42">
        <v>43648</v>
      </c>
      <c r="N91" s="43" t="s">
        <v>2540</v>
      </c>
      <c r="O91" s="42">
        <v>43653</v>
      </c>
      <c r="P91" s="45"/>
      <c r="Q91" s="38" t="s">
        <v>2148</v>
      </c>
      <c r="R91" s="66" t="s">
        <v>211</v>
      </c>
      <c r="S91" s="38"/>
    </row>
    <row r="92" spans="2:19" s="32" customFormat="1" ht="33" customHeight="1">
      <c r="B92" s="46" t="s">
        <v>210</v>
      </c>
      <c r="C92" s="35" t="s">
        <v>2529</v>
      </c>
      <c r="D92" s="190" t="s">
        <v>2705</v>
      </c>
      <c r="E92" s="37">
        <v>43609</v>
      </c>
      <c r="F92" s="38" t="s">
        <v>218</v>
      </c>
      <c r="G92" s="39">
        <v>3200</v>
      </c>
      <c r="H92" s="38">
        <f t="shared" si="11"/>
        <v>160</v>
      </c>
      <c r="I92" s="38">
        <f t="shared" si="12"/>
        <v>5</v>
      </c>
      <c r="J92" s="38"/>
      <c r="K92" s="40">
        <v>43675</v>
      </c>
      <c r="L92" s="41" t="s">
        <v>2146</v>
      </c>
      <c r="M92" s="42">
        <v>43669</v>
      </c>
      <c r="N92" s="43" t="s">
        <v>2551</v>
      </c>
      <c r="O92" s="42">
        <v>43674</v>
      </c>
      <c r="P92" s="45"/>
      <c r="Q92" s="38" t="s">
        <v>2150</v>
      </c>
      <c r="R92" s="66" t="s">
        <v>211</v>
      </c>
      <c r="S92" s="38"/>
    </row>
    <row r="93" spans="2:19" s="34" customFormat="1" ht="33" customHeight="1">
      <c r="B93" s="47" t="s">
        <v>3192</v>
      </c>
      <c r="C93" s="48" t="s">
        <v>235</v>
      </c>
      <c r="D93" s="49" t="s">
        <v>744</v>
      </c>
      <c r="E93" s="50">
        <v>43532</v>
      </c>
      <c r="F93" s="52" t="s">
        <v>3193</v>
      </c>
      <c r="G93" s="51">
        <v>1280</v>
      </c>
      <c r="H93" s="52">
        <f t="shared" si="11"/>
        <v>64</v>
      </c>
      <c r="I93" s="52">
        <f t="shared" si="12"/>
        <v>2</v>
      </c>
      <c r="J93" s="52"/>
      <c r="K93" s="53">
        <v>43597</v>
      </c>
      <c r="L93" s="54" t="s">
        <v>605</v>
      </c>
      <c r="M93" s="55">
        <v>43594</v>
      </c>
      <c r="N93" s="56" t="s">
        <v>772</v>
      </c>
      <c r="O93" s="55">
        <v>43598</v>
      </c>
      <c r="P93" s="58"/>
      <c r="Q93" s="52" t="s">
        <v>641</v>
      </c>
      <c r="R93" s="63" t="s">
        <v>211</v>
      </c>
      <c r="S93" s="52"/>
    </row>
    <row r="94" spans="2:19" s="32" customFormat="1" ht="33" customHeight="1">
      <c r="B94" s="46" t="s">
        <v>3192</v>
      </c>
      <c r="C94" s="35" t="s">
        <v>1569</v>
      </c>
      <c r="D94" s="36" t="s">
        <v>3206</v>
      </c>
      <c r="E94" s="37">
        <v>43581</v>
      </c>
      <c r="F94" s="38" t="s">
        <v>3193</v>
      </c>
      <c r="G94" s="39">
        <v>1280</v>
      </c>
      <c r="H94" s="38">
        <f t="shared" si="11"/>
        <v>64</v>
      </c>
      <c r="I94" s="38">
        <f t="shared" si="12"/>
        <v>2</v>
      </c>
      <c r="J94" s="38"/>
      <c r="K94" s="40">
        <v>43632</v>
      </c>
      <c r="L94" s="41" t="s">
        <v>807</v>
      </c>
      <c r="M94" s="42">
        <v>43627</v>
      </c>
      <c r="N94" s="43" t="s">
        <v>3207</v>
      </c>
      <c r="O94" s="42">
        <v>43632</v>
      </c>
      <c r="P94" s="45"/>
      <c r="Q94" s="38" t="s">
        <v>1810</v>
      </c>
      <c r="R94" s="66" t="s">
        <v>211</v>
      </c>
      <c r="S94" s="38"/>
    </row>
    <row r="95" spans="2:19" s="32" customFormat="1" ht="33" customHeight="1">
      <c r="B95" s="46" t="s">
        <v>3192</v>
      </c>
      <c r="C95" s="35" t="s">
        <v>90</v>
      </c>
      <c r="D95" s="36" t="s">
        <v>3208</v>
      </c>
      <c r="E95" s="37">
        <v>43595</v>
      </c>
      <c r="F95" s="38" t="s">
        <v>3193</v>
      </c>
      <c r="G95" s="39">
        <v>1280</v>
      </c>
      <c r="H95" s="38">
        <f t="shared" si="11"/>
        <v>64</v>
      </c>
      <c r="I95" s="38">
        <f t="shared" si="12"/>
        <v>2</v>
      </c>
      <c r="J95" s="38"/>
      <c r="K95" s="40">
        <v>43646</v>
      </c>
      <c r="L95" s="41" t="s">
        <v>1326</v>
      </c>
      <c r="M95" s="42">
        <v>43648</v>
      </c>
      <c r="N95" s="43" t="s">
        <v>3202</v>
      </c>
      <c r="O95" s="42">
        <v>43653</v>
      </c>
      <c r="P95" s="45"/>
      <c r="Q95" s="38" t="s">
        <v>2148</v>
      </c>
      <c r="R95" s="66" t="s">
        <v>211</v>
      </c>
      <c r="S95" s="38"/>
    </row>
    <row r="96" spans="2:19" s="32" customFormat="1" ht="33" customHeight="1">
      <c r="B96" s="46" t="s">
        <v>3192</v>
      </c>
      <c r="C96" s="35" t="s">
        <v>2088</v>
      </c>
      <c r="D96" s="36" t="s">
        <v>3209</v>
      </c>
      <c r="E96" s="37">
        <v>43595</v>
      </c>
      <c r="F96" s="38" t="s">
        <v>3193</v>
      </c>
      <c r="G96" s="39">
        <v>640</v>
      </c>
      <c r="H96" s="38">
        <f t="shared" si="11"/>
        <v>32</v>
      </c>
      <c r="I96" s="38">
        <f t="shared" si="12"/>
        <v>1</v>
      </c>
      <c r="J96" s="38"/>
      <c r="K96" s="40">
        <v>43709</v>
      </c>
      <c r="L96" s="41" t="s">
        <v>3210</v>
      </c>
      <c r="M96" s="42">
        <v>43706</v>
      </c>
      <c r="N96" s="43" t="s">
        <v>3211</v>
      </c>
      <c r="O96" s="42">
        <v>43710</v>
      </c>
      <c r="P96" s="45"/>
      <c r="Q96" s="66" t="s">
        <v>2548</v>
      </c>
      <c r="R96" s="66" t="s">
        <v>211</v>
      </c>
      <c r="S96" s="38"/>
    </row>
    <row r="97" spans="1:19" s="32" customFormat="1" ht="33" customHeight="1">
      <c r="B97" s="46" t="s">
        <v>3192</v>
      </c>
      <c r="C97" s="35" t="s">
        <v>208</v>
      </c>
      <c r="D97" s="190" t="s">
        <v>3212</v>
      </c>
      <c r="E97" s="37">
        <v>43602</v>
      </c>
      <c r="F97" s="38" t="s">
        <v>3193</v>
      </c>
      <c r="G97" s="39">
        <v>640</v>
      </c>
      <c r="H97" s="38">
        <f t="shared" si="11"/>
        <v>32</v>
      </c>
      <c r="I97" s="38">
        <f t="shared" si="12"/>
        <v>1</v>
      </c>
      <c r="J97" s="38"/>
      <c r="K97" s="196">
        <v>43730</v>
      </c>
      <c r="L97" s="41" t="s">
        <v>3213</v>
      </c>
      <c r="M97" s="42">
        <v>43725</v>
      </c>
      <c r="N97" s="43" t="s">
        <v>3214</v>
      </c>
      <c r="O97" s="42">
        <v>43730</v>
      </c>
      <c r="P97" s="45"/>
      <c r="Q97" s="66" t="s">
        <v>2549</v>
      </c>
      <c r="R97" s="66" t="s">
        <v>211</v>
      </c>
      <c r="S97" s="38"/>
    </row>
    <row r="98" spans="1:19" s="32" customFormat="1" ht="33" customHeight="1">
      <c r="B98" s="135" t="s">
        <v>3192</v>
      </c>
      <c r="C98" s="136" t="s">
        <v>212</v>
      </c>
      <c r="D98" s="191" t="s">
        <v>3215</v>
      </c>
      <c r="E98" s="138">
        <v>43602</v>
      </c>
      <c r="F98" s="139" t="s">
        <v>3193</v>
      </c>
      <c r="G98" s="140">
        <v>640</v>
      </c>
      <c r="H98" s="139">
        <f t="shared" si="11"/>
        <v>32</v>
      </c>
      <c r="I98" s="139">
        <f t="shared" si="12"/>
        <v>1</v>
      </c>
      <c r="J98" s="139"/>
      <c r="K98" s="141" t="s">
        <v>2545</v>
      </c>
      <c r="L98" s="142"/>
      <c r="M98" s="143"/>
      <c r="N98" s="144"/>
      <c r="O98" s="143"/>
      <c r="P98" s="145"/>
      <c r="Q98" s="193" t="s">
        <v>2517</v>
      </c>
      <c r="R98" s="192" t="s">
        <v>211</v>
      </c>
      <c r="S98" s="139" t="s">
        <v>2541</v>
      </c>
    </row>
    <row r="99" spans="1:19" s="33" customFormat="1" ht="33" customHeight="1">
      <c r="A99" s="33" t="s">
        <v>3216</v>
      </c>
      <c r="B99" s="47" t="s">
        <v>3217</v>
      </c>
      <c r="C99" s="48" t="s">
        <v>225</v>
      </c>
      <c r="D99" s="49" t="s">
        <v>487</v>
      </c>
      <c r="E99" s="50">
        <v>43490</v>
      </c>
      <c r="F99" s="52" t="s">
        <v>3218</v>
      </c>
      <c r="G99" s="51">
        <v>1520</v>
      </c>
      <c r="H99" s="52">
        <f>SUM(G99/190)</f>
        <v>8</v>
      </c>
      <c r="I99" s="52">
        <f>SUM(H99/4)</f>
        <v>2</v>
      </c>
      <c r="J99" s="52"/>
      <c r="K99" s="53">
        <v>43569</v>
      </c>
      <c r="L99" s="54" t="s">
        <v>417</v>
      </c>
      <c r="M99" s="55">
        <v>43564</v>
      </c>
      <c r="N99" s="56" t="s">
        <v>3157</v>
      </c>
      <c r="O99" s="55">
        <v>43569</v>
      </c>
      <c r="P99" s="58"/>
      <c r="Q99" s="52"/>
      <c r="R99" s="63" t="s">
        <v>3219</v>
      </c>
      <c r="S99" s="47"/>
    </row>
    <row r="100" spans="1:19" s="30" customFormat="1" ht="33" customHeight="1">
      <c r="B100" s="46" t="s">
        <v>3217</v>
      </c>
      <c r="C100" s="35" t="s">
        <v>226</v>
      </c>
      <c r="D100" s="36" t="s">
        <v>833</v>
      </c>
      <c r="E100" s="37">
        <v>43546</v>
      </c>
      <c r="F100" s="38" t="s">
        <v>3218</v>
      </c>
      <c r="G100" s="39">
        <v>1520</v>
      </c>
      <c r="H100" s="38">
        <f>SUM(G100/190)</f>
        <v>8</v>
      </c>
      <c r="I100" s="38">
        <f>SUM(H100/4)</f>
        <v>2</v>
      </c>
      <c r="J100" s="38"/>
      <c r="K100" s="40">
        <v>43632</v>
      </c>
      <c r="L100" s="41" t="s">
        <v>3220</v>
      </c>
      <c r="M100" s="42">
        <v>43627</v>
      </c>
      <c r="N100" s="43" t="s">
        <v>3207</v>
      </c>
      <c r="O100" s="42">
        <v>43632</v>
      </c>
      <c r="P100" s="45"/>
      <c r="Q100" s="38"/>
      <c r="R100" s="66" t="s">
        <v>3221</v>
      </c>
      <c r="S100" s="46"/>
    </row>
    <row r="101" spans="1:19" s="30" customFormat="1" ht="33" customHeight="1">
      <c r="B101" s="46" t="s">
        <v>2514</v>
      </c>
      <c r="C101" s="35" t="s">
        <v>3222</v>
      </c>
      <c r="D101" s="36" t="s">
        <v>3223</v>
      </c>
      <c r="E101" s="37">
        <v>43602</v>
      </c>
      <c r="F101" s="38" t="s">
        <v>2516</v>
      </c>
      <c r="G101" s="39">
        <v>1520</v>
      </c>
      <c r="H101" s="38">
        <v>8</v>
      </c>
      <c r="I101" s="38">
        <v>2</v>
      </c>
      <c r="J101" s="38"/>
      <c r="K101" s="40">
        <v>43702</v>
      </c>
      <c r="L101" s="41" t="s">
        <v>3168</v>
      </c>
      <c r="M101" s="42">
        <v>43697</v>
      </c>
      <c r="N101" s="43" t="s">
        <v>3169</v>
      </c>
      <c r="O101" s="42">
        <v>43702</v>
      </c>
      <c r="P101" s="45"/>
      <c r="Q101" s="38"/>
      <c r="R101" s="66"/>
      <c r="S101" s="46"/>
    </row>
    <row r="102" spans="1:19" s="33" customFormat="1" ht="33" customHeight="1">
      <c r="B102" s="47" t="s">
        <v>238</v>
      </c>
      <c r="C102" s="48" t="s">
        <v>3224</v>
      </c>
      <c r="D102" s="49" t="s">
        <v>474</v>
      </c>
      <c r="E102" s="50"/>
      <c r="F102" s="52" t="s">
        <v>236</v>
      </c>
      <c r="G102" s="51">
        <v>3200</v>
      </c>
      <c r="H102" s="52">
        <f t="shared" ref="H102:H110" si="13">SUM(G102/200)</f>
        <v>16</v>
      </c>
      <c r="I102" s="52">
        <f t="shared" ref="I102:I110" si="14">SUM(H102/4)</f>
        <v>4</v>
      </c>
      <c r="J102" s="52"/>
      <c r="K102" s="53">
        <v>43562</v>
      </c>
      <c r="L102" s="54" t="s">
        <v>3225</v>
      </c>
      <c r="M102" s="55">
        <v>43557</v>
      </c>
      <c r="N102" s="56" t="s">
        <v>3188</v>
      </c>
      <c r="O102" s="55">
        <v>43562</v>
      </c>
      <c r="P102" s="58"/>
      <c r="Q102" s="52"/>
      <c r="R102" s="63"/>
      <c r="S102" s="47"/>
    </row>
    <row r="103" spans="1:19" s="33" customFormat="1" ht="33" customHeight="1">
      <c r="B103" s="47" t="s">
        <v>238</v>
      </c>
      <c r="C103" s="48" t="s">
        <v>3226</v>
      </c>
      <c r="D103" s="49" t="s">
        <v>475</v>
      </c>
      <c r="E103" s="50"/>
      <c r="F103" s="52" t="s">
        <v>236</v>
      </c>
      <c r="G103" s="51">
        <v>1600</v>
      </c>
      <c r="H103" s="52">
        <f t="shared" si="13"/>
        <v>8</v>
      </c>
      <c r="I103" s="52">
        <f t="shared" si="14"/>
        <v>2</v>
      </c>
      <c r="J103" s="52"/>
      <c r="K103" s="53">
        <v>43562</v>
      </c>
      <c r="L103" s="54" t="s">
        <v>3227</v>
      </c>
      <c r="M103" s="55">
        <v>43564</v>
      </c>
      <c r="N103" s="56" t="s">
        <v>3157</v>
      </c>
      <c r="O103" s="55">
        <v>43569</v>
      </c>
      <c r="P103" s="58"/>
      <c r="Q103" s="52"/>
      <c r="R103" s="63"/>
      <c r="S103" s="47"/>
    </row>
    <row r="104" spans="1:19" s="33" customFormat="1" ht="33" customHeight="1">
      <c r="B104" s="47" t="s">
        <v>238</v>
      </c>
      <c r="C104" s="48" t="s">
        <v>3228</v>
      </c>
      <c r="D104" s="49" t="s">
        <v>488</v>
      </c>
      <c r="E104" s="50">
        <v>43495</v>
      </c>
      <c r="F104" s="52" t="s">
        <v>236</v>
      </c>
      <c r="G104" s="51">
        <v>1600</v>
      </c>
      <c r="H104" s="52">
        <f t="shared" si="13"/>
        <v>8</v>
      </c>
      <c r="I104" s="52">
        <f t="shared" si="14"/>
        <v>2</v>
      </c>
      <c r="J104" s="52"/>
      <c r="K104" s="53">
        <v>43583</v>
      </c>
      <c r="L104" s="54" t="s">
        <v>3229</v>
      </c>
      <c r="M104" s="55">
        <v>43578</v>
      </c>
      <c r="N104" s="56" t="s">
        <v>3160</v>
      </c>
      <c r="O104" s="55">
        <v>43583</v>
      </c>
      <c r="P104" s="58"/>
      <c r="Q104" s="52"/>
      <c r="R104" s="63"/>
      <c r="S104" s="47"/>
    </row>
    <row r="105" spans="1:19" s="33" customFormat="1" ht="33" customHeight="1">
      <c r="B105" s="47" t="s">
        <v>238</v>
      </c>
      <c r="C105" s="48" t="s">
        <v>3230</v>
      </c>
      <c r="D105" s="49" t="s">
        <v>598</v>
      </c>
      <c r="E105" s="50">
        <v>43519</v>
      </c>
      <c r="F105" s="52" t="s">
        <v>236</v>
      </c>
      <c r="G105" s="51">
        <v>1600</v>
      </c>
      <c r="H105" s="52">
        <f t="shared" si="13"/>
        <v>8</v>
      </c>
      <c r="I105" s="52">
        <f t="shared" si="14"/>
        <v>2</v>
      </c>
      <c r="J105" s="52"/>
      <c r="K105" s="53">
        <v>43597</v>
      </c>
      <c r="L105" s="54" t="s">
        <v>3162</v>
      </c>
      <c r="M105" s="55">
        <v>43592</v>
      </c>
      <c r="N105" s="56" t="s">
        <v>3163</v>
      </c>
      <c r="O105" s="55">
        <v>43597</v>
      </c>
      <c r="P105" s="58"/>
      <c r="Q105" s="52"/>
      <c r="R105" s="63"/>
      <c r="S105" s="47"/>
    </row>
    <row r="106" spans="1:19" s="33" customFormat="1" ht="33" customHeight="1">
      <c r="B106" s="47" t="s">
        <v>238</v>
      </c>
      <c r="C106" s="48" t="s">
        <v>3231</v>
      </c>
      <c r="D106" s="49" t="s">
        <v>598</v>
      </c>
      <c r="E106" s="50">
        <v>43519</v>
      </c>
      <c r="F106" s="52" t="s">
        <v>236</v>
      </c>
      <c r="G106" s="51">
        <v>1600</v>
      </c>
      <c r="H106" s="52">
        <f t="shared" si="13"/>
        <v>8</v>
      </c>
      <c r="I106" s="52">
        <f t="shared" si="14"/>
        <v>2</v>
      </c>
      <c r="J106" s="52"/>
      <c r="K106" s="53">
        <v>43597</v>
      </c>
      <c r="L106" s="54" t="s">
        <v>3232</v>
      </c>
      <c r="M106" s="55">
        <v>43606</v>
      </c>
      <c r="N106" s="56" t="s">
        <v>3233</v>
      </c>
      <c r="O106" s="55">
        <v>43613</v>
      </c>
      <c r="P106" s="58"/>
      <c r="Q106" s="52"/>
      <c r="R106" s="63"/>
      <c r="S106" s="47"/>
    </row>
    <row r="107" spans="1:19" s="30" customFormat="1" ht="33" customHeight="1">
      <c r="B107" s="46" t="s">
        <v>238</v>
      </c>
      <c r="C107" s="35" t="s">
        <v>226</v>
      </c>
      <c r="D107" s="36" t="s">
        <v>749</v>
      </c>
      <c r="E107" s="37">
        <v>43532</v>
      </c>
      <c r="F107" s="38" t="s">
        <v>236</v>
      </c>
      <c r="G107" s="39">
        <v>3200</v>
      </c>
      <c r="H107" s="38">
        <f t="shared" si="13"/>
        <v>16</v>
      </c>
      <c r="I107" s="38">
        <f t="shared" si="14"/>
        <v>4</v>
      </c>
      <c r="J107" s="38"/>
      <c r="K107" s="40">
        <v>43625</v>
      </c>
      <c r="L107" s="41" t="s">
        <v>2538</v>
      </c>
      <c r="M107" s="42">
        <v>43627</v>
      </c>
      <c r="N107" s="43" t="s">
        <v>808</v>
      </c>
      <c r="O107" s="42">
        <v>43632</v>
      </c>
      <c r="P107" s="45"/>
      <c r="Q107" s="38"/>
      <c r="R107" s="66"/>
      <c r="S107" s="46" t="s">
        <v>2539</v>
      </c>
    </row>
    <row r="108" spans="1:19" s="30" customFormat="1" ht="33" customHeight="1">
      <c r="B108" s="46" t="s">
        <v>238</v>
      </c>
      <c r="C108" s="35" t="s">
        <v>233</v>
      </c>
      <c r="D108" s="36" t="s">
        <v>750</v>
      </c>
      <c r="E108" s="37">
        <v>43532</v>
      </c>
      <c r="F108" s="38" t="s">
        <v>236</v>
      </c>
      <c r="G108" s="39">
        <v>3200</v>
      </c>
      <c r="H108" s="38">
        <f t="shared" si="13"/>
        <v>16</v>
      </c>
      <c r="I108" s="38">
        <f t="shared" si="14"/>
        <v>4</v>
      </c>
      <c r="J108" s="38"/>
      <c r="K108" s="40">
        <v>43646</v>
      </c>
      <c r="L108" s="41" t="s">
        <v>3234</v>
      </c>
      <c r="M108" s="42">
        <v>43641</v>
      </c>
      <c r="N108" s="43" t="s">
        <v>3235</v>
      </c>
      <c r="O108" s="42">
        <v>43646</v>
      </c>
      <c r="P108" s="45"/>
      <c r="Q108" s="38"/>
      <c r="R108" s="66"/>
      <c r="S108" s="46"/>
    </row>
    <row r="109" spans="1:19" s="30" customFormat="1" ht="33" customHeight="1">
      <c r="B109" s="46" t="s">
        <v>238</v>
      </c>
      <c r="C109" s="35" t="s">
        <v>285</v>
      </c>
      <c r="D109" s="36" t="s">
        <v>1305</v>
      </c>
      <c r="E109" s="37">
        <v>43567</v>
      </c>
      <c r="F109" s="38" t="s">
        <v>236</v>
      </c>
      <c r="G109" s="39">
        <v>3200</v>
      </c>
      <c r="H109" s="38">
        <f t="shared" si="13"/>
        <v>16</v>
      </c>
      <c r="I109" s="38">
        <f t="shared" si="14"/>
        <v>4</v>
      </c>
      <c r="J109" s="38"/>
      <c r="K109" s="40">
        <v>43660</v>
      </c>
      <c r="L109" s="41" t="s">
        <v>3236</v>
      </c>
      <c r="M109" s="42">
        <v>43655</v>
      </c>
      <c r="N109" s="43" t="s">
        <v>3237</v>
      </c>
      <c r="O109" s="42">
        <v>43660</v>
      </c>
      <c r="P109" s="45"/>
      <c r="Q109" s="38"/>
      <c r="R109" s="66"/>
      <c r="S109" s="46"/>
    </row>
    <row r="110" spans="1:19" s="30" customFormat="1" ht="33" customHeight="1">
      <c r="B110" s="46" t="s">
        <v>238</v>
      </c>
      <c r="C110" s="35" t="s">
        <v>331</v>
      </c>
      <c r="D110" s="36" t="s">
        <v>1306</v>
      </c>
      <c r="E110" s="37">
        <v>43567</v>
      </c>
      <c r="F110" s="38" t="s">
        <v>236</v>
      </c>
      <c r="G110" s="39">
        <v>3200</v>
      </c>
      <c r="H110" s="38">
        <f t="shared" si="13"/>
        <v>16</v>
      </c>
      <c r="I110" s="38">
        <f t="shared" si="14"/>
        <v>4</v>
      </c>
      <c r="J110" s="38"/>
      <c r="K110" s="40">
        <v>43674</v>
      </c>
      <c r="L110" s="41" t="s">
        <v>3238</v>
      </c>
      <c r="M110" s="42">
        <v>43669</v>
      </c>
      <c r="N110" s="43" t="s">
        <v>3181</v>
      </c>
      <c r="O110" s="42">
        <v>43674</v>
      </c>
      <c r="P110" s="45"/>
      <c r="Q110" s="38"/>
      <c r="R110" s="66"/>
      <c r="S110" s="46"/>
    </row>
    <row r="111" spans="1:19" s="19" customFormat="1">
      <c r="B111"/>
      <c r="C111" s="15"/>
      <c r="D111" s="1"/>
      <c r="E111" s="174"/>
      <c r="F111"/>
      <c r="G111" s="11"/>
      <c r="H111"/>
      <c r="I111"/>
      <c r="J111"/>
      <c r="K111" s="13"/>
      <c r="L111"/>
      <c r="N111" s="28"/>
      <c r="P111"/>
      <c r="Q111"/>
      <c r="R111" s="17"/>
      <c r="S111"/>
    </row>
    <row r="112" spans="1:19" s="19" customFormat="1" ht="26.4" hidden="1">
      <c r="B112"/>
      <c r="C112" s="15"/>
      <c r="D112" s="1"/>
      <c r="F112" s="177"/>
      <c r="L112" s="176" t="s">
        <v>1821</v>
      </c>
      <c r="M112" s="177"/>
      <c r="N112" s="177"/>
      <c r="O112"/>
      <c r="P112" s="13"/>
      <c r="Q112"/>
      <c r="S112" s="28"/>
    </row>
    <row r="113" spans="2:19" ht="26.4" hidden="1">
      <c r="F113" s="177"/>
      <c r="L113" s="176" t="s">
        <v>1822</v>
      </c>
      <c r="M113" s="177"/>
      <c r="N113" s="177"/>
      <c r="O113"/>
      <c r="P113" s="13"/>
      <c r="R113" s="19"/>
      <c r="S113" s="28"/>
    </row>
    <row r="114" spans="2:19" ht="26.4" hidden="1">
      <c r="F114" s="177"/>
      <c r="L114" s="176" t="s">
        <v>1823</v>
      </c>
      <c r="M114" s="177"/>
      <c r="N114" s="177"/>
      <c r="O114"/>
      <c r="P114" s="13"/>
      <c r="R114" s="19"/>
      <c r="S114" s="28"/>
    </row>
    <row r="115" spans="2:19" hidden="1">
      <c r="E115" s="175"/>
      <c r="L115" s="11"/>
      <c r="M115"/>
      <c r="N115"/>
      <c r="O115"/>
      <c r="P115" s="13"/>
      <c r="R115" s="19"/>
      <c r="S115" s="28"/>
    </row>
    <row r="116" spans="2:19" s="19" customFormat="1" hidden="1">
      <c r="B116"/>
      <c r="C116" s="15"/>
      <c r="D116" s="1"/>
      <c r="L116" s="178" t="s">
        <v>1825</v>
      </c>
      <c r="M116" s="178" t="s">
        <v>1826</v>
      </c>
      <c r="N116" s="178" t="s">
        <v>1827</v>
      </c>
      <c r="O116" s="178" t="s">
        <v>1828</v>
      </c>
      <c r="P116" s="179" t="s">
        <v>3239</v>
      </c>
      <c r="Q116" s="179" t="s">
        <v>3240</v>
      </c>
      <c r="R116" s="179" t="s">
        <v>1831</v>
      </c>
      <c r="S116" s="179"/>
    </row>
    <row r="117" spans="2:19" s="19" customFormat="1" hidden="1">
      <c r="B117"/>
      <c r="C117" s="15"/>
      <c r="D117" s="1"/>
      <c r="L117" s="180" t="s">
        <v>3241</v>
      </c>
      <c r="M117" s="181" t="s">
        <v>1833</v>
      </c>
      <c r="N117" s="181" t="s">
        <v>1834</v>
      </c>
      <c r="O117" s="182" t="s">
        <v>1835</v>
      </c>
      <c r="P117" s="183">
        <v>1000</v>
      </c>
      <c r="Q117" s="183">
        <v>4</v>
      </c>
      <c r="R117" s="184">
        <v>43598</v>
      </c>
      <c r="S117" s="181" t="s">
        <v>99</v>
      </c>
    </row>
    <row r="118" spans="2:19" s="19" customFormat="1" hidden="1">
      <c r="B118"/>
      <c r="C118" s="15"/>
      <c r="D118" s="1"/>
      <c r="L118" s="180" t="s">
        <v>3241</v>
      </c>
      <c r="M118" s="181" t="s">
        <v>1836</v>
      </c>
      <c r="N118" s="181" t="s">
        <v>1834</v>
      </c>
      <c r="O118" s="182" t="s">
        <v>1835</v>
      </c>
      <c r="P118" s="183">
        <v>6000</v>
      </c>
      <c r="Q118" s="183">
        <v>24</v>
      </c>
      <c r="R118" s="184">
        <v>43598</v>
      </c>
      <c r="S118" s="181" t="s">
        <v>99</v>
      </c>
    </row>
    <row r="119" spans="2:19" s="19" customFormat="1" hidden="1">
      <c r="B119"/>
      <c r="C119" s="15"/>
      <c r="D119" s="1"/>
      <c r="L119" s="180" t="s">
        <v>3241</v>
      </c>
      <c r="M119" s="181" t="s">
        <v>1837</v>
      </c>
      <c r="N119" s="181" t="s">
        <v>1834</v>
      </c>
      <c r="O119" s="182" t="s">
        <v>1835</v>
      </c>
      <c r="P119" s="183">
        <v>5000</v>
      </c>
      <c r="Q119" s="183">
        <v>20</v>
      </c>
      <c r="R119" s="185" t="s">
        <v>3242</v>
      </c>
      <c r="S119" s="180" t="s">
        <v>3243</v>
      </c>
    </row>
    <row r="120" spans="2:19" s="19" customFormat="1" hidden="1">
      <c r="B120"/>
      <c r="C120" s="15"/>
      <c r="D120" s="1"/>
      <c r="L120" s="180" t="s">
        <v>3241</v>
      </c>
      <c r="M120" s="181" t="s">
        <v>1840</v>
      </c>
      <c r="N120" s="181" t="s">
        <v>1834</v>
      </c>
      <c r="O120" s="182" t="s">
        <v>1835</v>
      </c>
      <c r="P120" s="183">
        <v>5000</v>
      </c>
      <c r="Q120" s="183">
        <v>20</v>
      </c>
      <c r="R120" s="184">
        <v>43605</v>
      </c>
      <c r="S120" s="181" t="s">
        <v>99</v>
      </c>
    </row>
    <row r="121" spans="2:19" s="19" customFormat="1" hidden="1">
      <c r="B121"/>
      <c r="C121" s="15"/>
      <c r="D121" s="1"/>
      <c r="L121" s="180" t="s">
        <v>3241</v>
      </c>
      <c r="M121" s="181" t="s">
        <v>1841</v>
      </c>
      <c r="N121" s="181" t="s">
        <v>1834</v>
      </c>
      <c r="O121" s="182" t="s">
        <v>1835</v>
      </c>
      <c r="P121" s="183">
        <v>7000</v>
      </c>
      <c r="Q121" s="183">
        <v>28</v>
      </c>
      <c r="R121" s="184">
        <v>43605</v>
      </c>
      <c r="S121" s="181" t="s">
        <v>99</v>
      </c>
    </row>
    <row r="122" spans="2:19" hidden="1">
      <c r="L122" s="180" t="s">
        <v>3244</v>
      </c>
      <c r="M122" s="181" t="s">
        <v>1843</v>
      </c>
      <c r="N122" s="181" t="s">
        <v>1844</v>
      </c>
      <c r="O122" s="182" t="s">
        <v>1835</v>
      </c>
      <c r="P122" s="183">
        <v>2000</v>
      </c>
      <c r="Q122" s="183">
        <v>8</v>
      </c>
      <c r="R122" s="184">
        <v>43598</v>
      </c>
      <c r="S122" s="181" t="s">
        <v>99</v>
      </c>
    </row>
    <row r="123" spans="2:19" hidden="1">
      <c r="L123" s="180" t="s">
        <v>3244</v>
      </c>
      <c r="M123" s="181" t="s">
        <v>1845</v>
      </c>
      <c r="N123" s="181" t="s">
        <v>1844</v>
      </c>
      <c r="O123" s="182" t="s">
        <v>1835</v>
      </c>
      <c r="P123" s="183">
        <v>2000</v>
      </c>
      <c r="Q123" s="183">
        <v>8</v>
      </c>
      <c r="R123" s="184">
        <v>43598</v>
      </c>
      <c r="S123" s="181" t="s">
        <v>99</v>
      </c>
    </row>
    <row r="124" spans="2:19" hidden="1">
      <c r="L124" s="180" t="s">
        <v>3244</v>
      </c>
      <c r="M124" s="181" t="s">
        <v>1846</v>
      </c>
      <c r="N124" s="181" t="s">
        <v>1844</v>
      </c>
      <c r="O124" s="182" t="s">
        <v>1835</v>
      </c>
      <c r="P124" s="183">
        <v>10000</v>
      </c>
      <c r="Q124" s="183">
        <v>40</v>
      </c>
      <c r="R124" s="184">
        <v>43598</v>
      </c>
      <c r="S124" s="181" t="s">
        <v>99</v>
      </c>
    </row>
    <row r="125" spans="2:19" hidden="1">
      <c r="L125" s="180" t="s">
        <v>3244</v>
      </c>
      <c r="M125" s="181" t="s">
        <v>1847</v>
      </c>
      <c r="N125" s="181" t="s">
        <v>1844</v>
      </c>
      <c r="O125" s="182" t="s">
        <v>1835</v>
      </c>
      <c r="P125" s="183">
        <v>8000</v>
      </c>
      <c r="Q125" s="183">
        <v>32</v>
      </c>
      <c r="R125" s="184">
        <v>43598</v>
      </c>
      <c r="S125" s="180"/>
    </row>
    <row r="126" spans="2:19" hidden="1">
      <c r="L126" s="180" t="s">
        <v>3244</v>
      </c>
      <c r="M126" s="181" t="s">
        <v>1848</v>
      </c>
      <c r="N126" s="181" t="s">
        <v>1844</v>
      </c>
      <c r="O126" s="182" t="s">
        <v>1835</v>
      </c>
      <c r="P126" s="183">
        <v>10000</v>
      </c>
      <c r="Q126" s="183">
        <v>40</v>
      </c>
      <c r="R126" s="185" t="s">
        <v>3245</v>
      </c>
      <c r="S126" s="180" t="s">
        <v>3243</v>
      </c>
    </row>
    <row r="127" spans="2:19" hidden="1">
      <c r="L127" s="182" t="s">
        <v>3246</v>
      </c>
      <c r="M127" s="181" t="s">
        <v>1851</v>
      </c>
      <c r="N127" s="181" t="s">
        <v>1834</v>
      </c>
      <c r="O127" s="182" t="s">
        <v>1852</v>
      </c>
      <c r="P127" s="183">
        <v>5000</v>
      </c>
      <c r="Q127" s="183">
        <v>20</v>
      </c>
      <c r="R127" s="184">
        <v>43605</v>
      </c>
      <c r="S127" s="181" t="s">
        <v>99</v>
      </c>
    </row>
    <row r="128" spans="2:19" hidden="1">
      <c r="L128" s="180" t="s">
        <v>3247</v>
      </c>
      <c r="M128" s="181" t="s">
        <v>1851</v>
      </c>
      <c r="N128" s="181" t="s">
        <v>1844</v>
      </c>
      <c r="O128" s="182" t="s">
        <v>1835</v>
      </c>
      <c r="P128" s="183">
        <v>2000</v>
      </c>
      <c r="Q128" s="183">
        <v>8</v>
      </c>
      <c r="R128" s="184">
        <v>43605</v>
      </c>
      <c r="S128" s="181" t="s">
        <v>99</v>
      </c>
    </row>
    <row r="129" spans="12:19" hidden="1">
      <c r="L129" s="182" t="s">
        <v>3248</v>
      </c>
      <c r="M129" s="181" t="s">
        <v>1855</v>
      </c>
      <c r="N129" s="181" t="s">
        <v>1834</v>
      </c>
      <c r="O129" s="182" t="s">
        <v>1852</v>
      </c>
      <c r="P129" s="183">
        <v>6000</v>
      </c>
      <c r="Q129" s="183">
        <v>24</v>
      </c>
      <c r="R129" s="184">
        <v>43605</v>
      </c>
      <c r="S129" s="181" t="s">
        <v>99</v>
      </c>
    </row>
    <row r="130" spans="12:19" hidden="1">
      <c r="L130" s="182" t="s">
        <v>3248</v>
      </c>
      <c r="M130" s="181" t="s">
        <v>1856</v>
      </c>
      <c r="N130" s="181" t="s">
        <v>1834</v>
      </c>
      <c r="O130" s="182" t="s">
        <v>1852</v>
      </c>
      <c r="P130" s="183">
        <v>6000</v>
      </c>
      <c r="Q130" s="183">
        <v>24</v>
      </c>
      <c r="R130" s="185">
        <v>43605</v>
      </c>
      <c r="S130" s="180"/>
    </row>
    <row r="131" spans="12:19" hidden="1">
      <c r="L131" s="182" t="s">
        <v>3248</v>
      </c>
      <c r="M131" s="181" t="s">
        <v>1857</v>
      </c>
      <c r="N131" s="181" t="s">
        <v>1834</v>
      </c>
      <c r="O131" s="182" t="s">
        <v>1852</v>
      </c>
      <c r="P131" s="183">
        <v>6000</v>
      </c>
      <c r="Q131" s="183">
        <v>24</v>
      </c>
      <c r="R131" s="184" t="s">
        <v>3249</v>
      </c>
      <c r="S131" s="181" t="s">
        <v>3250</v>
      </c>
    </row>
    <row r="134" spans="12:19" ht="16.2">
      <c r="L134" s="186"/>
    </row>
    <row r="135" spans="12:19" ht="16.2">
      <c r="L135" s="186"/>
    </row>
    <row r="136" spans="12:19" ht="16.2">
      <c r="L136" s="186"/>
    </row>
  </sheetData>
  <autoFilter ref="B2:R110" xr:uid="{00000000-0009-0000-0000-000015000000}"/>
  <phoneticPr fontId="1"/>
  <pageMargins left="0.23622047244094491" right="0.23622047244094491" top="0.35433070866141736" bottom="0.35433070866141736" header="0.31496062992125984" footer="0.31496062992125984"/>
  <pageSetup paperSize="9" scale="77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61" filterMode="1">
    <pageSetUpPr fitToPage="1"/>
  </sheetPr>
  <dimension ref="A1:S136"/>
  <sheetViews>
    <sheetView zoomScale="77" zoomScaleNormal="77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52" sqref="B52:O52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7.12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B2" s="194"/>
      <c r="C2" s="14" t="s">
        <v>2770</v>
      </c>
      <c r="D2" s="5" t="s">
        <v>0</v>
      </c>
      <c r="E2" s="6" t="s">
        <v>2771</v>
      </c>
      <c r="F2" s="6" t="s">
        <v>2772</v>
      </c>
      <c r="G2" s="10" t="s">
        <v>1</v>
      </c>
      <c r="H2" s="6" t="s">
        <v>15</v>
      </c>
      <c r="I2" s="6" t="s">
        <v>16</v>
      </c>
      <c r="J2" s="6" t="s">
        <v>2773</v>
      </c>
      <c r="K2" s="12" t="s">
        <v>2774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2775</v>
      </c>
      <c r="Q2" s="6" t="s">
        <v>2776</v>
      </c>
      <c r="R2" s="16" t="s">
        <v>6</v>
      </c>
      <c r="S2" s="16" t="s">
        <v>2777</v>
      </c>
    </row>
    <row r="3" spans="2:19" s="33" customFormat="1" ht="33" hidden="1" customHeight="1">
      <c r="B3" s="47" t="s">
        <v>220</v>
      </c>
      <c r="C3" s="48" t="s">
        <v>377</v>
      </c>
      <c r="D3" s="49" t="s">
        <v>378</v>
      </c>
      <c r="E3" s="50">
        <v>43455</v>
      </c>
      <c r="F3" s="49" t="s">
        <v>2778</v>
      </c>
      <c r="G3" s="51">
        <v>14000</v>
      </c>
      <c r="H3" s="52">
        <f t="shared" ref="H3:H34" si="0">SUM(G3/250)</f>
        <v>56</v>
      </c>
      <c r="I3" s="52">
        <f t="shared" ref="I3:I52" si="1">SUM(H3/4)</f>
        <v>14</v>
      </c>
      <c r="J3" s="49"/>
      <c r="K3" s="53">
        <v>43548</v>
      </c>
      <c r="L3" s="54" t="s">
        <v>2779</v>
      </c>
      <c r="M3" s="55">
        <v>43563</v>
      </c>
      <c r="N3" s="56" t="s">
        <v>2780</v>
      </c>
      <c r="O3" s="55">
        <v>43569</v>
      </c>
      <c r="P3" s="54" t="s">
        <v>2781</v>
      </c>
      <c r="Q3" s="49"/>
      <c r="R3" s="57" t="s">
        <v>2782</v>
      </c>
      <c r="S3" s="47"/>
    </row>
    <row r="4" spans="2:19" s="33" customFormat="1" ht="33" hidden="1" customHeight="1">
      <c r="B4" s="47" t="s">
        <v>220</v>
      </c>
      <c r="C4" s="48" t="s">
        <v>421</v>
      </c>
      <c r="D4" s="49" t="s">
        <v>453</v>
      </c>
      <c r="E4" s="50">
        <v>43483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43576</v>
      </c>
      <c r="L4" s="54" t="s">
        <v>2783</v>
      </c>
      <c r="M4" s="55">
        <v>43570</v>
      </c>
      <c r="N4" s="56" t="s">
        <v>2784</v>
      </c>
      <c r="O4" s="55">
        <v>43576</v>
      </c>
      <c r="P4" s="54" t="s">
        <v>2785</v>
      </c>
      <c r="Q4" s="49"/>
      <c r="R4" s="57" t="s">
        <v>2786</v>
      </c>
      <c r="S4" s="47"/>
    </row>
    <row r="5" spans="2:19" s="33" customFormat="1" ht="33" hidden="1" customHeight="1">
      <c r="B5" s="47" t="s">
        <v>78</v>
      </c>
      <c r="C5" s="48" t="s">
        <v>422</v>
      </c>
      <c r="D5" s="49" t="s">
        <v>455</v>
      </c>
      <c r="E5" s="50">
        <v>43483</v>
      </c>
      <c r="F5" s="49" t="s">
        <v>2778</v>
      </c>
      <c r="G5" s="51">
        <v>10000</v>
      </c>
      <c r="H5" s="52">
        <f t="shared" si="0"/>
        <v>40</v>
      </c>
      <c r="I5" s="52">
        <f t="shared" si="1"/>
        <v>10</v>
      </c>
      <c r="J5" s="49"/>
      <c r="K5" s="53">
        <v>43618</v>
      </c>
      <c r="L5" s="54" t="s">
        <v>2787</v>
      </c>
      <c r="M5" s="55">
        <v>43612</v>
      </c>
      <c r="N5" s="56" t="s">
        <v>2788</v>
      </c>
      <c r="O5" s="55">
        <v>43618</v>
      </c>
      <c r="P5" s="54" t="s">
        <v>2789</v>
      </c>
      <c r="Q5" s="49" t="s">
        <v>82</v>
      </c>
      <c r="R5" s="57" t="s">
        <v>2790</v>
      </c>
      <c r="S5" s="47"/>
    </row>
    <row r="6" spans="2:19" s="33" customFormat="1" ht="33" hidden="1" customHeight="1">
      <c r="B6" s="47" t="s">
        <v>78</v>
      </c>
      <c r="C6" s="48" t="s">
        <v>2791</v>
      </c>
      <c r="D6" s="49" t="s">
        <v>455</v>
      </c>
      <c r="E6" s="50">
        <v>43523</v>
      </c>
      <c r="F6" s="49" t="s">
        <v>2778</v>
      </c>
      <c r="G6" s="51">
        <v>10000</v>
      </c>
      <c r="H6" s="52">
        <f t="shared" si="0"/>
        <v>40</v>
      </c>
      <c r="I6" s="52">
        <f t="shared" si="1"/>
        <v>10</v>
      </c>
      <c r="J6" s="49"/>
      <c r="K6" s="53">
        <v>43618</v>
      </c>
      <c r="L6" s="54" t="s">
        <v>638</v>
      </c>
      <c r="M6" s="55">
        <v>43612</v>
      </c>
      <c r="N6" s="56" t="s">
        <v>636</v>
      </c>
      <c r="O6" s="55">
        <v>43618</v>
      </c>
      <c r="P6" s="54" t="s">
        <v>2792</v>
      </c>
      <c r="Q6" s="49" t="s">
        <v>82</v>
      </c>
      <c r="R6" s="57" t="s">
        <v>2793</v>
      </c>
      <c r="S6" s="47"/>
    </row>
    <row r="7" spans="2:19" s="33" customFormat="1" ht="33" hidden="1" customHeight="1">
      <c r="B7" s="47" t="s">
        <v>78</v>
      </c>
      <c r="C7" s="48" t="s">
        <v>2794</v>
      </c>
      <c r="D7" s="49" t="s">
        <v>1337</v>
      </c>
      <c r="E7" s="50">
        <v>43483</v>
      </c>
      <c r="F7" s="49" t="s">
        <v>2795</v>
      </c>
      <c r="G7" s="51">
        <v>20000</v>
      </c>
      <c r="H7" s="52">
        <f t="shared" si="0"/>
        <v>80</v>
      </c>
      <c r="I7" s="52">
        <f t="shared" si="1"/>
        <v>20</v>
      </c>
      <c r="J7" s="49"/>
      <c r="K7" s="53">
        <v>43618</v>
      </c>
      <c r="L7" s="54" t="s">
        <v>2796</v>
      </c>
      <c r="M7" s="55">
        <v>43612</v>
      </c>
      <c r="N7" s="56" t="s">
        <v>2797</v>
      </c>
      <c r="O7" s="55">
        <v>43618</v>
      </c>
      <c r="P7" s="54" t="s">
        <v>2798</v>
      </c>
      <c r="Q7" s="49" t="s">
        <v>82</v>
      </c>
      <c r="R7" s="57" t="s">
        <v>2799</v>
      </c>
      <c r="S7" s="47" t="s">
        <v>479</v>
      </c>
    </row>
    <row r="8" spans="2:19" s="33" customFormat="1" ht="33" hidden="1" customHeight="1">
      <c r="B8" s="47" t="s">
        <v>78</v>
      </c>
      <c r="C8" s="48" t="s">
        <v>423</v>
      </c>
      <c r="D8" s="49" t="s">
        <v>457</v>
      </c>
      <c r="E8" s="50">
        <v>43483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43576</v>
      </c>
      <c r="L8" s="54" t="s">
        <v>2800</v>
      </c>
      <c r="M8" s="55">
        <v>43570</v>
      </c>
      <c r="N8" s="56" t="s">
        <v>2801</v>
      </c>
      <c r="O8" s="55">
        <v>43576</v>
      </c>
      <c r="P8" s="54" t="s">
        <v>2802</v>
      </c>
      <c r="Q8" s="49" t="s">
        <v>82</v>
      </c>
      <c r="R8" s="57" t="s">
        <v>2803</v>
      </c>
      <c r="S8" s="47"/>
    </row>
    <row r="9" spans="2:19" s="33" customFormat="1" ht="33" hidden="1" customHeight="1">
      <c r="B9" s="47" t="s">
        <v>220</v>
      </c>
      <c r="C9" s="48" t="s">
        <v>425</v>
      </c>
      <c r="D9" s="49" t="s">
        <v>459</v>
      </c>
      <c r="E9" s="50">
        <v>43483</v>
      </c>
      <c r="F9" s="49" t="s">
        <v>79</v>
      </c>
      <c r="G9" s="51">
        <v>20000</v>
      </c>
      <c r="H9" s="52">
        <f t="shared" si="0"/>
        <v>80</v>
      </c>
      <c r="I9" s="52">
        <f t="shared" si="1"/>
        <v>20</v>
      </c>
      <c r="J9" s="49"/>
      <c r="K9" s="53">
        <v>43583</v>
      </c>
      <c r="L9" s="54" t="s">
        <v>2804</v>
      </c>
      <c r="M9" s="55">
        <v>43577</v>
      </c>
      <c r="N9" s="56" t="s">
        <v>2805</v>
      </c>
      <c r="O9" s="55">
        <v>43583</v>
      </c>
      <c r="P9" s="54" t="s">
        <v>2806</v>
      </c>
      <c r="Q9" s="49"/>
      <c r="R9" s="57" t="s">
        <v>2807</v>
      </c>
      <c r="S9" s="47"/>
    </row>
    <row r="10" spans="2:19" s="33" customFormat="1" ht="33" hidden="1" customHeight="1">
      <c r="B10" s="47" t="s">
        <v>78</v>
      </c>
      <c r="C10" s="48" t="s">
        <v>462</v>
      </c>
      <c r="D10" s="49" t="s">
        <v>483</v>
      </c>
      <c r="E10" s="50">
        <v>43490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43583</v>
      </c>
      <c r="L10" s="54" t="s">
        <v>2804</v>
      </c>
      <c r="M10" s="55">
        <v>43577</v>
      </c>
      <c r="N10" s="56" t="s">
        <v>2805</v>
      </c>
      <c r="O10" s="55">
        <v>43583</v>
      </c>
      <c r="P10" s="54" t="s">
        <v>2808</v>
      </c>
      <c r="Q10" s="49" t="s">
        <v>82</v>
      </c>
      <c r="R10" s="57" t="s">
        <v>2809</v>
      </c>
      <c r="S10" s="47"/>
    </row>
    <row r="11" spans="2:19" s="33" customFormat="1" ht="33" hidden="1" customHeight="1">
      <c r="B11" s="47" t="s">
        <v>78</v>
      </c>
      <c r="C11" s="48" t="s">
        <v>570</v>
      </c>
      <c r="D11" s="49" t="s">
        <v>571</v>
      </c>
      <c r="E11" s="50">
        <v>43519</v>
      </c>
      <c r="F11" s="49" t="s">
        <v>79</v>
      </c>
      <c r="G11" s="51">
        <v>20000</v>
      </c>
      <c r="H11" s="52">
        <f t="shared" si="0"/>
        <v>80</v>
      </c>
      <c r="I11" s="52">
        <f t="shared" si="1"/>
        <v>20</v>
      </c>
      <c r="J11" s="49"/>
      <c r="K11" s="53">
        <v>43590</v>
      </c>
      <c r="L11" s="54" t="s">
        <v>602</v>
      </c>
      <c r="M11" s="55">
        <v>43577</v>
      </c>
      <c r="N11" s="56" t="s">
        <v>2805</v>
      </c>
      <c r="O11" s="55">
        <v>43583</v>
      </c>
      <c r="P11" s="54" t="s">
        <v>2810</v>
      </c>
      <c r="Q11" s="49" t="s">
        <v>82</v>
      </c>
      <c r="R11" s="57" t="s">
        <v>2811</v>
      </c>
      <c r="S11" s="47"/>
    </row>
    <row r="12" spans="2:19" s="33" customFormat="1" ht="33" hidden="1" customHeight="1">
      <c r="B12" s="47" t="s">
        <v>78</v>
      </c>
      <c r="C12" s="48" t="s">
        <v>573</v>
      </c>
      <c r="D12" s="49" t="s">
        <v>574</v>
      </c>
      <c r="E12" s="50">
        <v>43519</v>
      </c>
      <c r="F12" s="49" t="s">
        <v>79</v>
      </c>
      <c r="G12" s="51">
        <v>20000</v>
      </c>
      <c r="H12" s="52">
        <f t="shared" si="0"/>
        <v>80</v>
      </c>
      <c r="I12" s="52">
        <f t="shared" si="1"/>
        <v>20</v>
      </c>
      <c r="J12" s="49"/>
      <c r="K12" s="53">
        <v>43604</v>
      </c>
      <c r="L12" s="54" t="s">
        <v>2812</v>
      </c>
      <c r="M12" s="55">
        <v>43598</v>
      </c>
      <c r="N12" s="56" t="s">
        <v>2813</v>
      </c>
      <c r="O12" s="55">
        <v>43604</v>
      </c>
      <c r="P12" s="54" t="s">
        <v>2814</v>
      </c>
      <c r="Q12" s="49" t="s">
        <v>82</v>
      </c>
      <c r="R12" s="57" t="s">
        <v>2815</v>
      </c>
      <c r="S12" s="47"/>
    </row>
    <row r="13" spans="2:19" s="33" customFormat="1" ht="33" hidden="1" customHeight="1">
      <c r="B13" s="47" t="s">
        <v>78</v>
      </c>
      <c r="C13" s="48" t="s">
        <v>2816</v>
      </c>
      <c r="D13" s="49" t="s">
        <v>577</v>
      </c>
      <c r="E13" s="50">
        <v>43519</v>
      </c>
      <c r="F13" s="49" t="s">
        <v>2817</v>
      </c>
      <c r="G13" s="51">
        <v>10000</v>
      </c>
      <c r="H13" s="52">
        <f t="shared" si="0"/>
        <v>40</v>
      </c>
      <c r="I13" s="52">
        <f t="shared" si="1"/>
        <v>10</v>
      </c>
      <c r="J13" s="49"/>
      <c r="K13" s="53">
        <v>43598</v>
      </c>
      <c r="L13" s="54" t="s">
        <v>803</v>
      </c>
      <c r="M13" s="55">
        <v>43598</v>
      </c>
      <c r="N13" s="56" t="s">
        <v>804</v>
      </c>
      <c r="O13" s="55">
        <v>43604</v>
      </c>
      <c r="P13" s="54" t="s">
        <v>2818</v>
      </c>
      <c r="Q13" s="49" t="s">
        <v>82</v>
      </c>
      <c r="R13" s="57" t="s">
        <v>2819</v>
      </c>
      <c r="S13" s="47"/>
    </row>
    <row r="14" spans="2:19" s="33" customFormat="1" ht="33" hidden="1" customHeight="1">
      <c r="B14" s="47" t="s">
        <v>220</v>
      </c>
      <c r="C14" s="48" t="s">
        <v>579</v>
      </c>
      <c r="D14" s="49" t="s">
        <v>580</v>
      </c>
      <c r="E14" s="50">
        <v>43519</v>
      </c>
      <c r="F14" s="49" t="s">
        <v>79</v>
      </c>
      <c r="G14" s="51">
        <v>10000</v>
      </c>
      <c r="H14" s="52">
        <f t="shared" si="0"/>
        <v>40</v>
      </c>
      <c r="I14" s="52">
        <f t="shared" si="1"/>
        <v>10</v>
      </c>
      <c r="J14" s="49"/>
      <c r="K14" s="53">
        <v>43598</v>
      </c>
      <c r="L14" s="54" t="s">
        <v>803</v>
      </c>
      <c r="M14" s="55">
        <v>43598</v>
      </c>
      <c r="N14" s="56" t="s">
        <v>804</v>
      </c>
      <c r="O14" s="55">
        <v>43604</v>
      </c>
      <c r="P14" s="54" t="s">
        <v>2820</v>
      </c>
      <c r="Q14" s="49"/>
      <c r="R14" s="57" t="s">
        <v>2821</v>
      </c>
      <c r="S14" s="47"/>
    </row>
    <row r="15" spans="2:19" s="33" customFormat="1" ht="33" hidden="1" customHeight="1">
      <c r="B15" s="47" t="s">
        <v>78</v>
      </c>
      <c r="C15" s="48" t="s">
        <v>576</v>
      </c>
      <c r="D15" s="49" t="s">
        <v>577</v>
      </c>
      <c r="E15" s="50">
        <v>43519</v>
      </c>
      <c r="F15" s="49" t="s">
        <v>79</v>
      </c>
      <c r="G15" s="51">
        <v>20000</v>
      </c>
      <c r="H15" s="52">
        <f t="shared" si="0"/>
        <v>80</v>
      </c>
      <c r="I15" s="52">
        <f t="shared" si="1"/>
        <v>20</v>
      </c>
      <c r="J15" s="49"/>
      <c r="K15" s="53">
        <v>43611</v>
      </c>
      <c r="L15" s="54" t="s">
        <v>2822</v>
      </c>
      <c r="M15" s="55">
        <v>43605</v>
      </c>
      <c r="N15" s="56" t="s">
        <v>2823</v>
      </c>
      <c r="O15" s="55">
        <v>43611</v>
      </c>
      <c r="P15" s="54" t="s">
        <v>2824</v>
      </c>
      <c r="Q15" s="49" t="s">
        <v>82</v>
      </c>
      <c r="R15" s="57" t="s">
        <v>2825</v>
      </c>
      <c r="S15" s="47"/>
    </row>
    <row r="16" spans="2:19" s="30" customFormat="1" ht="33" hidden="1" customHeight="1">
      <c r="B16" s="46" t="s">
        <v>78</v>
      </c>
      <c r="C16" s="35" t="s">
        <v>685</v>
      </c>
      <c r="D16" s="36" t="s">
        <v>686</v>
      </c>
      <c r="E16" s="37">
        <v>43532</v>
      </c>
      <c r="F16" s="36" t="s">
        <v>79</v>
      </c>
      <c r="G16" s="39">
        <v>20000</v>
      </c>
      <c r="H16" s="38">
        <f t="shared" si="0"/>
        <v>80</v>
      </c>
      <c r="I16" s="38">
        <f t="shared" si="1"/>
        <v>20</v>
      </c>
      <c r="J16" s="36"/>
      <c r="K16" s="40">
        <v>43625</v>
      </c>
      <c r="L16" s="41" t="s">
        <v>2826</v>
      </c>
      <c r="M16" s="42">
        <v>43619</v>
      </c>
      <c r="N16" s="43" t="s">
        <v>2827</v>
      </c>
      <c r="O16" s="42">
        <v>43625</v>
      </c>
      <c r="P16" s="41"/>
      <c r="Q16" s="36" t="s">
        <v>82</v>
      </c>
      <c r="R16" s="44" t="s">
        <v>2828</v>
      </c>
      <c r="S16" s="46"/>
    </row>
    <row r="17" spans="2:19" s="30" customFormat="1" ht="33" hidden="1" customHeight="1">
      <c r="B17" s="46" t="s">
        <v>78</v>
      </c>
      <c r="C17" s="35" t="s">
        <v>2829</v>
      </c>
      <c r="D17" s="36" t="s">
        <v>1366</v>
      </c>
      <c r="E17" s="37">
        <v>43532</v>
      </c>
      <c r="F17" s="36" t="s">
        <v>79</v>
      </c>
      <c r="G17" s="39">
        <v>20000</v>
      </c>
      <c r="H17" s="38">
        <f t="shared" si="0"/>
        <v>80</v>
      </c>
      <c r="I17" s="38">
        <f t="shared" si="1"/>
        <v>20</v>
      </c>
      <c r="J17" s="36"/>
      <c r="K17" s="40">
        <v>43625</v>
      </c>
      <c r="L17" s="41" t="s">
        <v>2826</v>
      </c>
      <c r="M17" s="42">
        <v>43619</v>
      </c>
      <c r="N17" s="43" t="s">
        <v>2827</v>
      </c>
      <c r="O17" s="42">
        <v>43625</v>
      </c>
      <c r="P17" s="41"/>
      <c r="Q17" s="36" t="s">
        <v>82</v>
      </c>
      <c r="R17" s="44" t="s">
        <v>2828</v>
      </c>
      <c r="S17" s="46" t="s">
        <v>479</v>
      </c>
    </row>
    <row r="18" spans="2:19" s="30" customFormat="1" ht="33" hidden="1" customHeight="1">
      <c r="B18" s="46" t="s">
        <v>220</v>
      </c>
      <c r="C18" s="35" t="s">
        <v>688</v>
      </c>
      <c r="D18" s="36" t="s">
        <v>689</v>
      </c>
      <c r="E18" s="37">
        <v>43532</v>
      </c>
      <c r="F18" s="36" t="s">
        <v>79</v>
      </c>
      <c r="G18" s="39">
        <v>20000</v>
      </c>
      <c r="H18" s="38">
        <f t="shared" si="0"/>
        <v>80</v>
      </c>
      <c r="I18" s="38">
        <f t="shared" si="1"/>
        <v>20</v>
      </c>
      <c r="J18" s="36"/>
      <c r="K18" s="40">
        <v>43632</v>
      </c>
      <c r="L18" s="41" t="s">
        <v>2830</v>
      </c>
      <c r="M18" s="42">
        <v>43626</v>
      </c>
      <c r="N18" s="43" t="s">
        <v>2831</v>
      </c>
      <c r="O18" s="42">
        <v>43632</v>
      </c>
      <c r="P18" s="41" t="s">
        <v>2832</v>
      </c>
      <c r="Q18" s="36"/>
      <c r="R18" s="44" t="s">
        <v>2833</v>
      </c>
      <c r="S18" s="46"/>
    </row>
    <row r="19" spans="2:19" s="30" customFormat="1" ht="33" hidden="1" customHeight="1">
      <c r="B19" s="46" t="s">
        <v>78</v>
      </c>
      <c r="C19" s="35" t="s">
        <v>691</v>
      </c>
      <c r="D19" s="36" t="s">
        <v>692</v>
      </c>
      <c r="E19" s="37">
        <v>43532</v>
      </c>
      <c r="F19" s="36" t="s">
        <v>79</v>
      </c>
      <c r="G19" s="39">
        <v>20000</v>
      </c>
      <c r="H19" s="38">
        <f t="shared" si="0"/>
        <v>80</v>
      </c>
      <c r="I19" s="38">
        <f t="shared" si="1"/>
        <v>20</v>
      </c>
      <c r="J19" s="36"/>
      <c r="K19" s="40">
        <v>43639</v>
      </c>
      <c r="L19" s="41" t="s">
        <v>2834</v>
      </c>
      <c r="M19" s="42">
        <v>43633</v>
      </c>
      <c r="N19" s="43" t="s">
        <v>2835</v>
      </c>
      <c r="O19" s="42">
        <v>43639</v>
      </c>
      <c r="P19" s="41"/>
      <c r="Q19" s="36" t="s">
        <v>82</v>
      </c>
      <c r="R19" s="44" t="s">
        <v>2836</v>
      </c>
      <c r="S19" s="46"/>
    </row>
    <row r="20" spans="2:19" s="33" customFormat="1" ht="33" hidden="1" customHeight="1">
      <c r="B20" s="47" t="s">
        <v>78</v>
      </c>
      <c r="C20" s="48" t="s">
        <v>2837</v>
      </c>
      <c r="D20" s="49" t="s">
        <v>2838</v>
      </c>
      <c r="E20" s="50">
        <v>43566</v>
      </c>
      <c r="F20" s="49" t="s">
        <v>79</v>
      </c>
      <c r="G20" s="51">
        <v>6000</v>
      </c>
      <c r="H20" s="52">
        <f t="shared" si="0"/>
        <v>24</v>
      </c>
      <c r="I20" s="52">
        <f t="shared" si="1"/>
        <v>6</v>
      </c>
      <c r="J20" s="49"/>
      <c r="K20" s="53">
        <v>43611</v>
      </c>
      <c r="L20" s="54" t="s">
        <v>603</v>
      </c>
      <c r="M20" s="55">
        <v>43605</v>
      </c>
      <c r="N20" s="56" t="s">
        <v>1080</v>
      </c>
      <c r="O20" s="55">
        <v>43611</v>
      </c>
      <c r="P20" s="54" t="s">
        <v>2839</v>
      </c>
      <c r="Q20" s="49" t="s">
        <v>82</v>
      </c>
      <c r="R20" s="57" t="s">
        <v>2840</v>
      </c>
      <c r="S20" s="47"/>
    </row>
    <row r="21" spans="2:19" s="33" customFormat="1" ht="33" hidden="1" customHeight="1">
      <c r="B21" s="47" t="s">
        <v>2841</v>
      </c>
      <c r="C21" s="48" t="s">
        <v>986</v>
      </c>
      <c r="D21" s="49" t="s">
        <v>2842</v>
      </c>
      <c r="E21" s="50">
        <v>43566</v>
      </c>
      <c r="F21" s="49" t="s">
        <v>79</v>
      </c>
      <c r="G21" s="51">
        <v>14000</v>
      </c>
      <c r="H21" s="52">
        <f t="shared" si="0"/>
        <v>56</v>
      </c>
      <c r="I21" s="52">
        <f t="shared" si="1"/>
        <v>14</v>
      </c>
      <c r="J21" s="49"/>
      <c r="K21" s="53">
        <v>43611</v>
      </c>
      <c r="L21" s="54" t="s">
        <v>603</v>
      </c>
      <c r="M21" s="55">
        <v>43605</v>
      </c>
      <c r="N21" s="56" t="s">
        <v>1080</v>
      </c>
      <c r="O21" s="55">
        <v>43611</v>
      </c>
      <c r="P21" s="54" t="s">
        <v>2843</v>
      </c>
      <c r="Q21" s="49"/>
      <c r="R21" s="57" t="s">
        <v>2840</v>
      </c>
      <c r="S21" s="47"/>
    </row>
    <row r="22" spans="2:19" s="30" customFormat="1" ht="33" hidden="1" customHeight="1">
      <c r="B22" s="46" t="s">
        <v>78</v>
      </c>
      <c r="C22" s="35" t="s">
        <v>988</v>
      </c>
      <c r="D22" s="36" t="s">
        <v>2844</v>
      </c>
      <c r="E22" s="37">
        <v>43566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43632</v>
      </c>
      <c r="L22" s="41" t="s">
        <v>1081</v>
      </c>
      <c r="M22" s="42">
        <v>43626</v>
      </c>
      <c r="N22" s="43" t="s">
        <v>1082</v>
      </c>
      <c r="O22" s="42">
        <v>43632</v>
      </c>
      <c r="P22" s="41"/>
      <c r="Q22" s="36" t="s">
        <v>82</v>
      </c>
      <c r="R22" s="44" t="s">
        <v>2845</v>
      </c>
      <c r="S22" s="46"/>
    </row>
    <row r="23" spans="2:19" s="30" customFormat="1" ht="33" hidden="1" customHeight="1">
      <c r="B23" s="46" t="s">
        <v>78</v>
      </c>
      <c r="C23" s="35" t="s">
        <v>1160</v>
      </c>
      <c r="D23" s="36" t="s">
        <v>1161</v>
      </c>
      <c r="E23" s="37">
        <v>43567</v>
      </c>
      <c r="F23" s="36" t="s">
        <v>2846</v>
      </c>
      <c r="G23" s="39">
        <v>40000</v>
      </c>
      <c r="H23" s="38">
        <f t="shared" si="0"/>
        <v>160</v>
      </c>
      <c r="I23" s="38">
        <f t="shared" si="1"/>
        <v>40</v>
      </c>
      <c r="J23" s="36"/>
      <c r="K23" s="40">
        <v>43646</v>
      </c>
      <c r="L23" s="41" t="s">
        <v>2847</v>
      </c>
      <c r="M23" s="42">
        <v>43640</v>
      </c>
      <c r="N23" s="43" t="s">
        <v>2848</v>
      </c>
      <c r="O23" s="42">
        <v>43646</v>
      </c>
      <c r="P23" s="41"/>
      <c r="Q23" s="36" t="s">
        <v>82</v>
      </c>
      <c r="R23" s="44" t="s">
        <v>2849</v>
      </c>
      <c r="S23" s="46" t="s">
        <v>2140</v>
      </c>
    </row>
    <row r="24" spans="2:19" s="30" customFormat="1" ht="33" hidden="1" customHeight="1">
      <c r="B24" s="46" t="s">
        <v>220</v>
      </c>
      <c r="C24" s="35" t="s">
        <v>1163</v>
      </c>
      <c r="D24" s="36" t="s">
        <v>1164</v>
      </c>
      <c r="E24" s="37">
        <v>43567</v>
      </c>
      <c r="F24" s="36" t="s">
        <v>79</v>
      </c>
      <c r="G24" s="39">
        <v>20000</v>
      </c>
      <c r="H24" s="38">
        <f t="shared" si="0"/>
        <v>80</v>
      </c>
      <c r="I24" s="38">
        <f t="shared" si="1"/>
        <v>20</v>
      </c>
      <c r="J24" s="36"/>
      <c r="K24" s="40">
        <v>43646</v>
      </c>
      <c r="L24" s="41" t="s">
        <v>2847</v>
      </c>
      <c r="M24" s="42">
        <v>43640</v>
      </c>
      <c r="N24" s="43" t="s">
        <v>2848</v>
      </c>
      <c r="O24" s="42">
        <v>43646</v>
      </c>
      <c r="P24" s="41"/>
      <c r="Q24" s="36"/>
      <c r="R24" s="44" t="s">
        <v>2850</v>
      </c>
      <c r="S24" s="46" t="s">
        <v>2140</v>
      </c>
    </row>
    <row r="25" spans="2:19" s="30" customFormat="1" ht="33" hidden="1" customHeight="1">
      <c r="B25" s="46" t="s">
        <v>78</v>
      </c>
      <c r="C25" s="35" t="s">
        <v>1166</v>
      </c>
      <c r="D25" s="36" t="s">
        <v>1167</v>
      </c>
      <c r="E25" s="37">
        <v>43567</v>
      </c>
      <c r="F25" s="36" t="s">
        <v>79</v>
      </c>
      <c r="G25" s="39">
        <v>20000</v>
      </c>
      <c r="H25" s="38">
        <f t="shared" si="0"/>
        <v>80</v>
      </c>
      <c r="I25" s="38">
        <f t="shared" si="1"/>
        <v>20</v>
      </c>
      <c r="J25" s="36"/>
      <c r="K25" s="40">
        <v>43653</v>
      </c>
      <c r="L25" s="41" t="s">
        <v>2851</v>
      </c>
      <c r="M25" s="42">
        <v>43647</v>
      </c>
      <c r="N25" s="43" t="s">
        <v>2852</v>
      </c>
      <c r="O25" s="42">
        <v>43653</v>
      </c>
      <c r="P25" s="41"/>
      <c r="Q25" s="36" t="s">
        <v>82</v>
      </c>
      <c r="R25" s="44" t="s">
        <v>2853</v>
      </c>
      <c r="S25" s="46" t="s">
        <v>2140</v>
      </c>
    </row>
    <row r="26" spans="2:19" s="30" customFormat="1" ht="33" hidden="1" customHeight="1">
      <c r="B26" s="46" t="s">
        <v>78</v>
      </c>
      <c r="C26" s="35" t="s">
        <v>1169</v>
      </c>
      <c r="D26" s="36" t="s">
        <v>1170</v>
      </c>
      <c r="E26" s="37">
        <v>43567</v>
      </c>
      <c r="F26" s="36" t="s">
        <v>79</v>
      </c>
      <c r="G26" s="39">
        <v>20000</v>
      </c>
      <c r="H26" s="38">
        <f t="shared" si="0"/>
        <v>80</v>
      </c>
      <c r="I26" s="38">
        <f t="shared" si="1"/>
        <v>20</v>
      </c>
      <c r="J26" s="36"/>
      <c r="K26" s="40">
        <v>43660</v>
      </c>
      <c r="L26" s="41" t="s">
        <v>2854</v>
      </c>
      <c r="M26" s="42">
        <v>43654</v>
      </c>
      <c r="N26" s="43" t="s">
        <v>2855</v>
      </c>
      <c r="O26" s="42">
        <v>43660</v>
      </c>
      <c r="P26" s="41"/>
      <c r="Q26" s="36" t="s">
        <v>82</v>
      </c>
      <c r="R26" s="125" t="s">
        <v>2856</v>
      </c>
      <c r="S26" s="122" t="s">
        <v>2140</v>
      </c>
    </row>
    <row r="27" spans="2:19" s="30" customFormat="1" ht="33" hidden="1" customHeight="1">
      <c r="B27" s="46" t="s">
        <v>78</v>
      </c>
      <c r="C27" s="35" t="s">
        <v>1172</v>
      </c>
      <c r="D27" s="36" t="s">
        <v>1173</v>
      </c>
      <c r="E27" s="37">
        <v>43567</v>
      </c>
      <c r="F27" s="36" t="s">
        <v>79</v>
      </c>
      <c r="G27" s="39">
        <v>20000</v>
      </c>
      <c r="H27" s="38">
        <f t="shared" si="0"/>
        <v>80</v>
      </c>
      <c r="I27" s="38">
        <f t="shared" si="1"/>
        <v>20</v>
      </c>
      <c r="J27" s="36"/>
      <c r="K27" s="40">
        <v>43667</v>
      </c>
      <c r="L27" s="41" t="s">
        <v>2857</v>
      </c>
      <c r="M27" s="42">
        <v>43658</v>
      </c>
      <c r="N27" s="43" t="s">
        <v>2858</v>
      </c>
      <c r="O27" s="42">
        <v>43667</v>
      </c>
      <c r="P27" s="41"/>
      <c r="Q27" s="36" t="s">
        <v>82</v>
      </c>
      <c r="R27" s="125" t="s">
        <v>2859</v>
      </c>
      <c r="S27" s="122" t="s">
        <v>2140</v>
      </c>
    </row>
    <row r="28" spans="2:19" s="30" customFormat="1" ht="33" hidden="1" customHeight="1">
      <c r="B28" s="46" t="s">
        <v>220</v>
      </c>
      <c r="C28" s="35" t="s">
        <v>1175</v>
      </c>
      <c r="D28" s="36" t="s">
        <v>1176</v>
      </c>
      <c r="E28" s="37">
        <v>43567</v>
      </c>
      <c r="F28" s="36" t="s">
        <v>79</v>
      </c>
      <c r="G28" s="39">
        <v>20000</v>
      </c>
      <c r="H28" s="38">
        <f t="shared" si="0"/>
        <v>80</v>
      </c>
      <c r="I28" s="38">
        <f t="shared" si="1"/>
        <v>20</v>
      </c>
      <c r="J28" s="36"/>
      <c r="K28" s="40">
        <v>43667</v>
      </c>
      <c r="L28" s="41" t="s">
        <v>1319</v>
      </c>
      <c r="M28" s="42">
        <v>43658</v>
      </c>
      <c r="N28" s="43" t="s">
        <v>2858</v>
      </c>
      <c r="O28" s="42">
        <v>43667</v>
      </c>
      <c r="P28" s="41"/>
      <c r="Q28" s="36"/>
      <c r="R28" s="44" t="s">
        <v>2860</v>
      </c>
      <c r="S28" s="46"/>
    </row>
    <row r="29" spans="2:19" s="30" customFormat="1" ht="33" hidden="1" customHeight="1">
      <c r="B29" s="46" t="s">
        <v>78</v>
      </c>
      <c r="C29" s="35" t="s">
        <v>1178</v>
      </c>
      <c r="D29" s="36" t="s">
        <v>1179</v>
      </c>
      <c r="E29" s="37">
        <v>43567</v>
      </c>
      <c r="F29" s="36" t="s">
        <v>2795</v>
      </c>
      <c r="G29" s="39">
        <v>10000</v>
      </c>
      <c r="H29" s="38">
        <f t="shared" si="0"/>
        <v>40</v>
      </c>
      <c r="I29" s="38">
        <f t="shared" si="1"/>
        <v>10</v>
      </c>
      <c r="J29" s="36"/>
      <c r="K29" s="40">
        <v>43674</v>
      </c>
      <c r="L29" s="41" t="s">
        <v>2861</v>
      </c>
      <c r="M29" s="42">
        <v>43668</v>
      </c>
      <c r="N29" s="43" t="s">
        <v>2862</v>
      </c>
      <c r="O29" s="42">
        <v>43674</v>
      </c>
      <c r="P29" s="41"/>
      <c r="Q29" s="36" t="s">
        <v>82</v>
      </c>
      <c r="R29" s="44" t="s">
        <v>2863</v>
      </c>
      <c r="S29" s="46"/>
    </row>
    <row r="30" spans="2:19" s="30" customFormat="1" ht="33" hidden="1" customHeight="1">
      <c r="B30" s="46" t="s">
        <v>220</v>
      </c>
      <c r="C30" s="35" t="s">
        <v>1181</v>
      </c>
      <c r="D30" s="36" t="s">
        <v>1182</v>
      </c>
      <c r="E30" s="37">
        <v>43567</v>
      </c>
      <c r="F30" s="36" t="s">
        <v>2795</v>
      </c>
      <c r="G30" s="39">
        <v>10000</v>
      </c>
      <c r="H30" s="38">
        <f t="shared" si="0"/>
        <v>40</v>
      </c>
      <c r="I30" s="38">
        <f t="shared" si="1"/>
        <v>10</v>
      </c>
      <c r="J30" s="36"/>
      <c r="K30" s="40">
        <v>43674</v>
      </c>
      <c r="L30" s="41" t="s">
        <v>1321</v>
      </c>
      <c r="M30" s="42">
        <v>43668</v>
      </c>
      <c r="N30" s="43" t="s">
        <v>2862</v>
      </c>
      <c r="O30" s="42">
        <v>43674</v>
      </c>
      <c r="P30" s="41"/>
      <c r="Q30" s="36"/>
      <c r="R30" s="44" t="s">
        <v>2864</v>
      </c>
      <c r="S30" s="46"/>
    </row>
    <row r="31" spans="2:19" s="30" customFormat="1" ht="33" hidden="1" customHeight="1">
      <c r="B31" s="46" t="s">
        <v>78</v>
      </c>
      <c r="C31" s="35" t="s">
        <v>2273</v>
      </c>
      <c r="D31" s="36" t="s">
        <v>2274</v>
      </c>
      <c r="E31" s="37">
        <v>43602</v>
      </c>
      <c r="F31" s="36" t="s">
        <v>79</v>
      </c>
      <c r="G31" s="39">
        <v>20000</v>
      </c>
      <c r="H31" s="38">
        <f t="shared" si="0"/>
        <v>80</v>
      </c>
      <c r="I31" s="38">
        <f t="shared" si="1"/>
        <v>20</v>
      </c>
      <c r="J31" s="36"/>
      <c r="K31" s="40">
        <v>43688</v>
      </c>
      <c r="L31" s="41" t="s">
        <v>2865</v>
      </c>
      <c r="M31" s="42">
        <v>43682</v>
      </c>
      <c r="N31" s="43" t="s">
        <v>2866</v>
      </c>
      <c r="O31" s="42">
        <v>43688</v>
      </c>
      <c r="P31" s="41"/>
      <c r="Q31" s="36" t="s">
        <v>82</v>
      </c>
      <c r="R31" s="44" t="s">
        <v>2867</v>
      </c>
      <c r="S31" s="46"/>
    </row>
    <row r="32" spans="2:19" s="30" customFormat="1" ht="33" hidden="1" customHeight="1">
      <c r="B32" s="46" t="s">
        <v>78</v>
      </c>
      <c r="C32" s="35" t="s">
        <v>2276</v>
      </c>
      <c r="D32" s="36" t="s">
        <v>2277</v>
      </c>
      <c r="E32" s="37">
        <v>43602</v>
      </c>
      <c r="F32" s="36" t="s">
        <v>79</v>
      </c>
      <c r="G32" s="39">
        <v>20000</v>
      </c>
      <c r="H32" s="38">
        <f t="shared" si="0"/>
        <v>80</v>
      </c>
      <c r="I32" s="38">
        <f t="shared" si="1"/>
        <v>20</v>
      </c>
      <c r="J32" s="36"/>
      <c r="K32" s="40">
        <v>43695</v>
      </c>
      <c r="L32" s="41" t="s">
        <v>2865</v>
      </c>
      <c r="M32" s="42">
        <v>43682</v>
      </c>
      <c r="N32" s="43" t="s">
        <v>2866</v>
      </c>
      <c r="O32" s="42">
        <v>43688</v>
      </c>
      <c r="P32" s="41"/>
      <c r="Q32" s="36" t="s">
        <v>82</v>
      </c>
      <c r="R32" s="44" t="s">
        <v>2868</v>
      </c>
      <c r="S32" s="46"/>
    </row>
    <row r="33" spans="2:19" s="30" customFormat="1" ht="33" hidden="1" customHeight="1">
      <c r="B33" s="46" t="s">
        <v>220</v>
      </c>
      <c r="C33" s="35" t="s">
        <v>2279</v>
      </c>
      <c r="D33" s="36" t="s">
        <v>2280</v>
      </c>
      <c r="E33" s="37">
        <v>43602</v>
      </c>
      <c r="F33" s="36" t="s">
        <v>79</v>
      </c>
      <c r="G33" s="39">
        <v>20000</v>
      </c>
      <c r="H33" s="38">
        <f t="shared" si="0"/>
        <v>80</v>
      </c>
      <c r="I33" s="38">
        <f t="shared" si="1"/>
        <v>20</v>
      </c>
      <c r="J33" s="36"/>
      <c r="K33" s="40">
        <v>43695</v>
      </c>
      <c r="L33" s="41" t="s">
        <v>2865</v>
      </c>
      <c r="M33" s="42">
        <v>43682</v>
      </c>
      <c r="N33" s="43" t="s">
        <v>2866</v>
      </c>
      <c r="O33" s="42">
        <v>43688</v>
      </c>
      <c r="P33" s="41"/>
      <c r="Q33" s="36"/>
      <c r="R33" s="44" t="s">
        <v>2869</v>
      </c>
      <c r="S33" s="46"/>
    </row>
    <row r="34" spans="2:19" s="30" customFormat="1" ht="33" hidden="1" customHeight="1">
      <c r="B34" s="46" t="s">
        <v>78</v>
      </c>
      <c r="C34" s="35" t="s">
        <v>2282</v>
      </c>
      <c r="D34" s="36" t="s">
        <v>2283</v>
      </c>
      <c r="E34" s="37">
        <v>43602</v>
      </c>
      <c r="F34" s="36" t="s">
        <v>79</v>
      </c>
      <c r="G34" s="39">
        <v>20000</v>
      </c>
      <c r="H34" s="38">
        <f t="shared" si="0"/>
        <v>80</v>
      </c>
      <c r="I34" s="38">
        <f t="shared" si="1"/>
        <v>20</v>
      </c>
      <c r="J34" s="36"/>
      <c r="K34" s="40">
        <v>43709</v>
      </c>
      <c r="L34" s="41" t="s">
        <v>2870</v>
      </c>
      <c r="M34" s="42">
        <v>43703</v>
      </c>
      <c r="N34" s="43" t="s">
        <v>2871</v>
      </c>
      <c r="O34" s="42">
        <v>43709</v>
      </c>
      <c r="P34" s="41"/>
      <c r="Q34" s="36" t="s">
        <v>82</v>
      </c>
      <c r="R34" s="44" t="s">
        <v>2872</v>
      </c>
      <c r="S34" s="46"/>
    </row>
    <row r="35" spans="2:19" s="96" customFormat="1" ht="33" hidden="1" customHeight="1">
      <c r="B35" s="47" t="s">
        <v>17</v>
      </c>
      <c r="C35" s="48" t="s">
        <v>427</v>
      </c>
      <c r="D35" s="49" t="s">
        <v>2873</v>
      </c>
      <c r="E35" s="50">
        <v>43483</v>
      </c>
      <c r="F35" s="52" t="s">
        <v>84</v>
      </c>
      <c r="G35" s="51">
        <v>9200</v>
      </c>
      <c r="H35" s="52">
        <f t="shared" ref="H35:H52" si="2">SUM(G35/230)</f>
        <v>40</v>
      </c>
      <c r="I35" s="52">
        <f t="shared" si="1"/>
        <v>10</v>
      </c>
      <c r="J35" s="49"/>
      <c r="K35" s="53">
        <v>43576</v>
      </c>
      <c r="L35" s="54" t="s">
        <v>2874</v>
      </c>
      <c r="M35" s="55">
        <v>43571</v>
      </c>
      <c r="N35" s="56" t="s">
        <v>2875</v>
      </c>
      <c r="O35" s="55">
        <v>43576</v>
      </c>
      <c r="P35" s="58"/>
      <c r="Q35" s="52" t="s">
        <v>82</v>
      </c>
      <c r="R35" s="57" t="s">
        <v>2876</v>
      </c>
      <c r="S35" s="47"/>
    </row>
    <row r="36" spans="2:19" s="67" customFormat="1" ht="33" hidden="1" customHeight="1">
      <c r="B36" s="46" t="s">
        <v>17</v>
      </c>
      <c r="C36" s="35" t="s">
        <v>581</v>
      </c>
      <c r="D36" s="36" t="s">
        <v>582</v>
      </c>
      <c r="E36" s="37">
        <v>43519</v>
      </c>
      <c r="F36" s="38" t="s">
        <v>84</v>
      </c>
      <c r="G36" s="39">
        <v>9200</v>
      </c>
      <c r="H36" s="38">
        <f t="shared" si="2"/>
        <v>40</v>
      </c>
      <c r="I36" s="38">
        <f t="shared" si="1"/>
        <v>10</v>
      </c>
      <c r="J36" s="36"/>
      <c r="K36" s="40">
        <v>43632</v>
      </c>
      <c r="L36" s="41" t="s">
        <v>2877</v>
      </c>
      <c r="M36" s="42">
        <v>43620</v>
      </c>
      <c r="N36" s="43" t="s">
        <v>2878</v>
      </c>
      <c r="O36" s="42">
        <v>43625</v>
      </c>
      <c r="P36" s="45"/>
      <c r="Q36" s="38" t="s">
        <v>82</v>
      </c>
      <c r="R36" s="44" t="s">
        <v>2879</v>
      </c>
      <c r="S36" s="46"/>
    </row>
    <row r="37" spans="2:19" s="67" customFormat="1" ht="33" hidden="1" customHeight="1">
      <c r="B37" s="46" t="s">
        <v>17</v>
      </c>
      <c r="C37" s="35" t="s">
        <v>694</v>
      </c>
      <c r="D37" s="36" t="s">
        <v>695</v>
      </c>
      <c r="E37" s="37">
        <v>43532</v>
      </c>
      <c r="F37" s="38" t="s">
        <v>2880</v>
      </c>
      <c r="G37" s="39">
        <v>9200</v>
      </c>
      <c r="H37" s="38">
        <f t="shared" si="2"/>
        <v>40</v>
      </c>
      <c r="I37" s="38">
        <f t="shared" si="1"/>
        <v>10</v>
      </c>
      <c r="J37" s="36"/>
      <c r="K37" s="40">
        <v>43653</v>
      </c>
      <c r="L37" s="41" t="s">
        <v>1326</v>
      </c>
      <c r="M37" s="42">
        <v>43648</v>
      </c>
      <c r="N37" s="43" t="s">
        <v>2540</v>
      </c>
      <c r="O37" s="42">
        <v>43653</v>
      </c>
      <c r="P37" s="45"/>
      <c r="Q37" s="38" t="s">
        <v>82</v>
      </c>
      <c r="R37" s="44" t="s">
        <v>2881</v>
      </c>
      <c r="S37" s="46"/>
    </row>
    <row r="38" spans="2:19" s="67" customFormat="1" ht="33" hidden="1" customHeight="1">
      <c r="B38" s="46" t="s">
        <v>17</v>
      </c>
      <c r="C38" s="35" t="s">
        <v>2299</v>
      </c>
      <c r="D38" s="36" t="s">
        <v>2641</v>
      </c>
      <c r="E38" s="37">
        <v>43609</v>
      </c>
      <c r="F38" s="38" t="s">
        <v>2880</v>
      </c>
      <c r="G38" s="39">
        <v>2760</v>
      </c>
      <c r="H38" s="38">
        <f t="shared" si="2"/>
        <v>12</v>
      </c>
      <c r="I38" s="38">
        <f t="shared" si="1"/>
        <v>3</v>
      </c>
      <c r="J38" s="36"/>
      <c r="K38" s="40">
        <v>43653</v>
      </c>
      <c r="L38" s="41" t="s">
        <v>1326</v>
      </c>
      <c r="M38" s="42">
        <v>43648</v>
      </c>
      <c r="N38" s="43" t="s">
        <v>2540</v>
      </c>
      <c r="O38" s="42">
        <v>43653</v>
      </c>
      <c r="P38" s="45"/>
      <c r="Q38" s="38" t="s">
        <v>82</v>
      </c>
      <c r="R38" s="44" t="s">
        <v>2881</v>
      </c>
      <c r="S38" s="46"/>
    </row>
    <row r="39" spans="2:19" s="67" customFormat="1" ht="33" hidden="1" customHeight="1">
      <c r="B39" s="46" t="s">
        <v>17</v>
      </c>
      <c r="C39" s="35" t="s">
        <v>2882</v>
      </c>
      <c r="D39" s="36" t="s">
        <v>2300</v>
      </c>
      <c r="E39" s="37">
        <v>43602</v>
      </c>
      <c r="F39" s="38" t="s">
        <v>2880</v>
      </c>
      <c r="G39" s="39">
        <v>9200</v>
      </c>
      <c r="H39" s="38">
        <f t="shared" si="2"/>
        <v>40</v>
      </c>
      <c r="I39" s="38">
        <f t="shared" si="1"/>
        <v>10</v>
      </c>
      <c r="J39" s="36"/>
      <c r="K39" s="40">
        <v>43695</v>
      </c>
      <c r="L39" s="119" t="s">
        <v>2883</v>
      </c>
      <c r="M39" s="120">
        <v>43683</v>
      </c>
      <c r="N39" s="121" t="s">
        <v>2884</v>
      </c>
      <c r="O39" s="120">
        <v>43688</v>
      </c>
      <c r="P39" s="45"/>
      <c r="Q39" s="38" t="s">
        <v>82</v>
      </c>
      <c r="R39" s="44" t="s">
        <v>2885</v>
      </c>
      <c r="S39" s="122" t="s">
        <v>2764</v>
      </c>
    </row>
    <row r="40" spans="2:19" s="96" customFormat="1" ht="33" hidden="1" customHeight="1">
      <c r="B40" s="47" t="s">
        <v>81</v>
      </c>
      <c r="C40" s="48" t="s">
        <v>279</v>
      </c>
      <c r="D40" s="49" t="s">
        <v>2886</v>
      </c>
      <c r="E40" s="50">
        <v>43392</v>
      </c>
      <c r="F40" s="52" t="s">
        <v>84</v>
      </c>
      <c r="G40" s="51">
        <v>11960</v>
      </c>
      <c r="H40" s="52">
        <f t="shared" si="2"/>
        <v>52</v>
      </c>
      <c r="I40" s="52">
        <f t="shared" si="1"/>
        <v>13</v>
      </c>
      <c r="J40" s="52"/>
      <c r="K40" s="53">
        <v>43597</v>
      </c>
      <c r="L40" s="54" t="s">
        <v>2887</v>
      </c>
      <c r="M40" s="55">
        <v>43594</v>
      </c>
      <c r="N40" s="56" t="s">
        <v>2888</v>
      </c>
      <c r="O40" s="55">
        <v>43598</v>
      </c>
      <c r="P40" s="58" t="s">
        <v>2889</v>
      </c>
      <c r="Q40" s="47"/>
      <c r="R40" s="57" t="s">
        <v>2890</v>
      </c>
      <c r="S40" s="47"/>
    </row>
    <row r="41" spans="2:19" s="96" customFormat="1" ht="33" hidden="1" customHeight="1">
      <c r="B41" s="47" t="s">
        <v>81</v>
      </c>
      <c r="C41" s="48" t="s">
        <v>2891</v>
      </c>
      <c r="D41" s="49" t="s">
        <v>2886</v>
      </c>
      <c r="E41" s="50">
        <v>43392</v>
      </c>
      <c r="F41" s="52" t="s">
        <v>84</v>
      </c>
      <c r="G41" s="51">
        <v>1840</v>
      </c>
      <c r="H41" s="52">
        <f t="shared" si="2"/>
        <v>8</v>
      </c>
      <c r="I41" s="52">
        <f t="shared" si="1"/>
        <v>2</v>
      </c>
      <c r="J41" s="52"/>
      <c r="K41" s="53">
        <v>43597</v>
      </c>
      <c r="L41" s="54" t="s">
        <v>773</v>
      </c>
      <c r="M41" s="55">
        <v>43601</v>
      </c>
      <c r="N41" s="56" t="s">
        <v>2892</v>
      </c>
      <c r="O41" s="55">
        <v>43605</v>
      </c>
      <c r="P41" s="58" t="s">
        <v>2889</v>
      </c>
      <c r="Q41" s="47"/>
      <c r="R41" s="57" t="s">
        <v>2890</v>
      </c>
      <c r="S41" s="47" t="s">
        <v>1329</v>
      </c>
    </row>
    <row r="42" spans="2:19" s="96" customFormat="1" ht="33" hidden="1" customHeight="1">
      <c r="B42" s="47" t="s">
        <v>81</v>
      </c>
      <c r="C42" s="48" t="s">
        <v>318</v>
      </c>
      <c r="D42" s="49" t="s">
        <v>319</v>
      </c>
      <c r="E42" s="50">
        <v>43420</v>
      </c>
      <c r="F42" s="52" t="s">
        <v>2880</v>
      </c>
      <c r="G42" s="51">
        <v>17940</v>
      </c>
      <c r="H42" s="52">
        <f t="shared" si="2"/>
        <v>78</v>
      </c>
      <c r="I42" s="52">
        <f t="shared" si="1"/>
        <v>19.5</v>
      </c>
      <c r="J42" s="52"/>
      <c r="K42" s="53">
        <v>43576</v>
      </c>
      <c r="L42" s="54" t="s">
        <v>480</v>
      </c>
      <c r="M42" s="55">
        <v>43564</v>
      </c>
      <c r="N42" s="56" t="s">
        <v>2893</v>
      </c>
      <c r="O42" s="55">
        <v>43569</v>
      </c>
      <c r="P42" s="58"/>
      <c r="Q42" s="47"/>
      <c r="R42" s="57" t="s">
        <v>2894</v>
      </c>
      <c r="S42" s="47" t="s">
        <v>2895</v>
      </c>
    </row>
    <row r="43" spans="2:19" s="96" customFormat="1" ht="33" hidden="1" customHeight="1">
      <c r="B43" s="47" t="s">
        <v>81</v>
      </c>
      <c r="C43" s="48" t="s">
        <v>2896</v>
      </c>
      <c r="D43" s="49" t="s">
        <v>701</v>
      </c>
      <c r="E43" s="50">
        <v>43532</v>
      </c>
      <c r="F43" s="52" t="s">
        <v>2880</v>
      </c>
      <c r="G43" s="51">
        <v>13800</v>
      </c>
      <c r="H43" s="52">
        <f t="shared" si="2"/>
        <v>60</v>
      </c>
      <c r="I43" s="52">
        <f t="shared" si="1"/>
        <v>15</v>
      </c>
      <c r="J43" s="52"/>
      <c r="K43" s="53">
        <v>43615</v>
      </c>
      <c r="L43" s="54" t="s">
        <v>2897</v>
      </c>
      <c r="M43" s="55">
        <v>43613</v>
      </c>
      <c r="N43" s="56" t="s">
        <v>2898</v>
      </c>
      <c r="O43" s="55">
        <v>43618</v>
      </c>
      <c r="P43" s="58"/>
      <c r="Q43" s="47"/>
      <c r="R43" s="57" t="s">
        <v>2899</v>
      </c>
      <c r="S43" s="47"/>
    </row>
    <row r="44" spans="2:19" s="67" customFormat="1" ht="33" hidden="1" customHeight="1">
      <c r="B44" s="46" t="s">
        <v>81</v>
      </c>
      <c r="C44" s="35" t="s">
        <v>2900</v>
      </c>
      <c r="D44" s="36" t="s">
        <v>2901</v>
      </c>
      <c r="E44" s="37">
        <v>43532</v>
      </c>
      <c r="F44" s="38" t="s">
        <v>2880</v>
      </c>
      <c r="G44" s="39">
        <v>4600</v>
      </c>
      <c r="H44" s="38">
        <f t="shared" si="2"/>
        <v>20</v>
      </c>
      <c r="I44" s="38">
        <f t="shared" si="1"/>
        <v>5</v>
      </c>
      <c r="J44" s="38"/>
      <c r="K44" s="40">
        <v>43615</v>
      </c>
      <c r="L44" s="41" t="s">
        <v>2877</v>
      </c>
      <c r="M44" s="42">
        <v>43620</v>
      </c>
      <c r="N44" s="43" t="s">
        <v>2878</v>
      </c>
      <c r="O44" s="42">
        <v>43625</v>
      </c>
      <c r="P44" s="45"/>
      <c r="Q44" s="46"/>
      <c r="R44" s="44" t="s">
        <v>2899</v>
      </c>
      <c r="S44" s="46"/>
    </row>
    <row r="45" spans="2:19" s="67" customFormat="1" ht="33" hidden="1" customHeight="1">
      <c r="B45" s="46" t="s">
        <v>81</v>
      </c>
      <c r="C45" s="35" t="s">
        <v>702</v>
      </c>
      <c r="D45" s="36" t="s">
        <v>703</v>
      </c>
      <c r="E45" s="37">
        <v>43532</v>
      </c>
      <c r="F45" s="38" t="s">
        <v>2880</v>
      </c>
      <c r="G45" s="39">
        <v>9200</v>
      </c>
      <c r="H45" s="38">
        <f t="shared" si="2"/>
        <v>40</v>
      </c>
      <c r="I45" s="38">
        <f t="shared" si="1"/>
        <v>10</v>
      </c>
      <c r="J45" s="38"/>
      <c r="K45" s="40">
        <v>43632</v>
      </c>
      <c r="L45" s="41" t="s">
        <v>807</v>
      </c>
      <c r="M45" s="42">
        <v>43627</v>
      </c>
      <c r="N45" s="43" t="s">
        <v>808</v>
      </c>
      <c r="O45" s="42">
        <v>43632</v>
      </c>
      <c r="P45" s="45"/>
      <c r="Q45" s="46"/>
      <c r="R45" s="44" t="s">
        <v>2902</v>
      </c>
      <c r="S45" s="46"/>
    </row>
    <row r="46" spans="2:19" s="67" customFormat="1" ht="33" hidden="1" customHeight="1">
      <c r="B46" s="46" t="s">
        <v>81</v>
      </c>
      <c r="C46" s="35" t="s">
        <v>852</v>
      </c>
      <c r="D46" s="36" t="s">
        <v>1990</v>
      </c>
      <c r="E46" s="37">
        <v>43558</v>
      </c>
      <c r="F46" s="38" t="s">
        <v>2880</v>
      </c>
      <c r="G46" s="39">
        <v>9200</v>
      </c>
      <c r="H46" s="38">
        <f t="shared" si="2"/>
        <v>40</v>
      </c>
      <c r="I46" s="38">
        <f t="shared" si="1"/>
        <v>10</v>
      </c>
      <c r="J46" s="38"/>
      <c r="K46" s="40">
        <v>43639</v>
      </c>
      <c r="L46" s="41" t="s">
        <v>1083</v>
      </c>
      <c r="M46" s="42">
        <v>43634</v>
      </c>
      <c r="N46" s="43" t="s">
        <v>1084</v>
      </c>
      <c r="O46" s="42">
        <v>43639</v>
      </c>
      <c r="P46" s="45"/>
      <c r="Q46" s="46"/>
      <c r="R46" s="44" t="s">
        <v>2902</v>
      </c>
      <c r="S46" s="46"/>
    </row>
    <row r="47" spans="2:19" s="67" customFormat="1" ht="33" hidden="1" customHeight="1">
      <c r="B47" s="46" t="s">
        <v>81</v>
      </c>
      <c r="C47" s="35" t="s">
        <v>1435</v>
      </c>
      <c r="D47" s="36" t="s">
        <v>1436</v>
      </c>
      <c r="E47" s="37">
        <v>43574</v>
      </c>
      <c r="F47" s="38" t="s">
        <v>2880</v>
      </c>
      <c r="G47" s="39">
        <v>18400</v>
      </c>
      <c r="H47" s="38">
        <f t="shared" si="2"/>
        <v>80</v>
      </c>
      <c r="I47" s="38">
        <f t="shared" si="1"/>
        <v>20</v>
      </c>
      <c r="J47" s="38"/>
      <c r="K47" s="40">
        <v>43653</v>
      </c>
      <c r="L47" s="41" t="s">
        <v>1326</v>
      </c>
      <c r="M47" s="42">
        <v>43648</v>
      </c>
      <c r="N47" s="43" t="s">
        <v>2903</v>
      </c>
      <c r="O47" s="42">
        <v>43653</v>
      </c>
      <c r="P47" s="45"/>
      <c r="Q47" s="46"/>
      <c r="R47" s="44" t="s">
        <v>2904</v>
      </c>
      <c r="S47" s="46"/>
    </row>
    <row r="48" spans="2:19" s="67" customFormat="1" ht="33" hidden="1" customHeight="1">
      <c r="B48" s="46" t="s">
        <v>81</v>
      </c>
      <c r="C48" s="35" t="s">
        <v>2322</v>
      </c>
      <c r="D48" s="36" t="s">
        <v>2323</v>
      </c>
      <c r="E48" s="37">
        <v>43602</v>
      </c>
      <c r="F48" s="38" t="s">
        <v>2880</v>
      </c>
      <c r="G48" s="39">
        <v>18400</v>
      </c>
      <c r="H48" s="38">
        <f t="shared" si="2"/>
        <v>80</v>
      </c>
      <c r="I48" s="38">
        <f t="shared" si="1"/>
        <v>20</v>
      </c>
      <c r="J48" s="38"/>
      <c r="K48" s="130">
        <v>43674</v>
      </c>
      <c r="L48" s="119" t="s">
        <v>2146</v>
      </c>
      <c r="M48" s="120">
        <v>43669</v>
      </c>
      <c r="N48" s="121" t="s">
        <v>2551</v>
      </c>
      <c r="O48" s="120">
        <v>43674</v>
      </c>
      <c r="P48" s="45"/>
      <c r="Q48" s="46"/>
      <c r="R48" s="125" t="s">
        <v>2905</v>
      </c>
      <c r="S48" s="46"/>
    </row>
    <row r="49" spans="2:19" s="67" customFormat="1" ht="33" customHeight="1">
      <c r="B49" s="46" t="s">
        <v>81</v>
      </c>
      <c r="C49" s="35" t="s">
        <v>2325</v>
      </c>
      <c r="D49" s="36" t="s">
        <v>2326</v>
      </c>
      <c r="E49" s="37">
        <v>43602</v>
      </c>
      <c r="F49" s="38" t="s">
        <v>2880</v>
      </c>
      <c r="G49" s="39">
        <v>17940</v>
      </c>
      <c r="H49" s="38">
        <f t="shared" si="2"/>
        <v>78</v>
      </c>
      <c r="I49" s="38">
        <f t="shared" si="1"/>
        <v>19.5</v>
      </c>
      <c r="J49" s="38"/>
      <c r="K49" s="40">
        <v>43702</v>
      </c>
      <c r="L49" s="41" t="s">
        <v>2906</v>
      </c>
      <c r="M49" s="42">
        <v>43697</v>
      </c>
      <c r="N49" s="43" t="s">
        <v>2907</v>
      </c>
      <c r="O49" s="42">
        <v>43702</v>
      </c>
      <c r="P49" s="45"/>
      <c r="Q49" s="46"/>
      <c r="R49" s="44" t="s">
        <v>2908</v>
      </c>
      <c r="S49" s="46"/>
    </row>
    <row r="50" spans="2:19" s="96" customFormat="1" ht="33" hidden="1" customHeight="1">
      <c r="B50" s="47" t="s">
        <v>2909</v>
      </c>
      <c r="C50" s="48" t="s">
        <v>2910</v>
      </c>
      <c r="D50" s="49" t="s">
        <v>705</v>
      </c>
      <c r="E50" s="50">
        <v>43532</v>
      </c>
      <c r="F50" s="52" t="s">
        <v>2880</v>
      </c>
      <c r="G50" s="51">
        <v>920</v>
      </c>
      <c r="H50" s="52">
        <f t="shared" si="2"/>
        <v>4</v>
      </c>
      <c r="I50" s="52">
        <f t="shared" si="1"/>
        <v>1</v>
      </c>
      <c r="J50" s="52"/>
      <c r="K50" s="53">
        <v>43609</v>
      </c>
      <c r="L50" s="54" t="s">
        <v>773</v>
      </c>
      <c r="M50" s="55">
        <v>43601</v>
      </c>
      <c r="N50" s="56" t="s">
        <v>774</v>
      </c>
      <c r="O50" s="55">
        <v>43605</v>
      </c>
      <c r="P50" s="58"/>
      <c r="Q50" s="47"/>
      <c r="R50" s="57"/>
      <c r="S50" s="47" t="s">
        <v>2911</v>
      </c>
    </row>
    <row r="51" spans="2:19" s="96" customFormat="1" ht="33" hidden="1" customHeight="1">
      <c r="B51" s="47" t="s">
        <v>2912</v>
      </c>
      <c r="C51" s="48" t="s">
        <v>2910</v>
      </c>
      <c r="D51" s="49" t="s">
        <v>2913</v>
      </c>
      <c r="E51" s="50">
        <v>43511</v>
      </c>
      <c r="F51" s="52" t="s">
        <v>2880</v>
      </c>
      <c r="G51" s="51">
        <v>460</v>
      </c>
      <c r="H51" s="52">
        <f t="shared" si="2"/>
        <v>2</v>
      </c>
      <c r="I51" s="52">
        <f t="shared" si="1"/>
        <v>0.5</v>
      </c>
      <c r="J51" s="52"/>
      <c r="K51" s="53">
        <v>43576</v>
      </c>
      <c r="L51" s="54" t="s">
        <v>480</v>
      </c>
      <c r="M51" s="55">
        <v>43564</v>
      </c>
      <c r="N51" s="56" t="s">
        <v>646</v>
      </c>
      <c r="O51" s="55">
        <v>43569</v>
      </c>
      <c r="P51" s="58"/>
      <c r="Q51" s="47"/>
      <c r="R51" s="57" t="s">
        <v>2894</v>
      </c>
      <c r="S51" s="47"/>
    </row>
    <row r="52" spans="2:19" s="67" customFormat="1" ht="33" customHeight="1">
      <c r="B52" s="46" t="s">
        <v>2912</v>
      </c>
      <c r="C52" s="35" t="s">
        <v>2333</v>
      </c>
      <c r="D52" s="36" t="s">
        <v>2334</v>
      </c>
      <c r="E52" s="37">
        <v>43602</v>
      </c>
      <c r="F52" s="38" t="s">
        <v>2880</v>
      </c>
      <c r="G52" s="39">
        <v>460</v>
      </c>
      <c r="H52" s="38">
        <f t="shared" si="2"/>
        <v>2</v>
      </c>
      <c r="I52" s="38">
        <f t="shared" si="1"/>
        <v>0.5</v>
      </c>
      <c r="J52" s="38"/>
      <c r="K52" s="40">
        <v>43702</v>
      </c>
      <c r="L52" s="41" t="s">
        <v>2509</v>
      </c>
      <c r="M52" s="42">
        <v>43697</v>
      </c>
      <c r="N52" s="43" t="s">
        <v>2907</v>
      </c>
      <c r="O52" s="42">
        <v>43702</v>
      </c>
      <c r="P52" s="45"/>
      <c r="Q52" s="46"/>
      <c r="R52" s="44" t="s">
        <v>2914</v>
      </c>
      <c r="S52" s="46"/>
    </row>
    <row r="53" spans="2:19" s="33" customFormat="1" ht="33" customHeight="1">
      <c r="B53" s="47" t="s">
        <v>2915</v>
      </c>
      <c r="C53" s="48" t="s">
        <v>430</v>
      </c>
      <c r="D53" s="49" t="s">
        <v>470</v>
      </c>
      <c r="E53" s="50">
        <v>43473</v>
      </c>
      <c r="F53" s="52" t="s">
        <v>2880</v>
      </c>
      <c r="G53" s="51">
        <v>1920</v>
      </c>
      <c r="H53" s="52">
        <f t="shared" ref="H53:H61" si="3">SUM(G53/20)</f>
        <v>96</v>
      </c>
      <c r="I53" s="52">
        <f t="shared" ref="I53:I61" si="4">SUM(H53/32)</f>
        <v>3</v>
      </c>
      <c r="J53" s="59"/>
      <c r="K53" s="53">
        <v>43555</v>
      </c>
      <c r="L53" s="54" t="s">
        <v>2509</v>
      </c>
      <c r="M53" s="55">
        <v>43564</v>
      </c>
      <c r="N53" s="56" t="s">
        <v>2893</v>
      </c>
      <c r="O53" s="55">
        <v>43569</v>
      </c>
      <c r="P53" s="58"/>
      <c r="Q53" s="60" t="s">
        <v>89</v>
      </c>
      <c r="R53" s="57" t="s">
        <v>2916</v>
      </c>
      <c r="S53" s="47"/>
    </row>
    <row r="54" spans="2:19" s="33" customFormat="1" ht="33" customHeight="1">
      <c r="B54" s="47" t="s">
        <v>2915</v>
      </c>
      <c r="C54" s="48" t="s">
        <v>519</v>
      </c>
      <c r="D54" s="49" t="s">
        <v>710</v>
      </c>
      <c r="E54" s="50">
        <v>43511</v>
      </c>
      <c r="F54" s="52" t="s">
        <v>2880</v>
      </c>
      <c r="G54" s="51">
        <v>640</v>
      </c>
      <c r="H54" s="52">
        <f t="shared" si="3"/>
        <v>32</v>
      </c>
      <c r="I54" s="52">
        <f t="shared" si="4"/>
        <v>1</v>
      </c>
      <c r="J54" s="59"/>
      <c r="K54" s="53">
        <v>43555</v>
      </c>
      <c r="L54" s="54" t="s">
        <v>2509</v>
      </c>
      <c r="M54" s="55">
        <v>43557</v>
      </c>
      <c r="N54" s="56" t="s">
        <v>2917</v>
      </c>
      <c r="O54" s="55">
        <v>43562</v>
      </c>
      <c r="P54" s="58"/>
      <c r="Q54" s="60" t="s">
        <v>89</v>
      </c>
      <c r="R54" s="57" t="s">
        <v>2916</v>
      </c>
      <c r="S54" s="47"/>
    </row>
    <row r="55" spans="2:19" s="33" customFormat="1" ht="33" customHeight="1">
      <c r="B55" s="47" t="s">
        <v>2915</v>
      </c>
      <c r="C55" s="48" t="s">
        <v>520</v>
      </c>
      <c r="D55" s="49" t="s">
        <v>584</v>
      </c>
      <c r="E55" s="50">
        <v>43511</v>
      </c>
      <c r="F55" s="52" t="s">
        <v>2880</v>
      </c>
      <c r="G55" s="51">
        <v>1920</v>
      </c>
      <c r="H55" s="52">
        <f t="shared" si="3"/>
        <v>96</v>
      </c>
      <c r="I55" s="52">
        <f t="shared" si="4"/>
        <v>3</v>
      </c>
      <c r="J55" s="59"/>
      <c r="K55" s="53">
        <v>43576</v>
      </c>
      <c r="L55" s="54" t="s">
        <v>2509</v>
      </c>
      <c r="M55" s="55">
        <v>43571</v>
      </c>
      <c r="N55" s="56" t="s">
        <v>2875</v>
      </c>
      <c r="O55" s="55">
        <v>43576</v>
      </c>
      <c r="P55" s="58"/>
      <c r="Q55" s="60" t="s">
        <v>89</v>
      </c>
      <c r="R55" s="57" t="s">
        <v>2918</v>
      </c>
      <c r="S55" s="47"/>
    </row>
    <row r="56" spans="2:19" s="33" customFormat="1" ht="33" customHeight="1">
      <c r="B56" s="47" t="s">
        <v>2915</v>
      </c>
      <c r="C56" s="48" t="s">
        <v>586</v>
      </c>
      <c r="D56" s="49" t="s">
        <v>640</v>
      </c>
      <c r="E56" s="50">
        <v>43519</v>
      </c>
      <c r="F56" s="52" t="s">
        <v>2880</v>
      </c>
      <c r="G56" s="51">
        <v>2560</v>
      </c>
      <c r="H56" s="52">
        <f t="shared" si="3"/>
        <v>128</v>
      </c>
      <c r="I56" s="52">
        <f t="shared" si="4"/>
        <v>4</v>
      </c>
      <c r="J56" s="59"/>
      <c r="K56" s="53">
        <v>43611</v>
      </c>
      <c r="L56" s="54" t="s">
        <v>2509</v>
      </c>
      <c r="M56" s="55">
        <v>43601</v>
      </c>
      <c r="N56" s="56" t="s">
        <v>2892</v>
      </c>
      <c r="O56" s="55">
        <v>43605</v>
      </c>
      <c r="P56" s="58"/>
      <c r="Q56" s="60" t="s">
        <v>89</v>
      </c>
      <c r="R56" s="57" t="s">
        <v>2919</v>
      </c>
      <c r="S56" s="47" t="s">
        <v>980</v>
      </c>
    </row>
    <row r="57" spans="2:19" s="30" customFormat="1" ht="33" hidden="1" customHeight="1">
      <c r="B57" s="46" t="s">
        <v>2915</v>
      </c>
      <c r="C57" s="35" t="s">
        <v>713</v>
      </c>
      <c r="D57" s="36" t="s">
        <v>714</v>
      </c>
      <c r="E57" s="37">
        <v>43532</v>
      </c>
      <c r="F57" s="38" t="s">
        <v>2880</v>
      </c>
      <c r="G57" s="39">
        <v>1920</v>
      </c>
      <c r="H57" s="38">
        <f t="shared" si="3"/>
        <v>96</v>
      </c>
      <c r="I57" s="38">
        <f t="shared" si="4"/>
        <v>3</v>
      </c>
      <c r="J57" s="61"/>
      <c r="K57" s="40">
        <v>43639</v>
      </c>
      <c r="L57" s="41" t="s">
        <v>1083</v>
      </c>
      <c r="M57" s="42">
        <v>43634</v>
      </c>
      <c r="N57" s="43" t="s">
        <v>1084</v>
      </c>
      <c r="O57" s="42">
        <v>43639</v>
      </c>
      <c r="P57" s="45"/>
      <c r="Q57" s="62" t="s">
        <v>89</v>
      </c>
      <c r="R57" s="44" t="s">
        <v>2920</v>
      </c>
      <c r="S57" s="46"/>
    </row>
    <row r="58" spans="2:19" s="30" customFormat="1" ht="33" hidden="1" customHeight="1">
      <c r="B58" s="46" t="s">
        <v>2915</v>
      </c>
      <c r="C58" s="35" t="s">
        <v>1184</v>
      </c>
      <c r="D58" s="36" t="s">
        <v>1185</v>
      </c>
      <c r="E58" s="37">
        <v>43567</v>
      </c>
      <c r="F58" s="38" t="s">
        <v>2880</v>
      </c>
      <c r="G58" s="39">
        <v>2560</v>
      </c>
      <c r="H58" s="38">
        <f t="shared" si="3"/>
        <v>128</v>
      </c>
      <c r="I58" s="38">
        <f t="shared" si="4"/>
        <v>4</v>
      </c>
      <c r="J58" s="61"/>
      <c r="K58" s="40">
        <v>43653</v>
      </c>
      <c r="L58" s="41" t="s">
        <v>1326</v>
      </c>
      <c r="M58" s="42">
        <v>43648</v>
      </c>
      <c r="N58" s="43" t="s">
        <v>2540</v>
      </c>
      <c r="O58" s="42">
        <v>43653</v>
      </c>
      <c r="P58" s="45"/>
      <c r="Q58" s="62" t="s">
        <v>89</v>
      </c>
      <c r="R58" s="44" t="s">
        <v>2921</v>
      </c>
      <c r="S58" s="46"/>
    </row>
    <row r="59" spans="2:19" s="30" customFormat="1" ht="33" hidden="1" customHeight="1">
      <c r="B59" s="46" t="s">
        <v>2915</v>
      </c>
      <c r="C59" s="35" t="s">
        <v>2922</v>
      </c>
      <c r="D59" s="36" t="s">
        <v>2685</v>
      </c>
      <c r="E59" s="37">
        <v>43609</v>
      </c>
      <c r="F59" s="38" t="s">
        <v>2880</v>
      </c>
      <c r="G59" s="39">
        <v>1280</v>
      </c>
      <c r="H59" s="38">
        <f t="shared" si="3"/>
        <v>64</v>
      </c>
      <c r="I59" s="38">
        <f t="shared" si="4"/>
        <v>2</v>
      </c>
      <c r="J59" s="61"/>
      <c r="K59" s="40">
        <v>43653</v>
      </c>
      <c r="L59" s="41" t="s">
        <v>1326</v>
      </c>
      <c r="M59" s="42">
        <v>43648</v>
      </c>
      <c r="N59" s="43" t="s">
        <v>2540</v>
      </c>
      <c r="O59" s="42">
        <v>43653</v>
      </c>
      <c r="P59" s="45"/>
      <c r="Q59" s="62" t="s">
        <v>89</v>
      </c>
      <c r="R59" s="44" t="s">
        <v>2921</v>
      </c>
      <c r="S59" s="46"/>
    </row>
    <row r="60" spans="2:19" s="30" customFormat="1" ht="33" hidden="1" customHeight="1">
      <c r="B60" s="46" t="s">
        <v>2915</v>
      </c>
      <c r="C60" s="35" t="s">
        <v>2357</v>
      </c>
      <c r="D60" s="36" t="s">
        <v>2358</v>
      </c>
      <c r="E60" s="37">
        <v>43602</v>
      </c>
      <c r="F60" s="38" t="s">
        <v>2880</v>
      </c>
      <c r="G60" s="39">
        <v>2560</v>
      </c>
      <c r="H60" s="38">
        <f t="shared" si="3"/>
        <v>128</v>
      </c>
      <c r="I60" s="38">
        <f t="shared" si="4"/>
        <v>4</v>
      </c>
      <c r="J60" s="61"/>
      <c r="K60" s="130">
        <v>43674</v>
      </c>
      <c r="L60" s="119" t="s">
        <v>2146</v>
      </c>
      <c r="M60" s="120">
        <v>43669</v>
      </c>
      <c r="N60" s="121" t="s">
        <v>2551</v>
      </c>
      <c r="O60" s="120">
        <v>43674</v>
      </c>
      <c r="P60" s="45"/>
      <c r="Q60" s="62" t="s">
        <v>89</v>
      </c>
      <c r="R60" s="125" t="s">
        <v>2923</v>
      </c>
      <c r="S60" s="46"/>
    </row>
    <row r="61" spans="2:19" s="30" customFormat="1" ht="33" hidden="1" customHeight="1">
      <c r="B61" s="46" t="s">
        <v>2915</v>
      </c>
      <c r="C61" s="35" t="s">
        <v>2360</v>
      </c>
      <c r="D61" s="36" t="s">
        <v>2924</v>
      </c>
      <c r="E61" s="37">
        <v>43602</v>
      </c>
      <c r="F61" s="38" t="s">
        <v>2880</v>
      </c>
      <c r="G61" s="39">
        <v>2560</v>
      </c>
      <c r="H61" s="38">
        <f t="shared" si="3"/>
        <v>128</v>
      </c>
      <c r="I61" s="38">
        <f t="shared" si="4"/>
        <v>4</v>
      </c>
      <c r="J61" s="61"/>
      <c r="K61" s="130">
        <v>43695</v>
      </c>
      <c r="L61" s="119" t="s">
        <v>2505</v>
      </c>
      <c r="M61" s="120">
        <v>43683</v>
      </c>
      <c r="N61" s="121" t="s">
        <v>2884</v>
      </c>
      <c r="O61" s="120">
        <v>43688</v>
      </c>
      <c r="P61" s="45"/>
      <c r="Q61" s="62" t="s">
        <v>89</v>
      </c>
      <c r="R61" s="125" t="s">
        <v>2925</v>
      </c>
      <c r="S61" s="46"/>
    </row>
    <row r="62" spans="2:19" s="33" customFormat="1" ht="33" hidden="1" customHeight="1">
      <c r="B62" s="47" t="s">
        <v>38</v>
      </c>
      <c r="C62" s="48" t="s">
        <v>225</v>
      </c>
      <c r="D62" s="49" t="s">
        <v>587</v>
      </c>
      <c r="E62" s="50">
        <v>43519</v>
      </c>
      <c r="F62" s="52" t="s">
        <v>2926</v>
      </c>
      <c r="G62" s="64">
        <v>640</v>
      </c>
      <c r="H62" s="52">
        <f>SUBTOTAL(9,G62)/20</f>
        <v>0</v>
      </c>
      <c r="I62" s="52">
        <f>H62/32</f>
        <v>0</v>
      </c>
      <c r="J62" s="52"/>
      <c r="K62" s="53">
        <v>43583</v>
      </c>
      <c r="L62" s="54" t="s">
        <v>565</v>
      </c>
      <c r="M62" s="55">
        <v>43578</v>
      </c>
      <c r="N62" s="56" t="s">
        <v>2927</v>
      </c>
      <c r="O62" s="55">
        <v>43583</v>
      </c>
      <c r="P62" s="58"/>
      <c r="Q62" s="52"/>
      <c r="R62" s="63" t="s">
        <v>2890</v>
      </c>
      <c r="S62" s="47"/>
    </row>
    <row r="63" spans="2:19" s="30" customFormat="1" ht="33" hidden="1" customHeight="1">
      <c r="B63" s="46" t="s">
        <v>38</v>
      </c>
      <c r="C63" s="35" t="s">
        <v>226</v>
      </c>
      <c r="D63" s="36" t="s">
        <v>1194</v>
      </c>
      <c r="E63" s="37">
        <v>43567</v>
      </c>
      <c r="F63" s="38" t="s">
        <v>2926</v>
      </c>
      <c r="G63" s="65">
        <v>640</v>
      </c>
      <c r="H63" s="38">
        <f>SUBTOTAL(9,G63)/20</f>
        <v>0</v>
      </c>
      <c r="I63" s="38">
        <f>H63/32</f>
        <v>0</v>
      </c>
      <c r="J63" s="38"/>
      <c r="K63" s="130">
        <v>43730</v>
      </c>
      <c r="L63" s="119" t="s">
        <v>2928</v>
      </c>
      <c r="M63" s="120">
        <v>43727</v>
      </c>
      <c r="N63" s="121" t="s">
        <v>2929</v>
      </c>
      <c r="O63" s="120">
        <v>43731</v>
      </c>
      <c r="P63" s="45"/>
      <c r="Q63" s="38"/>
      <c r="R63" s="134" t="s">
        <v>2930</v>
      </c>
      <c r="S63" s="46"/>
    </row>
    <row r="64" spans="2:19" s="33" customFormat="1" ht="33" hidden="1" customHeight="1">
      <c r="B64" s="47" t="s">
        <v>88</v>
      </c>
      <c r="C64" s="48" t="s">
        <v>431</v>
      </c>
      <c r="D64" s="49" t="s">
        <v>471</v>
      </c>
      <c r="E64" s="50">
        <v>43483</v>
      </c>
      <c r="F64" s="52" t="s">
        <v>2926</v>
      </c>
      <c r="G64" s="64">
        <v>760</v>
      </c>
      <c r="H64" s="52">
        <f t="shared" ref="H64:H69" si="5">SUBTOTAL(9,G64)/190</f>
        <v>0</v>
      </c>
      <c r="I64" s="52">
        <f t="shared" ref="I64:I69" si="6">H64/4</f>
        <v>0</v>
      </c>
      <c r="J64" s="52"/>
      <c r="K64" s="53">
        <v>43569</v>
      </c>
      <c r="L64" s="54" t="s">
        <v>417</v>
      </c>
      <c r="M64" s="55">
        <v>43564</v>
      </c>
      <c r="N64" s="56" t="s">
        <v>2893</v>
      </c>
      <c r="O64" s="55">
        <v>43569</v>
      </c>
      <c r="P64" s="58"/>
      <c r="Q64" s="52"/>
      <c r="R64" s="63" t="s">
        <v>2931</v>
      </c>
      <c r="S64" s="47"/>
    </row>
    <row r="65" spans="2:19" s="33" customFormat="1" ht="33" hidden="1" customHeight="1">
      <c r="B65" s="47" t="s">
        <v>88</v>
      </c>
      <c r="C65" s="48" t="s">
        <v>523</v>
      </c>
      <c r="D65" s="49" t="s">
        <v>588</v>
      </c>
      <c r="E65" s="50">
        <v>43511</v>
      </c>
      <c r="F65" s="52" t="s">
        <v>2926</v>
      </c>
      <c r="G65" s="64">
        <v>760</v>
      </c>
      <c r="H65" s="52">
        <f t="shared" si="5"/>
        <v>0</v>
      </c>
      <c r="I65" s="52">
        <f t="shared" si="6"/>
        <v>0</v>
      </c>
      <c r="J65" s="52"/>
      <c r="K65" s="53">
        <v>43583</v>
      </c>
      <c r="L65" s="54" t="s">
        <v>565</v>
      </c>
      <c r="M65" s="55">
        <v>43578</v>
      </c>
      <c r="N65" s="56" t="s">
        <v>2927</v>
      </c>
      <c r="O65" s="55">
        <v>43583</v>
      </c>
      <c r="P65" s="58"/>
      <c r="Q65" s="52"/>
      <c r="R65" s="63" t="s">
        <v>2932</v>
      </c>
      <c r="S65" s="47"/>
    </row>
    <row r="66" spans="2:19" s="33" customFormat="1" ht="33" hidden="1" customHeight="1">
      <c r="B66" s="47" t="s">
        <v>88</v>
      </c>
      <c r="C66" s="48" t="s">
        <v>589</v>
      </c>
      <c r="D66" s="49" t="s">
        <v>590</v>
      </c>
      <c r="E66" s="50">
        <v>43519</v>
      </c>
      <c r="F66" s="52" t="s">
        <v>2926</v>
      </c>
      <c r="G66" s="64">
        <v>760</v>
      </c>
      <c r="H66" s="52">
        <f t="shared" si="5"/>
        <v>0</v>
      </c>
      <c r="I66" s="52">
        <f t="shared" si="6"/>
        <v>0</v>
      </c>
      <c r="J66" s="52"/>
      <c r="K66" s="53">
        <v>43597</v>
      </c>
      <c r="L66" s="54" t="s">
        <v>2933</v>
      </c>
      <c r="M66" s="55">
        <v>43592</v>
      </c>
      <c r="N66" s="56" t="s">
        <v>2934</v>
      </c>
      <c r="O66" s="55">
        <v>43597</v>
      </c>
      <c r="P66" s="58"/>
      <c r="Q66" s="52"/>
      <c r="R66" s="63" t="s">
        <v>2935</v>
      </c>
      <c r="S66" s="47"/>
    </row>
    <row r="67" spans="2:19" s="30" customFormat="1" ht="33" hidden="1" customHeight="1">
      <c r="B67" s="46" t="s">
        <v>88</v>
      </c>
      <c r="C67" s="35" t="s">
        <v>2936</v>
      </c>
      <c r="D67" s="36" t="s">
        <v>1207</v>
      </c>
      <c r="E67" s="37">
        <v>43567</v>
      </c>
      <c r="F67" s="38" t="s">
        <v>2926</v>
      </c>
      <c r="G67" s="65">
        <v>760</v>
      </c>
      <c r="H67" s="38">
        <f t="shared" si="5"/>
        <v>0</v>
      </c>
      <c r="I67" s="38">
        <f t="shared" si="6"/>
        <v>0</v>
      </c>
      <c r="J67" s="38"/>
      <c r="K67" s="40">
        <v>43667</v>
      </c>
      <c r="L67" s="41" t="s">
        <v>2937</v>
      </c>
      <c r="M67" s="42">
        <v>43662</v>
      </c>
      <c r="N67" s="43" t="s">
        <v>2938</v>
      </c>
      <c r="O67" s="42">
        <v>43667</v>
      </c>
      <c r="P67" s="45"/>
      <c r="Q67" s="38"/>
      <c r="R67" s="66" t="s">
        <v>2939</v>
      </c>
      <c r="S67" s="46"/>
    </row>
    <row r="68" spans="2:19" s="30" customFormat="1" ht="33" hidden="1" customHeight="1">
      <c r="B68" s="46" t="s">
        <v>88</v>
      </c>
      <c r="C68" s="35" t="s">
        <v>2079</v>
      </c>
      <c r="D68" s="36" t="s">
        <v>2940</v>
      </c>
      <c r="E68" s="37">
        <v>43602</v>
      </c>
      <c r="F68" s="38" t="s">
        <v>2926</v>
      </c>
      <c r="G68" s="65">
        <v>760</v>
      </c>
      <c r="H68" s="38">
        <f t="shared" si="5"/>
        <v>0</v>
      </c>
      <c r="I68" s="38">
        <f t="shared" si="6"/>
        <v>0</v>
      </c>
      <c r="J68" s="38"/>
      <c r="K68" s="40">
        <v>43667</v>
      </c>
      <c r="L68" s="41" t="s">
        <v>2511</v>
      </c>
      <c r="M68" s="42">
        <v>43662</v>
      </c>
      <c r="N68" s="43" t="s">
        <v>2938</v>
      </c>
      <c r="O68" s="42">
        <v>43667</v>
      </c>
      <c r="P68" s="45"/>
      <c r="Q68" s="38"/>
      <c r="R68" s="66" t="s">
        <v>2939</v>
      </c>
      <c r="S68" s="46"/>
    </row>
    <row r="69" spans="2:19" s="30" customFormat="1" ht="33" hidden="1" customHeight="1">
      <c r="B69" s="46" t="s">
        <v>88</v>
      </c>
      <c r="C69" s="35" t="s">
        <v>2378</v>
      </c>
      <c r="D69" s="36" t="s">
        <v>2379</v>
      </c>
      <c r="E69" s="37">
        <v>43602</v>
      </c>
      <c r="F69" s="38" t="s">
        <v>2926</v>
      </c>
      <c r="G69" s="65">
        <v>760</v>
      </c>
      <c r="H69" s="38">
        <f t="shared" si="5"/>
        <v>0</v>
      </c>
      <c r="I69" s="38">
        <f t="shared" si="6"/>
        <v>0</v>
      </c>
      <c r="J69" s="38"/>
      <c r="K69" s="40">
        <v>43702</v>
      </c>
      <c r="L69" s="41" t="s">
        <v>2941</v>
      </c>
      <c r="M69" s="42">
        <v>43697</v>
      </c>
      <c r="N69" s="43" t="s">
        <v>2907</v>
      </c>
      <c r="O69" s="42">
        <v>43702</v>
      </c>
      <c r="P69" s="45"/>
      <c r="Q69" s="38"/>
      <c r="R69" s="66" t="s">
        <v>2942</v>
      </c>
      <c r="S69" s="46"/>
    </row>
    <row r="70" spans="2:19" s="33" customFormat="1" ht="33" hidden="1" customHeight="1">
      <c r="B70" s="47" t="s">
        <v>83</v>
      </c>
      <c r="C70" s="48" t="s">
        <v>244</v>
      </c>
      <c r="D70" s="49" t="s">
        <v>722</v>
      </c>
      <c r="E70" s="50">
        <v>43483</v>
      </c>
      <c r="F70" s="52" t="s">
        <v>77</v>
      </c>
      <c r="G70" s="51">
        <v>6720</v>
      </c>
      <c r="H70" s="52">
        <f t="shared" ref="H70:H75" si="7">SUM(G70/240)</f>
        <v>28</v>
      </c>
      <c r="I70" s="52">
        <f t="shared" ref="I70:I75" si="8">SUM(H70/4)</f>
        <v>7</v>
      </c>
      <c r="J70" s="52"/>
      <c r="K70" s="53">
        <v>43569</v>
      </c>
      <c r="L70" s="54" t="s">
        <v>480</v>
      </c>
      <c r="M70" s="55">
        <v>43564</v>
      </c>
      <c r="N70" s="56" t="s">
        <v>646</v>
      </c>
      <c r="O70" s="55">
        <v>43569</v>
      </c>
      <c r="P70" s="58" t="s">
        <v>2943</v>
      </c>
      <c r="Q70" s="52"/>
      <c r="R70" s="118" t="s">
        <v>2944</v>
      </c>
      <c r="S70" s="47"/>
    </row>
    <row r="71" spans="2:19" s="33" customFormat="1" ht="33" hidden="1" customHeight="1">
      <c r="B71" s="47" t="s">
        <v>83</v>
      </c>
      <c r="C71" s="48" t="s">
        <v>2945</v>
      </c>
      <c r="D71" s="49" t="s">
        <v>472</v>
      </c>
      <c r="E71" s="50">
        <v>43483</v>
      </c>
      <c r="F71" s="52" t="s">
        <v>77</v>
      </c>
      <c r="G71" s="51">
        <v>5760</v>
      </c>
      <c r="H71" s="52">
        <f t="shared" si="7"/>
        <v>24</v>
      </c>
      <c r="I71" s="52">
        <f t="shared" si="8"/>
        <v>6</v>
      </c>
      <c r="J71" s="52"/>
      <c r="K71" s="53">
        <v>43583</v>
      </c>
      <c r="L71" s="54" t="s">
        <v>448</v>
      </c>
      <c r="M71" s="55">
        <v>43578</v>
      </c>
      <c r="N71" s="56" t="s">
        <v>2927</v>
      </c>
      <c r="O71" s="55">
        <v>43583</v>
      </c>
      <c r="P71" s="58" t="s">
        <v>2946</v>
      </c>
      <c r="Q71" s="52"/>
      <c r="R71" s="118" t="s">
        <v>2944</v>
      </c>
      <c r="S71" s="47"/>
    </row>
    <row r="72" spans="2:19" s="33" customFormat="1" ht="33" hidden="1" customHeight="1">
      <c r="B72" s="47" t="s">
        <v>83</v>
      </c>
      <c r="C72" s="48" t="s">
        <v>258</v>
      </c>
      <c r="D72" s="49" t="s">
        <v>591</v>
      </c>
      <c r="E72" s="50">
        <v>43519</v>
      </c>
      <c r="F72" s="52" t="s">
        <v>77</v>
      </c>
      <c r="G72" s="51">
        <v>5760</v>
      </c>
      <c r="H72" s="52">
        <f t="shared" si="7"/>
        <v>24</v>
      </c>
      <c r="I72" s="52">
        <f t="shared" si="8"/>
        <v>6</v>
      </c>
      <c r="J72" s="52"/>
      <c r="K72" s="53">
        <v>43605</v>
      </c>
      <c r="L72" s="54" t="s">
        <v>2947</v>
      </c>
      <c r="M72" s="55">
        <v>43601</v>
      </c>
      <c r="N72" s="56" t="s">
        <v>2892</v>
      </c>
      <c r="O72" s="55">
        <v>43605</v>
      </c>
      <c r="P72" s="58" t="s">
        <v>2948</v>
      </c>
      <c r="Q72" s="52"/>
      <c r="R72" s="118" t="s">
        <v>2949</v>
      </c>
      <c r="S72" s="47"/>
    </row>
    <row r="73" spans="2:19" s="30" customFormat="1" ht="33" hidden="1" customHeight="1">
      <c r="B73" s="46" t="s">
        <v>83</v>
      </c>
      <c r="C73" s="35" t="s">
        <v>321</v>
      </c>
      <c r="D73" s="36" t="s">
        <v>727</v>
      </c>
      <c r="E73" s="37">
        <v>43532</v>
      </c>
      <c r="F73" s="38" t="s">
        <v>77</v>
      </c>
      <c r="G73" s="39">
        <v>6720</v>
      </c>
      <c r="H73" s="38">
        <f t="shared" si="7"/>
        <v>28</v>
      </c>
      <c r="I73" s="38">
        <f t="shared" si="8"/>
        <v>7</v>
      </c>
      <c r="J73" s="38"/>
      <c r="K73" s="40">
        <v>43633</v>
      </c>
      <c r="L73" s="41" t="s">
        <v>807</v>
      </c>
      <c r="M73" s="42">
        <v>43627</v>
      </c>
      <c r="N73" s="43" t="s">
        <v>808</v>
      </c>
      <c r="O73" s="42">
        <v>43632</v>
      </c>
      <c r="P73" s="45"/>
      <c r="Q73" s="38"/>
      <c r="R73" s="115" t="s">
        <v>2950</v>
      </c>
      <c r="S73" s="46"/>
    </row>
    <row r="74" spans="2:19" s="30" customFormat="1" ht="33" hidden="1" customHeight="1">
      <c r="B74" s="46" t="s">
        <v>83</v>
      </c>
      <c r="C74" s="35" t="s">
        <v>324</v>
      </c>
      <c r="D74" s="36" t="s">
        <v>1234</v>
      </c>
      <c r="E74" s="37">
        <v>43567</v>
      </c>
      <c r="F74" s="38" t="s">
        <v>77</v>
      </c>
      <c r="G74" s="39">
        <v>5760</v>
      </c>
      <c r="H74" s="38">
        <f t="shared" si="7"/>
        <v>24</v>
      </c>
      <c r="I74" s="38">
        <f t="shared" si="8"/>
        <v>6</v>
      </c>
      <c r="J74" s="38"/>
      <c r="K74" s="40">
        <v>43674</v>
      </c>
      <c r="L74" s="41" t="s">
        <v>2951</v>
      </c>
      <c r="M74" s="42">
        <v>43669</v>
      </c>
      <c r="N74" s="43" t="s">
        <v>2952</v>
      </c>
      <c r="O74" s="42">
        <v>43674</v>
      </c>
      <c r="P74" s="45"/>
      <c r="Q74" s="38"/>
      <c r="R74" s="115" t="s">
        <v>2953</v>
      </c>
      <c r="S74" s="46"/>
    </row>
    <row r="75" spans="2:19" s="30" customFormat="1" ht="33" customHeight="1">
      <c r="B75" s="46" t="s">
        <v>83</v>
      </c>
      <c r="C75" s="35" t="s">
        <v>430</v>
      </c>
      <c r="D75" s="36" t="s">
        <v>2696</v>
      </c>
      <c r="E75" s="37">
        <v>43609</v>
      </c>
      <c r="F75" s="38" t="s">
        <v>77</v>
      </c>
      <c r="G75" s="39">
        <v>7680</v>
      </c>
      <c r="H75" s="38">
        <f t="shared" si="7"/>
        <v>32</v>
      </c>
      <c r="I75" s="38">
        <f t="shared" si="8"/>
        <v>8</v>
      </c>
      <c r="J75" s="38"/>
      <c r="K75" s="40">
        <v>43702</v>
      </c>
      <c r="L75" s="41" t="s">
        <v>2509</v>
      </c>
      <c r="M75" s="42">
        <v>43697</v>
      </c>
      <c r="N75" s="43" t="s">
        <v>2498</v>
      </c>
      <c r="O75" s="42">
        <v>43702</v>
      </c>
      <c r="P75" s="45"/>
      <c r="Q75" s="38"/>
      <c r="R75" s="115" t="s">
        <v>2954</v>
      </c>
      <c r="S75" s="46"/>
    </row>
    <row r="76" spans="2:19" s="34" customFormat="1" ht="33" hidden="1" customHeight="1">
      <c r="B76" s="47" t="s">
        <v>210</v>
      </c>
      <c r="C76" s="48" t="s">
        <v>226</v>
      </c>
      <c r="D76" s="49" t="s">
        <v>593</v>
      </c>
      <c r="E76" s="50">
        <v>43483</v>
      </c>
      <c r="F76" s="52" t="s">
        <v>218</v>
      </c>
      <c r="G76" s="51">
        <v>640</v>
      </c>
      <c r="H76" s="52">
        <f t="shared" ref="H76:H98" si="9">SUM(G76/20)</f>
        <v>32</v>
      </c>
      <c r="I76" s="52">
        <f t="shared" ref="I76:I98" si="10">SUM(H76/32)</f>
        <v>1</v>
      </c>
      <c r="J76" s="52"/>
      <c r="K76" s="53">
        <v>43534</v>
      </c>
      <c r="L76" s="54" t="s">
        <v>2955</v>
      </c>
      <c r="M76" s="55"/>
      <c r="N76" s="56"/>
      <c r="O76" s="55">
        <v>43520</v>
      </c>
      <c r="P76" s="58" t="s">
        <v>651</v>
      </c>
      <c r="Q76" s="52"/>
      <c r="R76" s="63" t="s">
        <v>211</v>
      </c>
      <c r="S76" s="52"/>
    </row>
    <row r="77" spans="2:19" s="34" customFormat="1" ht="33" hidden="1" customHeight="1">
      <c r="B77" s="47" t="s">
        <v>210</v>
      </c>
      <c r="C77" s="48" t="s">
        <v>285</v>
      </c>
      <c r="D77" s="49" t="s">
        <v>526</v>
      </c>
      <c r="E77" s="50">
        <v>43507</v>
      </c>
      <c r="F77" s="52" t="s">
        <v>218</v>
      </c>
      <c r="G77" s="51">
        <v>3200</v>
      </c>
      <c r="H77" s="52">
        <f t="shared" si="9"/>
        <v>160</v>
      </c>
      <c r="I77" s="52">
        <f t="shared" si="10"/>
        <v>5</v>
      </c>
      <c r="J77" s="52"/>
      <c r="K77" s="53">
        <v>43576</v>
      </c>
      <c r="L77" s="54" t="s">
        <v>503</v>
      </c>
      <c r="M77" s="55">
        <v>43571</v>
      </c>
      <c r="N77" s="56" t="s">
        <v>2875</v>
      </c>
      <c r="O77" s="55">
        <v>43576</v>
      </c>
      <c r="P77" s="58"/>
      <c r="Q77" s="52" t="s">
        <v>643</v>
      </c>
      <c r="R77" s="63" t="s">
        <v>211</v>
      </c>
      <c r="S77" s="52"/>
    </row>
    <row r="78" spans="2:19" s="34" customFormat="1" ht="33" hidden="1" customHeight="1">
      <c r="B78" s="47" t="s">
        <v>210</v>
      </c>
      <c r="C78" s="48" t="s">
        <v>2956</v>
      </c>
      <c r="D78" s="49" t="s">
        <v>526</v>
      </c>
      <c r="E78" s="50">
        <v>43507</v>
      </c>
      <c r="F78" s="52" t="s">
        <v>218</v>
      </c>
      <c r="G78" s="51">
        <v>640</v>
      </c>
      <c r="H78" s="52">
        <f t="shared" si="9"/>
        <v>32</v>
      </c>
      <c r="I78" s="52">
        <f t="shared" si="10"/>
        <v>1</v>
      </c>
      <c r="J78" s="52"/>
      <c r="K78" s="53">
        <v>43576</v>
      </c>
      <c r="L78" s="54" t="s">
        <v>448</v>
      </c>
      <c r="M78" s="55">
        <v>43578</v>
      </c>
      <c r="N78" s="56" t="s">
        <v>2927</v>
      </c>
      <c r="O78" s="55">
        <v>43583</v>
      </c>
      <c r="P78" s="58"/>
      <c r="Q78" s="52" t="s">
        <v>643</v>
      </c>
      <c r="R78" s="63" t="s">
        <v>211</v>
      </c>
      <c r="S78" s="52"/>
    </row>
    <row r="79" spans="2:19" s="34" customFormat="1" ht="33" hidden="1" customHeight="1">
      <c r="B79" s="47" t="s">
        <v>210</v>
      </c>
      <c r="C79" s="48" t="s">
        <v>331</v>
      </c>
      <c r="D79" s="49" t="s">
        <v>2957</v>
      </c>
      <c r="E79" s="50">
        <v>43519</v>
      </c>
      <c r="F79" s="52" t="s">
        <v>218</v>
      </c>
      <c r="G79" s="51">
        <v>3200</v>
      </c>
      <c r="H79" s="52">
        <f t="shared" si="9"/>
        <v>160</v>
      </c>
      <c r="I79" s="52">
        <f t="shared" si="10"/>
        <v>5</v>
      </c>
      <c r="J79" s="52"/>
      <c r="K79" s="53">
        <v>43562</v>
      </c>
      <c r="L79" s="54" t="s">
        <v>608</v>
      </c>
      <c r="M79" s="55">
        <v>43557</v>
      </c>
      <c r="N79" s="56" t="s">
        <v>2917</v>
      </c>
      <c r="O79" s="55">
        <v>43562</v>
      </c>
      <c r="P79" s="58"/>
      <c r="Q79" s="52" t="s">
        <v>642</v>
      </c>
      <c r="R79" s="63" t="s">
        <v>211</v>
      </c>
      <c r="S79" s="52"/>
    </row>
    <row r="80" spans="2:19" s="34" customFormat="1" ht="33" hidden="1" customHeight="1">
      <c r="B80" s="47" t="s">
        <v>210</v>
      </c>
      <c r="C80" s="48" t="s">
        <v>2958</v>
      </c>
      <c r="D80" s="49" t="s">
        <v>2957</v>
      </c>
      <c r="E80" s="50">
        <v>43519</v>
      </c>
      <c r="F80" s="52" t="s">
        <v>218</v>
      </c>
      <c r="G80" s="51">
        <v>640</v>
      </c>
      <c r="H80" s="52">
        <f t="shared" si="9"/>
        <v>32</v>
      </c>
      <c r="I80" s="52">
        <f t="shared" si="10"/>
        <v>1</v>
      </c>
      <c r="J80" s="52"/>
      <c r="K80" s="53">
        <v>43562</v>
      </c>
      <c r="L80" s="54" t="s">
        <v>480</v>
      </c>
      <c r="M80" s="55">
        <v>43564</v>
      </c>
      <c r="N80" s="56" t="s">
        <v>646</v>
      </c>
      <c r="O80" s="55">
        <v>43569</v>
      </c>
      <c r="P80" s="58"/>
      <c r="Q80" s="52" t="s">
        <v>642</v>
      </c>
      <c r="R80" s="63" t="s">
        <v>211</v>
      </c>
      <c r="S80" s="52"/>
    </row>
    <row r="81" spans="2:19" s="32" customFormat="1" ht="33" hidden="1" customHeight="1">
      <c r="B81" s="46" t="s">
        <v>210</v>
      </c>
      <c r="C81" s="35" t="s">
        <v>2527</v>
      </c>
      <c r="D81" s="190" t="s">
        <v>2959</v>
      </c>
      <c r="E81" s="37">
        <v>43609</v>
      </c>
      <c r="F81" s="38" t="s">
        <v>218</v>
      </c>
      <c r="G81" s="39">
        <v>120</v>
      </c>
      <c r="H81" s="38">
        <f t="shared" si="9"/>
        <v>6</v>
      </c>
      <c r="I81" s="38">
        <f t="shared" si="10"/>
        <v>0.1875</v>
      </c>
      <c r="J81" s="38"/>
      <c r="K81" s="40">
        <v>43646</v>
      </c>
      <c r="L81" s="41" t="s">
        <v>1083</v>
      </c>
      <c r="M81" s="42">
        <v>43634</v>
      </c>
      <c r="N81" s="43" t="s">
        <v>1084</v>
      </c>
      <c r="O81" s="42">
        <v>43639</v>
      </c>
      <c r="P81" s="45"/>
      <c r="Q81" s="66" t="s">
        <v>2543</v>
      </c>
      <c r="R81" s="66" t="s">
        <v>2960</v>
      </c>
      <c r="S81" s="38"/>
    </row>
    <row r="82" spans="2:19" s="32" customFormat="1" ht="33" hidden="1" customHeight="1">
      <c r="B82" s="46" t="s">
        <v>2961</v>
      </c>
      <c r="C82" s="35" t="s">
        <v>2531</v>
      </c>
      <c r="D82" s="190" t="s">
        <v>2959</v>
      </c>
      <c r="E82" s="37">
        <v>43609</v>
      </c>
      <c r="F82" s="38" t="s">
        <v>2962</v>
      </c>
      <c r="G82" s="39">
        <v>120</v>
      </c>
      <c r="H82" s="38">
        <f t="shared" si="9"/>
        <v>6</v>
      </c>
      <c r="I82" s="38">
        <f t="shared" si="10"/>
        <v>0.1875</v>
      </c>
      <c r="J82" s="38"/>
      <c r="K82" s="40">
        <v>43646</v>
      </c>
      <c r="L82" s="41" t="s">
        <v>1083</v>
      </c>
      <c r="M82" s="42">
        <v>43634</v>
      </c>
      <c r="N82" s="43" t="s">
        <v>1084</v>
      </c>
      <c r="O82" s="42">
        <v>43639</v>
      </c>
      <c r="P82" s="45"/>
      <c r="Q82" s="66" t="s">
        <v>2544</v>
      </c>
      <c r="R82" s="66" t="s">
        <v>2960</v>
      </c>
      <c r="S82" s="38"/>
    </row>
    <row r="83" spans="2:19" s="34" customFormat="1" ht="33" hidden="1" customHeight="1">
      <c r="B83" s="47" t="s">
        <v>210</v>
      </c>
      <c r="C83" s="48" t="s">
        <v>431</v>
      </c>
      <c r="D83" s="49" t="s">
        <v>2963</v>
      </c>
      <c r="E83" s="50">
        <v>43523</v>
      </c>
      <c r="F83" s="52" t="s">
        <v>218</v>
      </c>
      <c r="G83" s="51">
        <v>3200</v>
      </c>
      <c r="H83" s="52">
        <f t="shared" si="9"/>
        <v>160</v>
      </c>
      <c r="I83" s="52">
        <f t="shared" si="10"/>
        <v>5</v>
      </c>
      <c r="J83" s="52"/>
      <c r="K83" s="53">
        <v>43597</v>
      </c>
      <c r="L83" s="54" t="s">
        <v>605</v>
      </c>
      <c r="M83" s="55">
        <v>43594</v>
      </c>
      <c r="N83" s="56" t="s">
        <v>2888</v>
      </c>
      <c r="O83" s="55">
        <v>43598</v>
      </c>
      <c r="P83" s="58"/>
      <c r="Q83" s="52" t="s">
        <v>641</v>
      </c>
      <c r="R83" s="63" t="s">
        <v>211</v>
      </c>
      <c r="S83" s="52"/>
    </row>
    <row r="84" spans="2:19" s="34" customFormat="1" ht="33" hidden="1" customHeight="1">
      <c r="B84" s="47" t="s">
        <v>210</v>
      </c>
      <c r="C84" s="48" t="s">
        <v>2964</v>
      </c>
      <c r="D84" s="49" t="s">
        <v>2963</v>
      </c>
      <c r="E84" s="50">
        <v>43523</v>
      </c>
      <c r="F84" s="52" t="s">
        <v>218</v>
      </c>
      <c r="G84" s="51">
        <v>640</v>
      </c>
      <c r="H84" s="52">
        <f t="shared" si="9"/>
        <v>32</v>
      </c>
      <c r="I84" s="52">
        <f t="shared" si="10"/>
        <v>1</v>
      </c>
      <c r="J84" s="52"/>
      <c r="K84" s="53">
        <v>43618</v>
      </c>
      <c r="L84" s="54" t="s">
        <v>2897</v>
      </c>
      <c r="M84" s="55">
        <v>43613</v>
      </c>
      <c r="N84" s="56" t="s">
        <v>2898</v>
      </c>
      <c r="O84" s="55">
        <v>43618</v>
      </c>
      <c r="P84" s="58"/>
      <c r="Q84" s="52" t="s">
        <v>641</v>
      </c>
      <c r="R84" s="63" t="s">
        <v>211</v>
      </c>
      <c r="S84" s="52"/>
    </row>
    <row r="85" spans="2:19" s="34" customFormat="1" ht="33" hidden="1" customHeight="1">
      <c r="B85" s="47" t="s">
        <v>210</v>
      </c>
      <c r="C85" s="48" t="s">
        <v>2965</v>
      </c>
      <c r="D85" s="49" t="s">
        <v>739</v>
      </c>
      <c r="E85" s="50">
        <v>43532</v>
      </c>
      <c r="F85" s="52" t="s">
        <v>218</v>
      </c>
      <c r="G85" s="51">
        <v>2560</v>
      </c>
      <c r="H85" s="52">
        <f t="shared" si="9"/>
        <v>128</v>
      </c>
      <c r="I85" s="52">
        <f t="shared" si="10"/>
        <v>4</v>
      </c>
      <c r="J85" s="52"/>
      <c r="K85" s="53">
        <v>43618</v>
      </c>
      <c r="L85" s="54" t="s">
        <v>2897</v>
      </c>
      <c r="M85" s="55">
        <v>43613</v>
      </c>
      <c r="N85" s="56" t="s">
        <v>2898</v>
      </c>
      <c r="O85" s="55">
        <v>43618</v>
      </c>
      <c r="P85" s="58"/>
      <c r="Q85" s="52" t="s">
        <v>970</v>
      </c>
      <c r="R85" s="63" t="s">
        <v>211</v>
      </c>
      <c r="S85" s="52"/>
    </row>
    <row r="86" spans="2:19" s="32" customFormat="1" ht="33" hidden="1" customHeight="1">
      <c r="B86" s="46" t="s">
        <v>210</v>
      </c>
      <c r="C86" s="35" t="s">
        <v>589</v>
      </c>
      <c r="D86" s="36" t="s">
        <v>1260</v>
      </c>
      <c r="E86" s="37">
        <v>43558</v>
      </c>
      <c r="F86" s="38" t="s">
        <v>218</v>
      </c>
      <c r="G86" s="39">
        <v>3200</v>
      </c>
      <c r="H86" s="38">
        <f t="shared" si="9"/>
        <v>160</v>
      </c>
      <c r="I86" s="38">
        <f t="shared" si="10"/>
        <v>5</v>
      </c>
      <c r="J86" s="38"/>
      <c r="K86" s="40">
        <v>43639</v>
      </c>
      <c r="L86" s="41" t="s">
        <v>2966</v>
      </c>
      <c r="M86" s="42">
        <v>43634</v>
      </c>
      <c r="N86" s="43" t="s">
        <v>2967</v>
      </c>
      <c r="O86" s="42">
        <v>43639</v>
      </c>
      <c r="P86" s="45"/>
      <c r="Q86" s="38" t="s">
        <v>973</v>
      </c>
      <c r="R86" s="66" t="s">
        <v>211</v>
      </c>
      <c r="S86" s="38"/>
    </row>
    <row r="87" spans="2:19" s="32" customFormat="1" ht="33" hidden="1" customHeight="1">
      <c r="B87" s="46" t="s">
        <v>210</v>
      </c>
      <c r="C87" s="35" t="s">
        <v>2078</v>
      </c>
      <c r="D87" s="36" t="s">
        <v>2426</v>
      </c>
      <c r="E87" s="37">
        <v>43602</v>
      </c>
      <c r="F87" s="38" t="s">
        <v>218</v>
      </c>
      <c r="G87" s="39">
        <v>3200</v>
      </c>
      <c r="H87" s="38">
        <f t="shared" si="9"/>
        <v>160</v>
      </c>
      <c r="I87" s="38">
        <f t="shared" si="10"/>
        <v>5</v>
      </c>
      <c r="J87" s="38"/>
      <c r="K87" s="40">
        <v>43653</v>
      </c>
      <c r="L87" s="41" t="s">
        <v>1326</v>
      </c>
      <c r="M87" s="42">
        <v>43648</v>
      </c>
      <c r="N87" s="43" t="s">
        <v>2903</v>
      </c>
      <c r="O87" s="42">
        <v>43653</v>
      </c>
      <c r="P87" s="45"/>
      <c r="Q87" s="38" t="s">
        <v>2148</v>
      </c>
      <c r="R87" s="66" t="s">
        <v>211</v>
      </c>
      <c r="S87" s="38"/>
    </row>
    <row r="88" spans="2:19" s="32" customFormat="1" ht="33" hidden="1" customHeight="1">
      <c r="B88" s="46" t="s">
        <v>210</v>
      </c>
      <c r="C88" s="35" t="s">
        <v>2079</v>
      </c>
      <c r="D88" s="36" t="s">
        <v>2428</v>
      </c>
      <c r="E88" s="37">
        <v>43602</v>
      </c>
      <c r="F88" s="38" t="s">
        <v>218</v>
      </c>
      <c r="G88" s="39">
        <v>3200</v>
      </c>
      <c r="H88" s="38">
        <f t="shared" si="9"/>
        <v>160</v>
      </c>
      <c r="I88" s="38">
        <f t="shared" si="10"/>
        <v>5</v>
      </c>
      <c r="J88" s="38"/>
      <c r="K88" s="40">
        <v>43667</v>
      </c>
      <c r="L88" s="41" t="s">
        <v>2146</v>
      </c>
      <c r="M88" s="42">
        <v>43669</v>
      </c>
      <c r="N88" s="43" t="s">
        <v>2551</v>
      </c>
      <c r="O88" s="42">
        <v>43674</v>
      </c>
      <c r="P88" s="45"/>
      <c r="Q88" s="38" t="s">
        <v>2150</v>
      </c>
      <c r="R88" s="66" t="s">
        <v>211</v>
      </c>
      <c r="S88" s="38"/>
    </row>
    <row r="89" spans="2:19" s="32" customFormat="1" ht="33" hidden="1" customHeight="1">
      <c r="B89" s="46" t="s">
        <v>210</v>
      </c>
      <c r="C89" s="35" t="s">
        <v>2378</v>
      </c>
      <c r="D89" s="36" t="s">
        <v>2968</v>
      </c>
      <c r="E89" s="37">
        <v>43602</v>
      </c>
      <c r="F89" s="38" t="s">
        <v>218</v>
      </c>
      <c r="G89" s="39">
        <v>3200</v>
      </c>
      <c r="H89" s="38">
        <f t="shared" si="9"/>
        <v>160</v>
      </c>
      <c r="I89" s="38">
        <f t="shared" si="10"/>
        <v>5</v>
      </c>
      <c r="J89" s="38"/>
      <c r="K89" s="40">
        <v>43688</v>
      </c>
      <c r="L89" s="119" t="s">
        <v>2505</v>
      </c>
      <c r="M89" s="120">
        <v>43683</v>
      </c>
      <c r="N89" s="121" t="s">
        <v>2884</v>
      </c>
      <c r="O89" s="120">
        <v>43688</v>
      </c>
      <c r="P89" s="45"/>
      <c r="Q89" s="124" t="s">
        <v>2762</v>
      </c>
      <c r="R89" s="66" t="s">
        <v>211</v>
      </c>
      <c r="S89" s="122" t="s">
        <v>2764</v>
      </c>
    </row>
    <row r="90" spans="2:19" s="32" customFormat="1" ht="33" customHeight="1">
      <c r="B90" s="46" t="s">
        <v>210</v>
      </c>
      <c r="C90" s="35" t="s">
        <v>2430</v>
      </c>
      <c r="D90" s="190" t="s">
        <v>2969</v>
      </c>
      <c r="E90" s="37">
        <v>43602</v>
      </c>
      <c r="F90" s="38" t="s">
        <v>218</v>
      </c>
      <c r="G90" s="39">
        <v>3200</v>
      </c>
      <c r="H90" s="38">
        <f t="shared" si="9"/>
        <v>160</v>
      </c>
      <c r="I90" s="38">
        <f t="shared" si="10"/>
        <v>5</v>
      </c>
      <c r="J90" s="38"/>
      <c r="K90" s="40">
        <v>43702</v>
      </c>
      <c r="L90" s="41" t="s">
        <v>2509</v>
      </c>
      <c r="M90" s="42">
        <v>43697</v>
      </c>
      <c r="N90" s="43" t="s">
        <v>2907</v>
      </c>
      <c r="O90" s="42">
        <v>43702</v>
      </c>
      <c r="P90" s="45"/>
      <c r="Q90" s="38" t="s">
        <v>2517</v>
      </c>
      <c r="R90" s="66" t="s">
        <v>211</v>
      </c>
      <c r="S90" s="38"/>
    </row>
    <row r="91" spans="2:19" s="32" customFormat="1" ht="33" hidden="1" customHeight="1">
      <c r="B91" s="46" t="s">
        <v>210</v>
      </c>
      <c r="C91" s="35" t="s">
        <v>2528</v>
      </c>
      <c r="D91" s="190" t="s">
        <v>2704</v>
      </c>
      <c r="E91" s="37">
        <v>43609</v>
      </c>
      <c r="F91" s="38" t="s">
        <v>218</v>
      </c>
      <c r="G91" s="39">
        <v>3200</v>
      </c>
      <c r="H91" s="38">
        <f t="shared" si="9"/>
        <v>160</v>
      </c>
      <c r="I91" s="38">
        <f t="shared" si="10"/>
        <v>5</v>
      </c>
      <c r="J91" s="38"/>
      <c r="K91" s="40">
        <v>43660</v>
      </c>
      <c r="L91" s="41" t="s">
        <v>1326</v>
      </c>
      <c r="M91" s="42">
        <v>43648</v>
      </c>
      <c r="N91" s="43" t="s">
        <v>2540</v>
      </c>
      <c r="O91" s="42">
        <v>43653</v>
      </c>
      <c r="P91" s="45"/>
      <c r="Q91" s="38" t="s">
        <v>2148</v>
      </c>
      <c r="R91" s="66" t="s">
        <v>211</v>
      </c>
      <c r="S91" s="38"/>
    </row>
    <row r="92" spans="2:19" s="32" customFormat="1" ht="33" hidden="1" customHeight="1">
      <c r="B92" s="46" t="s">
        <v>210</v>
      </c>
      <c r="C92" s="35" t="s">
        <v>2529</v>
      </c>
      <c r="D92" s="190" t="s">
        <v>2705</v>
      </c>
      <c r="E92" s="37">
        <v>43609</v>
      </c>
      <c r="F92" s="38" t="s">
        <v>218</v>
      </c>
      <c r="G92" s="39">
        <v>3200</v>
      </c>
      <c r="H92" s="38">
        <f t="shared" si="9"/>
        <v>160</v>
      </c>
      <c r="I92" s="38">
        <f t="shared" si="10"/>
        <v>5</v>
      </c>
      <c r="J92" s="38"/>
      <c r="K92" s="40">
        <v>43675</v>
      </c>
      <c r="L92" s="41" t="s">
        <v>2146</v>
      </c>
      <c r="M92" s="42">
        <v>43669</v>
      </c>
      <c r="N92" s="43" t="s">
        <v>2551</v>
      </c>
      <c r="O92" s="42">
        <v>43674</v>
      </c>
      <c r="P92" s="45"/>
      <c r="Q92" s="38" t="s">
        <v>2150</v>
      </c>
      <c r="R92" s="66" t="s">
        <v>211</v>
      </c>
      <c r="S92" s="38"/>
    </row>
    <row r="93" spans="2:19" s="34" customFormat="1" ht="33" hidden="1" customHeight="1">
      <c r="B93" s="47" t="s">
        <v>2961</v>
      </c>
      <c r="C93" s="48" t="s">
        <v>235</v>
      </c>
      <c r="D93" s="49" t="s">
        <v>744</v>
      </c>
      <c r="E93" s="50">
        <v>43532</v>
      </c>
      <c r="F93" s="52" t="s">
        <v>2962</v>
      </c>
      <c r="G93" s="51">
        <v>1280</v>
      </c>
      <c r="H93" s="52">
        <f t="shared" si="9"/>
        <v>64</v>
      </c>
      <c r="I93" s="52">
        <f t="shared" si="10"/>
        <v>2</v>
      </c>
      <c r="J93" s="52"/>
      <c r="K93" s="53">
        <v>43597</v>
      </c>
      <c r="L93" s="54" t="s">
        <v>605</v>
      </c>
      <c r="M93" s="55">
        <v>43594</v>
      </c>
      <c r="N93" s="56" t="s">
        <v>772</v>
      </c>
      <c r="O93" s="55">
        <v>43598</v>
      </c>
      <c r="P93" s="58"/>
      <c r="Q93" s="52" t="s">
        <v>641</v>
      </c>
      <c r="R93" s="63" t="s">
        <v>211</v>
      </c>
      <c r="S93" s="52"/>
    </row>
    <row r="94" spans="2:19" s="32" customFormat="1" ht="33" hidden="1" customHeight="1">
      <c r="B94" s="46" t="s">
        <v>2961</v>
      </c>
      <c r="C94" s="35" t="s">
        <v>1569</v>
      </c>
      <c r="D94" s="36" t="s">
        <v>2970</v>
      </c>
      <c r="E94" s="37">
        <v>43581</v>
      </c>
      <c r="F94" s="38" t="s">
        <v>2962</v>
      </c>
      <c r="G94" s="39">
        <v>1280</v>
      </c>
      <c r="H94" s="38">
        <f t="shared" si="9"/>
        <v>64</v>
      </c>
      <c r="I94" s="38">
        <f t="shared" si="10"/>
        <v>2</v>
      </c>
      <c r="J94" s="38"/>
      <c r="K94" s="40">
        <v>43632</v>
      </c>
      <c r="L94" s="41" t="s">
        <v>807</v>
      </c>
      <c r="M94" s="42">
        <v>43627</v>
      </c>
      <c r="N94" s="43" t="s">
        <v>2971</v>
      </c>
      <c r="O94" s="42">
        <v>43632</v>
      </c>
      <c r="P94" s="45"/>
      <c r="Q94" s="38" t="s">
        <v>1810</v>
      </c>
      <c r="R94" s="66" t="s">
        <v>211</v>
      </c>
      <c r="S94" s="38"/>
    </row>
    <row r="95" spans="2:19" s="32" customFormat="1" ht="33" hidden="1" customHeight="1">
      <c r="B95" s="46" t="s">
        <v>2961</v>
      </c>
      <c r="C95" s="35" t="s">
        <v>90</v>
      </c>
      <c r="D95" s="36" t="s">
        <v>2972</v>
      </c>
      <c r="E95" s="37">
        <v>43595</v>
      </c>
      <c r="F95" s="38" t="s">
        <v>2962</v>
      </c>
      <c r="G95" s="39">
        <v>1280</v>
      </c>
      <c r="H95" s="38">
        <f t="shared" si="9"/>
        <v>64</v>
      </c>
      <c r="I95" s="38">
        <f t="shared" si="10"/>
        <v>2</v>
      </c>
      <c r="J95" s="38"/>
      <c r="K95" s="40">
        <v>43646</v>
      </c>
      <c r="L95" s="41" t="s">
        <v>1326</v>
      </c>
      <c r="M95" s="42">
        <v>43648</v>
      </c>
      <c r="N95" s="43" t="s">
        <v>2903</v>
      </c>
      <c r="O95" s="42">
        <v>43653</v>
      </c>
      <c r="P95" s="45"/>
      <c r="Q95" s="38" t="s">
        <v>2148</v>
      </c>
      <c r="R95" s="66" t="s">
        <v>211</v>
      </c>
      <c r="S95" s="38"/>
    </row>
    <row r="96" spans="2:19" s="32" customFormat="1" ht="33" hidden="1" customHeight="1">
      <c r="B96" s="46" t="s">
        <v>2961</v>
      </c>
      <c r="C96" s="35" t="s">
        <v>2088</v>
      </c>
      <c r="D96" s="36" t="s">
        <v>2973</v>
      </c>
      <c r="E96" s="37">
        <v>43595</v>
      </c>
      <c r="F96" s="38" t="s">
        <v>2962</v>
      </c>
      <c r="G96" s="129">
        <v>640</v>
      </c>
      <c r="H96" s="124">
        <f t="shared" si="9"/>
        <v>32</v>
      </c>
      <c r="I96" s="124">
        <f t="shared" si="10"/>
        <v>1</v>
      </c>
      <c r="J96" s="38"/>
      <c r="K96" s="40">
        <v>43709</v>
      </c>
      <c r="L96" s="41" t="s">
        <v>2974</v>
      </c>
      <c r="M96" s="42">
        <v>43706</v>
      </c>
      <c r="N96" s="43" t="s">
        <v>2975</v>
      </c>
      <c r="O96" s="42">
        <v>43710</v>
      </c>
      <c r="P96" s="45"/>
      <c r="Q96" s="66" t="s">
        <v>2548</v>
      </c>
      <c r="R96" s="66" t="s">
        <v>211</v>
      </c>
      <c r="S96" s="38"/>
    </row>
    <row r="97" spans="1:19" s="32" customFormat="1" ht="33" hidden="1" customHeight="1">
      <c r="B97" s="46" t="s">
        <v>2961</v>
      </c>
      <c r="C97" s="35" t="s">
        <v>208</v>
      </c>
      <c r="D97" s="190" t="s">
        <v>2976</v>
      </c>
      <c r="E97" s="37">
        <v>43602</v>
      </c>
      <c r="F97" s="38" t="s">
        <v>2962</v>
      </c>
      <c r="G97" s="129">
        <v>640</v>
      </c>
      <c r="H97" s="124">
        <f t="shared" si="9"/>
        <v>32</v>
      </c>
      <c r="I97" s="124">
        <f t="shared" si="10"/>
        <v>1</v>
      </c>
      <c r="J97" s="38"/>
      <c r="K97" s="196">
        <v>43730</v>
      </c>
      <c r="L97" s="41" t="s">
        <v>2977</v>
      </c>
      <c r="M97" s="42">
        <v>43725</v>
      </c>
      <c r="N97" s="43" t="s">
        <v>2978</v>
      </c>
      <c r="O97" s="42">
        <v>43730</v>
      </c>
      <c r="P97" s="45"/>
      <c r="Q97" s="66" t="s">
        <v>2549</v>
      </c>
      <c r="R97" s="66" t="s">
        <v>211</v>
      </c>
      <c r="S97" s="38"/>
    </row>
    <row r="98" spans="1:19" s="32" customFormat="1" ht="33" hidden="1" customHeight="1">
      <c r="B98" s="135" t="s">
        <v>2961</v>
      </c>
      <c r="C98" s="136" t="s">
        <v>212</v>
      </c>
      <c r="D98" s="191" t="s">
        <v>2979</v>
      </c>
      <c r="E98" s="138">
        <v>43602</v>
      </c>
      <c r="F98" s="139" t="s">
        <v>2962</v>
      </c>
      <c r="G98" s="140">
        <v>640</v>
      </c>
      <c r="H98" s="139">
        <f t="shared" si="9"/>
        <v>32</v>
      </c>
      <c r="I98" s="139">
        <f t="shared" si="10"/>
        <v>1</v>
      </c>
      <c r="J98" s="139"/>
      <c r="K98" s="141" t="s">
        <v>2545</v>
      </c>
      <c r="L98" s="142"/>
      <c r="M98" s="143"/>
      <c r="N98" s="144"/>
      <c r="O98" s="143"/>
      <c r="P98" s="145"/>
      <c r="Q98" s="193" t="s">
        <v>2517</v>
      </c>
      <c r="R98" s="192" t="s">
        <v>211</v>
      </c>
      <c r="S98" s="139" t="s">
        <v>2541</v>
      </c>
    </row>
    <row r="99" spans="1:19" s="33" customFormat="1" ht="33" hidden="1" customHeight="1">
      <c r="A99" s="33" t="s">
        <v>2980</v>
      </c>
      <c r="B99" s="47" t="s">
        <v>2981</v>
      </c>
      <c r="C99" s="48" t="s">
        <v>225</v>
      </c>
      <c r="D99" s="49" t="s">
        <v>487</v>
      </c>
      <c r="E99" s="50">
        <v>43490</v>
      </c>
      <c r="F99" s="52" t="s">
        <v>2982</v>
      </c>
      <c r="G99" s="51">
        <v>1520</v>
      </c>
      <c r="H99" s="52">
        <f>SUM(G99/190)</f>
        <v>8</v>
      </c>
      <c r="I99" s="52">
        <f>SUM(H99/4)</f>
        <v>2</v>
      </c>
      <c r="J99" s="52"/>
      <c r="K99" s="53">
        <v>43569</v>
      </c>
      <c r="L99" s="54" t="s">
        <v>417</v>
      </c>
      <c r="M99" s="55">
        <v>43564</v>
      </c>
      <c r="N99" s="56" t="s">
        <v>2893</v>
      </c>
      <c r="O99" s="55">
        <v>43569</v>
      </c>
      <c r="P99" s="58"/>
      <c r="Q99" s="52"/>
      <c r="R99" s="63" t="s">
        <v>2983</v>
      </c>
      <c r="S99" s="47"/>
    </row>
    <row r="100" spans="1:19" s="30" customFormat="1" ht="33" hidden="1" customHeight="1">
      <c r="B100" s="46" t="s">
        <v>2981</v>
      </c>
      <c r="C100" s="35" t="s">
        <v>226</v>
      </c>
      <c r="D100" s="36" t="s">
        <v>833</v>
      </c>
      <c r="E100" s="37">
        <v>43546</v>
      </c>
      <c r="F100" s="38" t="s">
        <v>2982</v>
      </c>
      <c r="G100" s="39">
        <v>1520</v>
      </c>
      <c r="H100" s="38">
        <f>SUM(G100/190)</f>
        <v>8</v>
      </c>
      <c r="I100" s="38">
        <f>SUM(H100/4)</f>
        <v>2</v>
      </c>
      <c r="J100" s="38"/>
      <c r="K100" s="40">
        <v>43632</v>
      </c>
      <c r="L100" s="41" t="s">
        <v>2984</v>
      </c>
      <c r="M100" s="42">
        <v>43627</v>
      </c>
      <c r="N100" s="43" t="s">
        <v>2971</v>
      </c>
      <c r="O100" s="42">
        <v>43632</v>
      </c>
      <c r="P100" s="45"/>
      <c r="Q100" s="38"/>
      <c r="R100" s="66" t="s">
        <v>2985</v>
      </c>
      <c r="S100" s="46"/>
    </row>
    <row r="101" spans="1:19" s="30" customFormat="1" ht="33" hidden="1" customHeight="1">
      <c r="B101" s="46" t="s">
        <v>2514</v>
      </c>
      <c r="C101" s="35" t="s">
        <v>2986</v>
      </c>
      <c r="D101" s="36" t="s">
        <v>2987</v>
      </c>
      <c r="E101" s="37">
        <v>43602</v>
      </c>
      <c r="F101" s="38" t="s">
        <v>2516</v>
      </c>
      <c r="G101" s="39">
        <v>1520</v>
      </c>
      <c r="H101" s="38">
        <v>8</v>
      </c>
      <c r="I101" s="38">
        <v>2</v>
      </c>
      <c r="J101" s="38"/>
      <c r="K101" s="40">
        <v>43702</v>
      </c>
      <c r="L101" s="41" t="s">
        <v>2941</v>
      </c>
      <c r="M101" s="42">
        <v>43697</v>
      </c>
      <c r="N101" s="43" t="s">
        <v>2907</v>
      </c>
      <c r="O101" s="42">
        <v>43702</v>
      </c>
      <c r="P101" s="45"/>
      <c r="Q101" s="38"/>
      <c r="R101" s="66"/>
      <c r="S101" s="46"/>
    </row>
    <row r="102" spans="1:19" s="33" customFormat="1" ht="33" hidden="1" customHeight="1">
      <c r="B102" s="47" t="s">
        <v>238</v>
      </c>
      <c r="C102" s="48" t="s">
        <v>2988</v>
      </c>
      <c r="D102" s="49" t="s">
        <v>474</v>
      </c>
      <c r="E102" s="50"/>
      <c r="F102" s="52" t="s">
        <v>236</v>
      </c>
      <c r="G102" s="51">
        <v>3200</v>
      </c>
      <c r="H102" s="52">
        <f t="shared" ref="H102:H110" si="11">SUM(G102/200)</f>
        <v>16</v>
      </c>
      <c r="I102" s="52">
        <f t="shared" ref="I102:I110" si="12">SUM(H102/4)</f>
        <v>4</v>
      </c>
      <c r="J102" s="52"/>
      <c r="K102" s="53">
        <v>43562</v>
      </c>
      <c r="L102" s="54" t="s">
        <v>2989</v>
      </c>
      <c r="M102" s="55">
        <v>43557</v>
      </c>
      <c r="N102" s="56" t="s">
        <v>2917</v>
      </c>
      <c r="O102" s="55">
        <v>43562</v>
      </c>
      <c r="P102" s="58"/>
      <c r="Q102" s="52"/>
      <c r="R102" s="63"/>
      <c r="S102" s="47"/>
    </row>
    <row r="103" spans="1:19" s="33" customFormat="1" ht="33" hidden="1" customHeight="1">
      <c r="B103" s="47" t="s">
        <v>238</v>
      </c>
      <c r="C103" s="48" t="s">
        <v>2990</v>
      </c>
      <c r="D103" s="49" t="s">
        <v>475</v>
      </c>
      <c r="E103" s="50"/>
      <c r="F103" s="52" t="s">
        <v>236</v>
      </c>
      <c r="G103" s="51">
        <v>1600</v>
      </c>
      <c r="H103" s="52">
        <f t="shared" si="11"/>
        <v>8</v>
      </c>
      <c r="I103" s="52">
        <f t="shared" si="12"/>
        <v>2</v>
      </c>
      <c r="J103" s="52"/>
      <c r="K103" s="53">
        <v>43562</v>
      </c>
      <c r="L103" s="54" t="s">
        <v>2991</v>
      </c>
      <c r="M103" s="55">
        <v>43564</v>
      </c>
      <c r="N103" s="56" t="s">
        <v>2893</v>
      </c>
      <c r="O103" s="55">
        <v>43569</v>
      </c>
      <c r="P103" s="58"/>
      <c r="Q103" s="52"/>
      <c r="R103" s="63"/>
      <c r="S103" s="47"/>
    </row>
    <row r="104" spans="1:19" s="33" customFormat="1" ht="33" hidden="1" customHeight="1">
      <c r="B104" s="47" t="s">
        <v>238</v>
      </c>
      <c r="C104" s="48" t="s">
        <v>2992</v>
      </c>
      <c r="D104" s="49" t="s">
        <v>488</v>
      </c>
      <c r="E104" s="50">
        <v>43495</v>
      </c>
      <c r="F104" s="52" t="s">
        <v>236</v>
      </c>
      <c r="G104" s="51">
        <v>1600</v>
      </c>
      <c r="H104" s="52">
        <f t="shared" si="11"/>
        <v>8</v>
      </c>
      <c r="I104" s="52">
        <f t="shared" si="12"/>
        <v>2</v>
      </c>
      <c r="J104" s="52"/>
      <c r="K104" s="53">
        <v>43583</v>
      </c>
      <c r="L104" s="54" t="s">
        <v>2993</v>
      </c>
      <c r="M104" s="55">
        <v>43578</v>
      </c>
      <c r="N104" s="56" t="s">
        <v>2927</v>
      </c>
      <c r="O104" s="55">
        <v>43583</v>
      </c>
      <c r="P104" s="58"/>
      <c r="Q104" s="52"/>
      <c r="R104" s="63"/>
      <c r="S104" s="47"/>
    </row>
    <row r="105" spans="1:19" s="33" customFormat="1" ht="33" hidden="1" customHeight="1">
      <c r="B105" s="47" t="s">
        <v>238</v>
      </c>
      <c r="C105" s="48" t="s">
        <v>2994</v>
      </c>
      <c r="D105" s="49" t="s">
        <v>598</v>
      </c>
      <c r="E105" s="50">
        <v>43519</v>
      </c>
      <c r="F105" s="52" t="s">
        <v>236</v>
      </c>
      <c r="G105" s="51">
        <v>1600</v>
      </c>
      <c r="H105" s="52">
        <f t="shared" si="11"/>
        <v>8</v>
      </c>
      <c r="I105" s="52">
        <f t="shared" si="12"/>
        <v>2</v>
      </c>
      <c r="J105" s="52"/>
      <c r="K105" s="53">
        <v>43597</v>
      </c>
      <c r="L105" s="54" t="s">
        <v>2933</v>
      </c>
      <c r="M105" s="55">
        <v>43592</v>
      </c>
      <c r="N105" s="56" t="s">
        <v>2934</v>
      </c>
      <c r="O105" s="55">
        <v>43597</v>
      </c>
      <c r="P105" s="58"/>
      <c r="Q105" s="52"/>
      <c r="R105" s="63"/>
      <c r="S105" s="47"/>
    </row>
    <row r="106" spans="1:19" s="33" customFormat="1" ht="33" hidden="1" customHeight="1">
      <c r="B106" s="47" t="s">
        <v>238</v>
      </c>
      <c r="C106" s="48" t="s">
        <v>2995</v>
      </c>
      <c r="D106" s="49" t="s">
        <v>598</v>
      </c>
      <c r="E106" s="50">
        <v>43519</v>
      </c>
      <c r="F106" s="52" t="s">
        <v>236</v>
      </c>
      <c r="G106" s="51">
        <v>1600</v>
      </c>
      <c r="H106" s="52">
        <f t="shared" si="11"/>
        <v>8</v>
      </c>
      <c r="I106" s="52">
        <f t="shared" si="12"/>
        <v>2</v>
      </c>
      <c r="J106" s="52"/>
      <c r="K106" s="53">
        <v>43597</v>
      </c>
      <c r="L106" s="54" t="s">
        <v>2996</v>
      </c>
      <c r="M106" s="55">
        <v>43606</v>
      </c>
      <c r="N106" s="56" t="s">
        <v>2997</v>
      </c>
      <c r="O106" s="55">
        <v>43613</v>
      </c>
      <c r="P106" s="58"/>
      <c r="Q106" s="52"/>
      <c r="R106" s="63"/>
      <c r="S106" s="47"/>
    </row>
    <row r="107" spans="1:19" s="30" customFormat="1" ht="33" hidden="1" customHeight="1">
      <c r="B107" s="46" t="s">
        <v>238</v>
      </c>
      <c r="C107" s="35" t="s">
        <v>226</v>
      </c>
      <c r="D107" s="36" t="s">
        <v>749</v>
      </c>
      <c r="E107" s="37">
        <v>43532</v>
      </c>
      <c r="F107" s="38" t="s">
        <v>236</v>
      </c>
      <c r="G107" s="39">
        <v>3200</v>
      </c>
      <c r="H107" s="38">
        <f t="shared" si="11"/>
        <v>16</v>
      </c>
      <c r="I107" s="38">
        <f t="shared" si="12"/>
        <v>4</v>
      </c>
      <c r="J107" s="38"/>
      <c r="K107" s="40">
        <v>43625</v>
      </c>
      <c r="L107" s="41" t="s">
        <v>2538</v>
      </c>
      <c r="M107" s="42">
        <v>43627</v>
      </c>
      <c r="N107" s="43" t="s">
        <v>808</v>
      </c>
      <c r="O107" s="42">
        <v>43632</v>
      </c>
      <c r="P107" s="45"/>
      <c r="Q107" s="38"/>
      <c r="R107" s="66"/>
      <c r="S107" s="46" t="s">
        <v>2539</v>
      </c>
    </row>
    <row r="108" spans="1:19" s="30" customFormat="1" ht="33" hidden="1" customHeight="1">
      <c r="B108" s="46" t="s">
        <v>238</v>
      </c>
      <c r="C108" s="35" t="s">
        <v>233</v>
      </c>
      <c r="D108" s="36" t="s">
        <v>750</v>
      </c>
      <c r="E108" s="37">
        <v>43532</v>
      </c>
      <c r="F108" s="38" t="s">
        <v>236</v>
      </c>
      <c r="G108" s="39">
        <v>3200</v>
      </c>
      <c r="H108" s="38">
        <f t="shared" si="11"/>
        <v>16</v>
      </c>
      <c r="I108" s="38">
        <f t="shared" si="12"/>
        <v>4</v>
      </c>
      <c r="J108" s="38"/>
      <c r="K108" s="40">
        <v>43646</v>
      </c>
      <c r="L108" s="41" t="s">
        <v>2998</v>
      </c>
      <c r="M108" s="42">
        <v>43641</v>
      </c>
      <c r="N108" s="43" t="s">
        <v>2999</v>
      </c>
      <c r="O108" s="42">
        <v>43646</v>
      </c>
      <c r="P108" s="45"/>
      <c r="Q108" s="38"/>
      <c r="R108" s="66"/>
      <c r="S108" s="46"/>
    </row>
    <row r="109" spans="1:19" s="30" customFormat="1" ht="33" hidden="1" customHeight="1">
      <c r="B109" s="46" t="s">
        <v>238</v>
      </c>
      <c r="C109" s="35" t="s">
        <v>285</v>
      </c>
      <c r="D109" s="36" t="s">
        <v>1305</v>
      </c>
      <c r="E109" s="37">
        <v>43567</v>
      </c>
      <c r="F109" s="38" t="s">
        <v>236</v>
      </c>
      <c r="G109" s="39">
        <v>3200</v>
      </c>
      <c r="H109" s="38">
        <f t="shared" si="11"/>
        <v>16</v>
      </c>
      <c r="I109" s="38">
        <f t="shared" si="12"/>
        <v>4</v>
      </c>
      <c r="J109" s="38"/>
      <c r="K109" s="40">
        <v>43660</v>
      </c>
      <c r="L109" s="41" t="s">
        <v>3000</v>
      </c>
      <c r="M109" s="42">
        <v>43655</v>
      </c>
      <c r="N109" s="43" t="s">
        <v>3001</v>
      </c>
      <c r="O109" s="42">
        <v>43660</v>
      </c>
      <c r="P109" s="45"/>
      <c r="Q109" s="38"/>
      <c r="R109" s="66"/>
      <c r="S109" s="46"/>
    </row>
    <row r="110" spans="1:19" s="30" customFormat="1" ht="33" hidden="1" customHeight="1">
      <c r="B110" s="46" t="s">
        <v>238</v>
      </c>
      <c r="C110" s="35" t="s">
        <v>331</v>
      </c>
      <c r="D110" s="36" t="s">
        <v>1306</v>
      </c>
      <c r="E110" s="37">
        <v>43567</v>
      </c>
      <c r="F110" s="38" t="s">
        <v>236</v>
      </c>
      <c r="G110" s="39">
        <v>3200</v>
      </c>
      <c r="H110" s="38">
        <f t="shared" si="11"/>
        <v>16</v>
      </c>
      <c r="I110" s="38">
        <f t="shared" si="12"/>
        <v>4</v>
      </c>
      <c r="J110" s="38"/>
      <c r="K110" s="40">
        <v>43674</v>
      </c>
      <c r="L110" s="41" t="s">
        <v>3002</v>
      </c>
      <c r="M110" s="42">
        <v>43669</v>
      </c>
      <c r="N110" s="43" t="s">
        <v>2952</v>
      </c>
      <c r="O110" s="42">
        <v>43674</v>
      </c>
      <c r="P110" s="45"/>
      <c r="Q110" s="38"/>
      <c r="R110" s="66"/>
      <c r="S110" s="46"/>
    </row>
    <row r="111" spans="1:19" s="19" customFormat="1">
      <c r="B111"/>
      <c r="C111" s="15"/>
      <c r="D111" s="1"/>
      <c r="E111" s="174"/>
      <c r="F111"/>
      <c r="G111" s="11"/>
      <c r="H111"/>
      <c r="I111"/>
      <c r="J111"/>
      <c r="K111" s="13"/>
      <c r="L111"/>
      <c r="N111" s="28"/>
      <c r="P111"/>
      <c r="Q111"/>
      <c r="R111" s="17"/>
      <c r="S111"/>
    </row>
    <row r="112" spans="1:19" s="19" customFormat="1" ht="26.4" hidden="1">
      <c r="B112"/>
      <c r="C112" s="15"/>
      <c r="D112" s="1"/>
      <c r="F112" s="177"/>
      <c r="L112" s="176" t="s">
        <v>1821</v>
      </c>
      <c r="M112" s="177"/>
      <c r="N112" s="177"/>
      <c r="O112"/>
      <c r="P112" s="13"/>
      <c r="Q112"/>
      <c r="S112" s="28"/>
    </row>
    <row r="113" spans="2:19" ht="26.4" hidden="1">
      <c r="F113" s="177"/>
      <c r="L113" s="176" t="s">
        <v>1822</v>
      </c>
      <c r="M113" s="177"/>
      <c r="N113" s="177"/>
      <c r="O113"/>
      <c r="P113" s="13"/>
      <c r="R113" s="19"/>
      <c r="S113" s="28"/>
    </row>
    <row r="114" spans="2:19" ht="26.4" hidden="1">
      <c r="F114" s="177"/>
      <c r="L114" s="176" t="s">
        <v>1823</v>
      </c>
      <c r="M114" s="177"/>
      <c r="N114" s="177"/>
      <c r="O114"/>
      <c r="P114" s="13"/>
      <c r="R114" s="19"/>
      <c r="S114" s="28"/>
    </row>
    <row r="115" spans="2:19" hidden="1">
      <c r="E115" s="175"/>
      <c r="L115" s="11"/>
      <c r="M115"/>
      <c r="N115"/>
      <c r="O115"/>
      <c r="P115" s="13"/>
      <c r="R115" s="19"/>
      <c r="S115" s="28"/>
    </row>
    <row r="116" spans="2:19" s="19" customFormat="1" hidden="1">
      <c r="B116"/>
      <c r="C116" s="15"/>
      <c r="D116" s="1"/>
      <c r="L116" s="178" t="s">
        <v>1825</v>
      </c>
      <c r="M116" s="178" t="s">
        <v>1826</v>
      </c>
      <c r="N116" s="178" t="s">
        <v>1827</v>
      </c>
      <c r="O116" s="178" t="s">
        <v>1828</v>
      </c>
      <c r="P116" s="179" t="s">
        <v>3003</v>
      </c>
      <c r="Q116" s="179" t="s">
        <v>3004</v>
      </c>
      <c r="R116" s="179" t="s">
        <v>1831</v>
      </c>
      <c r="S116" s="179"/>
    </row>
    <row r="117" spans="2:19" s="19" customFormat="1" hidden="1">
      <c r="B117"/>
      <c r="C117" s="15"/>
      <c r="D117" s="1"/>
      <c r="L117" s="180" t="s">
        <v>3005</v>
      </c>
      <c r="M117" s="181" t="s">
        <v>1833</v>
      </c>
      <c r="N117" s="181" t="s">
        <v>1834</v>
      </c>
      <c r="O117" s="182" t="s">
        <v>1835</v>
      </c>
      <c r="P117" s="183">
        <v>1000</v>
      </c>
      <c r="Q117" s="183">
        <v>4</v>
      </c>
      <c r="R117" s="184">
        <v>43598</v>
      </c>
      <c r="S117" s="181" t="s">
        <v>99</v>
      </c>
    </row>
    <row r="118" spans="2:19" s="19" customFormat="1" hidden="1">
      <c r="B118"/>
      <c r="C118" s="15"/>
      <c r="D118" s="1"/>
      <c r="L118" s="180" t="s">
        <v>3005</v>
      </c>
      <c r="M118" s="181" t="s">
        <v>1836</v>
      </c>
      <c r="N118" s="181" t="s">
        <v>1834</v>
      </c>
      <c r="O118" s="182" t="s">
        <v>1835</v>
      </c>
      <c r="P118" s="183">
        <v>6000</v>
      </c>
      <c r="Q118" s="183">
        <v>24</v>
      </c>
      <c r="R118" s="184">
        <v>43598</v>
      </c>
      <c r="S118" s="181" t="s">
        <v>99</v>
      </c>
    </row>
    <row r="119" spans="2:19" s="19" customFormat="1" hidden="1">
      <c r="B119"/>
      <c r="C119" s="15"/>
      <c r="D119" s="1"/>
      <c r="L119" s="180" t="s">
        <v>3005</v>
      </c>
      <c r="M119" s="181" t="s">
        <v>1837</v>
      </c>
      <c r="N119" s="181" t="s">
        <v>1834</v>
      </c>
      <c r="O119" s="182" t="s">
        <v>1835</v>
      </c>
      <c r="P119" s="183">
        <v>5000</v>
      </c>
      <c r="Q119" s="183">
        <v>20</v>
      </c>
      <c r="R119" s="185" t="s">
        <v>3006</v>
      </c>
      <c r="S119" s="180" t="s">
        <v>3007</v>
      </c>
    </row>
    <row r="120" spans="2:19" s="19" customFormat="1" hidden="1">
      <c r="B120"/>
      <c r="C120" s="15"/>
      <c r="D120" s="1"/>
      <c r="L120" s="180" t="s">
        <v>3005</v>
      </c>
      <c r="M120" s="181" t="s">
        <v>1840</v>
      </c>
      <c r="N120" s="181" t="s">
        <v>1834</v>
      </c>
      <c r="O120" s="182" t="s">
        <v>1835</v>
      </c>
      <c r="P120" s="183">
        <v>5000</v>
      </c>
      <c r="Q120" s="183">
        <v>20</v>
      </c>
      <c r="R120" s="184">
        <v>43605</v>
      </c>
      <c r="S120" s="181" t="s">
        <v>99</v>
      </c>
    </row>
    <row r="121" spans="2:19" s="19" customFormat="1" hidden="1">
      <c r="B121"/>
      <c r="C121" s="15"/>
      <c r="D121" s="1"/>
      <c r="L121" s="180" t="s">
        <v>3005</v>
      </c>
      <c r="M121" s="181" t="s">
        <v>1841</v>
      </c>
      <c r="N121" s="181" t="s">
        <v>1834</v>
      </c>
      <c r="O121" s="182" t="s">
        <v>1835</v>
      </c>
      <c r="P121" s="183">
        <v>7000</v>
      </c>
      <c r="Q121" s="183">
        <v>28</v>
      </c>
      <c r="R121" s="184">
        <v>43605</v>
      </c>
      <c r="S121" s="181" t="s">
        <v>99</v>
      </c>
    </row>
    <row r="122" spans="2:19" hidden="1">
      <c r="L122" s="180" t="s">
        <v>3008</v>
      </c>
      <c r="M122" s="181" t="s">
        <v>1843</v>
      </c>
      <c r="N122" s="181" t="s">
        <v>1844</v>
      </c>
      <c r="O122" s="182" t="s">
        <v>1835</v>
      </c>
      <c r="P122" s="183">
        <v>2000</v>
      </c>
      <c r="Q122" s="183">
        <v>8</v>
      </c>
      <c r="R122" s="184">
        <v>43598</v>
      </c>
      <c r="S122" s="181" t="s">
        <v>99</v>
      </c>
    </row>
    <row r="123" spans="2:19" hidden="1">
      <c r="L123" s="180" t="s">
        <v>3008</v>
      </c>
      <c r="M123" s="181" t="s">
        <v>1845</v>
      </c>
      <c r="N123" s="181" t="s">
        <v>1844</v>
      </c>
      <c r="O123" s="182" t="s">
        <v>1835</v>
      </c>
      <c r="P123" s="183">
        <v>2000</v>
      </c>
      <c r="Q123" s="183">
        <v>8</v>
      </c>
      <c r="R123" s="184">
        <v>43598</v>
      </c>
      <c r="S123" s="181" t="s">
        <v>99</v>
      </c>
    </row>
    <row r="124" spans="2:19" hidden="1">
      <c r="L124" s="180" t="s">
        <v>3008</v>
      </c>
      <c r="M124" s="181" t="s">
        <v>1846</v>
      </c>
      <c r="N124" s="181" t="s">
        <v>1844</v>
      </c>
      <c r="O124" s="182" t="s">
        <v>1835</v>
      </c>
      <c r="P124" s="183">
        <v>10000</v>
      </c>
      <c r="Q124" s="183">
        <v>40</v>
      </c>
      <c r="R124" s="184">
        <v>43598</v>
      </c>
      <c r="S124" s="181" t="s">
        <v>99</v>
      </c>
    </row>
    <row r="125" spans="2:19" hidden="1">
      <c r="L125" s="180" t="s">
        <v>3008</v>
      </c>
      <c r="M125" s="181" t="s">
        <v>1847</v>
      </c>
      <c r="N125" s="181" t="s">
        <v>1844</v>
      </c>
      <c r="O125" s="182" t="s">
        <v>1835</v>
      </c>
      <c r="P125" s="183">
        <v>8000</v>
      </c>
      <c r="Q125" s="183">
        <v>32</v>
      </c>
      <c r="R125" s="184">
        <v>43598</v>
      </c>
      <c r="S125" s="180"/>
    </row>
    <row r="126" spans="2:19" hidden="1">
      <c r="L126" s="180" t="s">
        <v>3008</v>
      </c>
      <c r="M126" s="181" t="s">
        <v>1848</v>
      </c>
      <c r="N126" s="181" t="s">
        <v>1844</v>
      </c>
      <c r="O126" s="182" t="s">
        <v>1835</v>
      </c>
      <c r="P126" s="183">
        <v>10000</v>
      </c>
      <c r="Q126" s="183">
        <v>40</v>
      </c>
      <c r="R126" s="185" t="s">
        <v>3009</v>
      </c>
      <c r="S126" s="180" t="s">
        <v>3007</v>
      </c>
    </row>
    <row r="127" spans="2:19" hidden="1">
      <c r="L127" s="182" t="s">
        <v>3010</v>
      </c>
      <c r="M127" s="181" t="s">
        <v>1851</v>
      </c>
      <c r="N127" s="181" t="s">
        <v>1834</v>
      </c>
      <c r="O127" s="182" t="s">
        <v>1852</v>
      </c>
      <c r="P127" s="183">
        <v>5000</v>
      </c>
      <c r="Q127" s="183">
        <v>20</v>
      </c>
      <c r="R127" s="184">
        <v>43605</v>
      </c>
      <c r="S127" s="181" t="s">
        <v>99</v>
      </c>
    </row>
    <row r="128" spans="2:19" hidden="1">
      <c r="L128" s="180" t="s">
        <v>3011</v>
      </c>
      <c r="M128" s="181" t="s">
        <v>1851</v>
      </c>
      <c r="N128" s="181" t="s">
        <v>1844</v>
      </c>
      <c r="O128" s="182" t="s">
        <v>1835</v>
      </c>
      <c r="P128" s="183">
        <v>2000</v>
      </c>
      <c r="Q128" s="183">
        <v>8</v>
      </c>
      <c r="R128" s="184">
        <v>43605</v>
      </c>
      <c r="S128" s="181" t="s">
        <v>99</v>
      </c>
    </row>
    <row r="129" spans="12:19" hidden="1">
      <c r="L129" s="182" t="s">
        <v>3012</v>
      </c>
      <c r="M129" s="181" t="s">
        <v>1855</v>
      </c>
      <c r="N129" s="181" t="s">
        <v>1834</v>
      </c>
      <c r="O129" s="182" t="s">
        <v>1852</v>
      </c>
      <c r="P129" s="183">
        <v>6000</v>
      </c>
      <c r="Q129" s="183">
        <v>24</v>
      </c>
      <c r="R129" s="184">
        <v>43605</v>
      </c>
      <c r="S129" s="181" t="s">
        <v>99</v>
      </c>
    </row>
    <row r="130" spans="12:19" hidden="1">
      <c r="L130" s="182" t="s">
        <v>3012</v>
      </c>
      <c r="M130" s="181" t="s">
        <v>1856</v>
      </c>
      <c r="N130" s="181" t="s">
        <v>1834</v>
      </c>
      <c r="O130" s="182" t="s">
        <v>1852</v>
      </c>
      <c r="P130" s="183">
        <v>6000</v>
      </c>
      <c r="Q130" s="183">
        <v>24</v>
      </c>
      <c r="R130" s="185">
        <v>43605</v>
      </c>
      <c r="S130" s="180"/>
    </row>
    <row r="131" spans="12:19" hidden="1">
      <c r="L131" s="182" t="s">
        <v>3012</v>
      </c>
      <c r="M131" s="181" t="s">
        <v>1857</v>
      </c>
      <c r="N131" s="181" t="s">
        <v>1834</v>
      </c>
      <c r="O131" s="182" t="s">
        <v>1852</v>
      </c>
      <c r="P131" s="183">
        <v>6000</v>
      </c>
      <c r="Q131" s="183">
        <v>24</v>
      </c>
      <c r="R131" s="184" t="s">
        <v>3013</v>
      </c>
      <c r="S131" s="181" t="s">
        <v>3014</v>
      </c>
    </row>
    <row r="134" spans="12:19" ht="16.2">
      <c r="L134" s="186"/>
    </row>
    <row r="135" spans="12:19" ht="16.2">
      <c r="L135" s="186"/>
    </row>
    <row r="136" spans="12:19" ht="16.2">
      <c r="L136" s="186"/>
    </row>
  </sheetData>
  <autoFilter ref="B2:R110" xr:uid="{00000000-0009-0000-0000-000016000000}">
    <filterColumn colId="10">
      <filters>
        <filter val="414-UM1829"/>
      </filters>
    </filterColumn>
  </autoFilter>
  <phoneticPr fontId="1"/>
  <pageMargins left="0.23622047244094491" right="0.23622047244094491" top="0.35433070866141736" bottom="0.35433070866141736" header="0.31496062992125984" footer="0.31496062992125984"/>
  <pageSetup paperSize="9" scale="77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59" filterMode="1">
    <pageSetUpPr fitToPage="1"/>
  </sheetPr>
  <dimension ref="A1:S136"/>
  <sheetViews>
    <sheetView zoomScale="77" zoomScaleNormal="77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14" sqref="H14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7.12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B2" s="194"/>
      <c r="C2" s="14" t="s">
        <v>92</v>
      </c>
      <c r="D2" s="5" t="s">
        <v>0</v>
      </c>
      <c r="E2" s="6" t="s">
        <v>10</v>
      </c>
      <c r="F2" s="6" t="s">
        <v>94</v>
      </c>
      <c r="G2" s="10" t="s">
        <v>1</v>
      </c>
      <c r="H2" s="6" t="s">
        <v>15</v>
      </c>
      <c r="I2" s="6" t="s">
        <v>16</v>
      </c>
      <c r="J2" s="6" t="s">
        <v>12</v>
      </c>
      <c r="K2" s="12" t="s">
        <v>7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507</v>
      </c>
      <c r="Q2" s="6" t="s">
        <v>8</v>
      </c>
      <c r="R2" s="16" t="s">
        <v>6</v>
      </c>
      <c r="S2" s="16" t="s">
        <v>781</v>
      </c>
    </row>
    <row r="3" spans="2:19" s="33" customFormat="1" ht="33" hidden="1" customHeight="1">
      <c r="B3" s="47" t="s">
        <v>220</v>
      </c>
      <c r="C3" s="48" t="s">
        <v>377</v>
      </c>
      <c r="D3" s="49" t="s">
        <v>378</v>
      </c>
      <c r="E3" s="50">
        <v>43455</v>
      </c>
      <c r="F3" s="49" t="s">
        <v>297</v>
      </c>
      <c r="G3" s="51">
        <v>14000</v>
      </c>
      <c r="H3" s="52">
        <f t="shared" ref="H3:H34" si="0">SUM(G3/250)</f>
        <v>56</v>
      </c>
      <c r="I3" s="52">
        <f t="shared" ref="I3:I52" si="1">SUM(H3/4)</f>
        <v>14</v>
      </c>
      <c r="J3" s="49"/>
      <c r="K3" s="53">
        <v>43548</v>
      </c>
      <c r="L3" s="54" t="s">
        <v>2554</v>
      </c>
      <c r="M3" s="55">
        <v>43563</v>
      </c>
      <c r="N3" s="56" t="s">
        <v>2555</v>
      </c>
      <c r="O3" s="55">
        <v>43569</v>
      </c>
      <c r="P3" s="54" t="s">
        <v>2556</v>
      </c>
      <c r="Q3" s="49"/>
      <c r="R3" s="57" t="s">
        <v>379</v>
      </c>
      <c r="S3" s="47"/>
    </row>
    <row r="4" spans="2:19" s="33" customFormat="1" ht="33" hidden="1" customHeight="1">
      <c r="B4" s="47" t="s">
        <v>220</v>
      </c>
      <c r="C4" s="48" t="s">
        <v>421</v>
      </c>
      <c r="D4" s="49" t="s">
        <v>453</v>
      </c>
      <c r="E4" s="50">
        <v>43483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43576</v>
      </c>
      <c r="L4" s="54" t="s">
        <v>782</v>
      </c>
      <c r="M4" s="55">
        <v>43570</v>
      </c>
      <c r="N4" s="56" t="s">
        <v>676</v>
      </c>
      <c r="O4" s="55">
        <v>43576</v>
      </c>
      <c r="P4" s="54" t="s">
        <v>2557</v>
      </c>
      <c r="Q4" s="49"/>
      <c r="R4" s="57" t="s">
        <v>454</v>
      </c>
      <c r="S4" s="47"/>
    </row>
    <row r="5" spans="2:19" s="33" customFormat="1" ht="33" hidden="1" customHeight="1">
      <c r="B5" s="47" t="s">
        <v>78</v>
      </c>
      <c r="C5" s="48" t="s">
        <v>422</v>
      </c>
      <c r="D5" s="49" t="s">
        <v>455</v>
      </c>
      <c r="E5" s="50">
        <v>43483</v>
      </c>
      <c r="F5" s="49" t="s">
        <v>297</v>
      </c>
      <c r="G5" s="51">
        <v>10000</v>
      </c>
      <c r="H5" s="52">
        <f t="shared" si="0"/>
        <v>40</v>
      </c>
      <c r="I5" s="52">
        <f t="shared" si="1"/>
        <v>10</v>
      </c>
      <c r="J5" s="49"/>
      <c r="K5" s="53">
        <v>43618</v>
      </c>
      <c r="L5" s="54" t="s">
        <v>456</v>
      </c>
      <c r="M5" s="55">
        <v>43612</v>
      </c>
      <c r="N5" s="56" t="s">
        <v>677</v>
      </c>
      <c r="O5" s="55">
        <v>43618</v>
      </c>
      <c r="P5" s="54" t="s">
        <v>2558</v>
      </c>
      <c r="Q5" s="49" t="s">
        <v>82</v>
      </c>
      <c r="R5" s="57" t="s">
        <v>814</v>
      </c>
      <c r="S5" s="47"/>
    </row>
    <row r="6" spans="2:19" s="33" customFormat="1" ht="33" hidden="1" customHeight="1">
      <c r="B6" s="47" t="s">
        <v>78</v>
      </c>
      <c r="C6" s="48" t="s">
        <v>783</v>
      </c>
      <c r="D6" s="49" t="s">
        <v>455</v>
      </c>
      <c r="E6" s="50">
        <v>43523</v>
      </c>
      <c r="F6" s="49" t="s">
        <v>297</v>
      </c>
      <c r="G6" s="51">
        <v>10000</v>
      </c>
      <c r="H6" s="52">
        <f t="shared" si="0"/>
        <v>40</v>
      </c>
      <c r="I6" s="52">
        <f t="shared" si="1"/>
        <v>10</v>
      </c>
      <c r="J6" s="49"/>
      <c r="K6" s="53">
        <v>43618</v>
      </c>
      <c r="L6" s="54" t="s">
        <v>638</v>
      </c>
      <c r="M6" s="55">
        <v>43612</v>
      </c>
      <c r="N6" s="56" t="s">
        <v>636</v>
      </c>
      <c r="O6" s="55">
        <v>43618</v>
      </c>
      <c r="P6" s="54" t="s">
        <v>2559</v>
      </c>
      <c r="Q6" s="49" t="s">
        <v>82</v>
      </c>
      <c r="R6" s="57" t="s">
        <v>1901</v>
      </c>
      <c r="S6" s="47"/>
    </row>
    <row r="7" spans="2:19" s="33" customFormat="1" ht="33" hidden="1" customHeight="1">
      <c r="B7" s="47" t="s">
        <v>78</v>
      </c>
      <c r="C7" s="48" t="s">
        <v>2560</v>
      </c>
      <c r="D7" s="49" t="s">
        <v>1337</v>
      </c>
      <c r="E7" s="50">
        <v>43483</v>
      </c>
      <c r="F7" s="49" t="s">
        <v>297</v>
      </c>
      <c r="G7" s="51">
        <v>20000</v>
      </c>
      <c r="H7" s="52">
        <f t="shared" si="0"/>
        <v>80</v>
      </c>
      <c r="I7" s="52">
        <f t="shared" si="1"/>
        <v>20</v>
      </c>
      <c r="J7" s="49"/>
      <c r="K7" s="53">
        <v>43618</v>
      </c>
      <c r="L7" s="54" t="s">
        <v>456</v>
      </c>
      <c r="M7" s="55">
        <v>43612</v>
      </c>
      <c r="N7" s="56" t="s">
        <v>677</v>
      </c>
      <c r="O7" s="55">
        <v>43618</v>
      </c>
      <c r="P7" s="54" t="s">
        <v>2561</v>
      </c>
      <c r="Q7" s="49" t="s">
        <v>82</v>
      </c>
      <c r="R7" s="57" t="s">
        <v>814</v>
      </c>
      <c r="S7" s="47" t="s">
        <v>479</v>
      </c>
    </row>
    <row r="8" spans="2:19" s="33" customFormat="1" ht="33" hidden="1" customHeight="1">
      <c r="B8" s="47" t="s">
        <v>78</v>
      </c>
      <c r="C8" s="48" t="s">
        <v>423</v>
      </c>
      <c r="D8" s="49" t="s">
        <v>457</v>
      </c>
      <c r="E8" s="50">
        <v>43483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43576</v>
      </c>
      <c r="L8" s="54" t="s">
        <v>2562</v>
      </c>
      <c r="M8" s="55">
        <v>43570</v>
      </c>
      <c r="N8" s="56" t="s">
        <v>2563</v>
      </c>
      <c r="O8" s="55">
        <v>43576</v>
      </c>
      <c r="P8" s="54" t="s">
        <v>2564</v>
      </c>
      <c r="Q8" s="49" t="s">
        <v>82</v>
      </c>
      <c r="R8" s="57" t="s">
        <v>2565</v>
      </c>
      <c r="S8" s="47"/>
    </row>
    <row r="9" spans="2:19" s="33" customFormat="1" ht="33" hidden="1" customHeight="1">
      <c r="B9" s="47" t="s">
        <v>220</v>
      </c>
      <c r="C9" s="48" t="s">
        <v>425</v>
      </c>
      <c r="D9" s="49" t="s">
        <v>459</v>
      </c>
      <c r="E9" s="50">
        <v>43483</v>
      </c>
      <c r="F9" s="49" t="s">
        <v>79</v>
      </c>
      <c r="G9" s="51">
        <v>20000</v>
      </c>
      <c r="H9" s="52">
        <f t="shared" si="0"/>
        <v>80</v>
      </c>
      <c r="I9" s="52">
        <f t="shared" si="1"/>
        <v>20</v>
      </c>
      <c r="J9" s="49"/>
      <c r="K9" s="53">
        <v>43583</v>
      </c>
      <c r="L9" s="54" t="s">
        <v>2566</v>
      </c>
      <c r="M9" s="55">
        <v>43577</v>
      </c>
      <c r="N9" s="56" t="s">
        <v>2567</v>
      </c>
      <c r="O9" s="55">
        <v>43583</v>
      </c>
      <c r="P9" s="54" t="s">
        <v>2568</v>
      </c>
      <c r="Q9" s="49"/>
      <c r="R9" s="57" t="s">
        <v>2569</v>
      </c>
      <c r="S9" s="47"/>
    </row>
    <row r="10" spans="2:19" s="33" customFormat="1" ht="33" hidden="1" customHeight="1">
      <c r="B10" s="47" t="s">
        <v>78</v>
      </c>
      <c r="C10" s="48" t="s">
        <v>462</v>
      </c>
      <c r="D10" s="49" t="s">
        <v>483</v>
      </c>
      <c r="E10" s="50">
        <v>43490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43583</v>
      </c>
      <c r="L10" s="54" t="s">
        <v>2566</v>
      </c>
      <c r="M10" s="55">
        <v>43577</v>
      </c>
      <c r="N10" s="56" t="s">
        <v>2567</v>
      </c>
      <c r="O10" s="55">
        <v>43583</v>
      </c>
      <c r="P10" s="54" t="s">
        <v>2570</v>
      </c>
      <c r="Q10" s="49" t="s">
        <v>82</v>
      </c>
      <c r="R10" s="57" t="s">
        <v>2571</v>
      </c>
      <c r="S10" s="47"/>
    </row>
    <row r="11" spans="2:19" s="33" customFormat="1" ht="33" hidden="1" customHeight="1">
      <c r="B11" s="47" t="s">
        <v>78</v>
      </c>
      <c r="C11" s="48" t="s">
        <v>570</v>
      </c>
      <c r="D11" s="49" t="s">
        <v>571</v>
      </c>
      <c r="E11" s="50">
        <v>43519</v>
      </c>
      <c r="F11" s="49" t="s">
        <v>79</v>
      </c>
      <c r="G11" s="51">
        <v>20000</v>
      </c>
      <c r="H11" s="52">
        <f t="shared" si="0"/>
        <v>80</v>
      </c>
      <c r="I11" s="52">
        <f t="shared" si="1"/>
        <v>20</v>
      </c>
      <c r="J11" s="49"/>
      <c r="K11" s="53">
        <v>43590</v>
      </c>
      <c r="L11" s="54" t="s">
        <v>602</v>
      </c>
      <c r="M11" s="55">
        <v>43577</v>
      </c>
      <c r="N11" s="56" t="s">
        <v>2567</v>
      </c>
      <c r="O11" s="55">
        <v>43583</v>
      </c>
      <c r="P11" s="54" t="s">
        <v>2572</v>
      </c>
      <c r="Q11" s="49" t="s">
        <v>82</v>
      </c>
      <c r="R11" s="57" t="s">
        <v>2573</v>
      </c>
      <c r="S11" s="47"/>
    </row>
    <row r="12" spans="2:19" s="33" customFormat="1" ht="33" hidden="1" customHeight="1">
      <c r="B12" s="47" t="s">
        <v>78</v>
      </c>
      <c r="C12" s="48" t="s">
        <v>573</v>
      </c>
      <c r="D12" s="49" t="s">
        <v>574</v>
      </c>
      <c r="E12" s="50">
        <v>43519</v>
      </c>
      <c r="F12" s="49" t="s">
        <v>79</v>
      </c>
      <c r="G12" s="51">
        <v>20000</v>
      </c>
      <c r="H12" s="52">
        <f t="shared" si="0"/>
        <v>80</v>
      </c>
      <c r="I12" s="52">
        <f t="shared" si="1"/>
        <v>20</v>
      </c>
      <c r="J12" s="49"/>
      <c r="K12" s="53">
        <v>43604</v>
      </c>
      <c r="L12" s="54" t="s">
        <v>2574</v>
      </c>
      <c r="M12" s="55">
        <v>43598</v>
      </c>
      <c r="N12" s="56" t="s">
        <v>2575</v>
      </c>
      <c r="O12" s="55">
        <v>43604</v>
      </c>
      <c r="P12" s="54" t="s">
        <v>2576</v>
      </c>
      <c r="Q12" s="49" t="s">
        <v>82</v>
      </c>
      <c r="R12" s="57" t="s">
        <v>2577</v>
      </c>
      <c r="S12" s="47"/>
    </row>
    <row r="13" spans="2:19" s="33" customFormat="1" ht="33" hidden="1" customHeight="1">
      <c r="B13" s="47" t="s">
        <v>78</v>
      </c>
      <c r="C13" s="48" t="s">
        <v>2578</v>
      </c>
      <c r="D13" s="49" t="s">
        <v>577</v>
      </c>
      <c r="E13" s="50">
        <v>43519</v>
      </c>
      <c r="F13" s="49" t="s">
        <v>2579</v>
      </c>
      <c r="G13" s="51">
        <v>10000</v>
      </c>
      <c r="H13" s="52">
        <f t="shared" si="0"/>
        <v>40</v>
      </c>
      <c r="I13" s="52">
        <f t="shared" si="1"/>
        <v>10</v>
      </c>
      <c r="J13" s="49"/>
      <c r="K13" s="53">
        <v>43598</v>
      </c>
      <c r="L13" s="54" t="s">
        <v>803</v>
      </c>
      <c r="M13" s="55">
        <v>43598</v>
      </c>
      <c r="N13" s="56" t="s">
        <v>804</v>
      </c>
      <c r="O13" s="55">
        <v>43604</v>
      </c>
      <c r="P13" s="54" t="s">
        <v>2580</v>
      </c>
      <c r="Q13" s="49" t="s">
        <v>82</v>
      </c>
      <c r="R13" s="57" t="s">
        <v>2581</v>
      </c>
      <c r="S13" s="47"/>
    </row>
    <row r="14" spans="2:19" s="33" customFormat="1" ht="33" hidden="1" customHeight="1">
      <c r="B14" s="47" t="s">
        <v>220</v>
      </c>
      <c r="C14" s="48" t="s">
        <v>579</v>
      </c>
      <c r="D14" s="49" t="s">
        <v>580</v>
      </c>
      <c r="E14" s="50">
        <v>43519</v>
      </c>
      <c r="F14" s="49" t="s">
        <v>79</v>
      </c>
      <c r="G14" s="51">
        <v>10000</v>
      </c>
      <c r="H14" s="52">
        <f t="shared" si="0"/>
        <v>40</v>
      </c>
      <c r="I14" s="52">
        <f t="shared" si="1"/>
        <v>10</v>
      </c>
      <c r="J14" s="49"/>
      <c r="K14" s="53">
        <v>43598</v>
      </c>
      <c r="L14" s="54" t="s">
        <v>803</v>
      </c>
      <c r="M14" s="55">
        <v>43598</v>
      </c>
      <c r="N14" s="56" t="s">
        <v>804</v>
      </c>
      <c r="O14" s="55">
        <v>43604</v>
      </c>
      <c r="P14" s="54" t="s">
        <v>2582</v>
      </c>
      <c r="Q14" s="49"/>
      <c r="R14" s="57" t="s">
        <v>2583</v>
      </c>
      <c r="S14" s="47"/>
    </row>
    <row r="15" spans="2:19" s="33" customFormat="1" ht="33" hidden="1" customHeight="1">
      <c r="B15" s="47" t="s">
        <v>78</v>
      </c>
      <c r="C15" s="48" t="s">
        <v>576</v>
      </c>
      <c r="D15" s="49" t="s">
        <v>577</v>
      </c>
      <c r="E15" s="50">
        <v>43519</v>
      </c>
      <c r="F15" s="49" t="s">
        <v>79</v>
      </c>
      <c r="G15" s="51">
        <v>20000</v>
      </c>
      <c r="H15" s="52">
        <f t="shared" si="0"/>
        <v>80</v>
      </c>
      <c r="I15" s="52">
        <f t="shared" si="1"/>
        <v>20</v>
      </c>
      <c r="J15" s="49"/>
      <c r="K15" s="53">
        <v>43611</v>
      </c>
      <c r="L15" s="54" t="s">
        <v>2584</v>
      </c>
      <c r="M15" s="55">
        <v>43605</v>
      </c>
      <c r="N15" s="56" t="s">
        <v>2585</v>
      </c>
      <c r="O15" s="55">
        <v>43611</v>
      </c>
      <c r="P15" s="54" t="s">
        <v>2586</v>
      </c>
      <c r="Q15" s="49" t="s">
        <v>82</v>
      </c>
      <c r="R15" s="57" t="s">
        <v>2587</v>
      </c>
      <c r="S15" s="47"/>
    </row>
    <row r="16" spans="2:19" s="30" customFormat="1" ht="33" hidden="1" customHeight="1">
      <c r="B16" s="46" t="s">
        <v>78</v>
      </c>
      <c r="C16" s="35" t="s">
        <v>685</v>
      </c>
      <c r="D16" s="36" t="s">
        <v>686</v>
      </c>
      <c r="E16" s="37">
        <v>43532</v>
      </c>
      <c r="F16" s="36" t="s">
        <v>79</v>
      </c>
      <c r="G16" s="39">
        <v>20000</v>
      </c>
      <c r="H16" s="38">
        <f t="shared" si="0"/>
        <v>80</v>
      </c>
      <c r="I16" s="38">
        <f t="shared" si="1"/>
        <v>20</v>
      </c>
      <c r="J16" s="36"/>
      <c r="K16" s="40">
        <v>43625</v>
      </c>
      <c r="L16" s="41" t="s">
        <v>2588</v>
      </c>
      <c r="M16" s="42">
        <v>43619</v>
      </c>
      <c r="N16" s="43" t="s">
        <v>2589</v>
      </c>
      <c r="O16" s="42">
        <v>43625</v>
      </c>
      <c r="P16" s="41"/>
      <c r="Q16" s="36" t="s">
        <v>82</v>
      </c>
      <c r="R16" s="44" t="s">
        <v>2590</v>
      </c>
      <c r="S16" s="46"/>
    </row>
    <row r="17" spans="2:19" s="30" customFormat="1" ht="33" hidden="1" customHeight="1">
      <c r="B17" s="46" t="s">
        <v>78</v>
      </c>
      <c r="C17" s="35" t="s">
        <v>2591</v>
      </c>
      <c r="D17" s="36" t="s">
        <v>1366</v>
      </c>
      <c r="E17" s="37">
        <v>43532</v>
      </c>
      <c r="F17" s="36" t="s">
        <v>79</v>
      </c>
      <c r="G17" s="39">
        <v>20000</v>
      </c>
      <c r="H17" s="38">
        <f t="shared" si="0"/>
        <v>80</v>
      </c>
      <c r="I17" s="38">
        <f t="shared" si="1"/>
        <v>20</v>
      </c>
      <c r="J17" s="36"/>
      <c r="K17" s="40">
        <v>43625</v>
      </c>
      <c r="L17" s="41" t="s">
        <v>2588</v>
      </c>
      <c r="M17" s="42">
        <v>43619</v>
      </c>
      <c r="N17" s="43" t="s">
        <v>2589</v>
      </c>
      <c r="O17" s="42">
        <v>43625</v>
      </c>
      <c r="P17" s="41"/>
      <c r="Q17" s="36" t="s">
        <v>82</v>
      </c>
      <c r="R17" s="44" t="s">
        <v>2590</v>
      </c>
      <c r="S17" s="46" t="s">
        <v>479</v>
      </c>
    </row>
    <row r="18" spans="2:19" s="30" customFormat="1" ht="33" hidden="1" customHeight="1">
      <c r="B18" s="46" t="s">
        <v>220</v>
      </c>
      <c r="C18" s="35" t="s">
        <v>688</v>
      </c>
      <c r="D18" s="36" t="s">
        <v>689</v>
      </c>
      <c r="E18" s="37">
        <v>43532</v>
      </c>
      <c r="F18" s="36" t="s">
        <v>79</v>
      </c>
      <c r="G18" s="39">
        <v>20000</v>
      </c>
      <c r="H18" s="38">
        <f t="shared" si="0"/>
        <v>80</v>
      </c>
      <c r="I18" s="38">
        <f t="shared" si="1"/>
        <v>20</v>
      </c>
      <c r="J18" s="36"/>
      <c r="K18" s="40">
        <v>43632</v>
      </c>
      <c r="L18" s="41" t="s">
        <v>2592</v>
      </c>
      <c r="M18" s="42">
        <v>43626</v>
      </c>
      <c r="N18" s="43" t="s">
        <v>2593</v>
      </c>
      <c r="O18" s="42">
        <v>43632</v>
      </c>
      <c r="P18" s="41" t="s">
        <v>2594</v>
      </c>
      <c r="Q18" s="36"/>
      <c r="R18" s="44" t="s">
        <v>2595</v>
      </c>
      <c r="S18" s="46"/>
    </row>
    <row r="19" spans="2:19" s="30" customFormat="1" ht="33" hidden="1" customHeight="1">
      <c r="B19" s="46" t="s">
        <v>78</v>
      </c>
      <c r="C19" s="35" t="s">
        <v>691</v>
      </c>
      <c r="D19" s="36" t="s">
        <v>692</v>
      </c>
      <c r="E19" s="37">
        <v>43532</v>
      </c>
      <c r="F19" s="36" t="s">
        <v>79</v>
      </c>
      <c r="G19" s="39">
        <v>20000</v>
      </c>
      <c r="H19" s="38">
        <f t="shared" si="0"/>
        <v>80</v>
      </c>
      <c r="I19" s="38">
        <f t="shared" si="1"/>
        <v>20</v>
      </c>
      <c r="J19" s="36"/>
      <c r="K19" s="40">
        <v>43639</v>
      </c>
      <c r="L19" s="41" t="s">
        <v>2596</v>
      </c>
      <c r="M19" s="42">
        <v>43633</v>
      </c>
      <c r="N19" s="43" t="s">
        <v>2597</v>
      </c>
      <c r="O19" s="42">
        <v>43639</v>
      </c>
      <c r="P19" s="41"/>
      <c r="Q19" s="36" t="s">
        <v>82</v>
      </c>
      <c r="R19" s="44" t="s">
        <v>2598</v>
      </c>
      <c r="S19" s="46"/>
    </row>
    <row r="20" spans="2:19" s="33" customFormat="1" ht="33" hidden="1" customHeight="1">
      <c r="B20" s="47" t="s">
        <v>78</v>
      </c>
      <c r="C20" s="48" t="s">
        <v>2599</v>
      </c>
      <c r="D20" s="49" t="s">
        <v>2600</v>
      </c>
      <c r="E20" s="50">
        <v>43566</v>
      </c>
      <c r="F20" s="49" t="s">
        <v>79</v>
      </c>
      <c r="G20" s="51">
        <v>6000</v>
      </c>
      <c r="H20" s="52">
        <f t="shared" si="0"/>
        <v>24</v>
      </c>
      <c r="I20" s="52">
        <f t="shared" si="1"/>
        <v>6</v>
      </c>
      <c r="J20" s="49"/>
      <c r="K20" s="53">
        <v>43611</v>
      </c>
      <c r="L20" s="54" t="s">
        <v>603</v>
      </c>
      <c r="M20" s="55">
        <v>43605</v>
      </c>
      <c r="N20" s="56" t="s">
        <v>1080</v>
      </c>
      <c r="O20" s="55">
        <v>43611</v>
      </c>
      <c r="P20" s="54" t="s">
        <v>2601</v>
      </c>
      <c r="Q20" s="49" t="s">
        <v>82</v>
      </c>
      <c r="R20" s="57" t="s">
        <v>2602</v>
      </c>
      <c r="S20" s="47"/>
    </row>
    <row r="21" spans="2:19" s="33" customFormat="1" ht="33" hidden="1" customHeight="1">
      <c r="B21" s="47" t="s">
        <v>2603</v>
      </c>
      <c r="C21" s="48" t="s">
        <v>986</v>
      </c>
      <c r="D21" s="49" t="s">
        <v>2600</v>
      </c>
      <c r="E21" s="50">
        <v>43566</v>
      </c>
      <c r="F21" s="49" t="s">
        <v>79</v>
      </c>
      <c r="G21" s="51">
        <v>14000</v>
      </c>
      <c r="H21" s="52">
        <f t="shared" si="0"/>
        <v>56</v>
      </c>
      <c r="I21" s="52">
        <f t="shared" si="1"/>
        <v>14</v>
      </c>
      <c r="J21" s="49"/>
      <c r="K21" s="53">
        <v>43611</v>
      </c>
      <c r="L21" s="54" t="s">
        <v>603</v>
      </c>
      <c r="M21" s="55">
        <v>43605</v>
      </c>
      <c r="N21" s="56" t="s">
        <v>1080</v>
      </c>
      <c r="O21" s="55">
        <v>43611</v>
      </c>
      <c r="P21" s="54" t="s">
        <v>2604</v>
      </c>
      <c r="Q21" s="49"/>
      <c r="R21" s="57" t="s">
        <v>2602</v>
      </c>
      <c r="S21" s="47"/>
    </row>
    <row r="22" spans="2:19" s="30" customFormat="1" ht="33" hidden="1" customHeight="1">
      <c r="B22" s="46" t="s">
        <v>78</v>
      </c>
      <c r="C22" s="35" t="s">
        <v>988</v>
      </c>
      <c r="D22" s="36" t="s">
        <v>2605</v>
      </c>
      <c r="E22" s="37">
        <v>43566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43632</v>
      </c>
      <c r="L22" s="41" t="s">
        <v>1081</v>
      </c>
      <c r="M22" s="42">
        <v>43626</v>
      </c>
      <c r="N22" s="43" t="s">
        <v>1082</v>
      </c>
      <c r="O22" s="42">
        <v>43632</v>
      </c>
      <c r="P22" s="41"/>
      <c r="Q22" s="36" t="s">
        <v>82</v>
      </c>
      <c r="R22" s="44" t="s">
        <v>2606</v>
      </c>
      <c r="S22" s="46"/>
    </row>
    <row r="23" spans="2:19" s="30" customFormat="1" ht="33" hidden="1" customHeight="1">
      <c r="B23" s="46" t="s">
        <v>78</v>
      </c>
      <c r="C23" s="35" t="s">
        <v>1160</v>
      </c>
      <c r="D23" s="36" t="s">
        <v>1161</v>
      </c>
      <c r="E23" s="37">
        <v>43567</v>
      </c>
      <c r="F23" s="36" t="s">
        <v>2607</v>
      </c>
      <c r="G23" s="39">
        <v>40000</v>
      </c>
      <c r="H23" s="38">
        <f t="shared" si="0"/>
        <v>160</v>
      </c>
      <c r="I23" s="38">
        <f t="shared" si="1"/>
        <v>40</v>
      </c>
      <c r="J23" s="36"/>
      <c r="K23" s="40">
        <v>43646</v>
      </c>
      <c r="L23" s="41" t="s">
        <v>2608</v>
      </c>
      <c r="M23" s="42">
        <v>43640</v>
      </c>
      <c r="N23" s="43" t="s">
        <v>2609</v>
      </c>
      <c r="O23" s="42">
        <v>43646</v>
      </c>
      <c r="P23" s="41"/>
      <c r="Q23" s="36" t="s">
        <v>82</v>
      </c>
      <c r="R23" s="44" t="s">
        <v>2610</v>
      </c>
      <c r="S23" s="46" t="s">
        <v>2140</v>
      </c>
    </row>
    <row r="24" spans="2:19" s="30" customFormat="1" ht="33" hidden="1" customHeight="1">
      <c r="B24" s="46" t="s">
        <v>220</v>
      </c>
      <c r="C24" s="35" t="s">
        <v>1163</v>
      </c>
      <c r="D24" s="36" t="s">
        <v>1164</v>
      </c>
      <c r="E24" s="37">
        <v>43567</v>
      </c>
      <c r="F24" s="36" t="s">
        <v>79</v>
      </c>
      <c r="G24" s="39">
        <v>20000</v>
      </c>
      <c r="H24" s="38">
        <f t="shared" si="0"/>
        <v>80</v>
      </c>
      <c r="I24" s="38">
        <f t="shared" si="1"/>
        <v>20</v>
      </c>
      <c r="J24" s="36"/>
      <c r="K24" s="40">
        <v>43646</v>
      </c>
      <c r="L24" s="41" t="s">
        <v>2608</v>
      </c>
      <c r="M24" s="42">
        <v>43640</v>
      </c>
      <c r="N24" s="43" t="s">
        <v>2609</v>
      </c>
      <c r="O24" s="42">
        <v>43646</v>
      </c>
      <c r="P24" s="41"/>
      <c r="Q24" s="36"/>
      <c r="R24" s="44" t="s">
        <v>2611</v>
      </c>
      <c r="S24" s="46" t="s">
        <v>2140</v>
      </c>
    </row>
    <row r="25" spans="2:19" s="30" customFormat="1" ht="33" hidden="1" customHeight="1">
      <c r="B25" s="46" t="s">
        <v>78</v>
      </c>
      <c r="C25" s="35" t="s">
        <v>1166</v>
      </c>
      <c r="D25" s="36" t="s">
        <v>1167</v>
      </c>
      <c r="E25" s="37">
        <v>43567</v>
      </c>
      <c r="F25" s="36" t="s">
        <v>79</v>
      </c>
      <c r="G25" s="39">
        <v>20000</v>
      </c>
      <c r="H25" s="38">
        <f t="shared" si="0"/>
        <v>80</v>
      </c>
      <c r="I25" s="38">
        <f t="shared" si="1"/>
        <v>20</v>
      </c>
      <c r="J25" s="36"/>
      <c r="K25" s="40">
        <v>43653</v>
      </c>
      <c r="L25" s="41" t="s">
        <v>2612</v>
      </c>
      <c r="M25" s="42">
        <v>43647</v>
      </c>
      <c r="N25" s="43" t="s">
        <v>2613</v>
      </c>
      <c r="O25" s="42">
        <v>43653</v>
      </c>
      <c r="P25" s="41"/>
      <c r="Q25" s="36" t="s">
        <v>82</v>
      </c>
      <c r="R25" s="44" t="s">
        <v>2614</v>
      </c>
      <c r="S25" s="46" t="s">
        <v>2140</v>
      </c>
    </row>
    <row r="26" spans="2:19" s="30" customFormat="1" ht="33" hidden="1" customHeight="1">
      <c r="B26" s="46" t="s">
        <v>78</v>
      </c>
      <c r="C26" s="35" t="s">
        <v>1169</v>
      </c>
      <c r="D26" s="36" t="s">
        <v>1170</v>
      </c>
      <c r="E26" s="37">
        <v>43567</v>
      </c>
      <c r="F26" s="36" t="s">
        <v>79</v>
      </c>
      <c r="G26" s="39">
        <v>20000</v>
      </c>
      <c r="H26" s="38">
        <f t="shared" si="0"/>
        <v>80</v>
      </c>
      <c r="I26" s="38">
        <f t="shared" si="1"/>
        <v>20</v>
      </c>
      <c r="J26" s="36"/>
      <c r="K26" s="40">
        <v>43660</v>
      </c>
      <c r="L26" s="41" t="s">
        <v>2615</v>
      </c>
      <c r="M26" s="42">
        <v>43654</v>
      </c>
      <c r="N26" s="43" t="s">
        <v>2616</v>
      </c>
      <c r="O26" s="42">
        <v>43660</v>
      </c>
      <c r="P26" s="41"/>
      <c r="Q26" s="36" t="s">
        <v>82</v>
      </c>
      <c r="R26" s="154" t="s">
        <v>2767</v>
      </c>
      <c r="S26" s="155" t="s">
        <v>2140</v>
      </c>
    </row>
    <row r="27" spans="2:19" s="30" customFormat="1" ht="33" hidden="1" customHeight="1">
      <c r="B27" s="46" t="s">
        <v>78</v>
      </c>
      <c r="C27" s="35" t="s">
        <v>1172</v>
      </c>
      <c r="D27" s="36" t="s">
        <v>1173</v>
      </c>
      <c r="E27" s="37">
        <v>43567</v>
      </c>
      <c r="F27" s="36" t="s">
        <v>79</v>
      </c>
      <c r="G27" s="39">
        <v>20000</v>
      </c>
      <c r="H27" s="38">
        <f t="shared" si="0"/>
        <v>80</v>
      </c>
      <c r="I27" s="38">
        <f t="shared" si="1"/>
        <v>20</v>
      </c>
      <c r="J27" s="36"/>
      <c r="K27" s="40">
        <v>43667</v>
      </c>
      <c r="L27" s="41" t="s">
        <v>2617</v>
      </c>
      <c r="M27" s="42">
        <v>43658</v>
      </c>
      <c r="N27" s="43" t="s">
        <v>2618</v>
      </c>
      <c r="O27" s="42">
        <v>43667</v>
      </c>
      <c r="P27" s="41"/>
      <c r="Q27" s="36" t="s">
        <v>82</v>
      </c>
      <c r="R27" s="154" t="s">
        <v>2768</v>
      </c>
      <c r="S27" s="155" t="s">
        <v>2140</v>
      </c>
    </row>
    <row r="28" spans="2:19" s="30" customFormat="1" ht="33" hidden="1" customHeight="1">
      <c r="B28" s="46" t="s">
        <v>220</v>
      </c>
      <c r="C28" s="35" t="s">
        <v>1175</v>
      </c>
      <c r="D28" s="36" t="s">
        <v>1176</v>
      </c>
      <c r="E28" s="37">
        <v>43567</v>
      </c>
      <c r="F28" s="36" t="s">
        <v>79</v>
      </c>
      <c r="G28" s="39">
        <v>20000</v>
      </c>
      <c r="H28" s="38">
        <f t="shared" si="0"/>
        <v>80</v>
      </c>
      <c r="I28" s="38">
        <f t="shared" si="1"/>
        <v>20</v>
      </c>
      <c r="J28" s="36"/>
      <c r="K28" s="40">
        <v>43667</v>
      </c>
      <c r="L28" s="41" t="s">
        <v>1319</v>
      </c>
      <c r="M28" s="42">
        <v>43658</v>
      </c>
      <c r="N28" s="43" t="s">
        <v>2618</v>
      </c>
      <c r="O28" s="42">
        <v>43667</v>
      </c>
      <c r="P28" s="41"/>
      <c r="Q28" s="36"/>
      <c r="R28" s="44" t="s">
        <v>2619</v>
      </c>
      <c r="S28" s="46"/>
    </row>
    <row r="29" spans="2:19" s="30" customFormat="1" ht="33" hidden="1" customHeight="1">
      <c r="B29" s="46" t="s">
        <v>78</v>
      </c>
      <c r="C29" s="35" t="s">
        <v>1178</v>
      </c>
      <c r="D29" s="36" t="s">
        <v>1179</v>
      </c>
      <c r="E29" s="37">
        <v>43567</v>
      </c>
      <c r="F29" s="36" t="s">
        <v>2579</v>
      </c>
      <c r="G29" s="39">
        <v>10000</v>
      </c>
      <c r="H29" s="38">
        <f t="shared" si="0"/>
        <v>40</v>
      </c>
      <c r="I29" s="38">
        <f t="shared" si="1"/>
        <v>10</v>
      </c>
      <c r="J29" s="36"/>
      <c r="K29" s="40">
        <v>43674</v>
      </c>
      <c r="L29" s="41" t="s">
        <v>2620</v>
      </c>
      <c r="M29" s="42">
        <v>43668</v>
      </c>
      <c r="N29" s="43" t="s">
        <v>2621</v>
      </c>
      <c r="O29" s="42">
        <v>43674</v>
      </c>
      <c r="P29" s="41"/>
      <c r="Q29" s="36" t="s">
        <v>82</v>
      </c>
      <c r="R29" s="44" t="s">
        <v>2622</v>
      </c>
      <c r="S29" s="46"/>
    </row>
    <row r="30" spans="2:19" s="30" customFormat="1" ht="33" hidden="1" customHeight="1">
      <c r="B30" s="46" t="s">
        <v>220</v>
      </c>
      <c r="C30" s="35" t="s">
        <v>1181</v>
      </c>
      <c r="D30" s="36" t="s">
        <v>1182</v>
      </c>
      <c r="E30" s="37">
        <v>43567</v>
      </c>
      <c r="F30" s="36" t="s">
        <v>2579</v>
      </c>
      <c r="G30" s="39">
        <v>10000</v>
      </c>
      <c r="H30" s="38">
        <f t="shared" si="0"/>
        <v>40</v>
      </c>
      <c r="I30" s="38">
        <f t="shared" si="1"/>
        <v>10</v>
      </c>
      <c r="J30" s="36"/>
      <c r="K30" s="40">
        <v>43674</v>
      </c>
      <c r="L30" s="41" t="s">
        <v>1321</v>
      </c>
      <c r="M30" s="42">
        <v>43668</v>
      </c>
      <c r="N30" s="43" t="s">
        <v>2621</v>
      </c>
      <c r="O30" s="42">
        <v>43674</v>
      </c>
      <c r="P30" s="41"/>
      <c r="Q30" s="36"/>
      <c r="R30" s="44" t="s">
        <v>2623</v>
      </c>
      <c r="S30" s="46"/>
    </row>
    <row r="31" spans="2:19" s="30" customFormat="1" ht="33" hidden="1" customHeight="1">
      <c r="B31" s="46" t="s">
        <v>78</v>
      </c>
      <c r="C31" s="35" t="s">
        <v>2273</v>
      </c>
      <c r="D31" s="36" t="s">
        <v>2274</v>
      </c>
      <c r="E31" s="37">
        <v>43602</v>
      </c>
      <c r="F31" s="36" t="s">
        <v>79</v>
      </c>
      <c r="G31" s="39">
        <v>20000</v>
      </c>
      <c r="H31" s="38">
        <f t="shared" si="0"/>
        <v>80</v>
      </c>
      <c r="I31" s="38">
        <f t="shared" si="1"/>
        <v>20</v>
      </c>
      <c r="J31" s="36"/>
      <c r="K31" s="40">
        <v>43688</v>
      </c>
      <c r="L31" s="41" t="s">
        <v>2624</v>
      </c>
      <c r="M31" s="42">
        <v>43682</v>
      </c>
      <c r="N31" s="43" t="s">
        <v>2625</v>
      </c>
      <c r="O31" s="42">
        <v>43688</v>
      </c>
      <c r="P31" s="41"/>
      <c r="Q31" s="36" t="s">
        <v>82</v>
      </c>
      <c r="R31" s="44" t="s">
        <v>2626</v>
      </c>
      <c r="S31" s="46"/>
    </row>
    <row r="32" spans="2:19" s="30" customFormat="1" ht="33" hidden="1" customHeight="1">
      <c r="B32" s="46" t="s">
        <v>78</v>
      </c>
      <c r="C32" s="35" t="s">
        <v>2276</v>
      </c>
      <c r="D32" s="36" t="s">
        <v>2277</v>
      </c>
      <c r="E32" s="37">
        <v>43602</v>
      </c>
      <c r="F32" s="36" t="s">
        <v>79</v>
      </c>
      <c r="G32" s="39">
        <v>20000</v>
      </c>
      <c r="H32" s="38">
        <f t="shared" si="0"/>
        <v>80</v>
      </c>
      <c r="I32" s="38">
        <f t="shared" si="1"/>
        <v>20</v>
      </c>
      <c r="J32" s="36"/>
      <c r="K32" s="40">
        <v>43695</v>
      </c>
      <c r="L32" s="41" t="s">
        <v>2624</v>
      </c>
      <c r="M32" s="42">
        <v>43682</v>
      </c>
      <c r="N32" s="43" t="s">
        <v>2625</v>
      </c>
      <c r="O32" s="42">
        <v>43688</v>
      </c>
      <c r="P32" s="41"/>
      <c r="Q32" s="36" t="s">
        <v>82</v>
      </c>
      <c r="R32" s="44" t="s">
        <v>2627</v>
      </c>
      <c r="S32" s="46"/>
    </row>
    <row r="33" spans="2:19" s="30" customFormat="1" ht="33" hidden="1" customHeight="1">
      <c r="B33" s="46" t="s">
        <v>220</v>
      </c>
      <c r="C33" s="35" t="s">
        <v>2279</v>
      </c>
      <c r="D33" s="36" t="s">
        <v>2280</v>
      </c>
      <c r="E33" s="37">
        <v>43602</v>
      </c>
      <c r="F33" s="36" t="s">
        <v>79</v>
      </c>
      <c r="G33" s="39">
        <v>20000</v>
      </c>
      <c r="H33" s="38">
        <f t="shared" si="0"/>
        <v>80</v>
      </c>
      <c r="I33" s="38">
        <f t="shared" si="1"/>
        <v>20</v>
      </c>
      <c r="J33" s="36"/>
      <c r="K33" s="40">
        <v>43695</v>
      </c>
      <c r="L33" s="41" t="s">
        <v>2624</v>
      </c>
      <c r="M33" s="42">
        <v>43682</v>
      </c>
      <c r="N33" s="43" t="s">
        <v>2625</v>
      </c>
      <c r="O33" s="42">
        <v>43688</v>
      </c>
      <c r="P33" s="41"/>
      <c r="Q33" s="36"/>
      <c r="R33" s="44" t="s">
        <v>2628</v>
      </c>
      <c r="S33" s="46"/>
    </row>
    <row r="34" spans="2:19" s="30" customFormat="1" ht="33" hidden="1" customHeight="1">
      <c r="B34" s="46" t="s">
        <v>78</v>
      </c>
      <c r="C34" s="35" t="s">
        <v>2282</v>
      </c>
      <c r="D34" s="36" t="s">
        <v>2283</v>
      </c>
      <c r="E34" s="37">
        <v>43602</v>
      </c>
      <c r="F34" s="36" t="s">
        <v>79</v>
      </c>
      <c r="G34" s="39">
        <v>20000</v>
      </c>
      <c r="H34" s="38">
        <f t="shared" si="0"/>
        <v>80</v>
      </c>
      <c r="I34" s="38">
        <f t="shared" si="1"/>
        <v>20</v>
      </c>
      <c r="J34" s="36"/>
      <c r="K34" s="40">
        <v>43709</v>
      </c>
      <c r="L34" s="41" t="s">
        <v>2629</v>
      </c>
      <c r="M34" s="42">
        <v>43703</v>
      </c>
      <c r="N34" s="43" t="s">
        <v>2630</v>
      </c>
      <c r="O34" s="42">
        <v>43709</v>
      </c>
      <c r="P34" s="41"/>
      <c r="Q34" s="36" t="s">
        <v>82</v>
      </c>
      <c r="R34" s="44" t="s">
        <v>2631</v>
      </c>
      <c r="S34" s="46"/>
    </row>
    <row r="35" spans="2:19" s="96" customFormat="1" ht="33" hidden="1" customHeight="1">
      <c r="B35" s="47" t="s">
        <v>17</v>
      </c>
      <c r="C35" s="48" t="s">
        <v>427</v>
      </c>
      <c r="D35" s="49" t="s">
        <v>2632</v>
      </c>
      <c r="E35" s="50">
        <v>43483</v>
      </c>
      <c r="F35" s="52" t="s">
        <v>84</v>
      </c>
      <c r="G35" s="51">
        <v>9200</v>
      </c>
      <c r="H35" s="52">
        <f t="shared" ref="H35:H52" si="2">SUM(G35/230)</f>
        <v>40</v>
      </c>
      <c r="I35" s="52">
        <f t="shared" si="1"/>
        <v>10</v>
      </c>
      <c r="J35" s="49"/>
      <c r="K35" s="53">
        <v>43576</v>
      </c>
      <c r="L35" s="54" t="s">
        <v>2633</v>
      </c>
      <c r="M35" s="55">
        <v>43571</v>
      </c>
      <c r="N35" s="56" t="s">
        <v>2634</v>
      </c>
      <c r="O35" s="55">
        <v>43576</v>
      </c>
      <c r="P35" s="58"/>
      <c r="Q35" s="52" t="s">
        <v>82</v>
      </c>
      <c r="R35" s="57" t="s">
        <v>2635</v>
      </c>
      <c r="S35" s="47"/>
    </row>
    <row r="36" spans="2:19" s="67" customFormat="1" ht="33" hidden="1" customHeight="1">
      <c r="B36" s="46" t="s">
        <v>17</v>
      </c>
      <c r="C36" s="35" t="s">
        <v>581</v>
      </c>
      <c r="D36" s="36" t="s">
        <v>582</v>
      </c>
      <c r="E36" s="37">
        <v>43519</v>
      </c>
      <c r="F36" s="38" t="s">
        <v>84</v>
      </c>
      <c r="G36" s="39">
        <v>9200</v>
      </c>
      <c r="H36" s="38">
        <f t="shared" si="2"/>
        <v>40</v>
      </c>
      <c r="I36" s="38">
        <f t="shared" si="1"/>
        <v>10</v>
      </c>
      <c r="J36" s="36"/>
      <c r="K36" s="40">
        <v>43632</v>
      </c>
      <c r="L36" s="41" t="s">
        <v>2636</v>
      </c>
      <c r="M36" s="42">
        <v>43620</v>
      </c>
      <c r="N36" s="43" t="s">
        <v>2637</v>
      </c>
      <c r="O36" s="42">
        <v>43625</v>
      </c>
      <c r="P36" s="45"/>
      <c r="Q36" s="38" t="s">
        <v>82</v>
      </c>
      <c r="R36" s="44" t="s">
        <v>2638</v>
      </c>
      <c r="S36" s="46"/>
    </row>
    <row r="37" spans="2:19" s="67" customFormat="1" ht="33" hidden="1" customHeight="1">
      <c r="B37" s="46" t="s">
        <v>17</v>
      </c>
      <c r="C37" s="35" t="s">
        <v>694</v>
      </c>
      <c r="D37" s="36" t="s">
        <v>695</v>
      </c>
      <c r="E37" s="37">
        <v>43532</v>
      </c>
      <c r="F37" s="38" t="s">
        <v>2639</v>
      </c>
      <c r="G37" s="39">
        <v>9200</v>
      </c>
      <c r="H37" s="38">
        <f t="shared" si="2"/>
        <v>40</v>
      </c>
      <c r="I37" s="38">
        <f t="shared" si="1"/>
        <v>10</v>
      </c>
      <c r="J37" s="36"/>
      <c r="K37" s="40">
        <v>43653</v>
      </c>
      <c r="L37" s="41" t="s">
        <v>1326</v>
      </c>
      <c r="M37" s="42">
        <v>43648</v>
      </c>
      <c r="N37" s="43" t="s">
        <v>2540</v>
      </c>
      <c r="O37" s="42">
        <v>43653</v>
      </c>
      <c r="P37" s="45"/>
      <c r="Q37" s="38" t="s">
        <v>82</v>
      </c>
      <c r="R37" s="44" t="s">
        <v>2640</v>
      </c>
      <c r="S37" s="46"/>
    </row>
    <row r="38" spans="2:19" s="67" customFormat="1" ht="33" hidden="1" customHeight="1">
      <c r="B38" s="46" t="s">
        <v>17</v>
      </c>
      <c r="C38" s="35" t="s">
        <v>2299</v>
      </c>
      <c r="D38" s="36" t="s">
        <v>2641</v>
      </c>
      <c r="E38" s="37">
        <v>43609</v>
      </c>
      <c r="F38" s="38" t="s">
        <v>2639</v>
      </c>
      <c r="G38" s="39">
        <v>2760</v>
      </c>
      <c r="H38" s="38">
        <f t="shared" si="2"/>
        <v>12</v>
      </c>
      <c r="I38" s="38">
        <f t="shared" si="1"/>
        <v>3</v>
      </c>
      <c r="J38" s="36"/>
      <c r="K38" s="40">
        <v>43653</v>
      </c>
      <c r="L38" s="41" t="s">
        <v>1326</v>
      </c>
      <c r="M38" s="42">
        <v>43648</v>
      </c>
      <c r="N38" s="43" t="s">
        <v>2540</v>
      </c>
      <c r="O38" s="42">
        <v>43653</v>
      </c>
      <c r="P38" s="45"/>
      <c r="Q38" s="38" t="s">
        <v>82</v>
      </c>
      <c r="R38" s="44" t="s">
        <v>2640</v>
      </c>
      <c r="S38" s="46"/>
    </row>
    <row r="39" spans="2:19" s="67" customFormat="1" ht="33" hidden="1" customHeight="1">
      <c r="B39" s="46" t="s">
        <v>17</v>
      </c>
      <c r="C39" s="35" t="s">
        <v>2769</v>
      </c>
      <c r="D39" s="36" t="s">
        <v>2300</v>
      </c>
      <c r="E39" s="37">
        <v>43602</v>
      </c>
      <c r="F39" s="38" t="s">
        <v>2639</v>
      </c>
      <c r="G39" s="39">
        <v>9200</v>
      </c>
      <c r="H39" s="38">
        <f t="shared" si="2"/>
        <v>40</v>
      </c>
      <c r="I39" s="38">
        <f t="shared" si="1"/>
        <v>10</v>
      </c>
      <c r="J39" s="36"/>
      <c r="K39" s="40">
        <v>43695</v>
      </c>
      <c r="L39" s="119" t="s">
        <v>2642</v>
      </c>
      <c r="M39" s="120">
        <v>43683</v>
      </c>
      <c r="N39" s="121" t="s">
        <v>2763</v>
      </c>
      <c r="O39" s="120">
        <v>43688</v>
      </c>
      <c r="P39" s="45"/>
      <c r="Q39" s="38" t="s">
        <v>82</v>
      </c>
      <c r="R39" s="44" t="s">
        <v>2643</v>
      </c>
      <c r="S39" s="122" t="s">
        <v>2764</v>
      </c>
    </row>
    <row r="40" spans="2:19" s="96" customFormat="1" ht="33" hidden="1" customHeight="1">
      <c r="B40" s="47" t="s">
        <v>81</v>
      </c>
      <c r="C40" s="48" t="s">
        <v>279</v>
      </c>
      <c r="D40" s="49" t="s">
        <v>2644</v>
      </c>
      <c r="E40" s="50">
        <v>43392</v>
      </c>
      <c r="F40" s="52" t="s">
        <v>84</v>
      </c>
      <c r="G40" s="51">
        <v>11960</v>
      </c>
      <c r="H40" s="52">
        <f t="shared" si="2"/>
        <v>52</v>
      </c>
      <c r="I40" s="52">
        <f t="shared" si="1"/>
        <v>13</v>
      </c>
      <c r="J40" s="52"/>
      <c r="K40" s="53">
        <v>43597</v>
      </c>
      <c r="L40" s="54" t="s">
        <v>2645</v>
      </c>
      <c r="M40" s="55">
        <v>43594</v>
      </c>
      <c r="N40" s="56" t="s">
        <v>2646</v>
      </c>
      <c r="O40" s="55">
        <v>43598</v>
      </c>
      <c r="P40" s="58" t="s">
        <v>2647</v>
      </c>
      <c r="Q40" s="47"/>
      <c r="R40" s="57" t="s">
        <v>2648</v>
      </c>
      <c r="S40" s="47"/>
    </row>
    <row r="41" spans="2:19" s="96" customFormat="1" ht="33" hidden="1" customHeight="1">
      <c r="B41" s="47" t="s">
        <v>81</v>
      </c>
      <c r="C41" s="48" t="s">
        <v>2649</v>
      </c>
      <c r="D41" s="49" t="s">
        <v>2644</v>
      </c>
      <c r="E41" s="50">
        <v>43392</v>
      </c>
      <c r="F41" s="52" t="s">
        <v>84</v>
      </c>
      <c r="G41" s="51">
        <v>1840</v>
      </c>
      <c r="H41" s="52">
        <f t="shared" si="2"/>
        <v>8</v>
      </c>
      <c r="I41" s="52">
        <f t="shared" si="1"/>
        <v>2</v>
      </c>
      <c r="J41" s="52"/>
      <c r="K41" s="53">
        <v>43597</v>
      </c>
      <c r="L41" s="54" t="s">
        <v>773</v>
      </c>
      <c r="M41" s="55">
        <v>43601</v>
      </c>
      <c r="N41" s="56" t="s">
        <v>2650</v>
      </c>
      <c r="O41" s="55">
        <v>43605</v>
      </c>
      <c r="P41" s="58" t="s">
        <v>2647</v>
      </c>
      <c r="Q41" s="47"/>
      <c r="R41" s="57" t="s">
        <v>2648</v>
      </c>
      <c r="S41" s="47" t="s">
        <v>1329</v>
      </c>
    </row>
    <row r="42" spans="2:19" s="96" customFormat="1" ht="33" hidden="1" customHeight="1">
      <c r="B42" s="47" t="s">
        <v>81</v>
      </c>
      <c r="C42" s="48" t="s">
        <v>318</v>
      </c>
      <c r="D42" s="49" t="s">
        <v>319</v>
      </c>
      <c r="E42" s="50">
        <v>43420</v>
      </c>
      <c r="F42" s="52" t="s">
        <v>2639</v>
      </c>
      <c r="G42" s="51">
        <v>17940</v>
      </c>
      <c r="H42" s="52">
        <f t="shared" si="2"/>
        <v>78</v>
      </c>
      <c r="I42" s="52">
        <f t="shared" si="1"/>
        <v>19.5</v>
      </c>
      <c r="J42" s="52"/>
      <c r="K42" s="53">
        <v>43576</v>
      </c>
      <c r="L42" s="54" t="s">
        <v>480</v>
      </c>
      <c r="M42" s="55">
        <v>43564</v>
      </c>
      <c r="N42" s="56" t="s">
        <v>2651</v>
      </c>
      <c r="O42" s="55">
        <v>43569</v>
      </c>
      <c r="P42" s="58"/>
      <c r="Q42" s="47"/>
      <c r="R42" s="57" t="s">
        <v>2652</v>
      </c>
      <c r="S42" s="47" t="s">
        <v>2653</v>
      </c>
    </row>
    <row r="43" spans="2:19" s="96" customFormat="1" ht="33" hidden="1" customHeight="1">
      <c r="B43" s="47" t="s">
        <v>81</v>
      </c>
      <c r="C43" s="48" t="s">
        <v>2654</v>
      </c>
      <c r="D43" s="49" t="s">
        <v>701</v>
      </c>
      <c r="E43" s="50">
        <v>43532</v>
      </c>
      <c r="F43" s="52" t="s">
        <v>2639</v>
      </c>
      <c r="G43" s="51">
        <v>13800</v>
      </c>
      <c r="H43" s="52">
        <f t="shared" si="2"/>
        <v>60</v>
      </c>
      <c r="I43" s="52">
        <f t="shared" si="1"/>
        <v>15</v>
      </c>
      <c r="J43" s="52"/>
      <c r="K43" s="53">
        <v>43615</v>
      </c>
      <c r="L43" s="54" t="s">
        <v>2655</v>
      </c>
      <c r="M43" s="55">
        <v>43613</v>
      </c>
      <c r="N43" s="56" t="s">
        <v>2656</v>
      </c>
      <c r="O43" s="55">
        <v>43618</v>
      </c>
      <c r="P43" s="58"/>
      <c r="Q43" s="47"/>
      <c r="R43" s="57" t="s">
        <v>2657</v>
      </c>
      <c r="S43" s="47"/>
    </row>
    <row r="44" spans="2:19" s="67" customFormat="1" ht="33" hidden="1" customHeight="1">
      <c r="B44" s="46" t="s">
        <v>81</v>
      </c>
      <c r="C44" s="35" t="s">
        <v>2658</v>
      </c>
      <c r="D44" s="36" t="s">
        <v>2659</v>
      </c>
      <c r="E44" s="37">
        <v>43532</v>
      </c>
      <c r="F44" s="38" t="s">
        <v>2639</v>
      </c>
      <c r="G44" s="39">
        <v>4600</v>
      </c>
      <c r="H44" s="38">
        <f t="shared" si="2"/>
        <v>20</v>
      </c>
      <c r="I44" s="38">
        <f t="shared" si="1"/>
        <v>5</v>
      </c>
      <c r="J44" s="38"/>
      <c r="K44" s="40">
        <v>43615</v>
      </c>
      <c r="L44" s="41" t="s">
        <v>2636</v>
      </c>
      <c r="M44" s="42">
        <v>43620</v>
      </c>
      <c r="N44" s="43" t="s">
        <v>2637</v>
      </c>
      <c r="O44" s="42">
        <v>43625</v>
      </c>
      <c r="P44" s="45"/>
      <c r="Q44" s="46"/>
      <c r="R44" s="44" t="s">
        <v>2657</v>
      </c>
      <c r="S44" s="46"/>
    </row>
    <row r="45" spans="2:19" s="67" customFormat="1" ht="33" hidden="1" customHeight="1">
      <c r="B45" s="46" t="s">
        <v>81</v>
      </c>
      <c r="C45" s="35" t="s">
        <v>702</v>
      </c>
      <c r="D45" s="36" t="s">
        <v>703</v>
      </c>
      <c r="E45" s="37">
        <v>43532</v>
      </c>
      <c r="F45" s="38" t="s">
        <v>2639</v>
      </c>
      <c r="G45" s="39">
        <v>9200</v>
      </c>
      <c r="H45" s="38">
        <f t="shared" si="2"/>
        <v>40</v>
      </c>
      <c r="I45" s="38">
        <f t="shared" si="1"/>
        <v>10</v>
      </c>
      <c r="J45" s="38"/>
      <c r="K45" s="40">
        <v>43632</v>
      </c>
      <c r="L45" s="41" t="s">
        <v>807</v>
      </c>
      <c r="M45" s="42">
        <v>43627</v>
      </c>
      <c r="N45" s="43" t="s">
        <v>808</v>
      </c>
      <c r="O45" s="42">
        <v>43632</v>
      </c>
      <c r="P45" s="45"/>
      <c r="Q45" s="46"/>
      <c r="R45" s="44" t="s">
        <v>2660</v>
      </c>
      <c r="S45" s="46"/>
    </row>
    <row r="46" spans="2:19" s="67" customFormat="1" ht="33" hidden="1" customHeight="1">
      <c r="B46" s="46" t="s">
        <v>81</v>
      </c>
      <c r="C46" s="35" t="s">
        <v>852</v>
      </c>
      <c r="D46" s="36" t="s">
        <v>1990</v>
      </c>
      <c r="E46" s="37">
        <v>43558</v>
      </c>
      <c r="F46" s="38" t="s">
        <v>2639</v>
      </c>
      <c r="G46" s="39">
        <v>9200</v>
      </c>
      <c r="H46" s="38">
        <f t="shared" si="2"/>
        <v>40</v>
      </c>
      <c r="I46" s="38">
        <f t="shared" si="1"/>
        <v>10</v>
      </c>
      <c r="J46" s="38"/>
      <c r="K46" s="40">
        <v>43639</v>
      </c>
      <c r="L46" s="41" t="s">
        <v>1083</v>
      </c>
      <c r="M46" s="42">
        <v>43634</v>
      </c>
      <c r="N46" s="43" t="s">
        <v>1084</v>
      </c>
      <c r="O46" s="42">
        <v>43639</v>
      </c>
      <c r="P46" s="45"/>
      <c r="Q46" s="46"/>
      <c r="R46" s="44" t="s">
        <v>2660</v>
      </c>
      <c r="S46" s="46"/>
    </row>
    <row r="47" spans="2:19" s="67" customFormat="1" ht="33" hidden="1" customHeight="1">
      <c r="B47" s="46" t="s">
        <v>81</v>
      </c>
      <c r="C47" s="35" t="s">
        <v>1435</v>
      </c>
      <c r="D47" s="36" t="s">
        <v>1436</v>
      </c>
      <c r="E47" s="37">
        <v>43574</v>
      </c>
      <c r="F47" s="38" t="s">
        <v>2639</v>
      </c>
      <c r="G47" s="39">
        <v>18400</v>
      </c>
      <c r="H47" s="38">
        <f t="shared" si="2"/>
        <v>80</v>
      </c>
      <c r="I47" s="38">
        <f t="shared" si="1"/>
        <v>20</v>
      </c>
      <c r="J47" s="38"/>
      <c r="K47" s="40">
        <v>43653</v>
      </c>
      <c r="L47" s="41" t="s">
        <v>1326</v>
      </c>
      <c r="M47" s="42">
        <v>43648</v>
      </c>
      <c r="N47" s="43" t="s">
        <v>2661</v>
      </c>
      <c r="O47" s="42">
        <v>43653</v>
      </c>
      <c r="P47" s="45"/>
      <c r="Q47" s="46"/>
      <c r="R47" s="44" t="s">
        <v>2662</v>
      </c>
      <c r="S47" s="46"/>
    </row>
    <row r="48" spans="2:19" s="67" customFormat="1" ht="33" hidden="1" customHeight="1">
      <c r="B48" s="46" t="s">
        <v>81</v>
      </c>
      <c r="C48" s="35" t="s">
        <v>2322</v>
      </c>
      <c r="D48" s="36" t="s">
        <v>2323</v>
      </c>
      <c r="E48" s="37">
        <v>43602</v>
      </c>
      <c r="F48" s="38" t="s">
        <v>2639</v>
      </c>
      <c r="G48" s="39">
        <v>18400</v>
      </c>
      <c r="H48" s="38">
        <f t="shared" si="2"/>
        <v>80</v>
      </c>
      <c r="I48" s="38">
        <f t="shared" si="1"/>
        <v>20</v>
      </c>
      <c r="J48" s="38"/>
      <c r="K48" s="130">
        <v>43674</v>
      </c>
      <c r="L48" s="119" t="s">
        <v>2146</v>
      </c>
      <c r="M48" s="120">
        <v>43669</v>
      </c>
      <c r="N48" s="121" t="s">
        <v>2551</v>
      </c>
      <c r="O48" s="120">
        <v>43674</v>
      </c>
      <c r="P48" s="45"/>
      <c r="Q48" s="46"/>
      <c r="R48" s="125" t="s">
        <v>2663</v>
      </c>
      <c r="S48" s="46"/>
    </row>
    <row r="49" spans="2:19" s="67" customFormat="1" ht="33" customHeight="1">
      <c r="B49" s="46" t="s">
        <v>81</v>
      </c>
      <c r="C49" s="35" t="s">
        <v>2325</v>
      </c>
      <c r="D49" s="36" t="s">
        <v>2326</v>
      </c>
      <c r="E49" s="37">
        <v>43602</v>
      </c>
      <c r="F49" s="38" t="s">
        <v>2639</v>
      </c>
      <c r="G49" s="39">
        <v>17940</v>
      </c>
      <c r="H49" s="38">
        <f t="shared" si="2"/>
        <v>78</v>
      </c>
      <c r="I49" s="38">
        <f t="shared" si="1"/>
        <v>19.5</v>
      </c>
      <c r="J49" s="38"/>
      <c r="K49" s="40">
        <v>43702</v>
      </c>
      <c r="L49" s="41" t="s">
        <v>2664</v>
      </c>
      <c r="M49" s="42">
        <v>43697</v>
      </c>
      <c r="N49" s="43" t="s">
        <v>2665</v>
      </c>
      <c r="O49" s="42">
        <v>43702</v>
      </c>
      <c r="P49" s="45"/>
      <c r="Q49" s="46"/>
      <c r="R49" s="44" t="s">
        <v>2666</v>
      </c>
      <c r="S49" s="46"/>
    </row>
    <row r="50" spans="2:19" s="96" customFormat="1" ht="33" hidden="1" customHeight="1">
      <c r="B50" s="47" t="s">
        <v>2667</v>
      </c>
      <c r="C50" s="48" t="s">
        <v>2668</v>
      </c>
      <c r="D50" s="49" t="s">
        <v>705</v>
      </c>
      <c r="E50" s="50">
        <v>43532</v>
      </c>
      <c r="F50" s="52" t="s">
        <v>2639</v>
      </c>
      <c r="G50" s="51">
        <v>920</v>
      </c>
      <c r="H50" s="52">
        <f t="shared" si="2"/>
        <v>4</v>
      </c>
      <c r="I50" s="52">
        <f t="shared" si="1"/>
        <v>1</v>
      </c>
      <c r="J50" s="52"/>
      <c r="K50" s="53">
        <v>43609</v>
      </c>
      <c r="L50" s="54" t="s">
        <v>773</v>
      </c>
      <c r="M50" s="55">
        <v>43601</v>
      </c>
      <c r="N50" s="56" t="s">
        <v>774</v>
      </c>
      <c r="O50" s="55">
        <v>43605</v>
      </c>
      <c r="P50" s="58"/>
      <c r="Q50" s="47"/>
      <c r="R50" s="57"/>
      <c r="S50" s="47" t="s">
        <v>2669</v>
      </c>
    </row>
    <row r="51" spans="2:19" s="96" customFormat="1" ht="33" hidden="1" customHeight="1">
      <c r="B51" s="47" t="s">
        <v>2670</v>
      </c>
      <c r="C51" s="48" t="s">
        <v>2668</v>
      </c>
      <c r="D51" s="49" t="s">
        <v>2671</v>
      </c>
      <c r="E51" s="50">
        <v>43511</v>
      </c>
      <c r="F51" s="52" t="s">
        <v>2639</v>
      </c>
      <c r="G51" s="51">
        <v>460</v>
      </c>
      <c r="H51" s="52">
        <f t="shared" si="2"/>
        <v>2</v>
      </c>
      <c r="I51" s="52">
        <f t="shared" si="1"/>
        <v>0.5</v>
      </c>
      <c r="J51" s="52"/>
      <c r="K51" s="53">
        <v>43576</v>
      </c>
      <c r="L51" s="54" t="s">
        <v>480</v>
      </c>
      <c r="M51" s="55">
        <v>43564</v>
      </c>
      <c r="N51" s="56" t="s">
        <v>646</v>
      </c>
      <c r="O51" s="55">
        <v>43569</v>
      </c>
      <c r="P51" s="58"/>
      <c r="Q51" s="47"/>
      <c r="R51" s="57" t="s">
        <v>2652</v>
      </c>
      <c r="S51" s="47"/>
    </row>
    <row r="52" spans="2:19" s="67" customFormat="1" ht="33" customHeight="1">
      <c r="B52" s="46" t="s">
        <v>2670</v>
      </c>
      <c r="C52" s="35" t="s">
        <v>2333</v>
      </c>
      <c r="D52" s="36" t="s">
        <v>2334</v>
      </c>
      <c r="E52" s="37">
        <v>43602</v>
      </c>
      <c r="F52" s="38" t="s">
        <v>2639</v>
      </c>
      <c r="G52" s="39">
        <v>460</v>
      </c>
      <c r="H52" s="38">
        <f t="shared" si="2"/>
        <v>2</v>
      </c>
      <c r="I52" s="38">
        <f t="shared" si="1"/>
        <v>0.5</v>
      </c>
      <c r="J52" s="38"/>
      <c r="K52" s="40">
        <v>43702</v>
      </c>
      <c r="L52" s="41" t="s">
        <v>2509</v>
      </c>
      <c r="M52" s="42">
        <v>43697</v>
      </c>
      <c r="N52" s="43" t="s">
        <v>2665</v>
      </c>
      <c r="O52" s="42">
        <v>43702</v>
      </c>
      <c r="P52" s="45"/>
      <c r="Q52" s="46"/>
      <c r="R52" s="44" t="s">
        <v>2672</v>
      </c>
      <c r="S52" s="46"/>
    </row>
    <row r="53" spans="2:19" s="33" customFormat="1" ht="33" customHeight="1">
      <c r="B53" s="47" t="s">
        <v>2673</v>
      </c>
      <c r="C53" s="48" t="s">
        <v>430</v>
      </c>
      <c r="D53" s="49" t="s">
        <v>470</v>
      </c>
      <c r="E53" s="50">
        <v>43473</v>
      </c>
      <c r="F53" s="52" t="s">
        <v>2674</v>
      </c>
      <c r="G53" s="51">
        <v>1920</v>
      </c>
      <c r="H53" s="52">
        <f t="shared" ref="H53:H61" si="3">SUM(G53/20)</f>
        <v>96</v>
      </c>
      <c r="I53" s="52">
        <f t="shared" ref="I53:I61" si="4">SUM(H53/32)</f>
        <v>3</v>
      </c>
      <c r="J53" s="59"/>
      <c r="K53" s="53">
        <v>43555</v>
      </c>
      <c r="L53" s="54" t="s">
        <v>2509</v>
      </c>
      <c r="M53" s="55">
        <v>43564</v>
      </c>
      <c r="N53" s="56" t="s">
        <v>2676</v>
      </c>
      <c r="O53" s="55">
        <v>43569</v>
      </c>
      <c r="P53" s="58"/>
      <c r="Q53" s="60" t="s">
        <v>89</v>
      </c>
      <c r="R53" s="57" t="s">
        <v>2675</v>
      </c>
      <c r="S53" s="47"/>
    </row>
    <row r="54" spans="2:19" s="33" customFormat="1" ht="33" customHeight="1">
      <c r="B54" s="47" t="s">
        <v>2673</v>
      </c>
      <c r="C54" s="48" t="s">
        <v>519</v>
      </c>
      <c r="D54" s="49" t="s">
        <v>710</v>
      </c>
      <c r="E54" s="50">
        <v>43511</v>
      </c>
      <c r="F54" s="52" t="s">
        <v>2674</v>
      </c>
      <c r="G54" s="51">
        <v>640</v>
      </c>
      <c r="H54" s="52">
        <f t="shared" si="3"/>
        <v>32</v>
      </c>
      <c r="I54" s="52">
        <f t="shared" si="4"/>
        <v>1</v>
      </c>
      <c r="J54" s="59"/>
      <c r="K54" s="53">
        <v>43555</v>
      </c>
      <c r="L54" s="54" t="s">
        <v>2509</v>
      </c>
      <c r="M54" s="55">
        <v>43557</v>
      </c>
      <c r="N54" s="56" t="s">
        <v>2677</v>
      </c>
      <c r="O54" s="55">
        <v>43562</v>
      </c>
      <c r="P54" s="58"/>
      <c r="Q54" s="60" t="s">
        <v>89</v>
      </c>
      <c r="R54" s="57" t="s">
        <v>2675</v>
      </c>
      <c r="S54" s="47"/>
    </row>
    <row r="55" spans="2:19" s="33" customFormat="1" ht="33" customHeight="1">
      <c r="B55" s="47" t="s">
        <v>2673</v>
      </c>
      <c r="C55" s="48" t="s">
        <v>520</v>
      </c>
      <c r="D55" s="49" t="s">
        <v>584</v>
      </c>
      <c r="E55" s="50">
        <v>43511</v>
      </c>
      <c r="F55" s="52" t="s">
        <v>2674</v>
      </c>
      <c r="G55" s="51">
        <v>1920</v>
      </c>
      <c r="H55" s="52">
        <f t="shared" si="3"/>
        <v>96</v>
      </c>
      <c r="I55" s="52">
        <f t="shared" si="4"/>
        <v>3</v>
      </c>
      <c r="J55" s="59"/>
      <c r="K55" s="53">
        <v>43576</v>
      </c>
      <c r="L55" s="54" t="s">
        <v>2509</v>
      </c>
      <c r="M55" s="55">
        <v>43571</v>
      </c>
      <c r="N55" s="56" t="s">
        <v>2678</v>
      </c>
      <c r="O55" s="55">
        <v>43576</v>
      </c>
      <c r="P55" s="58"/>
      <c r="Q55" s="60" t="s">
        <v>89</v>
      </c>
      <c r="R55" s="57" t="s">
        <v>2679</v>
      </c>
      <c r="S55" s="47"/>
    </row>
    <row r="56" spans="2:19" s="33" customFormat="1" ht="33" customHeight="1">
      <c r="B56" s="47" t="s">
        <v>2673</v>
      </c>
      <c r="C56" s="48" t="s">
        <v>586</v>
      </c>
      <c r="D56" s="49" t="s">
        <v>640</v>
      </c>
      <c r="E56" s="50">
        <v>43519</v>
      </c>
      <c r="F56" s="52" t="s">
        <v>2674</v>
      </c>
      <c r="G56" s="51">
        <v>2560</v>
      </c>
      <c r="H56" s="52">
        <f t="shared" si="3"/>
        <v>128</v>
      </c>
      <c r="I56" s="52">
        <f t="shared" si="4"/>
        <v>4</v>
      </c>
      <c r="J56" s="59"/>
      <c r="K56" s="53">
        <v>43611</v>
      </c>
      <c r="L56" s="54" t="s">
        <v>2509</v>
      </c>
      <c r="M56" s="55">
        <v>43601</v>
      </c>
      <c r="N56" s="56" t="s">
        <v>2680</v>
      </c>
      <c r="O56" s="55">
        <v>43605</v>
      </c>
      <c r="P56" s="58"/>
      <c r="Q56" s="60" t="s">
        <v>89</v>
      </c>
      <c r="R56" s="57" t="s">
        <v>2681</v>
      </c>
      <c r="S56" s="47" t="s">
        <v>980</v>
      </c>
    </row>
    <row r="57" spans="2:19" s="30" customFormat="1" ht="33" hidden="1" customHeight="1">
      <c r="B57" s="46" t="s">
        <v>2673</v>
      </c>
      <c r="C57" s="35" t="s">
        <v>713</v>
      </c>
      <c r="D57" s="36" t="s">
        <v>714</v>
      </c>
      <c r="E57" s="37">
        <v>43532</v>
      </c>
      <c r="F57" s="38" t="s">
        <v>2674</v>
      </c>
      <c r="G57" s="39">
        <v>1920</v>
      </c>
      <c r="H57" s="38">
        <f t="shared" si="3"/>
        <v>96</v>
      </c>
      <c r="I57" s="38">
        <f t="shared" si="4"/>
        <v>3</v>
      </c>
      <c r="J57" s="61"/>
      <c r="K57" s="40">
        <v>43639</v>
      </c>
      <c r="L57" s="41" t="s">
        <v>1083</v>
      </c>
      <c r="M57" s="42">
        <v>43634</v>
      </c>
      <c r="N57" s="43" t="s">
        <v>1084</v>
      </c>
      <c r="O57" s="42">
        <v>43639</v>
      </c>
      <c r="P57" s="45"/>
      <c r="Q57" s="62" t="s">
        <v>89</v>
      </c>
      <c r="R57" s="44" t="s">
        <v>2682</v>
      </c>
      <c r="S57" s="46"/>
    </row>
    <row r="58" spans="2:19" s="30" customFormat="1" ht="33" hidden="1" customHeight="1">
      <c r="B58" s="46" t="s">
        <v>2673</v>
      </c>
      <c r="C58" s="35" t="s">
        <v>1184</v>
      </c>
      <c r="D58" s="36" t="s">
        <v>1185</v>
      </c>
      <c r="E58" s="37">
        <v>43567</v>
      </c>
      <c r="F58" s="38" t="s">
        <v>2674</v>
      </c>
      <c r="G58" s="39">
        <v>2560</v>
      </c>
      <c r="H58" s="38">
        <f t="shared" si="3"/>
        <v>128</v>
      </c>
      <c r="I58" s="38">
        <f t="shared" si="4"/>
        <v>4</v>
      </c>
      <c r="J58" s="61"/>
      <c r="K58" s="40">
        <v>43653</v>
      </c>
      <c r="L58" s="41" t="s">
        <v>1326</v>
      </c>
      <c r="M58" s="42">
        <v>43648</v>
      </c>
      <c r="N58" s="43" t="s">
        <v>2540</v>
      </c>
      <c r="O58" s="42">
        <v>43653</v>
      </c>
      <c r="P58" s="45"/>
      <c r="Q58" s="62" t="s">
        <v>89</v>
      </c>
      <c r="R58" s="44" t="s">
        <v>2683</v>
      </c>
      <c r="S58" s="46"/>
    </row>
    <row r="59" spans="2:19" s="30" customFormat="1" ht="33" hidden="1" customHeight="1">
      <c r="B59" s="46" t="s">
        <v>2673</v>
      </c>
      <c r="C59" s="35" t="s">
        <v>2684</v>
      </c>
      <c r="D59" s="36" t="s">
        <v>2685</v>
      </c>
      <c r="E59" s="37">
        <v>43609</v>
      </c>
      <c r="F59" s="38" t="s">
        <v>2674</v>
      </c>
      <c r="G59" s="39">
        <v>1280</v>
      </c>
      <c r="H59" s="38">
        <f t="shared" si="3"/>
        <v>64</v>
      </c>
      <c r="I59" s="38">
        <f t="shared" si="4"/>
        <v>2</v>
      </c>
      <c r="J59" s="61"/>
      <c r="K59" s="40">
        <v>43653</v>
      </c>
      <c r="L59" s="41" t="s">
        <v>1326</v>
      </c>
      <c r="M59" s="42">
        <v>43648</v>
      </c>
      <c r="N59" s="43" t="s">
        <v>2540</v>
      </c>
      <c r="O59" s="42">
        <v>43653</v>
      </c>
      <c r="P59" s="45"/>
      <c r="Q59" s="62" t="s">
        <v>89</v>
      </c>
      <c r="R59" s="44" t="s">
        <v>2683</v>
      </c>
      <c r="S59" s="46"/>
    </row>
    <row r="60" spans="2:19" s="30" customFormat="1" ht="33" hidden="1" customHeight="1">
      <c r="B60" s="46" t="s">
        <v>2673</v>
      </c>
      <c r="C60" s="35" t="s">
        <v>2357</v>
      </c>
      <c r="D60" s="36" t="s">
        <v>2358</v>
      </c>
      <c r="E60" s="37">
        <v>43602</v>
      </c>
      <c r="F60" s="38" t="s">
        <v>2674</v>
      </c>
      <c r="G60" s="39">
        <v>2560</v>
      </c>
      <c r="H60" s="38">
        <f t="shared" si="3"/>
        <v>128</v>
      </c>
      <c r="I60" s="38">
        <f t="shared" si="4"/>
        <v>4</v>
      </c>
      <c r="J60" s="61"/>
      <c r="K60" s="130">
        <v>43674</v>
      </c>
      <c r="L60" s="119" t="s">
        <v>2146</v>
      </c>
      <c r="M60" s="120">
        <v>43669</v>
      </c>
      <c r="N60" s="121" t="s">
        <v>2551</v>
      </c>
      <c r="O60" s="120">
        <v>43674</v>
      </c>
      <c r="P60" s="45"/>
      <c r="Q60" s="62" t="s">
        <v>89</v>
      </c>
      <c r="R60" s="125" t="s">
        <v>2686</v>
      </c>
      <c r="S60" s="46"/>
    </row>
    <row r="61" spans="2:19" s="30" customFormat="1" ht="33" hidden="1" customHeight="1">
      <c r="B61" s="46" t="s">
        <v>2673</v>
      </c>
      <c r="C61" s="35" t="s">
        <v>2360</v>
      </c>
      <c r="D61" s="36" t="s">
        <v>2687</v>
      </c>
      <c r="E61" s="37">
        <v>43602</v>
      </c>
      <c r="F61" s="38" t="s">
        <v>2674</v>
      </c>
      <c r="G61" s="39">
        <v>2560</v>
      </c>
      <c r="H61" s="38">
        <f t="shared" si="3"/>
        <v>128</v>
      </c>
      <c r="I61" s="38">
        <f t="shared" si="4"/>
        <v>4</v>
      </c>
      <c r="J61" s="61"/>
      <c r="K61" s="130">
        <v>43695</v>
      </c>
      <c r="L61" s="119" t="s">
        <v>2505</v>
      </c>
      <c r="M61" s="120">
        <v>43683</v>
      </c>
      <c r="N61" s="121" t="s">
        <v>2763</v>
      </c>
      <c r="O61" s="120">
        <v>43688</v>
      </c>
      <c r="P61" s="45"/>
      <c r="Q61" s="62" t="s">
        <v>89</v>
      </c>
      <c r="R61" s="125" t="s">
        <v>2688</v>
      </c>
      <c r="S61" s="46"/>
    </row>
    <row r="62" spans="2:19" s="33" customFormat="1" ht="33" hidden="1" customHeight="1">
      <c r="B62" s="47" t="s">
        <v>38</v>
      </c>
      <c r="C62" s="48" t="s">
        <v>225</v>
      </c>
      <c r="D62" s="49" t="s">
        <v>587</v>
      </c>
      <c r="E62" s="50">
        <v>43519</v>
      </c>
      <c r="F62" s="52" t="s">
        <v>2689</v>
      </c>
      <c r="G62" s="64">
        <v>640</v>
      </c>
      <c r="H62" s="52">
        <f>SUBTOTAL(9,G62)/20</f>
        <v>0</v>
      </c>
      <c r="I62" s="52">
        <f>H62/32</f>
        <v>0</v>
      </c>
      <c r="J62" s="52"/>
      <c r="K62" s="53">
        <v>43583</v>
      </c>
      <c r="L62" s="54" t="s">
        <v>565</v>
      </c>
      <c r="M62" s="55">
        <v>43578</v>
      </c>
      <c r="N62" s="56" t="s">
        <v>2690</v>
      </c>
      <c r="O62" s="55">
        <v>43583</v>
      </c>
      <c r="P62" s="58"/>
      <c r="Q62" s="52"/>
      <c r="R62" s="63" t="s">
        <v>2648</v>
      </c>
      <c r="S62" s="47"/>
    </row>
    <row r="63" spans="2:19" s="30" customFormat="1" ht="33" hidden="1" customHeight="1">
      <c r="B63" s="46" t="s">
        <v>38</v>
      </c>
      <c r="C63" s="35" t="s">
        <v>226</v>
      </c>
      <c r="D63" s="36" t="s">
        <v>1194</v>
      </c>
      <c r="E63" s="37">
        <v>43567</v>
      </c>
      <c r="F63" s="38" t="s">
        <v>2691</v>
      </c>
      <c r="G63" s="65">
        <v>640</v>
      </c>
      <c r="H63" s="38">
        <f>SUBTOTAL(9,G63)/20</f>
        <v>0</v>
      </c>
      <c r="I63" s="38">
        <f>H63/32</f>
        <v>0</v>
      </c>
      <c r="J63" s="38"/>
      <c r="K63" s="130">
        <v>43730</v>
      </c>
      <c r="L63" s="119" t="s">
        <v>2766</v>
      </c>
      <c r="M63" s="120">
        <v>43727</v>
      </c>
      <c r="N63" s="121" t="s">
        <v>2765</v>
      </c>
      <c r="O63" s="120">
        <v>43731</v>
      </c>
      <c r="P63" s="45"/>
      <c r="Q63" s="38"/>
      <c r="R63" s="134" t="s">
        <v>2692</v>
      </c>
      <c r="S63" s="46"/>
    </row>
    <row r="64" spans="2:19" s="33" customFormat="1" ht="33" hidden="1" customHeight="1">
      <c r="B64" s="47" t="s">
        <v>88</v>
      </c>
      <c r="C64" s="48" t="s">
        <v>431</v>
      </c>
      <c r="D64" s="49" t="s">
        <v>471</v>
      </c>
      <c r="E64" s="50">
        <v>43483</v>
      </c>
      <c r="F64" s="52" t="s">
        <v>2691</v>
      </c>
      <c r="G64" s="64">
        <v>760</v>
      </c>
      <c r="H64" s="52">
        <f t="shared" ref="H64:H69" si="5">SUBTOTAL(9,G64)/190</f>
        <v>0</v>
      </c>
      <c r="I64" s="52">
        <f t="shared" ref="I64:I69" si="6">H64/4</f>
        <v>0</v>
      </c>
      <c r="J64" s="52"/>
      <c r="K64" s="53">
        <v>43569</v>
      </c>
      <c r="L64" s="54" t="s">
        <v>417</v>
      </c>
      <c r="M64" s="55">
        <v>43564</v>
      </c>
      <c r="N64" s="56" t="s">
        <v>496</v>
      </c>
      <c r="O64" s="55">
        <v>43569</v>
      </c>
      <c r="P64" s="58"/>
      <c r="Q64" s="52"/>
      <c r="R64" s="63" t="s">
        <v>493</v>
      </c>
      <c r="S64" s="47"/>
    </row>
    <row r="65" spans="2:19" s="33" customFormat="1" ht="33" hidden="1" customHeight="1">
      <c r="B65" s="47" t="s">
        <v>88</v>
      </c>
      <c r="C65" s="48" t="s">
        <v>523</v>
      </c>
      <c r="D65" s="49" t="s">
        <v>588</v>
      </c>
      <c r="E65" s="50">
        <v>43511</v>
      </c>
      <c r="F65" s="52" t="s">
        <v>14</v>
      </c>
      <c r="G65" s="64">
        <v>760</v>
      </c>
      <c r="H65" s="52">
        <f t="shared" si="5"/>
        <v>0</v>
      </c>
      <c r="I65" s="52">
        <f t="shared" si="6"/>
        <v>0</v>
      </c>
      <c r="J65" s="52"/>
      <c r="K65" s="53">
        <v>43583</v>
      </c>
      <c r="L65" s="54" t="s">
        <v>565</v>
      </c>
      <c r="M65" s="55">
        <v>43578</v>
      </c>
      <c r="N65" s="56" t="s">
        <v>661</v>
      </c>
      <c r="O65" s="55">
        <v>43583</v>
      </c>
      <c r="P65" s="58"/>
      <c r="Q65" s="52"/>
      <c r="R65" s="63" t="s">
        <v>320</v>
      </c>
      <c r="S65" s="47"/>
    </row>
    <row r="66" spans="2:19" s="33" customFormat="1" ht="33" hidden="1" customHeight="1">
      <c r="B66" s="47" t="s">
        <v>88</v>
      </c>
      <c r="C66" s="48" t="s">
        <v>589</v>
      </c>
      <c r="D66" s="49" t="s">
        <v>590</v>
      </c>
      <c r="E66" s="50">
        <v>43519</v>
      </c>
      <c r="F66" s="52" t="s">
        <v>14</v>
      </c>
      <c r="G66" s="64">
        <v>760</v>
      </c>
      <c r="H66" s="52">
        <f t="shared" si="5"/>
        <v>0</v>
      </c>
      <c r="I66" s="52">
        <f t="shared" si="6"/>
        <v>0</v>
      </c>
      <c r="J66" s="52"/>
      <c r="K66" s="53">
        <v>43597</v>
      </c>
      <c r="L66" s="54" t="s">
        <v>834</v>
      </c>
      <c r="M66" s="55">
        <v>43592</v>
      </c>
      <c r="N66" s="56" t="s">
        <v>717</v>
      </c>
      <c r="O66" s="55">
        <v>43597</v>
      </c>
      <c r="P66" s="58"/>
      <c r="Q66" s="52"/>
      <c r="R66" s="63" t="s">
        <v>492</v>
      </c>
      <c r="S66" s="47"/>
    </row>
    <row r="67" spans="2:19" s="30" customFormat="1" ht="33" hidden="1" customHeight="1">
      <c r="B67" s="46" t="s">
        <v>88</v>
      </c>
      <c r="C67" s="35" t="s">
        <v>2375</v>
      </c>
      <c r="D67" s="36" t="s">
        <v>1207</v>
      </c>
      <c r="E67" s="37">
        <v>43567</v>
      </c>
      <c r="F67" s="38" t="s">
        <v>14</v>
      </c>
      <c r="G67" s="65">
        <v>760</v>
      </c>
      <c r="H67" s="38">
        <f t="shared" si="5"/>
        <v>0</v>
      </c>
      <c r="I67" s="38">
        <f t="shared" si="6"/>
        <v>0</v>
      </c>
      <c r="J67" s="38"/>
      <c r="K67" s="40">
        <v>43667</v>
      </c>
      <c r="L67" s="41" t="s">
        <v>2366</v>
      </c>
      <c r="M67" s="42">
        <v>43662</v>
      </c>
      <c r="N67" s="43" t="s">
        <v>847</v>
      </c>
      <c r="O67" s="42">
        <v>43667</v>
      </c>
      <c r="P67" s="45"/>
      <c r="Q67" s="38"/>
      <c r="R67" s="66" t="s">
        <v>1437</v>
      </c>
      <c r="S67" s="46"/>
    </row>
    <row r="68" spans="2:19" s="30" customFormat="1" ht="33" hidden="1" customHeight="1">
      <c r="B68" s="46" t="s">
        <v>88</v>
      </c>
      <c r="C68" s="35" t="s">
        <v>2079</v>
      </c>
      <c r="D68" s="36" t="s">
        <v>2536</v>
      </c>
      <c r="E68" s="37">
        <v>43602</v>
      </c>
      <c r="F68" s="38" t="s">
        <v>14</v>
      </c>
      <c r="G68" s="65">
        <v>760</v>
      </c>
      <c r="H68" s="38">
        <f t="shared" si="5"/>
        <v>0</v>
      </c>
      <c r="I68" s="38">
        <f t="shared" si="6"/>
        <v>0</v>
      </c>
      <c r="J68" s="38"/>
      <c r="K68" s="40">
        <v>43667</v>
      </c>
      <c r="L68" s="41" t="s">
        <v>2511</v>
      </c>
      <c r="M68" s="42">
        <v>43662</v>
      </c>
      <c r="N68" s="43" t="s">
        <v>847</v>
      </c>
      <c r="O68" s="42">
        <v>43667</v>
      </c>
      <c r="P68" s="45"/>
      <c r="Q68" s="38"/>
      <c r="R68" s="66" t="s">
        <v>1437</v>
      </c>
      <c r="S68" s="46"/>
    </row>
    <row r="69" spans="2:19" s="30" customFormat="1" ht="33" hidden="1" customHeight="1">
      <c r="B69" s="46" t="s">
        <v>88</v>
      </c>
      <c r="C69" s="35" t="s">
        <v>2378</v>
      </c>
      <c r="D69" s="36" t="s">
        <v>2379</v>
      </c>
      <c r="E69" s="37">
        <v>43602</v>
      </c>
      <c r="F69" s="38" t="s">
        <v>14</v>
      </c>
      <c r="G69" s="65">
        <v>760</v>
      </c>
      <c r="H69" s="38">
        <f t="shared" si="5"/>
        <v>0</v>
      </c>
      <c r="I69" s="38">
        <f t="shared" si="6"/>
        <v>0</v>
      </c>
      <c r="J69" s="38"/>
      <c r="K69" s="40">
        <v>43702</v>
      </c>
      <c r="L69" s="41" t="s">
        <v>2512</v>
      </c>
      <c r="M69" s="42">
        <v>43697</v>
      </c>
      <c r="N69" s="43" t="s">
        <v>2693</v>
      </c>
      <c r="O69" s="42">
        <v>43702</v>
      </c>
      <c r="P69" s="45"/>
      <c r="Q69" s="38"/>
      <c r="R69" s="66" t="s">
        <v>2380</v>
      </c>
      <c r="S69" s="46"/>
    </row>
    <row r="70" spans="2:19" s="33" customFormat="1" ht="33" hidden="1" customHeight="1">
      <c r="B70" s="47" t="s">
        <v>83</v>
      </c>
      <c r="C70" s="48" t="s">
        <v>244</v>
      </c>
      <c r="D70" s="49" t="s">
        <v>722</v>
      </c>
      <c r="E70" s="50">
        <v>43483</v>
      </c>
      <c r="F70" s="52" t="s">
        <v>77</v>
      </c>
      <c r="G70" s="51">
        <v>6720</v>
      </c>
      <c r="H70" s="52">
        <f t="shared" ref="H70:H75" si="7">SUM(G70/240)</f>
        <v>28</v>
      </c>
      <c r="I70" s="52">
        <f t="shared" ref="I70:I75" si="8">SUM(H70/4)</f>
        <v>7</v>
      </c>
      <c r="J70" s="52"/>
      <c r="K70" s="53">
        <v>43569</v>
      </c>
      <c r="L70" s="54" t="s">
        <v>480</v>
      </c>
      <c r="M70" s="55">
        <v>43564</v>
      </c>
      <c r="N70" s="56" t="s">
        <v>646</v>
      </c>
      <c r="O70" s="55">
        <v>43569</v>
      </c>
      <c r="P70" s="58" t="s">
        <v>659</v>
      </c>
      <c r="Q70" s="52"/>
      <c r="R70" s="118" t="s">
        <v>473</v>
      </c>
      <c r="S70" s="47"/>
    </row>
    <row r="71" spans="2:19" s="33" customFormat="1" ht="33" hidden="1" customHeight="1">
      <c r="B71" s="47" t="s">
        <v>83</v>
      </c>
      <c r="C71" s="48" t="s">
        <v>660</v>
      </c>
      <c r="D71" s="49" t="s">
        <v>472</v>
      </c>
      <c r="E71" s="50">
        <v>43483</v>
      </c>
      <c r="F71" s="52" t="s">
        <v>77</v>
      </c>
      <c r="G71" s="51">
        <v>5760</v>
      </c>
      <c r="H71" s="52">
        <f t="shared" si="7"/>
        <v>24</v>
      </c>
      <c r="I71" s="52">
        <f t="shared" si="8"/>
        <v>6</v>
      </c>
      <c r="J71" s="52"/>
      <c r="K71" s="53">
        <v>43583</v>
      </c>
      <c r="L71" s="54" t="s">
        <v>448</v>
      </c>
      <c r="M71" s="55">
        <v>43578</v>
      </c>
      <c r="N71" s="56" t="s">
        <v>661</v>
      </c>
      <c r="O71" s="55">
        <v>43583</v>
      </c>
      <c r="P71" s="58" t="s">
        <v>662</v>
      </c>
      <c r="Q71" s="52"/>
      <c r="R71" s="118" t="s">
        <v>473</v>
      </c>
      <c r="S71" s="47"/>
    </row>
    <row r="72" spans="2:19" s="33" customFormat="1" ht="33" hidden="1" customHeight="1">
      <c r="B72" s="47" t="s">
        <v>83</v>
      </c>
      <c r="C72" s="48" t="s">
        <v>258</v>
      </c>
      <c r="D72" s="49" t="s">
        <v>591</v>
      </c>
      <c r="E72" s="50">
        <v>43519</v>
      </c>
      <c r="F72" s="52" t="s">
        <v>77</v>
      </c>
      <c r="G72" s="51">
        <v>5760</v>
      </c>
      <c r="H72" s="52">
        <f t="shared" si="7"/>
        <v>24</v>
      </c>
      <c r="I72" s="52">
        <f t="shared" si="8"/>
        <v>6</v>
      </c>
      <c r="J72" s="52"/>
      <c r="K72" s="53">
        <v>43605</v>
      </c>
      <c r="L72" s="54" t="s">
        <v>882</v>
      </c>
      <c r="M72" s="55">
        <v>43601</v>
      </c>
      <c r="N72" s="56" t="s">
        <v>1726</v>
      </c>
      <c r="O72" s="55">
        <v>43605</v>
      </c>
      <c r="P72" s="58" t="s">
        <v>663</v>
      </c>
      <c r="Q72" s="52"/>
      <c r="R72" s="118" t="s">
        <v>592</v>
      </c>
      <c r="S72" s="47"/>
    </row>
    <row r="73" spans="2:19" s="30" customFormat="1" ht="33" hidden="1" customHeight="1">
      <c r="B73" s="46" t="s">
        <v>83</v>
      </c>
      <c r="C73" s="35" t="s">
        <v>321</v>
      </c>
      <c r="D73" s="36" t="s">
        <v>727</v>
      </c>
      <c r="E73" s="37">
        <v>43532</v>
      </c>
      <c r="F73" s="38" t="s">
        <v>77</v>
      </c>
      <c r="G73" s="39">
        <v>6720</v>
      </c>
      <c r="H73" s="38">
        <f t="shared" si="7"/>
        <v>28</v>
      </c>
      <c r="I73" s="38">
        <f t="shared" si="8"/>
        <v>7</v>
      </c>
      <c r="J73" s="38"/>
      <c r="K73" s="40">
        <v>43633</v>
      </c>
      <c r="L73" s="41" t="s">
        <v>807</v>
      </c>
      <c r="M73" s="42">
        <v>43627</v>
      </c>
      <c r="N73" s="43" t="s">
        <v>808</v>
      </c>
      <c r="O73" s="42">
        <v>43632</v>
      </c>
      <c r="P73" s="45"/>
      <c r="Q73" s="38"/>
      <c r="R73" s="115" t="s">
        <v>2694</v>
      </c>
      <c r="S73" s="46"/>
    </row>
    <row r="74" spans="2:19" s="30" customFormat="1" ht="33" hidden="1" customHeight="1">
      <c r="B74" s="46" t="s">
        <v>83</v>
      </c>
      <c r="C74" s="35" t="s">
        <v>324</v>
      </c>
      <c r="D74" s="36" t="s">
        <v>1234</v>
      </c>
      <c r="E74" s="37">
        <v>43567</v>
      </c>
      <c r="F74" s="38" t="s">
        <v>77</v>
      </c>
      <c r="G74" s="39">
        <v>5760</v>
      </c>
      <c r="H74" s="38">
        <f t="shared" si="7"/>
        <v>24</v>
      </c>
      <c r="I74" s="38">
        <f t="shared" si="8"/>
        <v>6</v>
      </c>
      <c r="J74" s="38"/>
      <c r="K74" s="40">
        <v>43674</v>
      </c>
      <c r="L74" s="41" t="s">
        <v>2147</v>
      </c>
      <c r="M74" s="42">
        <v>43669</v>
      </c>
      <c r="N74" s="43" t="s">
        <v>2144</v>
      </c>
      <c r="O74" s="42">
        <v>43674</v>
      </c>
      <c r="P74" s="45"/>
      <c r="Q74" s="38"/>
      <c r="R74" s="115" t="s">
        <v>2695</v>
      </c>
      <c r="S74" s="46"/>
    </row>
    <row r="75" spans="2:19" s="30" customFormat="1" ht="33" customHeight="1">
      <c r="B75" s="46" t="s">
        <v>83</v>
      </c>
      <c r="C75" s="35" t="s">
        <v>430</v>
      </c>
      <c r="D75" s="36" t="s">
        <v>2696</v>
      </c>
      <c r="E75" s="37">
        <v>43609</v>
      </c>
      <c r="F75" s="38" t="s">
        <v>77</v>
      </c>
      <c r="G75" s="39">
        <v>7680</v>
      </c>
      <c r="H75" s="38">
        <f t="shared" si="7"/>
        <v>32</v>
      </c>
      <c r="I75" s="38">
        <f t="shared" si="8"/>
        <v>8</v>
      </c>
      <c r="J75" s="38"/>
      <c r="K75" s="40">
        <v>43702</v>
      </c>
      <c r="L75" s="41" t="s">
        <v>2509</v>
      </c>
      <c r="M75" s="42">
        <v>43697</v>
      </c>
      <c r="N75" s="43" t="s">
        <v>2498</v>
      </c>
      <c r="O75" s="42">
        <v>43702</v>
      </c>
      <c r="P75" s="45"/>
      <c r="Q75" s="38"/>
      <c r="R75" s="115" t="s">
        <v>2525</v>
      </c>
      <c r="S75" s="46"/>
    </row>
    <row r="76" spans="2:19" s="34" customFormat="1" ht="33" hidden="1" customHeight="1">
      <c r="B76" s="47" t="s">
        <v>210</v>
      </c>
      <c r="C76" s="48" t="s">
        <v>226</v>
      </c>
      <c r="D76" s="49" t="s">
        <v>593</v>
      </c>
      <c r="E76" s="50">
        <v>43483</v>
      </c>
      <c r="F76" s="52" t="s">
        <v>218</v>
      </c>
      <c r="G76" s="51">
        <v>640</v>
      </c>
      <c r="H76" s="52">
        <f t="shared" ref="H76:H98" si="9">SUM(G76/20)</f>
        <v>32</v>
      </c>
      <c r="I76" s="52">
        <f t="shared" ref="I76:I98" si="10">SUM(H76/32)</f>
        <v>1</v>
      </c>
      <c r="J76" s="52"/>
      <c r="K76" s="53">
        <v>43534</v>
      </c>
      <c r="L76" s="54" t="s">
        <v>566</v>
      </c>
      <c r="M76" s="55"/>
      <c r="N76" s="56"/>
      <c r="O76" s="55">
        <v>43520</v>
      </c>
      <c r="P76" s="58" t="s">
        <v>651</v>
      </c>
      <c r="Q76" s="52"/>
      <c r="R76" s="63" t="s">
        <v>211</v>
      </c>
      <c r="S76" s="52"/>
    </row>
    <row r="77" spans="2:19" s="34" customFormat="1" ht="33" hidden="1" customHeight="1">
      <c r="B77" s="47" t="s">
        <v>210</v>
      </c>
      <c r="C77" s="48" t="s">
        <v>285</v>
      </c>
      <c r="D77" s="49" t="s">
        <v>526</v>
      </c>
      <c r="E77" s="50">
        <v>43507</v>
      </c>
      <c r="F77" s="52" t="s">
        <v>218</v>
      </c>
      <c r="G77" s="51">
        <v>3200</v>
      </c>
      <c r="H77" s="52">
        <f t="shared" si="9"/>
        <v>160</v>
      </c>
      <c r="I77" s="52">
        <f t="shared" si="10"/>
        <v>5</v>
      </c>
      <c r="J77" s="52"/>
      <c r="K77" s="53">
        <v>43576</v>
      </c>
      <c r="L77" s="54" t="s">
        <v>503</v>
      </c>
      <c r="M77" s="55">
        <v>43571</v>
      </c>
      <c r="N77" s="56" t="s">
        <v>465</v>
      </c>
      <c r="O77" s="55">
        <v>43576</v>
      </c>
      <c r="P77" s="58"/>
      <c r="Q77" s="52" t="s">
        <v>643</v>
      </c>
      <c r="R77" s="63" t="s">
        <v>211</v>
      </c>
      <c r="S77" s="52"/>
    </row>
    <row r="78" spans="2:19" s="34" customFormat="1" ht="33" hidden="1" customHeight="1">
      <c r="B78" s="47" t="s">
        <v>210</v>
      </c>
      <c r="C78" s="48" t="s">
        <v>2697</v>
      </c>
      <c r="D78" s="49" t="s">
        <v>526</v>
      </c>
      <c r="E78" s="50">
        <v>43507</v>
      </c>
      <c r="F78" s="52" t="s">
        <v>218</v>
      </c>
      <c r="G78" s="51">
        <v>640</v>
      </c>
      <c r="H78" s="52">
        <f t="shared" si="9"/>
        <v>32</v>
      </c>
      <c r="I78" s="52">
        <f t="shared" si="10"/>
        <v>1</v>
      </c>
      <c r="J78" s="52"/>
      <c r="K78" s="53">
        <v>43576</v>
      </c>
      <c r="L78" s="54" t="s">
        <v>448</v>
      </c>
      <c r="M78" s="55">
        <v>43578</v>
      </c>
      <c r="N78" s="56" t="s">
        <v>661</v>
      </c>
      <c r="O78" s="55">
        <v>43583</v>
      </c>
      <c r="P78" s="58"/>
      <c r="Q78" s="52" t="s">
        <v>643</v>
      </c>
      <c r="R78" s="63" t="s">
        <v>211</v>
      </c>
      <c r="S78" s="52"/>
    </row>
    <row r="79" spans="2:19" s="34" customFormat="1" ht="33" hidden="1" customHeight="1">
      <c r="B79" s="47" t="s">
        <v>210</v>
      </c>
      <c r="C79" s="48" t="s">
        <v>331</v>
      </c>
      <c r="D79" s="49" t="s">
        <v>2698</v>
      </c>
      <c r="E79" s="50">
        <v>43519</v>
      </c>
      <c r="F79" s="52" t="s">
        <v>218</v>
      </c>
      <c r="G79" s="51">
        <v>3200</v>
      </c>
      <c r="H79" s="52">
        <f t="shared" si="9"/>
        <v>160</v>
      </c>
      <c r="I79" s="52">
        <f t="shared" si="10"/>
        <v>5</v>
      </c>
      <c r="J79" s="52"/>
      <c r="K79" s="53">
        <v>43562</v>
      </c>
      <c r="L79" s="54" t="s">
        <v>608</v>
      </c>
      <c r="M79" s="55">
        <v>43557</v>
      </c>
      <c r="N79" s="56" t="s">
        <v>906</v>
      </c>
      <c r="O79" s="55">
        <v>43562</v>
      </c>
      <c r="P79" s="58"/>
      <c r="Q79" s="52" t="s">
        <v>642</v>
      </c>
      <c r="R79" s="63" t="s">
        <v>211</v>
      </c>
      <c r="S79" s="52"/>
    </row>
    <row r="80" spans="2:19" s="34" customFormat="1" ht="33" hidden="1" customHeight="1">
      <c r="B80" s="47" t="s">
        <v>210</v>
      </c>
      <c r="C80" s="48" t="s">
        <v>2699</v>
      </c>
      <c r="D80" s="49" t="s">
        <v>2698</v>
      </c>
      <c r="E80" s="50">
        <v>43519</v>
      </c>
      <c r="F80" s="52" t="s">
        <v>218</v>
      </c>
      <c r="G80" s="51">
        <v>640</v>
      </c>
      <c r="H80" s="52">
        <f t="shared" si="9"/>
        <v>32</v>
      </c>
      <c r="I80" s="52">
        <f t="shared" si="10"/>
        <v>1</v>
      </c>
      <c r="J80" s="52"/>
      <c r="K80" s="53">
        <v>43562</v>
      </c>
      <c r="L80" s="54" t="s">
        <v>480</v>
      </c>
      <c r="M80" s="55">
        <v>43564</v>
      </c>
      <c r="N80" s="56" t="s">
        <v>646</v>
      </c>
      <c r="O80" s="55">
        <v>43569</v>
      </c>
      <c r="P80" s="58"/>
      <c r="Q80" s="52" t="s">
        <v>642</v>
      </c>
      <c r="R80" s="63" t="s">
        <v>211</v>
      </c>
      <c r="S80" s="52"/>
    </row>
    <row r="81" spans="2:19" s="32" customFormat="1" ht="33" hidden="1" customHeight="1">
      <c r="B81" s="46" t="s">
        <v>210</v>
      </c>
      <c r="C81" s="35" t="s">
        <v>2527</v>
      </c>
      <c r="D81" s="190" t="s">
        <v>2532</v>
      </c>
      <c r="E81" s="37">
        <v>43609</v>
      </c>
      <c r="F81" s="38" t="s">
        <v>218</v>
      </c>
      <c r="G81" s="39">
        <v>120</v>
      </c>
      <c r="H81" s="38">
        <f t="shared" si="9"/>
        <v>6</v>
      </c>
      <c r="I81" s="38">
        <f t="shared" si="10"/>
        <v>0.1875</v>
      </c>
      <c r="J81" s="38"/>
      <c r="K81" s="40">
        <v>43646</v>
      </c>
      <c r="L81" s="41" t="s">
        <v>1083</v>
      </c>
      <c r="M81" s="42">
        <v>43634</v>
      </c>
      <c r="N81" s="43" t="s">
        <v>1084</v>
      </c>
      <c r="O81" s="42">
        <v>43639</v>
      </c>
      <c r="P81" s="45"/>
      <c r="Q81" s="66" t="s">
        <v>2543</v>
      </c>
      <c r="R81" s="66" t="s">
        <v>2700</v>
      </c>
      <c r="S81" s="38"/>
    </row>
    <row r="82" spans="2:19" s="32" customFormat="1" ht="33" hidden="1" customHeight="1">
      <c r="B82" s="46" t="s">
        <v>831</v>
      </c>
      <c r="C82" s="35" t="s">
        <v>2531</v>
      </c>
      <c r="D82" s="190" t="s">
        <v>2532</v>
      </c>
      <c r="E82" s="37">
        <v>43609</v>
      </c>
      <c r="F82" s="38" t="s">
        <v>228</v>
      </c>
      <c r="G82" s="39">
        <v>120</v>
      </c>
      <c r="H82" s="38">
        <f t="shared" si="9"/>
        <v>6</v>
      </c>
      <c r="I82" s="38">
        <f t="shared" si="10"/>
        <v>0.1875</v>
      </c>
      <c r="J82" s="38"/>
      <c r="K82" s="40">
        <v>43646</v>
      </c>
      <c r="L82" s="41" t="s">
        <v>1083</v>
      </c>
      <c r="M82" s="42">
        <v>43634</v>
      </c>
      <c r="N82" s="43" t="s">
        <v>1084</v>
      </c>
      <c r="O82" s="42">
        <v>43639</v>
      </c>
      <c r="P82" s="45"/>
      <c r="Q82" s="66" t="s">
        <v>2544</v>
      </c>
      <c r="R82" s="66" t="s">
        <v>2700</v>
      </c>
      <c r="S82" s="38"/>
    </row>
    <row r="83" spans="2:19" s="34" customFormat="1" ht="33" hidden="1" customHeight="1">
      <c r="B83" s="47" t="s">
        <v>210</v>
      </c>
      <c r="C83" s="48" t="s">
        <v>431</v>
      </c>
      <c r="D83" s="49" t="s">
        <v>1752</v>
      </c>
      <c r="E83" s="50">
        <v>43523</v>
      </c>
      <c r="F83" s="52" t="s">
        <v>218</v>
      </c>
      <c r="G83" s="51">
        <v>3200</v>
      </c>
      <c r="H83" s="52">
        <f t="shared" si="9"/>
        <v>160</v>
      </c>
      <c r="I83" s="52">
        <f t="shared" si="10"/>
        <v>5</v>
      </c>
      <c r="J83" s="52"/>
      <c r="K83" s="53">
        <v>43597</v>
      </c>
      <c r="L83" s="54" t="s">
        <v>605</v>
      </c>
      <c r="M83" s="55">
        <v>43594</v>
      </c>
      <c r="N83" s="56" t="s">
        <v>698</v>
      </c>
      <c r="O83" s="55">
        <v>43598</v>
      </c>
      <c r="P83" s="58"/>
      <c r="Q83" s="52" t="s">
        <v>641</v>
      </c>
      <c r="R83" s="63" t="s">
        <v>211</v>
      </c>
      <c r="S83" s="52"/>
    </row>
    <row r="84" spans="2:19" s="34" customFormat="1" ht="33" hidden="1" customHeight="1">
      <c r="B84" s="47" t="s">
        <v>210</v>
      </c>
      <c r="C84" s="48" t="s">
        <v>1754</v>
      </c>
      <c r="D84" s="49" t="s">
        <v>1752</v>
      </c>
      <c r="E84" s="50">
        <v>43523</v>
      </c>
      <c r="F84" s="52" t="s">
        <v>218</v>
      </c>
      <c r="G84" s="51">
        <v>640</v>
      </c>
      <c r="H84" s="52">
        <f t="shared" si="9"/>
        <v>32</v>
      </c>
      <c r="I84" s="52">
        <f t="shared" si="10"/>
        <v>1</v>
      </c>
      <c r="J84" s="52"/>
      <c r="K84" s="53">
        <v>43618</v>
      </c>
      <c r="L84" s="54" t="s">
        <v>2701</v>
      </c>
      <c r="M84" s="55">
        <v>43613</v>
      </c>
      <c r="N84" s="56" t="s">
        <v>827</v>
      </c>
      <c r="O84" s="55">
        <v>43618</v>
      </c>
      <c r="P84" s="58"/>
      <c r="Q84" s="52" t="s">
        <v>641</v>
      </c>
      <c r="R84" s="63" t="s">
        <v>211</v>
      </c>
      <c r="S84" s="52"/>
    </row>
    <row r="85" spans="2:19" s="34" customFormat="1" ht="33" hidden="1" customHeight="1">
      <c r="B85" s="47" t="s">
        <v>210</v>
      </c>
      <c r="C85" s="48" t="s">
        <v>911</v>
      </c>
      <c r="D85" s="49" t="s">
        <v>739</v>
      </c>
      <c r="E85" s="50">
        <v>43532</v>
      </c>
      <c r="F85" s="52" t="s">
        <v>218</v>
      </c>
      <c r="G85" s="51">
        <v>2560</v>
      </c>
      <c r="H85" s="52">
        <f t="shared" si="9"/>
        <v>128</v>
      </c>
      <c r="I85" s="52">
        <f t="shared" si="10"/>
        <v>4</v>
      </c>
      <c r="J85" s="52"/>
      <c r="K85" s="53">
        <v>43618</v>
      </c>
      <c r="L85" s="54" t="s">
        <v>2701</v>
      </c>
      <c r="M85" s="55">
        <v>43613</v>
      </c>
      <c r="N85" s="56" t="s">
        <v>827</v>
      </c>
      <c r="O85" s="55">
        <v>43618</v>
      </c>
      <c r="P85" s="58"/>
      <c r="Q85" s="52" t="s">
        <v>970</v>
      </c>
      <c r="R85" s="63" t="s">
        <v>211</v>
      </c>
      <c r="S85" s="52"/>
    </row>
    <row r="86" spans="2:19" s="32" customFormat="1" ht="33" hidden="1" customHeight="1">
      <c r="B86" s="46" t="s">
        <v>210</v>
      </c>
      <c r="C86" s="35" t="s">
        <v>589</v>
      </c>
      <c r="D86" s="36" t="s">
        <v>1260</v>
      </c>
      <c r="E86" s="37">
        <v>43558</v>
      </c>
      <c r="F86" s="38" t="s">
        <v>218</v>
      </c>
      <c r="G86" s="39">
        <v>3200</v>
      </c>
      <c r="H86" s="38">
        <f t="shared" si="9"/>
        <v>160</v>
      </c>
      <c r="I86" s="38">
        <f t="shared" si="10"/>
        <v>5</v>
      </c>
      <c r="J86" s="38"/>
      <c r="K86" s="40">
        <v>43639</v>
      </c>
      <c r="L86" s="41" t="s">
        <v>2702</v>
      </c>
      <c r="M86" s="42">
        <v>43634</v>
      </c>
      <c r="N86" s="43" t="s">
        <v>1759</v>
      </c>
      <c r="O86" s="42">
        <v>43639</v>
      </c>
      <c r="P86" s="45"/>
      <c r="Q86" s="38" t="s">
        <v>973</v>
      </c>
      <c r="R86" s="66" t="s">
        <v>211</v>
      </c>
      <c r="S86" s="38"/>
    </row>
    <row r="87" spans="2:19" s="32" customFormat="1" ht="33" hidden="1" customHeight="1">
      <c r="B87" s="46" t="s">
        <v>210</v>
      </c>
      <c r="C87" s="35" t="s">
        <v>2078</v>
      </c>
      <c r="D87" s="36" t="s">
        <v>2426</v>
      </c>
      <c r="E87" s="37">
        <v>43602</v>
      </c>
      <c r="F87" s="38" t="s">
        <v>218</v>
      </c>
      <c r="G87" s="39">
        <v>3200</v>
      </c>
      <c r="H87" s="38">
        <f t="shared" si="9"/>
        <v>160</v>
      </c>
      <c r="I87" s="38">
        <f t="shared" si="10"/>
        <v>5</v>
      </c>
      <c r="J87" s="38"/>
      <c r="K87" s="40">
        <v>43653</v>
      </c>
      <c r="L87" s="41" t="s">
        <v>1326</v>
      </c>
      <c r="M87" s="42">
        <v>43648</v>
      </c>
      <c r="N87" s="43" t="s">
        <v>2703</v>
      </c>
      <c r="O87" s="42">
        <v>43653</v>
      </c>
      <c r="P87" s="45"/>
      <c r="Q87" s="38" t="s">
        <v>2148</v>
      </c>
      <c r="R87" s="66" t="s">
        <v>211</v>
      </c>
      <c r="S87" s="38"/>
    </row>
    <row r="88" spans="2:19" s="32" customFormat="1" ht="33" hidden="1" customHeight="1">
      <c r="B88" s="46" t="s">
        <v>210</v>
      </c>
      <c r="C88" s="35" t="s">
        <v>2079</v>
      </c>
      <c r="D88" s="36" t="s">
        <v>2428</v>
      </c>
      <c r="E88" s="37">
        <v>43602</v>
      </c>
      <c r="F88" s="38" t="s">
        <v>218</v>
      </c>
      <c r="G88" s="39">
        <v>3200</v>
      </c>
      <c r="H88" s="38">
        <f t="shared" si="9"/>
        <v>160</v>
      </c>
      <c r="I88" s="38">
        <f t="shared" si="10"/>
        <v>5</v>
      </c>
      <c r="J88" s="38"/>
      <c r="K88" s="40">
        <v>43667</v>
      </c>
      <c r="L88" s="41" t="s">
        <v>2146</v>
      </c>
      <c r="M88" s="42">
        <v>43669</v>
      </c>
      <c r="N88" s="43" t="s">
        <v>2551</v>
      </c>
      <c r="O88" s="42">
        <v>43674</v>
      </c>
      <c r="P88" s="45"/>
      <c r="Q88" s="38" t="s">
        <v>2150</v>
      </c>
      <c r="R88" s="66" t="s">
        <v>211</v>
      </c>
      <c r="S88" s="38"/>
    </row>
    <row r="89" spans="2:19" s="32" customFormat="1" ht="33" hidden="1" customHeight="1">
      <c r="B89" s="46" t="s">
        <v>210</v>
      </c>
      <c r="C89" s="35" t="s">
        <v>2378</v>
      </c>
      <c r="D89" s="36" t="s">
        <v>2518</v>
      </c>
      <c r="E89" s="37">
        <v>43602</v>
      </c>
      <c r="F89" s="38" t="s">
        <v>218</v>
      </c>
      <c r="G89" s="39">
        <v>3200</v>
      </c>
      <c r="H89" s="38">
        <f t="shared" si="9"/>
        <v>160</v>
      </c>
      <c r="I89" s="38">
        <f t="shared" si="10"/>
        <v>5</v>
      </c>
      <c r="J89" s="38"/>
      <c r="K89" s="40">
        <v>43688</v>
      </c>
      <c r="L89" s="119" t="s">
        <v>2505</v>
      </c>
      <c r="M89" s="120">
        <v>43683</v>
      </c>
      <c r="N89" s="121" t="s">
        <v>2763</v>
      </c>
      <c r="O89" s="120">
        <v>43688</v>
      </c>
      <c r="P89" s="45"/>
      <c r="Q89" s="124" t="s">
        <v>2762</v>
      </c>
      <c r="R89" s="66" t="s">
        <v>211</v>
      </c>
      <c r="S89" s="122" t="s">
        <v>2764</v>
      </c>
    </row>
    <row r="90" spans="2:19" s="32" customFormat="1" ht="33" customHeight="1">
      <c r="B90" s="46" t="s">
        <v>210</v>
      </c>
      <c r="C90" s="35" t="s">
        <v>2430</v>
      </c>
      <c r="D90" s="190" t="s">
        <v>2520</v>
      </c>
      <c r="E90" s="37">
        <v>43602</v>
      </c>
      <c r="F90" s="38" t="s">
        <v>218</v>
      </c>
      <c r="G90" s="39">
        <v>3200</v>
      </c>
      <c r="H90" s="38">
        <f t="shared" si="9"/>
        <v>160</v>
      </c>
      <c r="I90" s="38">
        <f t="shared" si="10"/>
        <v>5</v>
      </c>
      <c r="J90" s="38"/>
      <c r="K90" s="40">
        <v>43702</v>
      </c>
      <c r="L90" s="41" t="s">
        <v>2509</v>
      </c>
      <c r="M90" s="42">
        <v>43697</v>
      </c>
      <c r="N90" s="43" t="s">
        <v>2693</v>
      </c>
      <c r="O90" s="42">
        <v>43702</v>
      </c>
      <c r="P90" s="45"/>
      <c r="Q90" s="38" t="s">
        <v>2517</v>
      </c>
      <c r="R90" s="66" t="s">
        <v>211</v>
      </c>
      <c r="S90" s="38"/>
    </row>
    <row r="91" spans="2:19" s="32" customFormat="1" ht="33" hidden="1" customHeight="1">
      <c r="B91" s="46" t="s">
        <v>210</v>
      </c>
      <c r="C91" s="35" t="s">
        <v>2528</v>
      </c>
      <c r="D91" s="190" t="s">
        <v>2704</v>
      </c>
      <c r="E91" s="37">
        <v>43609</v>
      </c>
      <c r="F91" s="38" t="s">
        <v>218</v>
      </c>
      <c r="G91" s="39">
        <v>3200</v>
      </c>
      <c r="H91" s="38">
        <f t="shared" si="9"/>
        <v>160</v>
      </c>
      <c r="I91" s="38">
        <f t="shared" si="10"/>
        <v>5</v>
      </c>
      <c r="J91" s="38"/>
      <c r="K91" s="40">
        <v>43660</v>
      </c>
      <c r="L91" s="41" t="s">
        <v>1326</v>
      </c>
      <c r="M91" s="42">
        <v>43648</v>
      </c>
      <c r="N91" s="43" t="s">
        <v>2540</v>
      </c>
      <c r="O91" s="42">
        <v>43653</v>
      </c>
      <c r="P91" s="45"/>
      <c r="Q91" s="38" t="s">
        <v>2148</v>
      </c>
      <c r="R91" s="66" t="s">
        <v>211</v>
      </c>
      <c r="S91" s="38"/>
    </row>
    <row r="92" spans="2:19" s="32" customFormat="1" ht="33" hidden="1" customHeight="1">
      <c r="B92" s="46" t="s">
        <v>210</v>
      </c>
      <c r="C92" s="35" t="s">
        <v>2529</v>
      </c>
      <c r="D92" s="190" t="s">
        <v>2705</v>
      </c>
      <c r="E92" s="37">
        <v>43609</v>
      </c>
      <c r="F92" s="38" t="s">
        <v>218</v>
      </c>
      <c r="G92" s="39">
        <v>3200</v>
      </c>
      <c r="H92" s="38">
        <f t="shared" si="9"/>
        <v>160</v>
      </c>
      <c r="I92" s="38">
        <f t="shared" si="10"/>
        <v>5</v>
      </c>
      <c r="J92" s="38"/>
      <c r="K92" s="40">
        <v>43675</v>
      </c>
      <c r="L92" s="41" t="s">
        <v>2146</v>
      </c>
      <c r="M92" s="42">
        <v>43669</v>
      </c>
      <c r="N92" s="43" t="s">
        <v>2551</v>
      </c>
      <c r="O92" s="42">
        <v>43674</v>
      </c>
      <c r="P92" s="45"/>
      <c r="Q92" s="38" t="s">
        <v>2150</v>
      </c>
      <c r="R92" s="66" t="s">
        <v>211</v>
      </c>
      <c r="S92" s="38"/>
    </row>
    <row r="93" spans="2:19" s="34" customFormat="1" ht="33" hidden="1" customHeight="1">
      <c r="B93" s="47" t="s">
        <v>2706</v>
      </c>
      <c r="C93" s="48" t="s">
        <v>235</v>
      </c>
      <c r="D93" s="49" t="s">
        <v>744</v>
      </c>
      <c r="E93" s="50">
        <v>43532</v>
      </c>
      <c r="F93" s="52" t="s">
        <v>2707</v>
      </c>
      <c r="G93" s="51">
        <v>1280</v>
      </c>
      <c r="H93" s="52">
        <f t="shared" si="9"/>
        <v>64</v>
      </c>
      <c r="I93" s="52">
        <f t="shared" si="10"/>
        <v>2</v>
      </c>
      <c r="J93" s="52"/>
      <c r="K93" s="53">
        <v>43597</v>
      </c>
      <c r="L93" s="54" t="s">
        <v>605</v>
      </c>
      <c r="M93" s="55">
        <v>43594</v>
      </c>
      <c r="N93" s="56" t="s">
        <v>772</v>
      </c>
      <c r="O93" s="55">
        <v>43598</v>
      </c>
      <c r="P93" s="58"/>
      <c r="Q93" s="52" t="s">
        <v>641</v>
      </c>
      <c r="R93" s="63" t="s">
        <v>211</v>
      </c>
      <c r="S93" s="52"/>
    </row>
    <row r="94" spans="2:19" s="32" customFormat="1" ht="33" hidden="1" customHeight="1">
      <c r="B94" s="46" t="s">
        <v>2706</v>
      </c>
      <c r="C94" s="35" t="s">
        <v>1569</v>
      </c>
      <c r="D94" s="36" t="s">
        <v>2708</v>
      </c>
      <c r="E94" s="37">
        <v>43581</v>
      </c>
      <c r="F94" s="38" t="s">
        <v>2707</v>
      </c>
      <c r="G94" s="39">
        <v>1280</v>
      </c>
      <c r="H94" s="38">
        <f t="shared" si="9"/>
        <v>64</v>
      </c>
      <c r="I94" s="38">
        <f t="shared" si="10"/>
        <v>2</v>
      </c>
      <c r="J94" s="38"/>
      <c r="K94" s="40">
        <v>43632</v>
      </c>
      <c r="L94" s="41" t="s">
        <v>807</v>
      </c>
      <c r="M94" s="42">
        <v>43627</v>
      </c>
      <c r="N94" s="43" t="s">
        <v>2709</v>
      </c>
      <c r="O94" s="42">
        <v>43632</v>
      </c>
      <c r="P94" s="45"/>
      <c r="Q94" s="38" t="s">
        <v>1810</v>
      </c>
      <c r="R94" s="66" t="s">
        <v>211</v>
      </c>
      <c r="S94" s="38"/>
    </row>
    <row r="95" spans="2:19" s="32" customFormat="1" ht="33" hidden="1" customHeight="1">
      <c r="B95" s="46" t="s">
        <v>2706</v>
      </c>
      <c r="C95" s="35" t="s">
        <v>90</v>
      </c>
      <c r="D95" s="36" t="s">
        <v>2710</v>
      </c>
      <c r="E95" s="37">
        <v>43595</v>
      </c>
      <c r="F95" s="38" t="s">
        <v>2707</v>
      </c>
      <c r="G95" s="39">
        <v>1280</v>
      </c>
      <c r="H95" s="38">
        <f t="shared" si="9"/>
        <v>64</v>
      </c>
      <c r="I95" s="38">
        <f t="shared" si="10"/>
        <v>2</v>
      </c>
      <c r="J95" s="38"/>
      <c r="K95" s="40">
        <v>43646</v>
      </c>
      <c r="L95" s="41" t="s">
        <v>1326</v>
      </c>
      <c r="M95" s="42">
        <v>43648</v>
      </c>
      <c r="N95" s="43" t="s">
        <v>2711</v>
      </c>
      <c r="O95" s="42">
        <v>43653</v>
      </c>
      <c r="P95" s="45"/>
      <c r="Q95" s="38" t="s">
        <v>2148</v>
      </c>
      <c r="R95" s="66" t="s">
        <v>211</v>
      </c>
      <c r="S95" s="38"/>
    </row>
    <row r="96" spans="2:19" s="32" customFormat="1" ht="33" hidden="1" customHeight="1">
      <c r="B96" s="46" t="s">
        <v>2706</v>
      </c>
      <c r="C96" s="35" t="s">
        <v>2088</v>
      </c>
      <c r="D96" s="36" t="s">
        <v>2712</v>
      </c>
      <c r="E96" s="37">
        <v>43595</v>
      </c>
      <c r="F96" s="38" t="s">
        <v>2707</v>
      </c>
      <c r="G96" s="129">
        <v>640</v>
      </c>
      <c r="H96" s="124">
        <f t="shared" si="9"/>
        <v>32</v>
      </c>
      <c r="I96" s="124">
        <f t="shared" si="10"/>
        <v>1</v>
      </c>
      <c r="J96" s="38"/>
      <c r="K96" s="40">
        <v>43709</v>
      </c>
      <c r="L96" s="41" t="s">
        <v>2713</v>
      </c>
      <c r="M96" s="42">
        <v>43706</v>
      </c>
      <c r="N96" s="43" t="s">
        <v>2714</v>
      </c>
      <c r="O96" s="42">
        <v>43710</v>
      </c>
      <c r="P96" s="45"/>
      <c r="Q96" s="66" t="s">
        <v>2548</v>
      </c>
      <c r="R96" s="66" t="s">
        <v>211</v>
      </c>
      <c r="S96" s="38"/>
    </row>
    <row r="97" spans="1:19" s="32" customFormat="1" ht="33" hidden="1" customHeight="1">
      <c r="B97" s="46" t="s">
        <v>2706</v>
      </c>
      <c r="C97" s="35" t="s">
        <v>208</v>
      </c>
      <c r="D97" s="190" t="s">
        <v>2715</v>
      </c>
      <c r="E97" s="37">
        <v>43602</v>
      </c>
      <c r="F97" s="38" t="s">
        <v>2707</v>
      </c>
      <c r="G97" s="129">
        <v>640</v>
      </c>
      <c r="H97" s="124">
        <f t="shared" ref="H97" si="11">SUM(G97/20)</f>
        <v>32</v>
      </c>
      <c r="I97" s="124">
        <f t="shared" ref="I97" si="12">SUM(H97/32)</f>
        <v>1</v>
      </c>
      <c r="J97" s="38"/>
      <c r="K97" s="196">
        <v>43730</v>
      </c>
      <c r="L97" s="41" t="s">
        <v>2716</v>
      </c>
      <c r="M97" s="42">
        <v>43725</v>
      </c>
      <c r="N97" s="43" t="s">
        <v>2717</v>
      </c>
      <c r="O97" s="42">
        <v>43730</v>
      </c>
      <c r="P97" s="45"/>
      <c r="Q97" s="66" t="s">
        <v>2549</v>
      </c>
      <c r="R97" s="66" t="s">
        <v>211</v>
      </c>
      <c r="S97" s="38"/>
    </row>
    <row r="98" spans="1:19" s="32" customFormat="1" ht="33" hidden="1" customHeight="1">
      <c r="B98" s="135" t="s">
        <v>2706</v>
      </c>
      <c r="C98" s="136" t="s">
        <v>212</v>
      </c>
      <c r="D98" s="191" t="s">
        <v>2718</v>
      </c>
      <c r="E98" s="138">
        <v>43602</v>
      </c>
      <c r="F98" s="139" t="s">
        <v>2707</v>
      </c>
      <c r="G98" s="140">
        <v>640</v>
      </c>
      <c r="H98" s="139">
        <f t="shared" si="9"/>
        <v>32</v>
      </c>
      <c r="I98" s="139">
        <f t="shared" si="10"/>
        <v>1</v>
      </c>
      <c r="J98" s="139"/>
      <c r="K98" s="141" t="s">
        <v>2545</v>
      </c>
      <c r="L98" s="142"/>
      <c r="M98" s="143"/>
      <c r="N98" s="144"/>
      <c r="O98" s="143"/>
      <c r="P98" s="145"/>
      <c r="Q98" s="193" t="s">
        <v>2517</v>
      </c>
      <c r="R98" s="192" t="s">
        <v>211</v>
      </c>
      <c r="S98" s="139" t="s">
        <v>2541</v>
      </c>
    </row>
    <row r="99" spans="1:19" s="33" customFormat="1" ht="33" hidden="1" customHeight="1">
      <c r="A99" s="33" t="s">
        <v>2719</v>
      </c>
      <c r="B99" s="47" t="s">
        <v>2720</v>
      </c>
      <c r="C99" s="48" t="s">
        <v>225</v>
      </c>
      <c r="D99" s="49" t="s">
        <v>487</v>
      </c>
      <c r="E99" s="50">
        <v>43490</v>
      </c>
      <c r="F99" s="52" t="s">
        <v>2721</v>
      </c>
      <c r="G99" s="51">
        <v>1520</v>
      </c>
      <c r="H99" s="52">
        <f>SUM(G99/190)</f>
        <v>8</v>
      </c>
      <c r="I99" s="52">
        <f>SUM(H99/4)</f>
        <v>2</v>
      </c>
      <c r="J99" s="52"/>
      <c r="K99" s="53">
        <v>43569</v>
      </c>
      <c r="L99" s="54" t="s">
        <v>417</v>
      </c>
      <c r="M99" s="55">
        <v>43564</v>
      </c>
      <c r="N99" s="56" t="s">
        <v>2722</v>
      </c>
      <c r="O99" s="55">
        <v>43569</v>
      </c>
      <c r="P99" s="58"/>
      <c r="Q99" s="52"/>
      <c r="R99" s="63" t="s">
        <v>2723</v>
      </c>
      <c r="S99" s="47"/>
    </row>
    <row r="100" spans="1:19" s="30" customFormat="1" ht="33" hidden="1" customHeight="1">
      <c r="B100" s="46" t="s">
        <v>2720</v>
      </c>
      <c r="C100" s="35" t="s">
        <v>226</v>
      </c>
      <c r="D100" s="36" t="s">
        <v>833</v>
      </c>
      <c r="E100" s="37">
        <v>43546</v>
      </c>
      <c r="F100" s="38" t="s">
        <v>2721</v>
      </c>
      <c r="G100" s="39">
        <v>1520</v>
      </c>
      <c r="H100" s="38">
        <f>SUM(G100/190)</f>
        <v>8</v>
      </c>
      <c r="I100" s="38">
        <f>SUM(H100/4)</f>
        <v>2</v>
      </c>
      <c r="J100" s="38"/>
      <c r="K100" s="40">
        <v>43632</v>
      </c>
      <c r="L100" s="41" t="s">
        <v>2724</v>
      </c>
      <c r="M100" s="42">
        <v>43627</v>
      </c>
      <c r="N100" s="43" t="s">
        <v>2709</v>
      </c>
      <c r="O100" s="42">
        <v>43632</v>
      </c>
      <c r="P100" s="45"/>
      <c r="Q100" s="38"/>
      <c r="R100" s="66" t="s">
        <v>2725</v>
      </c>
      <c r="S100" s="46"/>
    </row>
    <row r="101" spans="1:19" s="30" customFormat="1" ht="33" hidden="1" customHeight="1">
      <c r="B101" s="46" t="s">
        <v>2514</v>
      </c>
      <c r="C101" s="35" t="s">
        <v>2726</v>
      </c>
      <c r="D101" s="36" t="s">
        <v>2727</v>
      </c>
      <c r="E101" s="37">
        <v>43602</v>
      </c>
      <c r="F101" s="38" t="s">
        <v>2516</v>
      </c>
      <c r="G101" s="39">
        <v>1520</v>
      </c>
      <c r="H101" s="38">
        <v>8</v>
      </c>
      <c r="I101" s="38">
        <v>2</v>
      </c>
      <c r="J101" s="38"/>
      <c r="K101" s="40">
        <v>43702</v>
      </c>
      <c r="L101" s="41" t="s">
        <v>2728</v>
      </c>
      <c r="M101" s="42">
        <v>43697</v>
      </c>
      <c r="N101" s="43" t="s">
        <v>2729</v>
      </c>
      <c r="O101" s="42">
        <v>43702</v>
      </c>
      <c r="P101" s="45"/>
      <c r="Q101" s="38"/>
      <c r="R101" s="66"/>
      <c r="S101" s="46"/>
    </row>
    <row r="102" spans="1:19" s="33" customFormat="1" ht="33" hidden="1" customHeight="1">
      <c r="B102" s="47" t="s">
        <v>238</v>
      </c>
      <c r="C102" s="48" t="s">
        <v>2730</v>
      </c>
      <c r="D102" s="49" t="s">
        <v>474</v>
      </c>
      <c r="E102" s="50"/>
      <c r="F102" s="52" t="s">
        <v>236</v>
      </c>
      <c r="G102" s="51">
        <v>3200</v>
      </c>
      <c r="H102" s="52">
        <f t="shared" ref="H102:H110" si="13">SUM(G102/200)</f>
        <v>16</v>
      </c>
      <c r="I102" s="52">
        <f t="shared" ref="I102:I110" si="14">SUM(H102/4)</f>
        <v>4</v>
      </c>
      <c r="J102" s="52"/>
      <c r="K102" s="53">
        <v>43562</v>
      </c>
      <c r="L102" s="54" t="s">
        <v>2731</v>
      </c>
      <c r="M102" s="55">
        <v>43557</v>
      </c>
      <c r="N102" s="56" t="s">
        <v>2732</v>
      </c>
      <c r="O102" s="55">
        <v>43562</v>
      </c>
      <c r="P102" s="58"/>
      <c r="Q102" s="52"/>
      <c r="R102" s="63"/>
      <c r="S102" s="47"/>
    </row>
    <row r="103" spans="1:19" s="33" customFormat="1" ht="33" hidden="1" customHeight="1">
      <c r="B103" s="47" t="s">
        <v>238</v>
      </c>
      <c r="C103" s="48" t="s">
        <v>2733</v>
      </c>
      <c r="D103" s="49" t="s">
        <v>475</v>
      </c>
      <c r="E103" s="50"/>
      <c r="F103" s="52" t="s">
        <v>236</v>
      </c>
      <c r="G103" s="51">
        <v>1600</v>
      </c>
      <c r="H103" s="52">
        <f t="shared" si="13"/>
        <v>8</v>
      </c>
      <c r="I103" s="52">
        <f t="shared" si="14"/>
        <v>2</v>
      </c>
      <c r="J103" s="52"/>
      <c r="K103" s="53">
        <v>43562</v>
      </c>
      <c r="L103" s="54" t="s">
        <v>2734</v>
      </c>
      <c r="M103" s="55">
        <v>43564</v>
      </c>
      <c r="N103" s="56" t="s">
        <v>2722</v>
      </c>
      <c r="O103" s="55">
        <v>43569</v>
      </c>
      <c r="P103" s="58"/>
      <c r="Q103" s="52"/>
      <c r="R103" s="63"/>
      <c r="S103" s="47"/>
    </row>
    <row r="104" spans="1:19" s="33" customFormat="1" ht="33" hidden="1" customHeight="1">
      <c r="B104" s="47" t="s">
        <v>238</v>
      </c>
      <c r="C104" s="48" t="s">
        <v>2735</v>
      </c>
      <c r="D104" s="49" t="s">
        <v>488</v>
      </c>
      <c r="E104" s="50">
        <v>43495</v>
      </c>
      <c r="F104" s="52" t="s">
        <v>236</v>
      </c>
      <c r="G104" s="51">
        <v>1600</v>
      </c>
      <c r="H104" s="52">
        <f t="shared" si="13"/>
        <v>8</v>
      </c>
      <c r="I104" s="52">
        <f t="shared" si="14"/>
        <v>2</v>
      </c>
      <c r="J104" s="52"/>
      <c r="K104" s="53">
        <v>43583</v>
      </c>
      <c r="L104" s="54" t="s">
        <v>2736</v>
      </c>
      <c r="M104" s="55">
        <v>43578</v>
      </c>
      <c r="N104" s="56" t="s">
        <v>2737</v>
      </c>
      <c r="O104" s="55">
        <v>43583</v>
      </c>
      <c r="P104" s="58"/>
      <c r="Q104" s="52"/>
      <c r="R104" s="63"/>
      <c r="S104" s="47"/>
    </row>
    <row r="105" spans="1:19" s="33" customFormat="1" ht="33" hidden="1" customHeight="1">
      <c r="B105" s="47" t="s">
        <v>238</v>
      </c>
      <c r="C105" s="48" t="s">
        <v>2738</v>
      </c>
      <c r="D105" s="49" t="s">
        <v>598</v>
      </c>
      <c r="E105" s="50">
        <v>43519</v>
      </c>
      <c r="F105" s="52" t="s">
        <v>236</v>
      </c>
      <c r="G105" s="51">
        <v>1600</v>
      </c>
      <c r="H105" s="52">
        <f t="shared" si="13"/>
        <v>8</v>
      </c>
      <c r="I105" s="52">
        <f t="shared" si="14"/>
        <v>2</v>
      </c>
      <c r="J105" s="52"/>
      <c r="K105" s="53">
        <v>43597</v>
      </c>
      <c r="L105" s="54" t="s">
        <v>2739</v>
      </c>
      <c r="M105" s="55">
        <v>43592</v>
      </c>
      <c r="N105" s="56" t="s">
        <v>2740</v>
      </c>
      <c r="O105" s="55">
        <v>43597</v>
      </c>
      <c r="P105" s="58"/>
      <c r="Q105" s="52"/>
      <c r="R105" s="63"/>
      <c r="S105" s="47"/>
    </row>
    <row r="106" spans="1:19" s="33" customFormat="1" ht="33" hidden="1" customHeight="1">
      <c r="B106" s="47" t="s">
        <v>238</v>
      </c>
      <c r="C106" s="48" t="s">
        <v>2741</v>
      </c>
      <c r="D106" s="49" t="s">
        <v>598</v>
      </c>
      <c r="E106" s="50">
        <v>43519</v>
      </c>
      <c r="F106" s="52" t="s">
        <v>236</v>
      </c>
      <c r="G106" s="51">
        <v>1600</v>
      </c>
      <c r="H106" s="52">
        <f t="shared" si="13"/>
        <v>8</v>
      </c>
      <c r="I106" s="52">
        <f t="shared" si="14"/>
        <v>2</v>
      </c>
      <c r="J106" s="52"/>
      <c r="K106" s="53">
        <v>43597</v>
      </c>
      <c r="L106" s="54" t="s">
        <v>2742</v>
      </c>
      <c r="M106" s="55">
        <v>43606</v>
      </c>
      <c r="N106" s="56" t="s">
        <v>2743</v>
      </c>
      <c r="O106" s="55">
        <v>43613</v>
      </c>
      <c r="P106" s="58"/>
      <c r="Q106" s="52"/>
      <c r="R106" s="63"/>
      <c r="S106" s="47"/>
    </row>
    <row r="107" spans="1:19" s="30" customFormat="1" ht="33" hidden="1" customHeight="1">
      <c r="B107" s="46" t="s">
        <v>238</v>
      </c>
      <c r="C107" s="35" t="s">
        <v>226</v>
      </c>
      <c r="D107" s="36" t="s">
        <v>749</v>
      </c>
      <c r="E107" s="37">
        <v>43532</v>
      </c>
      <c r="F107" s="38" t="s">
        <v>236</v>
      </c>
      <c r="G107" s="39">
        <v>3200</v>
      </c>
      <c r="H107" s="38">
        <f t="shared" si="13"/>
        <v>16</v>
      </c>
      <c r="I107" s="38">
        <f t="shared" si="14"/>
        <v>4</v>
      </c>
      <c r="J107" s="38"/>
      <c r="K107" s="40">
        <v>43625</v>
      </c>
      <c r="L107" s="41" t="s">
        <v>2538</v>
      </c>
      <c r="M107" s="42">
        <v>43627</v>
      </c>
      <c r="N107" s="43" t="s">
        <v>808</v>
      </c>
      <c r="O107" s="42">
        <v>43632</v>
      </c>
      <c r="P107" s="45"/>
      <c r="Q107" s="38"/>
      <c r="R107" s="66"/>
      <c r="S107" s="46" t="s">
        <v>2539</v>
      </c>
    </row>
    <row r="108" spans="1:19" s="30" customFormat="1" ht="33" hidden="1" customHeight="1">
      <c r="B108" s="46" t="s">
        <v>238</v>
      </c>
      <c r="C108" s="35" t="s">
        <v>233</v>
      </c>
      <c r="D108" s="36" t="s">
        <v>750</v>
      </c>
      <c r="E108" s="37">
        <v>43532</v>
      </c>
      <c r="F108" s="38" t="s">
        <v>236</v>
      </c>
      <c r="G108" s="39">
        <v>3200</v>
      </c>
      <c r="H108" s="38">
        <f t="shared" si="13"/>
        <v>16</v>
      </c>
      <c r="I108" s="38">
        <f t="shared" si="14"/>
        <v>4</v>
      </c>
      <c r="J108" s="38"/>
      <c r="K108" s="40">
        <v>43646</v>
      </c>
      <c r="L108" s="41" t="s">
        <v>2744</v>
      </c>
      <c r="M108" s="42">
        <v>43641</v>
      </c>
      <c r="N108" s="43" t="s">
        <v>2745</v>
      </c>
      <c r="O108" s="42">
        <v>43646</v>
      </c>
      <c r="P108" s="45"/>
      <c r="Q108" s="38"/>
      <c r="R108" s="66"/>
      <c r="S108" s="46"/>
    </row>
    <row r="109" spans="1:19" s="30" customFormat="1" ht="33" hidden="1" customHeight="1">
      <c r="B109" s="46" t="s">
        <v>238</v>
      </c>
      <c r="C109" s="35" t="s">
        <v>285</v>
      </c>
      <c r="D109" s="36" t="s">
        <v>1305</v>
      </c>
      <c r="E109" s="37">
        <v>43567</v>
      </c>
      <c r="F109" s="38" t="s">
        <v>236</v>
      </c>
      <c r="G109" s="39">
        <v>3200</v>
      </c>
      <c r="H109" s="38">
        <f t="shared" si="13"/>
        <v>16</v>
      </c>
      <c r="I109" s="38">
        <f t="shared" si="14"/>
        <v>4</v>
      </c>
      <c r="J109" s="38"/>
      <c r="K109" s="40">
        <v>43660</v>
      </c>
      <c r="L109" s="41" t="s">
        <v>2746</v>
      </c>
      <c r="M109" s="42">
        <v>43655</v>
      </c>
      <c r="N109" s="43" t="s">
        <v>2747</v>
      </c>
      <c r="O109" s="42">
        <v>43660</v>
      </c>
      <c r="P109" s="45"/>
      <c r="Q109" s="38"/>
      <c r="R109" s="66"/>
      <c r="S109" s="46"/>
    </row>
    <row r="110" spans="1:19" s="30" customFormat="1" ht="33" hidden="1" customHeight="1">
      <c r="B110" s="46" t="s">
        <v>238</v>
      </c>
      <c r="C110" s="35" t="s">
        <v>331</v>
      </c>
      <c r="D110" s="36" t="s">
        <v>1306</v>
      </c>
      <c r="E110" s="37">
        <v>43567</v>
      </c>
      <c r="F110" s="38" t="s">
        <v>236</v>
      </c>
      <c r="G110" s="39">
        <v>3200</v>
      </c>
      <c r="H110" s="38">
        <f t="shared" si="13"/>
        <v>16</v>
      </c>
      <c r="I110" s="38">
        <f t="shared" si="14"/>
        <v>4</v>
      </c>
      <c r="J110" s="38"/>
      <c r="K110" s="40">
        <v>43674</v>
      </c>
      <c r="L110" s="41" t="s">
        <v>2748</v>
      </c>
      <c r="M110" s="42">
        <v>43669</v>
      </c>
      <c r="N110" s="43" t="s">
        <v>2749</v>
      </c>
      <c r="O110" s="42">
        <v>43674</v>
      </c>
      <c r="P110" s="45"/>
      <c r="Q110" s="38"/>
      <c r="R110" s="66"/>
      <c r="S110" s="46"/>
    </row>
    <row r="111" spans="1:19" s="19" customFormat="1">
      <c r="B111"/>
      <c r="C111" s="15"/>
      <c r="D111" s="1"/>
      <c r="E111" s="174"/>
      <c r="F111"/>
      <c r="G111" s="11"/>
      <c r="H111"/>
      <c r="I111"/>
      <c r="J111"/>
      <c r="K111" s="13"/>
      <c r="L111"/>
      <c r="N111" s="28"/>
      <c r="P111"/>
      <c r="Q111"/>
      <c r="R111" s="17"/>
      <c r="S111"/>
    </row>
    <row r="112" spans="1:19" s="19" customFormat="1" ht="26.4" hidden="1">
      <c r="B112"/>
      <c r="C112" s="15"/>
      <c r="D112" s="1"/>
      <c r="F112" s="177"/>
      <c r="L112" s="176" t="s">
        <v>1821</v>
      </c>
      <c r="M112" s="177"/>
      <c r="N112" s="177"/>
      <c r="O112"/>
      <c r="P112" s="13"/>
      <c r="Q112"/>
      <c r="S112" s="28"/>
    </row>
    <row r="113" spans="2:19" ht="26.4" hidden="1">
      <c r="F113" s="177"/>
      <c r="L113" s="176" t="s">
        <v>1822</v>
      </c>
      <c r="M113" s="177"/>
      <c r="N113" s="177"/>
      <c r="O113"/>
      <c r="P113" s="13"/>
      <c r="R113" s="19"/>
      <c r="S113" s="28"/>
    </row>
    <row r="114" spans="2:19" ht="26.4" hidden="1">
      <c r="F114" s="177"/>
      <c r="L114" s="176" t="s">
        <v>1823</v>
      </c>
      <c r="M114" s="177"/>
      <c r="N114" s="177"/>
      <c r="O114"/>
      <c r="P114" s="13"/>
      <c r="R114" s="19"/>
      <c r="S114" s="28"/>
    </row>
    <row r="115" spans="2:19" hidden="1">
      <c r="E115" s="175"/>
      <c r="L115" s="11"/>
      <c r="M115"/>
      <c r="N115"/>
      <c r="O115"/>
      <c r="P115" s="13"/>
      <c r="R115" s="19"/>
      <c r="S115" s="28"/>
    </row>
    <row r="116" spans="2:19" s="19" customFormat="1" hidden="1">
      <c r="B116"/>
      <c r="C116" s="15"/>
      <c r="D116" s="1"/>
      <c r="L116" s="178" t="s">
        <v>1825</v>
      </c>
      <c r="M116" s="178" t="s">
        <v>1826</v>
      </c>
      <c r="N116" s="178" t="s">
        <v>1827</v>
      </c>
      <c r="O116" s="178" t="s">
        <v>1828</v>
      </c>
      <c r="P116" s="179" t="s">
        <v>2750</v>
      </c>
      <c r="Q116" s="179" t="s">
        <v>2751</v>
      </c>
      <c r="R116" s="179" t="s">
        <v>1831</v>
      </c>
      <c r="S116" s="179"/>
    </row>
    <row r="117" spans="2:19" s="19" customFormat="1" hidden="1">
      <c r="B117"/>
      <c r="C117" s="15"/>
      <c r="D117" s="1"/>
      <c r="L117" s="180" t="s">
        <v>2752</v>
      </c>
      <c r="M117" s="181" t="s">
        <v>1833</v>
      </c>
      <c r="N117" s="181" t="s">
        <v>1834</v>
      </c>
      <c r="O117" s="182" t="s">
        <v>1835</v>
      </c>
      <c r="P117" s="183">
        <v>1000</v>
      </c>
      <c r="Q117" s="183">
        <v>4</v>
      </c>
      <c r="R117" s="184">
        <v>43598</v>
      </c>
      <c r="S117" s="181" t="s">
        <v>99</v>
      </c>
    </row>
    <row r="118" spans="2:19" s="19" customFormat="1" hidden="1">
      <c r="B118"/>
      <c r="C118" s="15"/>
      <c r="D118" s="1"/>
      <c r="L118" s="180" t="s">
        <v>2752</v>
      </c>
      <c r="M118" s="181" t="s">
        <v>1836</v>
      </c>
      <c r="N118" s="181" t="s">
        <v>1834</v>
      </c>
      <c r="O118" s="182" t="s">
        <v>1835</v>
      </c>
      <c r="P118" s="183">
        <v>6000</v>
      </c>
      <c r="Q118" s="183">
        <v>24</v>
      </c>
      <c r="R118" s="184">
        <v>43598</v>
      </c>
      <c r="S118" s="181" t="s">
        <v>99</v>
      </c>
    </row>
    <row r="119" spans="2:19" s="19" customFormat="1" hidden="1">
      <c r="B119"/>
      <c r="C119" s="15"/>
      <c r="D119" s="1"/>
      <c r="L119" s="180" t="s">
        <v>2752</v>
      </c>
      <c r="M119" s="181" t="s">
        <v>1837</v>
      </c>
      <c r="N119" s="181" t="s">
        <v>1834</v>
      </c>
      <c r="O119" s="182" t="s">
        <v>1835</v>
      </c>
      <c r="P119" s="183">
        <v>5000</v>
      </c>
      <c r="Q119" s="183">
        <v>20</v>
      </c>
      <c r="R119" s="185" t="s">
        <v>2753</v>
      </c>
      <c r="S119" s="180" t="s">
        <v>2754</v>
      </c>
    </row>
    <row r="120" spans="2:19" s="19" customFormat="1" hidden="1">
      <c r="B120"/>
      <c r="C120" s="15"/>
      <c r="D120" s="1"/>
      <c r="L120" s="180" t="s">
        <v>2752</v>
      </c>
      <c r="M120" s="181" t="s">
        <v>1840</v>
      </c>
      <c r="N120" s="181" t="s">
        <v>1834</v>
      </c>
      <c r="O120" s="182" t="s">
        <v>1835</v>
      </c>
      <c r="P120" s="183">
        <v>5000</v>
      </c>
      <c r="Q120" s="183">
        <v>20</v>
      </c>
      <c r="R120" s="184">
        <v>43605</v>
      </c>
      <c r="S120" s="181" t="s">
        <v>99</v>
      </c>
    </row>
    <row r="121" spans="2:19" s="19" customFormat="1" hidden="1">
      <c r="B121"/>
      <c r="C121" s="15"/>
      <c r="D121" s="1"/>
      <c r="L121" s="180" t="s">
        <v>2752</v>
      </c>
      <c r="M121" s="181" t="s">
        <v>1841</v>
      </c>
      <c r="N121" s="181" t="s">
        <v>1834</v>
      </c>
      <c r="O121" s="182" t="s">
        <v>1835</v>
      </c>
      <c r="P121" s="183">
        <v>7000</v>
      </c>
      <c r="Q121" s="183">
        <v>28</v>
      </c>
      <c r="R121" s="184">
        <v>43605</v>
      </c>
      <c r="S121" s="181" t="s">
        <v>99</v>
      </c>
    </row>
    <row r="122" spans="2:19" hidden="1">
      <c r="L122" s="180" t="s">
        <v>2755</v>
      </c>
      <c r="M122" s="181" t="s">
        <v>1843</v>
      </c>
      <c r="N122" s="181" t="s">
        <v>1844</v>
      </c>
      <c r="O122" s="182" t="s">
        <v>1835</v>
      </c>
      <c r="P122" s="183">
        <v>2000</v>
      </c>
      <c r="Q122" s="183">
        <v>8</v>
      </c>
      <c r="R122" s="184">
        <v>43598</v>
      </c>
      <c r="S122" s="181" t="s">
        <v>99</v>
      </c>
    </row>
    <row r="123" spans="2:19" hidden="1">
      <c r="L123" s="180" t="s">
        <v>2755</v>
      </c>
      <c r="M123" s="181" t="s">
        <v>1845</v>
      </c>
      <c r="N123" s="181" t="s">
        <v>1844</v>
      </c>
      <c r="O123" s="182" t="s">
        <v>1835</v>
      </c>
      <c r="P123" s="183">
        <v>2000</v>
      </c>
      <c r="Q123" s="183">
        <v>8</v>
      </c>
      <c r="R123" s="184">
        <v>43598</v>
      </c>
      <c r="S123" s="181" t="s">
        <v>99</v>
      </c>
    </row>
    <row r="124" spans="2:19" hidden="1">
      <c r="L124" s="180" t="s">
        <v>2755</v>
      </c>
      <c r="M124" s="181" t="s">
        <v>1846</v>
      </c>
      <c r="N124" s="181" t="s">
        <v>1844</v>
      </c>
      <c r="O124" s="182" t="s">
        <v>1835</v>
      </c>
      <c r="P124" s="183">
        <v>10000</v>
      </c>
      <c r="Q124" s="183">
        <v>40</v>
      </c>
      <c r="R124" s="184">
        <v>43598</v>
      </c>
      <c r="S124" s="181" t="s">
        <v>99</v>
      </c>
    </row>
    <row r="125" spans="2:19" hidden="1">
      <c r="L125" s="180" t="s">
        <v>2755</v>
      </c>
      <c r="M125" s="181" t="s">
        <v>1847</v>
      </c>
      <c r="N125" s="181" t="s">
        <v>1844</v>
      </c>
      <c r="O125" s="182" t="s">
        <v>1835</v>
      </c>
      <c r="P125" s="183">
        <v>8000</v>
      </c>
      <c r="Q125" s="183">
        <v>32</v>
      </c>
      <c r="R125" s="184">
        <v>43598</v>
      </c>
      <c r="S125" s="180"/>
    </row>
    <row r="126" spans="2:19" hidden="1">
      <c r="L126" s="180" t="s">
        <v>2755</v>
      </c>
      <c r="M126" s="181" t="s">
        <v>1848</v>
      </c>
      <c r="N126" s="181" t="s">
        <v>1844</v>
      </c>
      <c r="O126" s="182" t="s">
        <v>1835</v>
      </c>
      <c r="P126" s="183">
        <v>10000</v>
      </c>
      <c r="Q126" s="183">
        <v>40</v>
      </c>
      <c r="R126" s="185" t="s">
        <v>2756</v>
      </c>
      <c r="S126" s="180" t="s">
        <v>2754</v>
      </c>
    </row>
    <row r="127" spans="2:19" hidden="1">
      <c r="L127" s="182" t="s">
        <v>2757</v>
      </c>
      <c r="M127" s="181" t="s">
        <v>1851</v>
      </c>
      <c r="N127" s="181" t="s">
        <v>1834</v>
      </c>
      <c r="O127" s="182" t="s">
        <v>1852</v>
      </c>
      <c r="P127" s="183">
        <v>5000</v>
      </c>
      <c r="Q127" s="183">
        <v>20</v>
      </c>
      <c r="R127" s="184">
        <v>43605</v>
      </c>
      <c r="S127" s="181" t="s">
        <v>99</v>
      </c>
    </row>
    <row r="128" spans="2:19" hidden="1">
      <c r="L128" s="180" t="s">
        <v>2758</v>
      </c>
      <c r="M128" s="181" t="s">
        <v>1851</v>
      </c>
      <c r="N128" s="181" t="s">
        <v>1844</v>
      </c>
      <c r="O128" s="182" t="s">
        <v>1835</v>
      </c>
      <c r="P128" s="183">
        <v>2000</v>
      </c>
      <c r="Q128" s="183">
        <v>8</v>
      </c>
      <c r="R128" s="184">
        <v>43605</v>
      </c>
      <c r="S128" s="181" t="s">
        <v>99</v>
      </c>
    </row>
    <row r="129" spans="12:19" hidden="1">
      <c r="L129" s="182" t="s">
        <v>2759</v>
      </c>
      <c r="M129" s="181" t="s">
        <v>1855</v>
      </c>
      <c r="N129" s="181" t="s">
        <v>1834</v>
      </c>
      <c r="O129" s="182" t="s">
        <v>1852</v>
      </c>
      <c r="P129" s="183">
        <v>6000</v>
      </c>
      <c r="Q129" s="183">
        <v>24</v>
      </c>
      <c r="R129" s="184">
        <v>43605</v>
      </c>
      <c r="S129" s="181" t="s">
        <v>99</v>
      </c>
    </row>
    <row r="130" spans="12:19" hidden="1">
      <c r="L130" s="182" t="s">
        <v>2759</v>
      </c>
      <c r="M130" s="181" t="s">
        <v>1856</v>
      </c>
      <c r="N130" s="181" t="s">
        <v>1834</v>
      </c>
      <c r="O130" s="182" t="s">
        <v>1852</v>
      </c>
      <c r="P130" s="183">
        <v>6000</v>
      </c>
      <c r="Q130" s="183">
        <v>24</v>
      </c>
      <c r="R130" s="185">
        <v>43605</v>
      </c>
      <c r="S130" s="180"/>
    </row>
    <row r="131" spans="12:19" hidden="1">
      <c r="L131" s="182" t="s">
        <v>2759</v>
      </c>
      <c r="M131" s="181" t="s">
        <v>1857</v>
      </c>
      <c r="N131" s="181" t="s">
        <v>1834</v>
      </c>
      <c r="O131" s="182" t="s">
        <v>1852</v>
      </c>
      <c r="P131" s="183">
        <v>6000</v>
      </c>
      <c r="Q131" s="183">
        <v>24</v>
      </c>
      <c r="R131" s="184" t="s">
        <v>2760</v>
      </c>
      <c r="S131" s="181" t="s">
        <v>2761</v>
      </c>
    </row>
    <row r="134" spans="12:19" ht="16.2">
      <c r="L134" s="186"/>
    </row>
    <row r="135" spans="12:19" ht="16.2">
      <c r="L135" s="186"/>
    </row>
    <row r="136" spans="12:19" ht="16.2">
      <c r="L136" s="186"/>
    </row>
  </sheetData>
  <autoFilter ref="B2:R110" xr:uid="{00000000-0009-0000-0000-000017000000}">
    <filterColumn colId="10">
      <filters>
        <filter val="414-UM1829"/>
      </filters>
    </filterColumn>
  </autoFilter>
  <phoneticPr fontId="1"/>
  <pageMargins left="0.23622047244094491" right="0.23622047244094491" top="0.35433070866141736" bottom="0.35433070866141736" header="0.31496062992125984" footer="0.31496062992125984"/>
  <pageSetup paperSize="9" scale="77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58" filterMode="1">
    <pageSetUpPr fitToPage="1"/>
  </sheetPr>
  <dimension ref="A1:S166"/>
  <sheetViews>
    <sheetView zoomScale="77" zoomScaleNormal="77" workbookViewId="0">
      <selection activeCell="E44" sqref="E44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7.12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B2" s="194"/>
      <c r="C2" s="14" t="s">
        <v>9</v>
      </c>
      <c r="D2" s="5" t="s">
        <v>0</v>
      </c>
      <c r="E2" s="6" t="s">
        <v>10</v>
      </c>
      <c r="F2" s="6" t="s">
        <v>11</v>
      </c>
      <c r="G2" s="10" t="s">
        <v>1</v>
      </c>
      <c r="H2" s="6" t="s">
        <v>15</v>
      </c>
      <c r="I2" s="6" t="s">
        <v>16</v>
      </c>
      <c r="J2" s="6" t="s">
        <v>12</v>
      </c>
      <c r="K2" s="12" t="s">
        <v>7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85</v>
      </c>
      <c r="Q2" s="6" t="s">
        <v>8</v>
      </c>
      <c r="R2" s="16" t="s">
        <v>6</v>
      </c>
      <c r="S2" s="16" t="s">
        <v>409</v>
      </c>
    </row>
    <row r="3" spans="2:19" s="33" customFormat="1" ht="33" hidden="1" customHeight="1">
      <c r="B3" s="47" t="s">
        <v>220</v>
      </c>
      <c r="C3" s="48" t="s">
        <v>309</v>
      </c>
      <c r="D3" s="49" t="s">
        <v>310</v>
      </c>
      <c r="E3" s="50">
        <v>43420</v>
      </c>
      <c r="F3" s="49" t="s">
        <v>79</v>
      </c>
      <c r="G3" s="51">
        <v>7000</v>
      </c>
      <c r="H3" s="52">
        <f t="shared" ref="H3:H38" si="0">SUM(G3/250)</f>
        <v>28</v>
      </c>
      <c r="I3" s="52">
        <f t="shared" ref="I3:I34" si="1">SUM(H3/4)</f>
        <v>7</v>
      </c>
      <c r="J3" s="49"/>
      <c r="K3" s="53">
        <v>43541</v>
      </c>
      <c r="L3" s="54" t="s">
        <v>388</v>
      </c>
      <c r="M3" s="55">
        <v>43542</v>
      </c>
      <c r="N3" s="56" t="s">
        <v>649</v>
      </c>
      <c r="O3" s="55">
        <v>43183</v>
      </c>
      <c r="P3" s="54" t="s">
        <v>753</v>
      </c>
      <c r="Q3" s="49"/>
      <c r="R3" s="57" t="s">
        <v>420</v>
      </c>
      <c r="S3" s="47"/>
    </row>
    <row r="4" spans="2:19" s="33" customFormat="1" ht="33" hidden="1" customHeight="1">
      <c r="B4" s="47" t="s">
        <v>78</v>
      </c>
      <c r="C4" s="48" t="s">
        <v>311</v>
      </c>
      <c r="D4" s="49" t="s">
        <v>312</v>
      </c>
      <c r="E4" s="50">
        <v>43420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43169</v>
      </c>
      <c r="L4" s="54" t="s">
        <v>343</v>
      </c>
      <c r="M4" s="55">
        <v>43528</v>
      </c>
      <c r="N4" s="56" t="s">
        <v>439</v>
      </c>
      <c r="O4" s="55">
        <v>43534</v>
      </c>
      <c r="P4" s="54"/>
      <c r="Q4" s="49" t="s">
        <v>82</v>
      </c>
      <c r="R4" s="57" t="s">
        <v>313</v>
      </c>
      <c r="S4" s="47"/>
    </row>
    <row r="5" spans="2:19" s="33" customFormat="1" ht="33" hidden="1" customHeight="1">
      <c r="B5" s="47" t="s">
        <v>78</v>
      </c>
      <c r="C5" s="48" t="s">
        <v>374</v>
      </c>
      <c r="D5" s="49" t="s">
        <v>375</v>
      </c>
      <c r="E5" s="50">
        <v>43455</v>
      </c>
      <c r="F5" s="49" t="s">
        <v>79</v>
      </c>
      <c r="G5" s="51">
        <v>21000</v>
      </c>
      <c r="H5" s="52">
        <f t="shared" si="0"/>
        <v>84</v>
      </c>
      <c r="I5" s="52">
        <f t="shared" si="1"/>
        <v>21</v>
      </c>
      <c r="J5" s="49"/>
      <c r="K5" s="53">
        <v>43541</v>
      </c>
      <c r="L5" s="54" t="s">
        <v>388</v>
      </c>
      <c r="M5" s="55">
        <v>43542</v>
      </c>
      <c r="N5" s="56" t="s">
        <v>649</v>
      </c>
      <c r="O5" s="55">
        <v>43183</v>
      </c>
      <c r="P5" s="54" t="s">
        <v>754</v>
      </c>
      <c r="Q5" s="49" t="s">
        <v>82</v>
      </c>
      <c r="R5" s="57" t="s">
        <v>376</v>
      </c>
      <c r="S5" s="47"/>
    </row>
    <row r="6" spans="2:19" s="33" customFormat="1" ht="33" hidden="1" customHeight="1">
      <c r="B6" s="47" t="s">
        <v>220</v>
      </c>
      <c r="C6" s="48" t="s">
        <v>377</v>
      </c>
      <c r="D6" s="49" t="s">
        <v>378</v>
      </c>
      <c r="E6" s="50">
        <v>43455</v>
      </c>
      <c r="F6" s="49" t="s">
        <v>91</v>
      </c>
      <c r="G6" s="51">
        <v>14000</v>
      </c>
      <c r="H6" s="52">
        <f t="shared" si="0"/>
        <v>56</v>
      </c>
      <c r="I6" s="52">
        <f t="shared" si="1"/>
        <v>14</v>
      </c>
      <c r="J6" s="49"/>
      <c r="K6" s="53">
        <v>43548</v>
      </c>
      <c r="L6" s="54" t="s">
        <v>802</v>
      </c>
      <c r="M6" s="55">
        <v>43563</v>
      </c>
      <c r="N6" s="56" t="s">
        <v>438</v>
      </c>
      <c r="O6" s="55">
        <v>43569</v>
      </c>
      <c r="P6" s="54" t="s">
        <v>839</v>
      </c>
      <c r="Q6" s="49"/>
      <c r="R6" s="57" t="s">
        <v>379</v>
      </c>
      <c r="S6" s="47"/>
    </row>
    <row r="7" spans="2:19" s="33" customFormat="1" ht="33" hidden="1" customHeight="1">
      <c r="B7" s="47" t="s">
        <v>78</v>
      </c>
      <c r="C7" s="48" t="s">
        <v>380</v>
      </c>
      <c r="D7" s="49" t="s">
        <v>381</v>
      </c>
      <c r="E7" s="50">
        <v>43455</v>
      </c>
      <c r="F7" s="49" t="s">
        <v>240</v>
      </c>
      <c r="G7" s="51">
        <v>40000</v>
      </c>
      <c r="H7" s="52">
        <f t="shared" si="0"/>
        <v>160</v>
      </c>
      <c r="I7" s="52">
        <f t="shared" si="1"/>
        <v>40</v>
      </c>
      <c r="J7" s="49"/>
      <c r="K7" s="53">
        <v>43555</v>
      </c>
      <c r="L7" s="54" t="s">
        <v>389</v>
      </c>
      <c r="M7" s="55">
        <v>43549</v>
      </c>
      <c r="N7" s="56" t="s">
        <v>752</v>
      </c>
      <c r="O7" s="55">
        <v>43555</v>
      </c>
      <c r="P7" s="54" t="s">
        <v>755</v>
      </c>
      <c r="Q7" s="49" t="s">
        <v>82</v>
      </c>
      <c r="R7" s="57" t="s">
        <v>382</v>
      </c>
      <c r="S7" s="47"/>
    </row>
    <row r="8" spans="2:19" s="33" customFormat="1" ht="33" hidden="1" customHeight="1">
      <c r="B8" s="47" t="s">
        <v>220</v>
      </c>
      <c r="C8" s="48" t="s">
        <v>421</v>
      </c>
      <c r="D8" s="49" t="s">
        <v>453</v>
      </c>
      <c r="E8" s="50">
        <v>43483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43576</v>
      </c>
      <c r="L8" s="54" t="s">
        <v>443</v>
      </c>
      <c r="M8" s="55">
        <v>43570</v>
      </c>
      <c r="N8" s="56" t="s">
        <v>440</v>
      </c>
      <c r="O8" s="55">
        <v>43576</v>
      </c>
      <c r="P8" s="54" t="s">
        <v>981</v>
      </c>
      <c r="Q8" s="49"/>
      <c r="R8" s="57" t="s">
        <v>454</v>
      </c>
      <c r="S8" s="47"/>
    </row>
    <row r="9" spans="2:19" s="30" customFormat="1" ht="33" hidden="1" customHeight="1">
      <c r="B9" s="46" t="s">
        <v>78</v>
      </c>
      <c r="C9" s="35" t="s">
        <v>422</v>
      </c>
      <c r="D9" s="36" t="s">
        <v>455</v>
      </c>
      <c r="E9" s="37">
        <v>43483</v>
      </c>
      <c r="F9" s="36" t="s">
        <v>91</v>
      </c>
      <c r="G9" s="39">
        <v>10000</v>
      </c>
      <c r="H9" s="38">
        <f t="shared" si="0"/>
        <v>40</v>
      </c>
      <c r="I9" s="38">
        <f t="shared" si="1"/>
        <v>10</v>
      </c>
      <c r="J9" s="36"/>
      <c r="K9" s="40">
        <v>43618</v>
      </c>
      <c r="L9" s="41" t="s">
        <v>442</v>
      </c>
      <c r="M9" s="42">
        <v>43612</v>
      </c>
      <c r="N9" s="43" t="s">
        <v>637</v>
      </c>
      <c r="O9" s="42">
        <v>43618</v>
      </c>
      <c r="P9" s="41" t="s">
        <v>2155</v>
      </c>
      <c r="Q9" s="36" t="s">
        <v>82</v>
      </c>
      <c r="R9" s="44" t="s">
        <v>616</v>
      </c>
      <c r="S9" s="46"/>
    </row>
    <row r="10" spans="2:19" s="30" customFormat="1" ht="33" hidden="1" customHeight="1">
      <c r="B10" s="46" t="s">
        <v>78</v>
      </c>
      <c r="C10" s="35" t="s">
        <v>617</v>
      </c>
      <c r="D10" s="36" t="s">
        <v>455</v>
      </c>
      <c r="E10" s="37">
        <v>43523</v>
      </c>
      <c r="F10" s="36" t="s">
        <v>91</v>
      </c>
      <c r="G10" s="39">
        <v>10000</v>
      </c>
      <c r="H10" s="38">
        <f t="shared" si="0"/>
        <v>40</v>
      </c>
      <c r="I10" s="38">
        <f t="shared" si="1"/>
        <v>10</v>
      </c>
      <c r="J10" s="36"/>
      <c r="K10" s="40">
        <v>43618</v>
      </c>
      <c r="L10" s="41" t="s">
        <v>638</v>
      </c>
      <c r="M10" s="42">
        <v>43612</v>
      </c>
      <c r="N10" s="43" t="s">
        <v>636</v>
      </c>
      <c r="O10" s="42">
        <v>43618</v>
      </c>
      <c r="P10" s="41" t="s">
        <v>2156</v>
      </c>
      <c r="Q10" s="36" t="s">
        <v>82</v>
      </c>
      <c r="R10" s="44" t="s">
        <v>618</v>
      </c>
      <c r="S10" s="46"/>
    </row>
    <row r="11" spans="2:19" s="30" customFormat="1" ht="33" hidden="1" customHeight="1">
      <c r="B11" s="46" t="s">
        <v>78</v>
      </c>
      <c r="C11" s="35" t="s">
        <v>1330</v>
      </c>
      <c r="D11" s="36" t="s">
        <v>1337</v>
      </c>
      <c r="E11" s="37">
        <v>43483</v>
      </c>
      <c r="F11" s="36" t="s">
        <v>91</v>
      </c>
      <c r="G11" s="39">
        <v>20000</v>
      </c>
      <c r="H11" s="38">
        <f t="shared" si="0"/>
        <v>80</v>
      </c>
      <c r="I11" s="38">
        <f t="shared" si="1"/>
        <v>20</v>
      </c>
      <c r="J11" s="36"/>
      <c r="K11" s="40">
        <v>43618</v>
      </c>
      <c r="L11" s="41" t="s">
        <v>442</v>
      </c>
      <c r="M11" s="42">
        <v>43612</v>
      </c>
      <c r="N11" s="43" t="s">
        <v>637</v>
      </c>
      <c r="O11" s="42">
        <v>43618</v>
      </c>
      <c r="P11" s="41" t="s">
        <v>2157</v>
      </c>
      <c r="Q11" s="36" t="s">
        <v>82</v>
      </c>
      <c r="R11" s="44" t="s">
        <v>616</v>
      </c>
      <c r="S11" s="46" t="s">
        <v>479</v>
      </c>
    </row>
    <row r="12" spans="2:19" s="33" customFormat="1" ht="33" hidden="1" customHeight="1">
      <c r="B12" s="47" t="s">
        <v>78</v>
      </c>
      <c r="C12" s="48" t="s">
        <v>423</v>
      </c>
      <c r="D12" s="49" t="s">
        <v>457</v>
      </c>
      <c r="E12" s="50">
        <v>43483</v>
      </c>
      <c r="F12" s="49" t="s">
        <v>79</v>
      </c>
      <c r="G12" s="51">
        <v>20000</v>
      </c>
      <c r="H12" s="52">
        <f t="shared" si="0"/>
        <v>80</v>
      </c>
      <c r="I12" s="52">
        <f t="shared" si="1"/>
        <v>20</v>
      </c>
      <c r="J12" s="49"/>
      <c r="K12" s="53">
        <v>43576</v>
      </c>
      <c r="L12" s="54" t="s">
        <v>443</v>
      </c>
      <c r="M12" s="55">
        <v>43570</v>
      </c>
      <c r="N12" s="56" t="s">
        <v>440</v>
      </c>
      <c r="O12" s="55">
        <v>43576</v>
      </c>
      <c r="P12" s="54" t="s">
        <v>982</v>
      </c>
      <c r="Q12" s="49" t="s">
        <v>82</v>
      </c>
      <c r="R12" s="57" t="s">
        <v>424</v>
      </c>
      <c r="S12" s="47"/>
    </row>
    <row r="13" spans="2:19" s="33" customFormat="1" ht="33" hidden="1" customHeight="1">
      <c r="B13" s="47" t="s">
        <v>220</v>
      </c>
      <c r="C13" s="48" t="s">
        <v>425</v>
      </c>
      <c r="D13" s="49" t="s">
        <v>459</v>
      </c>
      <c r="E13" s="50">
        <v>43483</v>
      </c>
      <c r="F13" s="49" t="s">
        <v>79</v>
      </c>
      <c r="G13" s="51">
        <v>20000</v>
      </c>
      <c r="H13" s="52">
        <f t="shared" si="0"/>
        <v>80</v>
      </c>
      <c r="I13" s="52">
        <f t="shared" si="1"/>
        <v>20</v>
      </c>
      <c r="J13" s="49"/>
      <c r="K13" s="53">
        <v>43583</v>
      </c>
      <c r="L13" s="54" t="s">
        <v>444</v>
      </c>
      <c r="M13" s="55">
        <v>43577</v>
      </c>
      <c r="N13" s="56" t="s">
        <v>441</v>
      </c>
      <c r="O13" s="55">
        <v>43583</v>
      </c>
      <c r="P13" s="54" t="s">
        <v>1568</v>
      </c>
      <c r="Q13" s="49"/>
      <c r="R13" s="57" t="s">
        <v>426</v>
      </c>
      <c r="S13" s="47"/>
    </row>
    <row r="14" spans="2:19" s="33" customFormat="1" ht="33" hidden="1" customHeight="1">
      <c r="B14" s="47" t="s">
        <v>78</v>
      </c>
      <c r="C14" s="48" t="s">
        <v>462</v>
      </c>
      <c r="D14" s="49" t="s">
        <v>483</v>
      </c>
      <c r="E14" s="50">
        <v>43490</v>
      </c>
      <c r="F14" s="49" t="s">
        <v>79</v>
      </c>
      <c r="G14" s="51">
        <v>20000</v>
      </c>
      <c r="H14" s="52">
        <f t="shared" si="0"/>
        <v>80</v>
      </c>
      <c r="I14" s="52">
        <f t="shared" si="1"/>
        <v>20</v>
      </c>
      <c r="J14" s="49"/>
      <c r="K14" s="53">
        <v>43583</v>
      </c>
      <c r="L14" s="54" t="s">
        <v>444</v>
      </c>
      <c r="M14" s="55">
        <v>43577</v>
      </c>
      <c r="N14" s="56" t="s">
        <v>441</v>
      </c>
      <c r="O14" s="55">
        <v>43583</v>
      </c>
      <c r="P14" s="54" t="s">
        <v>983</v>
      </c>
      <c r="Q14" s="49" t="s">
        <v>82</v>
      </c>
      <c r="R14" s="57" t="s">
        <v>463</v>
      </c>
      <c r="S14" s="47"/>
    </row>
    <row r="15" spans="2:19" s="33" customFormat="1" ht="33" hidden="1" customHeight="1">
      <c r="B15" s="47" t="s">
        <v>78</v>
      </c>
      <c r="C15" s="48" t="s">
        <v>570</v>
      </c>
      <c r="D15" s="49" t="s">
        <v>571</v>
      </c>
      <c r="E15" s="50">
        <v>43519</v>
      </c>
      <c r="F15" s="49" t="s">
        <v>79</v>
      </c>
      <c r="G15" s="51">
        <v>20000</v>
      </c>
      <c r="H15" s="52">
        <f t="shared" si="0"/>
        <v>80</v>
      </c>
      <c r="I15" s="52">
        <f t="shared" si="1"/>
        <v>20</v>
      </c>
      <c r="J15" s="49"/>
      <c r="K15" s="53">
        <v>43590</v>
      </c>
      <c r="L15" s="54" t="s">
        <v>602</v>
      </c>
      <c r="M15" s="55">
        <v>43577</v>
      </c>
      <c r="N15" s="56" t="s">
        <v>441</v>
      </c>
      <c r="O15" s="55">
        <v>43583</v>
      </c>
      <c r="P15" s="54" t="s">
        <v>984</v>
      </c>
      <c r="Q15" s="49" t="s">
        <v>82</v>
      </c>
      <c r="R15" s="57" t="s">
        <v>572</v>
      </c>
      <c r="S15" s="47"/>
    </row>
    <row r="16" spans="2:19" s="30" customFormat="1" ht="33" hidden="1" customHeight="1">
      <c r="B16" s="46" t="s">
        <v>78</v>
      </c>
      <c r="C16" s="35" t="s">
        <v>573</v>
      </c>
      <c r="D16" s="36" t="s">
        <v>574</v>
      </c>
      <c r="E16" s="37">
        <v>43519</v>
      </c>
      <c r="F16" s="36" t="s">
        <v>79</v>
      </c>
      <c r="G16" s="39">
        <v>20000</v>
      </c>
      <c r="H16" s="38">
        <f t="shared" si="0"/>
        <v>80</v>
      </c>
      <c r="I16" s="38">
        <f t="shared" si="1"/>
        <v>20</v>
      </c>
      <c r="J16" s="36"/>
      <c r="K16" s="40">
        <v>43604</v>
      </c>
      <c r="L16" s="41" t="s">
        <v>757</v>
      </c>
      <c r="M16" s="42">
        <v>43598</v>
      </c>
      <c r="N16" s="43" t="s">
        <v>756</v>
      </c>
      <c r="O16" s="42">
        <v>43604</v>
      </c>
      <c r="P16" s="41" t="s">
        <v>1811</v>
      </c>
      <c r="Q16" s="36" t="s">
        <v>82</v>
      </c>
      <c r="R16" s="44" t="s">
        <v>575</v>
      </c>
      <c r="S16" s="46"/>
    </row>
    <row r="17" spans="2:19" s="30" customFormat="1" ht="33" hidden="1" customHeight="1">
      <c r="B17" s="46" t="s">
        <v>78</v>
      </c>
      <c r="C17" s="35" t="s">
        <v>785</v>
      </c>
      <c r="D17" s="36" t="s">
        <v>577</v>
      </c>
      <c r="E17" s="37">
        <v>43519</v>
      </c>
      <c r="F17" s="36" t="s">
        <v>91</v>
      </c>
      <c r="G17" s="39">
        <v>10000</v>
      </c>
      <c r="H17" s="38">
        <f t="shared" si="0"/>
        <v>40</v>
      </c>
      <c r="I17" s="38">
        <f t="shared" si="1"/>
        <v>10</v>
      </c>
      <c r="J17" s="36"/>
      <c r="K17" s="40">
        <v>43598</v>
      </c>
      <c r="L17" s="41" t="s">
        <v>803</v>
      </c>
      <c r="M17" s="42">
        <v>43598</v>
      </c>
      <c r="N17" s="43" t="s">
        <v>804</v>
      </c>
      <c r="O17" s="42">
        <v>43604</v>
      </c>
      <c r="P17" s="41" t="s">
        <v>1812</v>
      </c>
      <c r="Q17" s="36" t="s">
        <v>82</v>
      </c>
      <c r="R17" s="44" t="s">
        <v>786</v>
      </c>
      <c r="S17" s="46"/>
    </row>
    <row r="18" spans="2:19" s="30" customFormat="1" ht="33" hidden="1" customHeight="1">
      <c r="B18" s="46" t="s">
        <v>220</v>
      </c>
      <c r="C18" s="35" t="s">
        <v>579</v>
      </c>
      <c r="D18" s="36" t="s">
        <v>580</v>
      </c>
      <c r="E18" s="37">
        <v>43519</v>
      </c>
      <c r="F18" s="36" t="s">
        <v>79</v>
      </c>
      <c r="G18" s="39">
        <v>10000</v>
      </c>
      <c r="H18" s="38">
        <f t="shared" si="0"/>
        <v>40</v>
      </c>
      <c r="I18" s="38">
        <f t="shared" si="1"/>
        <v>10</v>
      </c>
      <c r="J18" s="36"/>
      <c r="K18" s="40">
        <v>43598</v>
      </c>
      <c r="L18" s="41" t="s">
        <v>803</v>
      </c>
      <c r="M18" s="42">
        <v>43598</v>
      </c>
      <c r="N18" s="43" t="s">
        <v>804</v>
      </c>
      <c r="O18" s="42">
        <v>43604</v>
      </c>
      <c r="P18" s="41" t="s">
        <v>1813</v>
      </c>
      <c r="Q18" s="36"/>
      <c r="R18" s="44" t="s">
        <v>787</v>
      </c>
      <c r="S18" s="46"/>
    </row>
    <row r="19" spans="2:19" s="30" customFormat="1" ht="33" hidden="1" customHeight="1">
      <c r="B19" s="46" t="s">
        <v>78</v>
      </c>
      <c r="C19" s="35" t="s">
        <v>576</v>
      </c>
      <c r="D19" s="36" t="s">
        <v>577</v>
      </c>
      <c r="E19" s="37">
        <v>43519</v>
      </c>
      <c r="F19" s="36" t="s">
        <v>79</v>
      </c>
      <c r="G19" s="39">
        <v>20000</v>
      </c>
      <c r="H19" s="38">
        <f t="shared" si="0"/>
        <v>80</v>
      </c>
      <c r="I19" s="38">
        <f t="shared" si="1"/>
        <v>20</v>
      </c>
      <c r="J19" s="36"/>
      <c r="K19" s="40">
        <v>43611</v>
      </c>
      <c r="L19" s="41" t="s">
        <v>604</v>
      </c>
      <c r="M19" s="42">
        <v>43605</v>
      </c>
      <c r="N19" s="43" t="s">
        <v>639</v>
      </c>
      <c r="O19" s="42">
        <v>43611</v>
      </c>
      <c r="P19" s="41" t="s">
        <v>1858</v>
      </c>
      <c r="Q19" s="36" t="s">
        <v>82</v>
      </c>
      <c r="R19" s="44" t="s">
        <v>578</v>
      </c>
      <c r="S19" s="46"/>
    </row>
    <row r="20" spans="2:19" s="30" customFormat="1" ht="33" hidden="1" customHeight="1">
      <c r="B20" s="46" t="s">
        <v>78</v>
      </c>
      <c r="C20" s="35" t="s">
        <v>685</v>
      </c>
      <c r="D20" s="36" t="s">
        <v>686</v>
      </c>
      <c r="E20" s="37">
        <v>43532</v>
      </c>
      <c r="F20" s="36" t="s">
        <v>79</v>
      </c>
      <c r="G20" s="39">
        <v>20000</v>
      </c>
      <c r="H20" s="38">
        <f t="shared" si="0"/>
        <v>80</v>
      </c>
      <c r="I20" s="38">
        <f t="shared" si="1"/>
        <v>20</v>
      </c>
      <c r="J20" s="36"/>
      <c r="K20" s="40">
        <v>43625</v>
      </c>
      <c r="L20" s="41" t="s">
        <v>761</v>
      </c>
      <c r="M20" s="42">
        <v>43619</v>
      </c>
      <c r="N20" s="43" t="s">
        <v>758</v>
      </c>
      <c r="O20" s="42">
        <v>43625</v>
      </c>
      <c r="P20" s="41"/>
      <c r="Q20" s="36" t="s">
        <v>82</v>
      </c>
      <c r="R20" s="44" t="s">
        <v>687</v>
      </c>
      <c r="S20" s="46"/>
    </row>
    <row r="21" spans="2:19" s="30" customFormat="1" ht="33" hidden="1" customHeight="1">
      <c r="B21" s="46" t="s">
        <v>78</v>
      </c>
      <c r="C21" s="35" t="s">
        <v>1332</v>
      </c>
      <c r="D21" s="36" t="s">
        <v>1366</v>
      </c>
      <c r="E21" s="37">
        <v>43532</v>
      </c>
      <c r="F21" s="36" t="s">
        <v>79</v>
      </c>
      <c r="G21" s="39">
        <v>20000</v>
      </c>
      <c r="H21" s="38">
        <f t="shared" si="0"/>
        <v>80</v>
      </c>
      <c r="I21" s="38">
        <f t="shared" si="1"/>
        <v>20</v>
      </c>
      <c r="J21" s="36"/>
      <c r="K21" s="40">
        <v>43625</v>
      </c>
      <c r="L21" s="41" t="s">
        <v>761</v>
      </c>
      <c r="M21" s="42">
        <v>43619</v>
      </c>
      <c r="N21" s="43" t="s">
        <v>758</v>
      </c>
      <c r="O21" s="42">
        <v>43625</v>
      </c>
      <c r="P21" s="41"/>
      <c r="Q21" s="36" t="s">
        <v>82</v>
      </c>
      <c r="R21" s="44" t="s">
        <v>687</v>
      </c>
      <c r="S21" s="46" t="s">
        <v>479</v>
      </c>
    </row>
    <row r="22" spans="2:19" s="30" customFormat="1" ht="33" hidden="1" customHeight="1">
      <c r="B22" s="46" t="s">
        <v>220</v>
      </c>
      <c r="C22" s="35" t="s">
        <v>688</v>
      </c>
      <c r="D22" s="36" t="s">
        <v>689</v>
      </c>
      <c r="E22" s="37">
        <v>43532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43632</v>
      </c>
      <c r="L22" s="41" t="s">
        <v>762</v>
      </c>
      <c r="M22" s="42">
        <v>43626</v>
      </c>
      <c r="N22" s="43" t="s">
        <v>759</v>
      </c>
      <c r="O22" s="42">
        <v>43632</v>
      </c>
      <c r="P22" s="41" t="s">
        <v>1820</v>
      </c>
      <c r="Q22" s="36"/>
      <c r="R22" s="44" t="s">
        <v>690</v>
      </c>
      <c r="S22" s="46"/>
    </row>
    <row r="23" spans="2:19" s="30" customFormat="1" ht="33" hidden="1" customHeight="1">
      <c r="B23" s="46" t="s">
        <v>78</v>
      </c>
      <c r="C23" s="35" t="s">
        <v>691</v>
      </c>
      <c r="D23" s="36" t="s">
        <v>692</v>
      </c>
      <c r="E23" s="37">
        <v>43532</v>
      </c>
      <c r="F23" s="36" t="s">
        <v>79</v>
      </c>
      <c r="G23" s="39">
        <v>20000</v>
      </c>
      <c r="H23" s="38">
        <f t="shared" si="0"/>
        <v>80</v>
      </c>
      <c r="I23" s="38">
        <f t="shared" si="1"/>
        <v>20</v>
      </c>
      <c r="J23" s="36"/>
      <c r="K23" s="40">
        <v>43639</v>
      </c>
      <c r="L23" s="41" t="s">
        <v>763</v>
      </c>
      <c r="M23" s="42">
        <v>43633</v>
      </c>
      <c r="N23" s="43" t="s">
        <v>760</v>
      </c>
      <c r="O23" s="42">
        <v>43639</v>
      </c>
      <c r="P23" s="41"/>
      <c r="Q23" s="36" t="s">
        <v>82</v>
      </c>
      <c r="R23" s="44" t="s">
        <v>693</v>
      </c>
      <c r="S23" s="46"/>
    </row>
    <row r="24" spans="2:19" s="30" customFormat="1" ht="33" hidden="1" customHeight="1">
      <c r="B24" s="46" t="s">
        <v>78</v>
      </c>
      <c r="C24" s="35" t="s">
        <v>1816</v>
      </c>
      <c r="D24" s="36" t="s">
        <v>1156</v>
      </c>
      <c r="E24" s="37">
        <v>43566</v>
      </c>
      <c r="F24" s="36" t="s">
        <v>79</v>
      </c>
      <c r="G24" s="39">
        <v>6000</v>
      </c>
      <c r="H24" s="38">
        <f t="shared" si="0"/>
        <v>24</v>
      </c>
      <c r="I24" s="38">
        <f t="shared" si="1"/>
        <v>6</v>
      </c>
      <c r="J24" s="36"/>
      <c r="K24" s="40">
        <v>43611</v>
      </c>
      <c r="L24" s="41" t="s">
        <v>603</v>
      </c>
      <c r="M24" s="42">
        <v>43605</v>
      </c>
      <c r="N24" s="43" t="s">
        <v>1080</v>
      </c>
      <c r="O24" s="42">
        <v>43611</v>
      </c>
      <c r="P24" s="41" t="s">
        <v>1859</v>
      </c>
      <c r="Q24" s="36" t="s">
        <v>82</v>
      </c>
      <c r="R24" s="44" t="s">
        <v>1605</v>
      </c>
      <c r="S24" s="46"/>
    </row>
    <row r="25" spans="2:19" s="30" customFormat="1" ht="33" hidden="1" customHeight="1">
      <c r="B25" s="46" t="s">
        <v>1817</v>
      </c>
      <c r="C25" s="35" t="s">
        <v>986</v>
      </c>
      <c r="D25" s="36" t="s">
        <v>1156</v>
      </c>
      <c r="E25" s="37">
        <v>43566</v>
      </c>
      <c r="F25" s="36" t="s">
        <v>79</v>
      </c>
      <c r="G25" s="39">
        <v>14000</v>
      </c>
      <c r="H25" s="38">
        <f t="shared" si="0"/>
        <v>56</v>
      </c>
      <c r="I25" s="38">
        <f t="shared" si="1"/>
        <v>14</v>
      </c>
      <c r="J25" s="36"/>
      <c r="K25" s="40">
        <v>43611</v>
      </c>
      <c r="L25" s="41" t="s">
        <v>603</v>
      </c>
      <c r="M25" s="42">
        <v>43605</v>
      </c>
      <c r="N25" s="43" t="s">
        <v>1080</v>
      </c>
      <c r="O25" s="42">
        <v>43611</v>
      </c>
      <c r="P25" s="41" t="s">
        <v>1824</v>
      </c>
      <c r="Q25" s="36"/>
      <c r="R25" s="44" t="s">
        <v>1605</v>
      </c>
      <c r="S25" s="46"/>
    </row>
    <row r="26" spans="2:19" s="30" customFormat="1" ht="33" hidden="1" customHeight="1">
      <c r="B26" s="46" t="s">
        <v>78</v>
      </c>
      <c r="C26" s="35" t="s">
        <v>988</v>
      </c>
      <c r="D26" s="36" t="s">
        <v>1158</v>
      </c>
      <c r="E26" s="37">
        <v>43566</v>
      </c>
      <c r="F26" s="36" t="s">
        <v>79</v>
      </c>
      <c r="G26" s="39">
        <v>20000</v>
      </c>
      <c r="H26" s="38">
        <f t="shared" si="0"/>
        <v>80</v>
      </c>
      <c r="I26" s="38">
        <f t="shared" si="1"/>
        <v>20</v>
      </c>
      <c r="J26" s="36"/>
      <c r="K26" s="40">
        <v>43632</v>
      </c>
      <c r="L26" s="41" t="s">
        <v>1081</v>
      </c>
      <c r="M26" s="42">
        <v>43626</v>
      </c>
      <c r="N26" s="43" t="s">
        <v>1082</v>
      </c>
      <c r="O26" s="42">
        <v>43632</v>
      </c>
      <c r="P26" s="41"/>
      <c r="Q26" s="36" t="s">
        <v>82</v>
      </c>
      <c r="R26" s="44" t="s">
        <v>989</v>
      </c>
      <c r="S26" s="46"/>
    </row>
    <row r="27" spans="2:19" s="30" customFormat="1" ht="33" hidden="1" customHeight="1">
      <c r="B27" s="46" t="s">
        <v>78</v>
      </c>
      <c r="C27" s="35" t="s">
        <v>1160</v>
      </c>
      <c r="D27" s="36" t="s">
        <v>1161</v>
      </c>
      <c r="E27" s="37">
        <v>43567</v>
      </c>
      <c r="F27" s="36" t="s">
        <v>63</v>
      </c>
      <c r="G27" s="39">
        <v>40000</v>
      </c>
      <c r="H27" s="38">
        <f t="shared" si="0"/>
        <v>160</v>
      </c>
      <c r="I27" s="38">
        <f t="shared" si="1"/>
        <v>40</v>
      </c>
      <c r="J27" s="36"/>
      <c r="K27" s="40">
        <v>43646</v>
      </c>
      <c r="L27" s="41" t="s">
        <v>1316</v>
      </c>
      <c r="M27" s="42">
        <v>43640</v>
      </c>
      <c r="N27" s="43" t="s">
        <v>1308</v>
      </c>
      <c r="O27" s="42">
        <v>43646</v>
      </c>
      <c r="P27" s="41"/>
      <c r="Q27" s="36" t="s">
        <v>82</v>
      </c>
      <c r="R27" s="44" t="s">
        <v>2141</v>
      </c>
      <c r="S27" s="46" t="s">
        <v>2140</v>
      </c>
    </row>
    <row r="28" spans="2:19" s="30" customFormat="1" ht="33" hidden="1" customHeight="1">
      <c r="B28" s="46" t="s">
        <v>220</v>
      </c>
      <c r="C28" s="35" t="s">
        <v>1163</v>
      </c>
      <c r="D28" s="36" t="s">
        <v>1164</v>
      </c>
      <c r="E28" s="37">
        <v>43567</v>
      </c>
      <c r="F28" s="36" t="s">
        <v>79</v>
      </c>
      <c r="G28" s="39">
        <v>20000</v>
      </c>
      <c r="H28" s="38">
        <f t="shared" si="0"/>
        <v>80</v>
      </c>
      <c r="I28" s="38">
        <f t="shared" si="1"/>
        <v>20</v>
      </c>
      <c r="J28" s="36"/>
      <c r="K28" s="40">
        <v>43646</v>
      </c>
      <c r="L28" s="41" t="s">
        <v>1316</v>
      </c>
      <c r="M28" s="42">
        <v>43640</v>
      </c>
      <c r="N28" s="43" t="s">
        <v>1308</v>
      </c>
      <c r="O28" s="42">
        <v>43646</v>
      </c>
      <c r="P28" s="41"/>
      <c r="Q28" s="36"/>
      <c r="R28" s="44" t="s">
        <v>2139</v>
      </c>
      <c r="S28" s="46" t="s">
        <v>2140</v>
      </c>
    </row>
    <row r="29" spans="2:19" s="30" customFormat="1" ht="33" hidden="1" customHeight="1">
      <c r="B29" s="46" t="s">
        <v>78</v>
      </c>
      <c r="C29" s="35" t="s">
        <v>1166</v>
      </c>
      <c r="D29" s="36" t="s">
        <v>1167</v>
      </c>
      <c r="E29" s="37">
        <v>43567</v>
      </c>
      <c r="F29" s="36" t="s">
        <v>79</v>
      </c>
      <c r="G29" s="39">
        <v>20000</v>
      </c>
      <c r="H29" s="38">
        <f t="shared" si="0"/>
        <v>80</v>
      </c>
      <c r="I29" s="38">
        <f t="shared" si="1"/>
        <v>20</v>
      </c>
      <c r="J29" s="36"/>
      <c r="K29" s="40">
        <v>43653</v>
      </c>
      <c r="L29" s="41" t="s">
        <v>1317</v>
      </c>
      <c r="M29" s="42">
        <v>43647</v>
      </c>
      <c r="N29" s="43" t="s">
        <v>1309</v>
      </c>
      <c r="O29" s="42">
        <v>43653</v>
      </c>
      <c r="P29" s="41"/>
      <c r="Q29" s="36" t="s">
        <v>82</v>
      </c>
      <c r="R29" s="44" t="s">
        <v>2142</v>
      </c>
      <c r="S29" s="46" t="s">
        <v>2140</v>
      </c>
    </row>
    <row r="30" spans="2:19" s="30" customFormat="1" ht="33" hidden="1" customHeight="1">
      <c r="B30" s="46" t="s">
        <v>78</v>
      </c>
      <c r="C30" s="35" t="s">
        <v>1169</v>
      </c>
      <c r="D30" s="36" t="s">
        <v>1170</v>
      </c>
      <c r="E30" s="37">
        <v>43567</v>
      </c>
      <c r="F30" s="36" t="s">
        <v>79</v>
      </c>
      <c r="G30" s="39">
        <v>20000</v>
      </c>
      <c r="H30" s="38">
        <f t="shared" si="0"/>
        <v>80</v>
      </c>
      <c r="I30" s="38">
        <f t="shared" si="1"/>
        <v>20</v>
      </c>
      <c r="J30" s="36"/>
      <c r="K30" s="40">
        <v>43660</v>
      </c>
      <c r="L30" s="41" t="s">
        <v>1318</v>
      </c>
      <c r="M30" s="42">
        <v>43654</v>
      </c>
      <c r="N30" s="43" t="s">
        <v>1310</v>
      </c>
      <c r="O30" s="42">
        <v>43660</v>
      </c>
      <c r="P30" s="41"/>
      <c r="Q30" s="36" t="s">
        <v>82</v>
      </c>
      <c r="R30" s="44" t="s">
        <v>1171</v>
      </c>
      <c r="S30" s="46"/>
    </row>
    <row r="31" spans="2:19" s="30" customFormat="1" ht="33" hidden="1" customHeight="1">
      <c r="B31" s="46" t="s">
        <v>78</v>
      </c>
      <c r="C31" s="35" t="s">
        <v>1172</v>
      </c>
      <c r="D31" s="36" t="s">
        <v>1173</v>
      </c>
      <c r="E31" s="37">
        <v>43567</v>
      </c>
      <c r="F31" s="36" t="s">
        <v>79</v>
      </c>
      <c r="G31" s="39">
        <v>20000</v>
      </c>
      <c r="H31" s="38">
        <f t="shared" si="0"/>
        <v>80</v>
      </c>
      <c r="I31" s="38">
        <f t="shared" si="1"/>
        <v>20</v>
      </c>
      <c r="J31" s="36"/>
      <c r="K31" s="40">
        <v>43667</v>
      </c>
      <c r="L31" s="41" t="s">
        <v>1320</v>
      </c>
      <c r="M31" s="42">
        <v>43658</v>
      </c>
      <c r="N31" s="43" t="s">
        <v>1311</v>
      </c>
      <c r="O31" s="42">
        <v>43667</v>
      </c>
      <c r="P31" s="41"/>
      <c r="Q31" s="36" t="s">
        <v>82</v>
      </c>
      <c r="R31" s="44" t="s">
        <v>1174</v>
      </c>
      <c r="S31" s="46"/>
    </row>
    <row r="32" spans="2:19" s="30" customFormat="1" ht="33" hidden="1" customHeight="1">
      <c r="B32" s="46" t="s">
        <v>220</v>
      </c>
      <c r="C32" s="35" t="s">
        <v>1175</v>
      </c>
      <c r="D32" s="36" t="s">
        <v>1176</v>
      </c>
      <c r="E32" s="37">
        <v>43567</v>
      </c>
      <c r="F32" s="36" t="s">
        <v>79</v>
      </c>
      <c r="G32" s="39">
        <v>20000</v>
      </c>
      <c r="H32" s="38">
        <f t="shared" si="0"/>
        <v>80</v>
      </c>
      <c r="I32" s="38">
        <f t="shared" si="1"/>
        <v>20</v>
      </c>
      <c r="J32" s="36"/>
      <c r="K32" s="40">
        <v>43667</v>
      </c>
      <c r="L32" s="41" t="s">
        <v>1319</v>
      </c>
      <c r="M32" s="42">
        <v>43658</v>
      </c>
      <c r="N32" s="43" t="s">
        <v>1311</v>
      </c>
      <c r="O32" s="42">
        <v>43667</v>
      </c>
      <c r="P32" s="41"/>
      <c r="Q32" s="36"/>
      <c r="R32" s="44" t="s">
        <v>1177</v>
      </c>
      <c r="S32" s="46"/>
    </row>
    <row r="33" spans="2:19" s="30" customFormat="1" ht="33" hidden="1" customHeight="1">
      <c r="B33" s="46" t="s">
        <v>78</v>
      </c>
      <c r="C33" s="35" t="s">
        <v>1178</v>
      </c>
      <c r="D33" s="36" t="s">
        <v>1179</v>
      </c>
      <c r="E33" s="37">
        <v>43567</v>
      </c>
      <c r="F33" s="36" t="s">
        <v>91</v>
      </c>
      <c r="G33" s="39">
        <v>10000</v>
      </c>
      <c r="H33" s="38">
        <f t="shared" si="0"/>
        <v>40</v>
      </c>
      <c r="I33" s="38">
        <f t="shared" si="1"/>
        <v>10</v>
      </c>
      <c r="J33" s="36"/>
      <c r="K33" s="40">
        <v>43674</v>
      </c>
      <c r="L33" s="41" t="s">
        <v>1322</v>
      </c>
      <c r="M33" s="42">
        <v>43668</v>
      </c>
      <c r="N33" s="43" t="s">
        <v>1312</v>
      </c>
      <c r="O33" s="42">
        <v>43674</v>
      </c>
      <c r="P33" s="41"/>
      <c r="Q33" s="36" t="s">
        <v>82</v>
      </c>
      <c r="R33" s="44" t="s">
        <v>2271</v>
      </c>
      <c r="S33" s="46"/>
    </row>
    <row r="34" spans="2:19" s="30" customFormat="1" ht="33" hidden="1" customHeight="1">
      <c r="B34" s="46" t="s">
        <v>220</v>
      </c>
      <c r="C34" s="35" t="s">
        <v>1181</v>
      </c>
      <c r="D34" s="36" t="s">
        <v>1182</v>
      </c>
      <c r="E34" s="37">
        <v>43567</v>
      </c>
      <c r="F34" s="36" t="s">
        <v>91</v>
      </c>
      <c r="G34" s="39">
        <v>10000</v>
      </c>
      <c r="H34" s="38">
        <f t="shared" si="0"/>
        <v>40</v>
      </c>
      <c r="I34" s="38">
        <f t="shared" si="1"/>
        <v>10</v>
      </c>
      <c r="J34" s="36"/>
      <c r="K34" s="40">
        <v>43674</v>
      </c>
      <c r="L34" s="41" t="s">
        <v>1321</v>
      </c>
      <c r="M34" s="42">
        <v>43668</v>
      </c>
      <c r="N34" s="43" t="s">
        <v>1312</v>
      </c>
      <c r="O34" s="42">
        <v>43674</v>
      </c>
      <c r="P34" s="41"/>
      <c r="Q34" s="36"/>
      <c r="R34" s="44" t="s">
        <v>1183</v>
      </c>
      <c r="S34" s="46"/>
    </row>
    <row r="35" spans="2:19" s="30" customFormat="1" ht="33" hidden="1" customHeight="1">
      <c r="B35" s="46" t="s">
        <v>78</v>
      </c>
      <c r="C35" s="35" t="s">
        <v>2273</v>
      </c>
      <c r="D35" s="36" t="s">
        <v>2274</v>
      </c>
      <c r="E35" s="37">
        <v>43602</v>
      </c>
      <c r="F35" s="36" t="s">
        <v>79</v>
      </c>
      <c r="G35" s="39">
        <v>20000</v>
      </c>
      <c r="H35" s="38">
        <f t="shared" si="0"/>
        <v>80</v>
      </c>
      <c r="I35" s="38">
        <f t="shared" ref="I35:I57" si="2">SUM(H35/4)</f>
        <v>20</v>
      </c>
      <c r="J35" s="36"/>
      <c r="K35" s="40">
        <v>43688</v>
      </c>
      <c r="L35" s="41" t="s">
        <v>2503</v>
      </c>
      <c r="M35" s="42">
        <v>43682</v>
      </c>
      <c r="N35" s="43" t="s">
        <v>2493</v>
      </c>
      <c r="O35" s="42">
        <v>43688</v>
      </c>
      <c r="P35" s="41"/>
      <c r="Q35" s="36" t="s">
        <v>82</v>
      </c>
      <c r="R35" s="44" t="s">
        <v>2275</v>
      </c>
      <c r="S35" s="46"/>
    </row>
    <row r="36" spans="2:19" s="30" customFormat="1" ht="33" hidden="1" customHeight="1">
      <c r="B36" s="46" t="s">
        <v>78</v>
      </c>
      <c r="C36" s="35" t="s">
        <v>2276</v>
      </c>
      <c r="D36" s="36" t="s">
        <v>2277</v>
      </c>
      <c r="E36" s="37">
        <v>43602</v>
      </c>
      <c r="F36" s="36" t="s">
        <v>79</v>
      </c>
      <c r="G36" s="39">
        <v>20000</v>
      </c>
      <c r="H36" s="38">
        <f t="shared" si="0"/>
        <v>80</v>
      </c>
      <c r="I36" s="38">
        <f t="shared" si="2"/>
        <v>20</v>
      </c>
      <c r="J36" s="36"/>
      <c r="K36" s="40">
        <v>43695</v>
      </c>
      <c r="L36" s="41" t="s">
        <v>2503</v>
      </c>
      <c r="M36" s="42">
        <v>43682</v>
      </c>
      <c r="N36" s="43" t="s">
        <v>2493</v>
      </c>
      <c r="O36" s="42">
        <v>43688</v>
      </c>
      <c r="P36" s="41"/>
      <c r="Q36" s="36" t="s">
        <v>82</v>
      </c>
      <c r="R36" s="44" t="s">
        <v>2278</v>
      </c>
      <c r="S36" s="46"/>
    </row>
    <row r="37" spans="2:19" s="30" customFormat="1" ht="33" hidden="1" customHeight="1">
      <c r="B37" s="46" t="s">
        <v>220</v>
      </c>
      <c r="C37" s="35" t="s">
        <v>2279</v>
      </c>
      <c r="D37" s="36" t="s">
        <v>2280</v>
      </c>
      <c r="E37" s="37">
        <v>43602</v>
      </c>
      <c r="F37" s="36" t="s">
        <v>79</v>
      </c>
      <c r="G37" s="39">
        <v>20000</v>
      </c>
      <c r="H37" s="38">
        <f t="shared" si="0"/>
        <v>80</v>
      </c>
      <c r="I37" s="38">
        <f t="shared" si="2"/>
        <v>20</v>
      </c>
      <c r="J37" s="36"/>
      <c r="K37" s="40">
        <v>43695</v>
      </c>
      <c r="L37" s="41" t="s">
        <v>2503</v>
      </c>
      <c r="M37" s="42">
        <v>43682</v>
      </c>
      <c r="N37" s="43" t="s">
        <v>2493</v>
      </c>
      <c r="O37" s="42">
        <v>43688</v>
      </c>
      <c r="P37" s="41"/>
      <c r="Q37" s="36"/>
      <c r="R37" s="44" t="s">
        <v>2281</v>
      </c>
      <c r="S37" s="46"/>
    </row>
    <row r="38" spans="2:19" s="30" customFormat="1" ht="33" hidden="1" customHeight="1">
      <c r="B38" s="46" t="s">
        <v>78</v>
      </c>
      <c r="C38" s="35" t="s">
        <v>2282</v>
      </c>
      <c r="D38" s="36" t="s">
        <v>2283</v>
      </c>
      <c r="E38" s="37">
        <v>43602</v>
      </c>
      <c r="F38" s="36" t="s">
        <v>79</v>
      </c>
      <c r="G38" s="39">
        <v>20000</v>
      </c>
      <c r="H38" s="38">
        <f t="shared" si="0"/>
        <v>80</v>
      </c>
      <c r="I38" s="38">
        <f t="shared" si="2"/>
        <v>20</v>
      </c>
      <c r="J38" s="36"/>
      <c r="K38" s="40">
        <v>43709</v>
      </c>
      <c r="L38" s="41" t="s">
        <v>2504</v>
      </c>
      <c r="M38" s="42">
        <v>43703</v>
      </c>
      <c r="N38" s="43" t="s">
        <v>2494</v>
      </c>
      <c r="O38" s="42">
        <v>43709</v>
      </c>
      <c r="P38" s="41"/>
      <c r="Q38" s="36" t="s">
        <v>82</v>
      </c>
      <c r="R38" s="44" t="s">
        <v>2284</v>
      </c>
      <c r="S38" s="46"/>
    </row>
    <row r="39" spans="2:19" s="96" customFormat="1" ht="33" hidden="1" customHeight="1">
      <c r="B39" s="47" t="s">
        <v>17</v>
      </c>
      <c r="C39" s="48" t="s">
        <v>361</v>
      </c>
      <c r="D39" s="49" t="s">
        <v>384</v>
      </c>
      <c r="E39" s="50">
        <v>43441</v>
      </c>
      <c r="F39" s="52" t="s">
        <v>84</v>
      </c>
      <c r="G39" s="51">
        <v>9200</v>
      </c>
      <c r="H39" s="52">
        <f t="shared" ref="H39:H57" si="3">SUM(G39/230)</f>
        <v>40</v>
      </c>
      <c r="I39" s="52">
        <f t="shared" si="2"/>
        <v>10</v>
      </c>
      <c r="J39" s="49"/>
      <c r="K39" s="53">
        <v>43548</v>
      </c>
      <c r="L39" s="54" t="s">
        <v>476</v>
      </c>
      <c r="M39" s="55">
        <v>43543</v>
      </c>
      <c r="N39" s="56" t="s">
        <v>400</v>
      </c>
      <c r="O39" s="55">
        <v>43548</v>
      </c>
      <c r="P39" s="58"/>
      <c r="Q39" s="52" t="s">
        <v>82</v>
      </c>
      <c r="R39" s="57" t="s">
        <v>362</v>
      </c>
      <c r="S39" s="47"/>
    </row>
    <row r="40" spans="2:19" s="96" customFormat="1" ht="33" hidden="1" customHeight="1">
      <c r="B40" s="47" t="s">
        <v>17</v>
      </c>
      <c r="C40" s="48" t="s">
        <v>427</v>
      </c>
      <c r="D40" s="49" t="s">
        <v>491</v>
      </c>
      <c r="E40" s="50">
        <v>43483</v>
      </c>
      <c r="F40" s="52" t="s">
        <v>84</v>
      </c>
      <c r="G40" s="51">
        <v>9200</v>
      </c>
      <c r="H40" s="52">
        <f t="shared" si="3"/>
        <v>40</v>
      </c>
      <c r="I40" s="52">
        <f t="shared" si="2"/>
        <v>10</v>
      </c>
      <c r="J40" s="49"/>
      <c r="K40" s="53">
        <v>43576</v>
      </c>
      <c r="L40" s="54" t="s">
        <v>446</v>
      </c>
      <c r="M40" s="55">
        <v>43571</v>
      </c>
      <c r="N40" s="56" t="s">
        <v>445</v>
      </c>
      <c r="O40" s="55">
        <v>43576</v>
      </c>
      <c r="P40" s="58"/>
      <c r="Q40" s="52" t="s">
        <v>82</v>
      </c>
      <c r="R40" s="57" t="s">
        <v>466</v>
      </c>
      <c r="S40" s="47"/>
    </row>
    <row r="41" spans="2:19" s="67" customFormat="1" ht="33" hidden="1" customHeight="1">
      <c r="B41" s="46" t="s">
        <v>17</v>
      </c>
      <c r="C41" s="35" t="s">
        <v>581</v>
      </c>
      <c r="D41" s="36" t="s">
        <v>582</v>
      </c>
      <c r="E41" s="37">
        <v>43519</v>
      </c>
      <c r="F41" s="38" t="s">
        <v>84</v>
      </c>
      <c r="G41" s="39">
        <v>9200</v>
      </c>
      <c r="H41" s="38">
        <f t="shared" si="3"/>
        <v>40</v>
      </c>
      <c r="I41" s="38">
        <f t="shared" si="2"/>
        <v>10</v>
      </c>
      <c r="J41" s="36"/>
      <c r="K41" s="40">
        <v>43632</v>
      </c>
      <c r="L41" s="41" t="s">
        <v>975</v>
      </c>
      <c r="M41" s="42">
        <v>43620</v>
      </c>
      <c r="N41" s="43" t="s">
        <v>768</v>
      </c>
      <c r="O41" s="42">
        <v>43625</v>
      </c>
      <c r="P41" s="45"/>
      <c r="Q41" s="38" t="s">
        <v>82</v>
      </c>
      <c r="R41" s="44" t="s">
        <v>825</v>
      </c>
      <c r="S41" s="46"/>
    </row>
    <row r="42" spans="2:19" s="67" customFormat="1" ht="33" hidden="1" customHeight="1">
      <c r="B42" s="46" t="s">
        <v>17</v>
      </c>
      <c r="C42" s="35" t="s">
        <v>694</v>
      </c>
      <c r="D42" s="36" t="s">
        <v>695</v>
      </c>
      <c r="E42" s="37">
        <v>43532</v>
      </c>
      <c r="F42" s="38" t="s">
        <v>314</v>
      </c>
      <c r="G42" s="39">
        <v>9200</v>
      </c>
      <c r="H42" s="38">
        <f t="shared" si="3"/>
        <v>40</v>
      </c>
      <c r="I42" s="38">
        <f t="shared" si="2"/>
        <v>10</v>
      </c>
      <c r="J42" s="36"/>
      <c r="K42" s="130">
        <v>43653</v>
      </c>
      <c r="L42" s="119" t="s">
        <v>1326</v>
      </c>
      <c r="M42" s="120">
        <v>43648</v>
      </c>
      <c r="N42" s="121" t="s">
        <v>2540</v>
      </c>
      <c r="O42" s="120">
        <v>43653</v>
      </c>
      <c r="P42" s="45"/>
      <c r="Q42" s="38" t="s">
        <v>82</v>
      </c>
      <c r="R42" s="125" t="s">
        <v>2537</v>
      </c>
      <c r="S42" s="46"/>
    </row>
    <row r="43" spans="2:19" s="67" customFormat="1" ht="33" hidden="1" customHeight="1">
      <c r="B43" s="122" t="s">
        <v>17</v>
      </c>
      <c r="C43" s="126" t="s">
        <v>2299</v>
      </c>
      <c r="D43" s="127"/>
      <c r="E43" s="128">
        <v>43609</v>
      </c>
      <c r="F43" s="124" t="s">
        <v>13</v>
      </c>
      <c r="G43" s="129">
        <v>2760</v>
      </c>
      <c r="H43" s="124">
        <f t="shared" si="3"/>
        <v>12</v>
      </c>
      <c r="I43" s="124">
        <f t="shared" si="2"/>
        <v>3</v>
      </c>
      <c r="J43" s="127"/>
      <c r="K43" s="130">
        <v>43653</v>
      </c>
      <c r="L43" s="119" t="s">
        <v>1326</v>
      </c>
      <c r="M43" s="120">
        <v>43648</v>
      </c>
      <c r="N43" s="121" t="s">
        <v>2540</v>
      </c>
      <c r="O43" s="120">
        <v>43653</v>
      </c>
      <c r="P43" s="123"/>
      <c r="Q43" s="124" t="s">
        <v>82</v>
      </c>
      <c r="R43" s="125" t="s">
        <v>2537</v>
      </c>
      <c r="S43" s="122"/>
    </row>
    <row r="44" spans="2:19" s="67" customFormat="1" ht="33" hidden="1" customHeight="1">
      <c r="B44" s="46" t="s">
        <v>17</v>
      </c>
      <c r="C44" s="35" t="s">
        <v>2299</v>
      </c>
      <c r="D44" s="36" t="s">
        <v>2300</v>
      </c>
      <c r="E44" s="37">
        <v>43602</v>
      </c>
      <c r="F44" s="38" t="s">
        <v>314</v>
      </c>
      <c r="G44" s="39">
        <v>9200</v>
      </c>
      <c r="H44" s="38">
        <f t="shared" si="3"/>
        <v>40</v>
      </c>
      <c r="I44" s="38">
        <f t="shared" si="2"/>
        <v>10</v>
      </c>
      <c r="J44" s="36"/>
      <c r="K44" s="40">
        <v>43695</v>
      </c>
      <c r="L44" s="41" t="s">
        <v>2506</v>
      </c>
      <c r="M44" s="42">
        <v>43685</v>
      </c>
      <c r="N44" s="43" t="s">
        <v>2496</v>
      </c>
      <c r="O44" s="42">
        <v>43689</v>
      </c>
      <c r="P44" s="45"/>
      <c r="Q44" s="38" t="s">
        <v>82</v>
      </c>
      <c r="R44" s="44" t="s">
        <v>2302</v>
      </c>
      <c r="S44" s="46"/>
    </row>
    <row r="45" spans="2:19" s="67" customFormat="1" ht="33" hidden="1" customHeight="1">
      <c r="B45" s="46" t="s">
        <v>81</v>
      </c>
      <c r="C45" s="35" t="s">
        <v>279</v>
      </c>
      <c r="D45" s="36" t="s">
        <v>288</v>
      </c>
      <c r="E45" s="37">
        <v>43392</v>
      </c>
      <c r="F45" s="38" t="s">
        <v>84</v>
      </c>
      <c r="G45" s="39">
        <v>11960</v>
      </c>
      <c r="H45" s="38">
        <f t="shared" si="3"/>
        <v>52</v>
      </c>
      <c r="I45" s="38">
        <f t="shared" si="2"/>
        <v>13</v>
      </c>
      <c r="J45" s="38"/>
      <c r="K45" s="40">
        <v>43597</v>
      </c>
      <c r="L45" s="41" t="s">
        <v>562</v>
      </c>
      <c r="M45" s="42">
        <v>43594</v>
      </c>
      <c r="N45" s="43" t="s">
        <v>561</v>
      </c>
      <c r="O45" s="42">
        <v>43598</v>
      </c>
      <c r="P45" s="45" t="s">
        <v>1567</v>
      </c>
      <c r="Q45" s="46"/>
      <c r="R45" s="44" t="s">
        <v>515</v>
      </c>
      <c r="S45" s="46"/>
    </row>
    <row r="46" spans="2:19" s="67" customFormat="1" ht="33" hidden="1" customHeight="1">
      <c r="B46" s="46" t="s">
        <v>81</v>
      </c>
      <c r="C46" s="35" t="s">
        <v>1328</v>
      </c>
      <c r="D46" s="36" t="s">
        <v>288</v>
      </c>
      <c r="E46" s="37">
        <v>43392</v>
      </c>
      <c r="F46" s="38" t="s">
        <v>84</v>
      </c>
      <c r="G46" s="39">
        <v>1840</v>
      </c>
      <c r="H46" s="38">
        <f t="shared" si="3"/>
        <v>8</v>
      </c>
      <c r="I46" s="38">
        <f t="shared" si="2"/>
        <v>2</v>
      </c>
      <c r="J46" s="38"/>
      <c r="K46" s="40">
        <v>43597</v>
      </c>
      <c r="L46" s="41" t="s">
        <v>773</v>
      </c>
      <c r="M46" s="42">
        <v>43601</v>
      </c>
      <c r="N46" s="43" t="s">
        <v>601</v>
      </c>
      <c r="O46" s="42">
        <v>43605</v>
      </c>
      <c r="P46" s="45" t="s">
        <v>1567</v>
      </c>
      <c r="Q46" s="46"/>
      <c r="R46" s="44" t="s">
        <v>515</v>
      </c>
      <c r="S46" s="46" t="s">
        <v>1329</v>
      </c>
    </row>
    <row r="47" spans="2:19" s="96" customFormat="1" ht="33" hidden="1" customHeight="1">
      <c r="B47" s="47" t="s">
        <v>81</v>
      </c>
      <c r="C47" s="48" t="s">
        <v>318</v>
      </c>
      <c r="D47" s="49" t="s">
        <v>319</v>
      </c>
      <c r="E47" s="50">
        <v>43420</v>
      </c>
      <c r="F47" s="52" t="s">
        <v>314</v>
      </c>
      <c r="G47" s="51">
        <v>17940</v>
      </c>
      <c r="H47" s="52">
        <f t="shared" si="3"/>
        <v>78</v>
      </c>
      <c r="I47" s="52">
        <f t="shared" si="2"/>
        <v>19.5</v>
      </c>
      <c r="J47" s="52"/>
      <c r="K47" s="53">
        <v>43576</v>
      </c>
      <c r="L47" s="54" t="s">
        <v>480</v>
      </c>
      <c r="M47" s="55">
        <v>43564</v>
      </c>
      <c r="N47" s="56" t="s">
        <v>405</v>
      </c>
      <c r="O47" s="55">
        <v>43569</v>
      </c>
      <c r="P47" s="58"/>
      <c r="Q47" s="47"/>
      <c r="R47" s="57" t="s">
        <v>516</v>
      </c>
      <c r="S47" s="47" t="s">
        <v>391</v>
      </c>
    </row>
    <row r="48" spans="2:19" s="67" customFormat="1" ht="33" hidden="1" customHeight="1">
      <c r="B48" s="46" t="s">
        <v>81</v>
      </c>
      <c r="C48" s="35" t="s">
        <v>700</v>
      </c>
      <c r="D48" s="36" t="s">
        <v>701</v>
      </c>
      <c r="E48" s="37">
        <v>43532</v>
      </c>
      <c r="F48" s="38" t="s">
        <v>314</v>
      </c>
      <c r="G48" s="39">
        <v>13800</v>
      </c>
      <c r="H48" s="38">
        <f t="shared" si="3"/>
        <v>60</v>
      </c>
      <c r="I48" s="38">
        <f t="shared" si="2"/>
        <v>15</v>
      </c>
      <c r="J48" s="38"/>
      <c r="K48" s="40">
        <v>43615</v>
      </c>
      <c r="L48" s="41" t="s">
        <v>977</v>
      </c>
      <c r="M48" s="42">
        <v>43613</v>
      </c>
      <c r="N48" s="43" t="s">
        <v>766</v>
      </c>
      <c r="O48" s="42">
        <v>43618</v>
      </c>
      <c r="P48" s="45"/>
      <c r="Q48" s="46"/>
      <c r="R48" s="44" t="s">
        <v>850</v>
      </c>
      <c r="S48" s="46"/>
    </row>
    <row r="49" spans="2:19" s="67" customFormat="1" ht="33" hidden="1" customHeight="1">
      <c r="B49" s="46" t="s">
        <v>81</v>
      </c>
      <c r="C49" s="35" t="s">
        <v>2158</v>
      </c>
      <c r="D49" s="36" t="s">
        <v>2535</v>
      </c>
      <c r="E49" s="37">
        <v>43532</v>
      </c>
      <c r="F49" s="38" t="s">
        <v>314</v>
      </c>
      <c r="G49" s="39">
        <v>4600</v>
      </c>
      <c r="H49" s="38">
        <f t="shared" si="3"/>
        <v>20</v>
      </c>
      <c r="I49" s="38">
        <f t="shared" si="2"/>
        <v>5</v>
      </c>
      <c r="J49" s="38"/>
      <c r="K49" s="40">
        <v>43615</v>
      </c>
      <c r="L49" s="41" t="s">
        <v>975</v>
      </c>
      <c r="M49" s="42">
        <v>43620</v>
      </c>
      <c r="N49" s="43" t="s">
        <v>768</v>
      </c>
      <c r="O49" s="42">
        <v>43625</v>
      </c>
      <c r="P49" s="45"/>
      <c r="Q49" s="46"/>
      <c r="R49" s="44" t="s">
        <v>850</v>
      </c>
      <c r="S49" s="46"/>
    </row>
    <row r="50" spans="2:19" s="67" customFormat="1" ht="33" hidden="1" customHeight="1">
      <c r="B50" s="46" t="s">
        <v>81</v>
      </c>
      <c r="C50" s="35" t="s">
        <v>702</v>
      </c>
      <c r="D50" s="36" t="s">
        <v>703</v>
      </c>
      <c r="E50" s="37">
        <v>43532</v>
      </c>
      <c r="F50" s="38" t="s">
        <v>314</v>
      </c>
      <c r="G50" s="39">
        <v>9200</v>
      </c>
      <c r="H50" s="38">
        <f t="shared" si="3"/>
        <v>40</v>
      </c>
      <c r="I50" s="38">
        <f t="shared" si="2"/>
        <v>10</v>
      </c>
      <c r="J50" s="38"/>
      <c r="K50" s="40">
        <v>43632</v>
      </c>
      <c r="L50" s="41" t="s">
        <v>807</v>
      </c>
      <c r="M50" s="42">
        <v>43627</v>
      </c>
      <c r="N50" s="43" t="s">
        <v>808</v>
      </c>
      <c r="O50" s="42">
        <v>43632</v>
      </c>
      <c r="P50" s="45"/>
      <c r="Q50" s="46"/>
      <c r="R50" s="44" t="s">
        <v>2160</v>
      </c>
      <c r="S50" s="46"/>
    </row>
    <row r="51" spans="2:19" s="67" customFormat="1" ht="33" hidden="1" customHeight="1">
      <c r="B51" s="46" t="s">
        <v>81</v>
      </c>
      <c r="C51" s="35" t="s">
        <v>852</v>
      </c>
      <c r="D51" s="36" t="s">
        <v>1990</v>
      </c>
      <c r="E51" s="37">
        <v>43558</v>
      </c>
      <c r="F51" s="38" t="s">
        <v>314</v>
      </c>
      <c r="G51" s="39">
        <v>9200</v>
      </c>
      <c r="H51" s="38">
        <f t="shared" si="3"/>
        <v>40</v>
      </c>
      <c r="I51" s="38">
        <f t="shared" si="2"/>
        <v>10</v>
      </c>
      <c r="J51" s="38"/>
      <c r="K51" s="40">
        <v>43639</v>
      </c>
      <c r="L51" s="41" t="s">
        <v>1083</v>
      </c>
      <c r="M51" s="42">
        <v>43634</v>
      </c>
      <c r="N51" s="43" t="s">
        <v>1084</v>
      </c>
      <c r="O51" s="42">
        <v>43639</v>
      </c>
      <c r="P51" s="45"/>
      <c r="Q51" s="46"/>
      <c r="R51" s="44" t="s">
        <v>2160</v>
      </c>
      <c r="S51" s="46"/>
    </row>
    <row r="52" spans="2:19" s="67" customFormat="1" ht="33" hidden="1" customHeight="1">
      <c r="B52" s="46" t="s">
        <v>81</v>
      </c>
      <c r="C52" s="35" t="s">
        <v>1435</v>
      </c>
      <c r="D52" s="36" t="s">
        <v>1436</v>
      </c>
      <c r="E52" s="37">
        <v>43574</v>
      </c>
      <c r="F52" s="38" t="s">
        <v>314</v>
      </c>
      <c r="G52" s="39">
        <v>18400</v>
      </c>
      <c r="H52" s="38">
        <f t="shared" si="3"/>
        <v>80</v>
      </c>
      <c r="I52" s="38">
        <f t="shared" si="2"/>
        <v>20</v>
      </c>
      <c r="J52" s="38"/>
      <c r="K52" s="40">
        <v>43653</v>
      </c>
      <c r="L52" s="41" t="s">
        <v>1326</v>
      </c>
      <c r="M52" s="42">
        <v>43648</v>
      </c>
      <c r="N52" s="43" t="s">
        <v>2143</v>
      </c>
      <c r="O52" s="42">
        <v>43653</v>
      </c>
      <c r="P52" s="45"/>
      <c r="Q52" s="46"/>
      <c r="R52" s="44" t="s">
        <v>1993</v>
      </c>
      <c r="S52" s="46"/>
    </row>
    <row r="53" spans="2:19" s="67" customFormat="1" ht="33" hidden="1" customHeight="1">
      <c r="B53" s="46" t="s">
        <v>81</v>
      </c>
      <c r="C53" s="35" t="s">
        <v>2322</v>
      </c>
      <c r="D53" s="36" t="s">
        <v>2323</v>
      </c>
      <c r="E53" s="37">
        <v>43602</v>
      </c>
      <c r="F53" s="38" t="s">
        <v>314</v>
      </c>
      <c r="G53" s="39">
        <v>18400</v>
      </c>
      <c r="H53" s="38">
        <f t="shared" si="3"/>
        <v>80</v>
      </c>
      <c r="I53" s="38">
        <f t="shared" si="2"/>
        <v>20</v>
      </c>
      <c r="J53" s="38"/>
      <c r="K53" s="40">
        <v>43681</v>
      </c>
      <c r="L53" s="41" t="s">
        <v>2508</v>
      </c>
      <c r="M53" s="42">
        <v>43676</v>
      </c>
      <c r="N53" s="43" t="s">
        <v>2497</v>
      </c>
      <c r="O53" s="42">
        <v>43681</v>
      </c>
      <c r="P53" s="45"/>
      <c r="Q53" s="46"/>
      <c r="R53" s="44" t="s">
        <v>2324</v>
      </c>
      <c r="S53" s="46"/>
    </row>
    <row r="54" spans="2:19" s="67" customFormat="1" ht="33" customHeight="1">
      <c r="B54" s="46" t="s">
        <v>81</v>
      </c>
      <c r="C54" s="35" t="s">
        <v>2325</v>
      </c>
      <c r="D54" s="36" t="s">
        <v>2326</v>
      </c>
      <c r="E54" s="37">
        <v>43602</v>
      </c>
      <c r="F54" s="38" t="s">
        <v>314</v>
      </c>
      <c r="G54" s="39">
        <v>17940</v>
      </c>
      <c r="H54" s="38">
        <f t="shared" si="3"/>
        <v>78</v>
      </c>
      <c r="I54" s="38">
        <f t="shared" si="2"/>
        <v>19.5</v>
      </c>
      <c r="J54" s="38"/>
      <c r="K54" s="40">
        <v>43702</v>
      </c>
      <c r="L54" s="41" t="s">
        <v>2510</v>
      </c>
      <c r="M54" s="42">
        <v>43697</v>
      </c>
      <c r="N54" s="43" t="s">
        <v>2499</v>
      </c>
      <c r="O54" s="42">
        <v>43702</v>
      </c>
      <c r="P54" s="45"/>
      <c r="Q54" s="46"/>
      <c r="R54" s="44" t="s">
        <v>2327</v>
      </c>
      <c r="S54" s="46"/>
    </row>
    <row r="55" spans="2:19" s="67" customFormat="1" ht="33" hidden="1" customHeight="1">
      <c r="B55" s="46" t="s">
        <v>704</v>
      </c>
      <c r="C55" s="35" t="s">
        <v>554</v>
      </c>
      <c r="D55" s="36" t="s">
        <v>705</v>
      </c>
      <c r="E55" s="37">
        <v>43532</v>
      </c>
      <c r="F55" s="38" t="s">
        <v>314</v>
      </c>
      <c r="G55" s="39">
        <v>920</v>
      </c>
      <c r="H55" s="38">
        <f t="shared" si="3"/>
        <v>4</v>
      </c>
      <c r="I55" s="38">
        <f t="shared" si="2"/>
        <v>1</v>
      </c>
      <c r="J55" s="38"/>
      <c r="K55" s="40">
        <v>43609</v>
      </c>
      <c r="L55" s="41" t="s">
        <v>773</v>
      </c>
      <c r="M55" s="42">
        <v>43601</v>
      </c>
      <c r="N55" s="43" t="s">
        <v>774</v>
      </c>
      <c r="O55" s="42">
        <v>43605</v>
      </c>
      <c r="P55" s="45"/>
      <c r="Q55" s="46"/>
      <c r="R55" s="44"/>
      <c r="S55" s="46" t="s">
        <v>706</v>
      </c>
    </row>
    <row r="56" spans="2:19" s="96" customFormat="1" ht="33" hidden="1" customHeight="1">
      <c r="B56" s="47" t="s">
        <v>517</v>
      </c>
      <c r="C56" s="48" t="s">
        <v>554</v>
      </c>
      <c r="D56" s="49" t="s">
        <v>583</v>
      </c>
      <c r="E56" s="50">
        <v>43511</v>
      </c>
      <c r="F56" s="52" t="s">
        <v>314</v>
      </c>
      <c r="G56" s="51">
        <v>460</v>
      </c>
      <c r="H56" s="52">
        <f t="shared" si="3"/>
        <v>2</v>
      </c>
      <c r="I56" s="52">
        <f t="shared" si="2"/>
        <v>0.5</v>
      </c>
      <c r="J56" s="52"/>
      <c r="K56" s="53">
        <v>43576</v>
      </c>
      <c r="L56" s="54" t="s">
        <v>480</v>
      </c>
      <c r="M56" s="55">
        <v>43564</v>
      </c>
      <c r="N56" s="56" t="s">
        <v>646</v>
      </c>
      <c r="O56" s="55">
        <v>43569</v>
      </c>
      <c r="P56" s="58"/>
      <c r="Q56" s="47"/>
      <c r="R56" s="57" t="s">
        <v>516</v>
      </c>
      <c r="S56" s="47"/>
    </row>
    <row r="57" spans="2:19" s="67" customFormat="1" ht="33" customHeight="1">
      <c r="B57" s="46" t="s">
        <v>517</v>
      </c>
      <c r="C57" s="35" t="s">
        <v>2333</v>
      </c>
      <c r="D57" s="36" t="s">
        <v>2334</v>
      </c>
      <c r="E57" s="37">
        <v>43602</v>
      </c>
      <c r="F57" s="38" t="s">
        <v>314</v>
      </c>
      <c r="G57" s="39">
        <v>460</v>
      </c>
      <c r="H57" s="38">
        <f t="shared" si="3"/>
        <v>2</v>
      </c>
      <c r="I57" s="38">
        <f t="shared" si="2"/>
        <v>0.5</v>
      </c>
      <c r="J57" s="38"/>
      <c r="K57" s="40">
        <v>43702</v>
      </c>
      <c r="L57" s="41" t="s">
        <v>2509</v>
      </c>
      <c r="M57" s="42">
        <v>43697</v>
      </c>
      <c r="N57" s="43" t="s">
        <v>2499</v>
      </c>
      <c r="O57" s="42">
        <v>43702</v>
      </c>
      <c r="P57" s="45"/>
      <c r="Q57" s="46"/>
      <c r="R57" s="44" t="s">
        <v>2335</v>
      </c>
      <c r="S57" s="46"/>
    </row>
    <row r="58" spans="2:19" s="33" customFormat="1" ht="33" customHeight="1">
      <c r="B58" s="47" t="s">
        <v>222</v>
      </c>
      <c r="C58" s="48" t="s">
        <v>324</v>
      </c>
      <c r="D58" s="49" t="s">
        <v>325</v>
      </c>
      <c r="E58" s="50">
        <v>43420</v>
      </c>
      <c r="F58" s="52" t="s">
        <v>314</v>
      </c>
      <c r="G58" s="51">
        <v>1920</v>
      </c>
      <c r="H58" s="52">
        <f t="shared" ref="H58:H69" si="4">SUM(G58/20)</f>
        <v>96</v>
      </c>
      <c r="I58" s="52">
        <f t="shared" ref="I58:I69" si="5">SUM(H58/32)</f>
        <v>3</v>
      </c>
      <c r="J58" s="59"/>
      <c r="K58" s="53">
        <v>43541</v>
      </c>
      <c r="L58" s="54" t="s">
        <v>2509</v>
      </c>
      <c r="M58" s="55">
        <v>43531</v>
      </c>
      <c r="N58" s="56" t="s">
        <v>569</v>
      </c>
      <c r="O58" s="55">
        <v>43535</v>
      </c>
      <c r="P58" s="58"/>
      <c r="Q58" s="60" t="s">
        <v>89</v>
      </c>
      <c r="R58" s="57" t="s">
        <v>326</v>
      </c>
      <c r="S58" s="47" t="s">
        <v>645</v>
      </c>
    </row>
    <row r="59" spans="2:19" s="33" customFormat="1" ht="33" customHeight="1">
      <c r="B59" s="47" t="s">
        <v>222</v>
      </c>
      <c r="C59" s="48" t="s">
        <v>500</v>
      </c>
      <c r="D59" s="49" t="s">
        <v>325</v>
      </c>
      <c r="E59" s="50">
        <v>43420</v>
      </c>
      <c r="F59" s="52" t="s">
        <v>314</v>
      </c>
      <c r="G59" s="51">
        <v>1280</v>
      </c>
      <c r="H59" s="52">
        <f t="shared" si="4"/>
        <v>64</v>
      </c>
      <c r="I59" s="52">
        <f t="shared" si="5"/>
        <v>2</v>
      </c>
      <c r="J59" s="59"/>
      <c r="K59" s="53">
        <v>43541</v>
      </c>
      <c r="L59" s="54" t="s">
        <v>2509</v>
      </c>
      <c r="M59" s="55">
        <v>43536</v>
      </c>
      <c r="N59" s="56" t="s">
        <v>346</v>
      </c>
      <c r="O59" s="55">
        <v>43541</v>
      </c>
      <c r="P59" s="58"/>
      <c r="Q59" s="60" t="s">
        <v>89</v>
      </c>
      <c r="R59" s="57" t="s">
        <v>326</v>
      </c>
      <c r="S59" s="47" t="s">
        <v>395</v>
      </c>
    </row>
    <row r="60" spans="2:19" s="33" customFormat="1" ht="33" customHeight="1">
      <c r="B60" s="47" t="s">
        <v>222</v>
      </c>
      <c r="C60" s="48" t="s">
        <v>430</v>
      </c>
      <c r="D60" s="49" t="s">
        <v>470</v>
      </c>
      <c r="E60" s="50">
        <v>43473</v>
      </c>
      <c r="F60" s="52" t="s">
        <v>314</v>
      </c>
      <c r="G60" s="51">
        <v>1920</v>
      </c>
      <c r="H60" s="52">
        <f t="shared" si="4"/>
        <v>96</v>
      </c>
      <c r="I60" s="52">
        <f t="shared" si="5"/>
        <v>3</v>
      </c>
      <c r="J60" s="59"/>
      <c r="K60" s="53">
        <v>43555</v>
      </c>
      <c r="L60" s="54" t="s">
        <v>2509</v>
      </c>
      <c r="M60" s="55">
        <v>43550</v>
      </c>
      <c r="N60" s="56" t="s">
        <v>344</v>
      </c>
      <c r="O60" s="55">
        <v>43555</v>
      </c>
      <c r="P60" s="58"/>
      <c r="Q60" s="60" t="s">
        <v>89</v>
      </c>
      <c r="R60" s="57" t="s">
        <v>518</v>
      </c>
      <c r="S60" s="47"/>
    </row>
    <row r="61" spans="2:19" s="33" customFormat="1" ht="33" customHeight="1">
      <c r="B61" s="47" t="s">
        <v>222</v>
      </c>
      <c r="C61" s="48" t="s">
        <v>430</v>
      </c>
      <c r="D61" s="49" t="s">
        <v>470</v>
      </c>
      <c r="E61" s="50">
        <v>43473</v>
      </c>
      <c r="F61" s="52" t="s">
        <v>314</v>
      </c>
      <c r="G61" s="51">
        <v>1920</v>
      </c>
      <c r="H61" s="52">
        <f t="shared" si="4"/>
        <v>96</v>
      </c>
      <c r="I61" s="52">
        <f t="shared" si="5"/>
        <v>3</v>
      </c>
      <c r="J61" s="59"/>
      <c r="K61" s="53">
        <v>43555</v>
      </c>
      <c r="L61" s="54" t="s">
        <v>2509</v>
      </c>
      <c r="M61" s="55">
        <v>43564</v>
      </c>
      <c r="N61" s="56" t="s">
        <v>405</v>
      </c>
      <c r="O61" s="55">
        <v>43569</v>
      </c>
      <c r="P61" s="58"/>
      <c r="Q61" s="60" t="s">
        <v>89</v>
      </c>
      <c r="R61" s="57" t="s">
        <v>518</v>
      </c>
      <c r="S61" s="47"/>
    </row>
    <row r="62" spans="2:19" s="33" customFormat="1" ht="33" customHeight="1">
      <c r="B62" s="47" t="s">
        <v>222</v>
      </c>
      <c r="C62" s="48" t="s">
        <v>519</v>
      </c>
      <c r="D62" s="49" t="s">
        <v>710</v>
      </c>
      <c r="E62" s="50">
        <v>43511</v>
      </c>
      <c r="F62" s="52" t="s">
        <v>314</v>
      </c>
      <c r="G62" s="51">
        <v>640</v>
      </c>
      <c r="H62" s="52">
        <f t="shared" si="4"/>
        <v>32</v>
      </c>
      <c r="I62" s="52">
        <f t="shared" si="5"/>
        <v>1</v>
      </c>
      <c r="J62" s="59"/>
      <c r="K62" s="53">
        <v>43555</v>
      </c>
      <c r="L62" s="54" t="s">
        <v>2509</v>
      </c>
      <c r="M62" s="55">
        <v>43557</v>
      </c>
      <c r="N62" s="56" t="s">
        <v>403</v>
      </c>
      <c r="O62" s="55">
        <v>43562</v>
      </c>
      <c r="P62" s="58"/>
      <c r="Q62" s="60" t="s">
        <v>89</v>
      </c>
      <c r="R62" s="57" t="s">
        <v>518</v>
      </c>
      <c r="S62" s="47"/>
    </row>
    <row r="63" spans="2:19" s="33" customFormat="1" ht="33" customHeight="1">
      <c r="B63" s="47" t="s">
        <v>222</v>
      </c>
      <c r="C63" s="48" t="s">
        <v>520</v>
      </c>
      <c r="D63" s="49" t="s">
        <v>584</v>
      </c>
      <c r="E63" s="50">
        <v>43511</v>
      </c>
      <c r="F63" s="52" t="s">
        <v>314</v>
      </c>
      <c r="G63" s="51">
        <v>1920</v>
      </c>
      <c r="H63" s="52">
        <f t="shared" si="4"/>
        <v>96</v>
      </c>
      <c r="I63" s="52">
        <f t="shared" si="5"/>
        <v>3</v>
      </c>
      <c r="J63" s="59"/>
      <c r="K63" s="53">
        <v>43576</v>
      </c>
      <c r="L63" s="54" t="s">
        <v>2509</v>
      </c>
      <c r="M63" s="55">
        <v>43571</v>
      </c>
      <c r="N63" s="56" t="s">
        <v>445</v>
      </c>
      <c r="O63" s="55">
        <v>43576</v>
      </c>
      <c r="P63" s="58"/>
      <c r="Q63" s="60" t="s">
        <v>89</v>
      </c>
      <c r="R63" s="57" t="s">
        <v>585</v>
      </c>
      <c r="S63" s="47"/>
    </row>
    <row r="64" spans="2:19" s="30" customFormat="1" ht="33" customHeight="1">
      <c r="B64" s="46" t="s">
        <v>222</v>
      </c>
      <c r="C64" s="35" t="s">
        <v>586</v>
      </c>
      <c r="D64" s="36" t="s">
        <v>640</v>
      </c>
      <c r="E64" s="37">
        <v>43519</v>
      </c>
      <c r="F64" s="38" t="s">
        <v>314</v>
      </c>
      <c r="G64" s="39">
        <v>2560</v>
      </c>
      <c r="H64" s="38">
        <f t="shared" si="4"/>
        <v>128</v>
      </c>
      <c r="I64" s="38">
        <f t="shared" si="5"/>
        <v>4</v>
      </c>
      <c r="J64" s="61"/>
      <c r="K64" s="40">
        <v>43611</v>
      </c>
      <c r="L64" s="41" t="s">
        <v>2509</v>
      </c>
      <c r="M64" s="42">
        <v>43601</v>
      </c>
      <c r="N64" s="43" t="s">
        <v>601</v>
      </c>
      <c r="O64" s="42">
        <v>43605</v>
      </c>
      <c r="P64" s="45"/>
      <c r="Q64" s="62" t="s">
        <v>89</v>
      </c>
      <c r="R64" s="44" t="s">
        <v>790</v>
      </c>
      <c r="S64" s="46" t="s">
        <v>980</v>
      </c>
    </row>
    <row r="65" spans="2:19" s="30" customFormat="1" ht="33" hidden="1" customHeight="1">
      <c r="B65" s="46" t="s">
        <v>222</v>
      </c>
      <c r="C65" s="35" t="s">
        <v>713</v>
      </c>
      <c r="D65" s="36" t="s">
        <v>714</v>
      </c>
      <c r="E65" s="37">
        <v>43532</v>
      </c>
      <c r="F65" s="38" t="s">
        <v>314</v>
      </c>
      <c r="G65" s="39">
        <v>1920</v>
      </c>
      <c r="H65" s="38">
        <f t="shared" si="4"/>
        <v>96</v>
      </c>
      <c r="I65" s="38">
        <f t="shared" si="5"/>
        <v>3</v>
      </c>
      <c r="J65" s="61"/>
      <c r="K65" s="40">
        <v>43639</v>
      </c>
      <c r="L65" s="41" t="s">
        <v>1083</v>
      </c>
      <c r="M65" s="42">
        <v>43634</v>
      </c>
      <c r="N65" s="43" t="s">
        <v>1084</v>
      </c>
      <c r="O65" s="42">
        <v>43639</v>
      </c>
      <c r="P65" s="45"/>
      <c r="Q65" s="62" t="s">
        <v>89</v>
      </c>
      <c r="R65" s="44" t="s">
        <v>1026</v>
      </c>
      <c r="S65" s="46"/>
    </row>
    <row r="66" spans="2:19" s="30" customFormat="1" ht="33" hidden="1" customHeight="1">
      <c r="B66" s="46" t="s">
        <v>222</v>
      </c>
      <c r="C66" s="35" t="s">
        <v>1184</v>
      </c>
      <c r="D66" s="36" t="s">
        <v>1185</v>
      </c>
      <c r="E66" s="37">
        <v>43567</v>
      </c>
      <c r="F66" s="38" t="s">
        <v>314</v>
      </c>
      <c r="G66" s="39">
        <v>2560</v>
      </c>
      <c r="H66" s="38">
        <f t="shared" si="4"/>
        <v>128</v>
      </c>
      <c r="I66" s="38">
        <f t="shared" si="5"/>
        <v>4</v>
      </c>
      <c r="J66" s="61"/>
      <c r="K66" s="130">
        <v>43653</v>
      </c>
      <c r="L66" s="119" t="s">
        <v>1326</v>
      </c>
      <c r="M66" s="120">
        <v>43648</v>
      </c>
      <c r="N66" s="121" t="s">
        <v>2540</v>
      </c>
      <c r="O66" s="120">
        <v>43653</v>
      </c>
      <c r="P66" s="45"/>
      <c r="Q66" s="62" t="s">
        <v>89</v>
      </c>
      <c r="R66" s="125" t="s">
        <v>2523</v>
      </c>
      <c r="S66" s="46"/>
    </row>
    <row r="67" spans="2:19" s="30" customFormat="1" ht="33" hidden="1" customHeight="1">
      <c r="B67" s="122" t="s">
        <v>222</v>
      </c>
      <c r="C67" s="126" t="s">
        <v>2524</v>
      </c>
      <c r="D67" s="127"/>
      <c r="E67" s="128">
        <v>43609</v>
      </c>
      <c r="F67" s="124" t="s">
        <v>13</v>
      </c>
      <c r="G67" s="129">
        <v>1280</v>
      </c>
      <c r="H67" s="124">
        <f t="shared" si="4"/>
        <v>64</v>
      </c>
      <c r="I67" s="124">
        <f t="shared" si="5"/>
        <v>2</v>
      </c>
      <c r="J67" s="131"/>
      <c r="K67" s="130">
        <v>43653</v>
      </c>
      <c r="L67" s="119" t="s">
        <v>1326</v>
      </c>
      <c r="M67" s="120">
        <v>43648</v>
      </c>
      <c r="N67" s="121" t="s">
        <v>2540</v>
      </c>
      <c r="O67" s="120">
        <v>43653</v>
      </c>
      <c r="P67" s="123"/>
      <c r="Q67" s="132" t="s">
        <v>89</v>
      </c>
      <c r="R67" s="125" t="s">
        <v>2523</v>
      </c>
      <c r="S67" s="122"/>
    </row>
    <row r="68" spans="2:19" s="30" customFormat="1" ht="33" hidden="1" customHeight="1">
      <c r="B68" s="46" t="s">
        <v>222</v>
      </c>
      <c r="C68" s="35" t="s">
        <v>2357</v>
      </c>
      <c r="D68" s="36" t="s">
        <v>2358</v>
      </c>
      <c r="E68" s="37">
        <v>43602</v>
      </c>
      <c r="F68" s="38" t="s">
        <v>314</v>
      </c>
      <c r="G68" s="39">
        <v>2560</v>
      </c>
      <c r="H68" s="38">
        <f t="shared" si="4"/>
        <v>128</v>
      </c>
      <c r="I68" s="38">
        <f t="shared" si="5"/>
        <v>4</v>
      </c>
      <c r="J68" s="61"/>
      <c r="K68" s="40">
        <v>43681</v>
      </c>
      <c r="L68" s="41" t="s">
        <v>2521</v>
      </c>
      <c r="M68" s="42">
        <v>43676</v>
      </c>
      <c r="N68" s="43" t="s">
        <v>2497</v>
      </c>
      <c r="O68" s="42">
        <v>43681</v>
      </c>
      <c r="P68" s="45"/>
      <c r="Q68" s="62" t="s">
        <v>89</v>
      </c>
      <c r="R68" s="44" t="s">
        <v>2359</v>
      </c>
      <c r="S68" s="46"/>
    </row>
    <row r="69" spans="2:19" s="30" customFormat="1" ht="33" customHeight="1">
      <c r="B69" s="46" t="s">
        <v>222</v>
      </c>
      <c r="C69" s="35" t="s">
        <v>2360</v>
      </c>
      <c r="D69" s="36" t="s">
        <v>2534</v>
      </c>
      <c r="E69" s="37">
        <v>43602</v>
      </c>
      <c r="F69" s="38" t="s">
        <v>314</v>
      </c>
      <c r="G69" s="39">
        <v>2560</v>
      </c>
      <c r="H69" s="38">
        <f t="shared" si="4"/>
        <v>128</v>
      </c>
      <c r="I69" s="38">
        <f t="shared" si="5"/>
        <v>4</v>
      </c>
      <c r="J69" s="61"/>
      <c r="K69" s="40">
        <v>43702</v>
      </c>
      <c r="L69" s="41" t="s">
        <v>2509</v>
      </c>
      <c r="M69" s="42">
        <v>43697</v>
      </c>
      <c r="N69" s="43" t="s">
        <v>2499</v>
      </c>
      <c r="O69" s="42">
        <v>43702</v>
      </c>
      <c r="P69" s="45"/>
      <c r="Q69" s="62" t="s">
        <v>89</v>
      </c>
      <c r="R69" s="44" t="s">
        <v>2361</v>
      </c>
      <c r="S69" s="46"/>
    </row>
    <row r="70" spans="2:19" s="33" customFormat="1" ht="33" hidden="1" customHeight="1">
      <c r="B70" s="47" t="s">
        <v>38</v>
      </c>
      <c r="C70" s="48" t="s">
        <v>225</v>
      </c>
      <c r="D70" s="49" t="s">
        <v>587</v>
      </c>
      <c r="E70" s="50">
        <v>43519</v>
      </c>
      <c r="F70" s="52" t="s">
        <v>14</v>
      </c>
      <c r="G70" s="64">
        <v>640</v>
      </c>
      <c r="H70" s="52">
        <f>SUBTOTAL(9,G70)/20</f>
        <v>0</v>
      </c>
      <c r="I70" s="52">
        <f>H70/32</f>
        <v>0</v>
      </c>
      <c r="J70" s="52"/>
      <c r="K70" s="53">
        <v>43583</v>
      </c>
      <c r="L70" s="54" t="s">
        <v>565</v>
      </c>
      <c r="M70" s="55">
        <v>43578</v>
      </c>
      <c r="N70" s="56" t="s">
        <v>447</v>
      </c>
      <c r="O70" s="55">
        <v>43583</v>
      </c>
      <c r="P70" s="58"/>
      <c r="Q70" s="52"/>
      <c r="R70" s="63" t="s">
        <v>515</v>
      </c>
      <c r="S70" s="47"/>
    </row>
    <row r="71" spans="2:19" s="30" customFormat="1" ht="33" hidden="1" customHeight="1">
      <c r="B71" s="46" t="s">
        <v>38</v>
      </c>
      <c r="C71" s="35" t="s">
        <v>226</v>
      </c>
      <c r="D71" s="36" t="s">
        <v>1194</v>
      </c>
      <c r="E71" s="37">
        <v>43567</v>
      </c>
      <c r="F71" s="38" t="s">
        <v>14</v>
      </c>
      <c r="G71" s="65">
        <v>640</v>
      </c>
      <c r="H71" s="38">
        <f>SUBTOTAL(9,G71)/20</f>
        <v>0</v>
      </c>
      <c r="I71" s="38">
        <f>H71/32</f>
        <v>0</v>
      </c>
      <c r="J71" s="38"/>
      <c r="K71" s="40">
        <v>43667</v>
      </c>
      <c r="L71" s="41" t="s">
        <v>1325</v>
      </c>
      <c r="M71" s="42">
        <v>43662</v>
      </c>
      <c r="N71" s="43" t="s">
        <v>836</v>
      </c>
      <c r="O71" s="42">
        <v>43667</v>
      </c>
      <c r="P71" s="45"/>
      <c r="Q71" s="38"/>
      <c r="R71" s="66" t="s">
        <v>1196</v>
      </c>
      <c r="S71" s="46"/>
    </row>
    <row r="72" spans="2:19" s="33" customFormat="1" ht="33" hidden="1" customHeight="1">
      <c r="B72" s="47" t="s">
        <v>88</v>
      </c>
      <c r="C72" s="48" t="s">
        <v>431</v>
      </c>
      <c r="D72" s="49" t="s">
        <v>471</v>
      </c>
      <c r="E72" s="50">
        <v>43483</v>
      </c>
      <c r="F72" s="52" t="s">
        <v>14</v>
      </c>
      <c r="G72" s="64">
        <v>760</v>
      </c>
      <c r="H72" s="52">
        <f t="shared" ref="H72:H77" si="6">SUBTOTAL(9,G72)/190</f>
        <v>0</v>
      </c>
      <c r="I72" s="52">
        <f t="shared" ref="I72:I77" si="7">H72/4</f>
        <v>0</v>
      </c>
      <c r="J72" s="52"/>
      <c r="K72" s="53">
        <v>43569</v>
      </c>
      <c r="L72" s="54" t="s">
        <v>417</v>
      </c>
      <c r="M72" s="55">
        <v>43564</v>
      </c>
      <c r="N72" s="56" t="s">
        <v>405</v>
      </c>
      <c r="O72" s="55">
        <v>43569</v>
      </c>
      <c r="P72" s="58"/>
      <c r="Q72" s="52"/>
      <c r="R72" s="63" t="s">
        <v>493</v>
      </c>
      <c r="S72" s="47"/>
    </row>
    <row r="73" spans="2:19" s="33" customFormat="1" ht="33" hidden="1" customHeight="1">
      <c r="B73" s="47" t="s">
        <v>88</v>
      </c>
      <c r="C73" s="48" t="s">
        <v>523</v>
      </c>
      <c r="D73" s="49" t="s">
        <v>588</v>
      </c>
      <c r="E73" s="50">
        <v>43511</v>
      </c>
      <c r="F73" s="52" t="s">
        <v>14</v>
      </c>
      <c r="G73" s="64">
        <v>760</v>
      </c>
      <c r="H73" s="52">
        <f t="shared" si="6"/>
        <v>0</v>
      </c>
      <c r="I73" s="52">
        <f t="shared" si="7"/>
        <v>0</v>
      </c>
      <c r="J73" s="52"/>
      <c r="K73" s="53">
        <v>43583</v>
      </c>
      <c r="L73" s="54" t="s">
        <v>565</v>
      </c>
      <c r="M73" s="55">
        <v>43578</v>
      </c>
      <c r="N73" s="56" t="s">
        <v>447</v>
      </c>
      <c r="O73" s="55">
        <v>43583</v>
      </c>
      <c r="P73" s="58"/>
      <c r="Q73" s="52"/>
      <c r="R73" s="63" t="s">
        <v>320</v>
      </c>
      <c r="S73" s="47"/>
    </row>
    <row r="74" spans="2:19" s="30" customFormat="1" ht="33" hidden="1" customHeight="1">
      <c r="B74" s="46" t="s">
        <v>88</v>
      </c>
      <c r="C74" s="35" t="s">
        <v>589</v>
      </c>
      <c r="D74" s="36" t="s">
        <v>590</v>
      </c>
      <c r="E74" s="37">
        <v>43519</v>
      </c>
      <c r="F74" s="38" t="s">
        <v>14</v>
      </c>
      <c r="G74" s="65">
        <v>760</v>
      </c>
      <c r="H74" s="38">
        <f t="shared" si="6"/>
        <v>0</v>
      </c>
      <c r="I74" s="38">
        <f t="shared" si="7"/>
        <v>0</v>
      </c>
      <c r="J74" s="38"/>
      <c r="K74" s="40">
        <v>43597</v>
      </c>
      <c r="L74" s="41" t="s">
        <v>606</v>
      </c>
      <c r="M74" s="42">
        <v>43592</v>
      </c>
      <c r="N74" s="43" t="s">
        <v>600</v>
      </c>
      <c r="O74" s="42">
        <v>43597</v>
      </c>
      <c r="P74" s="45"/>
      <c r="Q74" s="38"/>
      <c r="R74" s="66" t="s">
        <v>469</v>
      </c>
      <c r="S74" s="46"/>
    </row>
    <row r="75" spans="2:19" s="30" customFormat="1" ht="33" hidden="1" customHeight="1">
      <c r="B75" s="46" t="s">
        <v>88</v>
      </c>
      <c r="C75" s="35" t="s">
        <v>1333</v>
      </c>
      <c r="D75" s="36" t="s">
        <v>1207</v>
      </c>
      <c r="E75" s="37">
        <v>43567</v>
      </c>
      <c r="F75" s="38" t="s">
        <v>14</v>
      </c>
      <c r="G75" s="65">
        <v>760</v>
      </c>
      <c r="H75" s="38">
        <f t="shared" si="6"/>
        <v>0</v>
      </c>
      <c r="I75" s="38">
        <f t="shared" si="7"/>
        <v>0</v>
      </c>
      <c r="J75" s="38"/>
      <c r="K75" s="40">
        <v>43667</v>
      </c>
      <c r="L75" s="41" t="s">
        <v>1325</v>
      </c>
      <c r="M75" s="42">
        <v>43662</v>
      </c>
      <c r="N75" s="43" t="s">
        <v>836</v>
      </c>
      <c r="O75" s="42">
        <v>43667</v>
      </c>
      <c r="P75" s="45"/>
      <c r="Q75" s="38"/>
      <c r="R75" s="66" t="s">
        <v>1208</v>
      </c>
      <c r="S75" s="46"/>
    </row>
    <row r="76" spans="2:19" s="30" customFormat="1" ht="33" hidden="1" customHeight="1">
      <c r="B76" s="46" t="s">
        <v>88</v>
      </c>
      <c r="C76" s="35" t="s">
        <v>2079</v>
      </c>
      <c r="D76" s="36" t="s">
        <v>2536</v>
      </c>
      <c r="E76" s="37">
        <v>43602</v>
      </c>
      <c r="F76" s="38" t="s">
        <v>14</v>
      </c>
      <c r="G76" s="65">
        <v>760</v>
      </c>
      <c r="H76" s="38">
        <f t="shared" si="6"/>
        <v>0</v>
      </c>
      <c r="I76" s="38">
        <f t="shared" si="7"/>
        <v>0</v>
      </c>
      <c r="J76" s="38"/>
      <c r="K76" s="40">
        <v>43667</v>
      </c>
      <c r="L76" s="41" t="s">
        <v>2511</v>
      </c>
      <c r="M76" s="42">
        <v>43662</v>
      </c>
      <c r="N76" s="43" t="s">
        <v>2500</v>
      </c>
      <c r="O76" s="42">
        <v>43667</v>
      </c>
      <c r="P76" s="45"/>
      <c r="Q76" s="38"/>
      <c r="R76" s="66" t="s">
        <v>1208</v>
      </c>
      <c r="S76" s="46"/>
    </row>
    <row r="77" spans="2:19" s="30" customFormat="1" ht="33" hidden="1" customHeight="1">
      <c r="B77" s="46" t="s">
        <v>88</v>
      </c>
      <c r="C77" s="35" t="s">
        <v>2378</v>
      </c>
      <c r="D77" s="36" t="s">
        <v>2379</v>
      </c>
      <c r="E77" s="37">
        <v>43602</v>
      </c>
      <c r="F77" s="38" t="s">
        <v>14</v>
      </c>
      <c r="G77" s="65">
        <v>760</v>
      </c>
      <c r="H77" s="38">
        <f t="shared" si="6"/>
        <v>0</v>
      </c>
      <c r="I77" s="38">
        <f t="shared" si="7"/>
        <v>0</v>
      </c>
      <c r="J77" s="38"/>
      <c r="K77" s="40">
        <v>43702</v>
      </c>
      <c r="L77" s="41" t="s">
        <v>2512</v>
      </c>
      <c r="M77" s="42">
        <v>43697</v>
      </c>
      <c r="N77" s="43" t="s">
        <v>2499</v>
      </c>
      <c r="O77" s="42">
        <v>43702</v>
      </c>
      <c r="P77" s="45"/>
      <c r="Q77" s="38"/>
      <c r="R77" s="66" t="s">
        <v>2380</v>
      </c>
      <c r="S77" s="46"/>
    </row>
    <row r="78" spans="2:19" s="33" customFormat="1" ht="33" hidden="1" customHeight="1">
      <c r="B78" s="47" t="s">
        <v>83</v>
      </c>
      <c r="C78" s="48" t="s">
        <v>408</v>
      </c>
      <c r="D78" s="49" t="s">
        <v>415</v>
      </c>
      <c r="E78" s="50">
        <v>43462</v>
      </c>
      <c r="F78" s="52" t="s">
        <v>77</v>
      </c>
      <c r="G78" s="51">
        <v>960</v>
      </c>
      <c r="H78" s="52">
        <f t="shared" ref="H78:H86" si="8">SUM(G78/240)</f>
        <v>4</v>
      </c>
      <c r="I78" s="52">
        <f t="shared" ref="I78:I86" si="9">SUM(H78/4)</f>
        <v>1</v>
      </c>
      <c r="J78" s="52"/>
      <c r="K78" s="53">
        <v>43148</v>
      </c>
      <c r="L78" s="54" t="s">
        <v>501</v>
      </c>
      <c r="M78" s="55">
        <v>43531</v>
      </c>
      <c r="N78" s="56" t="s">
        <v>568</v>
      </c>
      <c r="O78" s="55">
        <v>43535</v>
      </c>
      <c r="P78" s="58" t="s">
        <v>656</v>
      </c>
      <c r="Q78" s="52"/>
      <c r="R78" s="118" t="s">
        <v>392</v>
      </c>
      <c r="S78" s="47" t="s">
        <v>609</v>
      </c>
    </row>
    <row r="79" spans="2:19" s="33" customFormat="1" ht="33" hidden="1" customHeight="1">
      <c r="B79" s="47" t="s">
        <v>83</v>
      </c>
      <c r="C79" s="48" t="s">
        <v>478</v>
      </c>
      <c r="D79" s="49" t="s">
        <v>485</v>
      </c>
      <c r="E79" s="50">
        <v>43462</v>
      </c>
      <c r="F79" s="52" t="s">
        <v>77</v>
      </c>
      <c r="G79" s="51">
        <v>2880</v>
      </c>
      <c r="H79" s="52">
        <f t="shared" si="8"/>
        <v>12</v>
      </c>
      <c r="I79" s="52">
        <f t="shared" si="9"/>
        <v>3</v>
      </c>
      <c r="J79" s="52"/>
      <c r="K79" s="53">
        <v>43541</v>
      </c>
      <c r="L79" s="54" t="s">
        <v>501</v>
      </c>
      <c r="M79" s="55">
        <v>43531</v>
      </c>
      <c r="N79" s="56" t="s">
        <v>568</v>
      </c>
      <c r="O79" s="55">
        <v>43535</v>
      </c>
      <c r="P79" s="58" t="s">
        <v>657</v>
      </c>
      <c r="Q79" s="52"/>
      <c r="R79" s="118" t="s">
        <v>486</v>
      </c>
      <c r="S79" s="47" t="s">
        <v>610</v>
      </c>
    </row>
    <row r="80" spans="2:19" s="33" customFormat="1" ht="33" hidden="1" customHeight="1">
      <c r="B80" s="47" t="s">
        <v>83</v>
      </c>
      <c r="C80" s="48" t="s">
        <v>232</v>
      </c>
      <c r="D80" s="49" t="s">
        <v>386</v>
      </c>
      <c r="E80" s="50">
        <v>43455</v>
      </c>
      <c r="F80" s="52" t="s">
        <v>77</v>
      </c>
      <c r="G80" s="51">
        <v>5760</v>
      </c>
      <c r="H80" s="52">
        <f t="shared" si="8"/>
        <v>24</v>
      </c>
      <c r="I80" s="52">
        <f t="shared" si="9"/>
        <v>6</v>
      </c>
      <c r="J80" s="52"/>
      <c r="K80" s="53">
        <v>43541</v>
      </c>
      <c r="L80" s="54" t="s">
        <v>476</v>
      </c>
      <c r="M80" s="55">
        <v>43543</v>
      </c>
      <c r="N80" s="56" t="s">
        <v>400</v>
      </c>
      <c r="O80" s="55">
        <v>43548</v>
      </c>
      <c r="P80" s="58" t="s">
        <v>658</v>
      </c>
      <c r="Q80" s="52"/>
      <c r="R80" s="118" t="s">
        <v>387</v>
      </c>
      <c r="S80" s="47"/>
    </row>
    <row r="81" spans="2:19" s="33" customFormat="1" ht="33" hidden="1" customHeight="1">
      <c r="B81" s="47" t="s">
        <v>83</v>
      </c>
      <c r="C81" s="48" t="s">
        <v>244</v>
      </c>
      <c r="D81" s="49" t="s">
        <v>722</v>
      </c>
      <c r="E81" s="50">
        <v>43483</v>
      </c>
      <c r="F81" s="52" t="s">
        <v>77</v>
      </c>
      <c r="G81" s="51">
        <v>6720</v>
      </c>
      <c r="H81" s="52">
        <f t="shared" si="8"/>
        <v>28</v>
      </c>
      <c r="I81" s="52">
        <f t="shared" si="9"/>
        <v>7</v>
      </c>
      <c r="J81" s="52"/>
      <c r="K81" s="53">
        <v>43569</v>
      </c>
      <c r="L81" s="54" t="s">
        <v>480</v>
      </c>
      <c r="M81" s="55">
        <v>43564</v>
      </c>
      <c r="N81" s="56" t="s">
        <v>646</v>
      </c>
      <c r="O81" s="55">
        <v>43569</v>
      </c>
      <c r="P81" s="58" t="s">
        <v>659</v>
      </c>
      <c r="Q81" s="52"/>
      <c r="R81" s="118" t="s">
        <v>432</v>
      </c>
      <c r="S81" s="47"/>
    </row>
    <row r="82" spans="2:19" s="33" customFormat="1" ht="33" hidden="1" customHeight="1">
      <c r="B82" s="47" t="s">
        <v>83</v>
      </c>
      <c r="C82" s="48" t="s">
        <v>660</v>
      </c>
      <c r="D82" s="49" t="s">
        <v>472</v>
      </c>
      <c r="E82" s="50">
        <v>43483</v>
      </c>
      <c r="F82" s="52" t="s">
        <v>77</v>
      </c>
      <c r="G82" s="51">
        <v>5760</v>
      </c>
      <c r="H82" s="52">
        <f t="shared" si="8"/>
        <v>24</v>
      </c>
      <c r="I82" s="52">
        <f t="shared" si="9"/>
        <v>6</v>
      </c>
      <c r="J82" s="52"/>
      <c r="K82" s="53">
        <v>43583</v>
      </c>
      <c r="L82" s="54" t="s">
        <v>448</v>
      </c>
      <c r="M82" s="55">
        <v>43578</v>
      </c>
      <c r="N82" s="56" t="s">
        <v>447</v>
      </c>
      <c r="O82" s="55">
        <v>43583</v>
      </c>
      <c r="P82" s="58" t="s">
        <v>662</v>
      </c>
      <c r="Q82" s="52"/>
      <c r="R82" s="118" t="s">
        <v>432</v>
      </c>
      <c r="S82" s="47"/>
    </row>
    <row r="83" spans="2:19" s="30" customFormat="1" ht="33" hidden="1" customHeight="1">
      <c r="B83" s="46" t="s">
        <v>83</v>
      </c>
      <c r="C83" s="35" t="s">
        <v>258</v>
      </c>
      <c r="D83" s="36" t="s">
        <v>591</v>
      </c>
      <c r="E83" s="37">
        <v>43519</v>
      </c>
      <c r="F83" s="38" t="s">
        <v>77</v>
      </c>
      <c r="G83" s="39">
        <v>5760</v>
      </c>
      <c r="H83" s="38">
        <f t="shared" si="8"/>
        <v>24</v>
      </c>
      <c r="I83" s="38">
        <f t="shared" si="9"/>
        <v>6</v>
      </c>
      <c r="J83" s="38"/>
      <c r="K83" s="40">
        <v>43605</v>
      </c>
      <c r="L83" s="41" t="s">
        <v>607</v>
      </c>
      <c r="M83" s="42">
        <v>43601</v>
      </c>
      <c r="N83" s="43" t="s">
        <v>601</v>
      </c>
      <c r="O83" s="42">
        <v>43605</v>
      </c>
      <c r="P83" s="45" t="s">
        <v>663</v>
      </c>
      <c r="Q83" s="38"/>
      <c r="R83" s="115" t="s">
        <v>592</v>
      </c>
      <c r="S83" s="46"/>
    </row>
    <row r="84" spans="2:19" s="30" customFormat="1" ht="33" hidden="1" customHeight="1">
      <c r="B84" s="46" t="s">
        <v>83</v>
      </c>
      <c r="C84" s="35" t="s">
        <v>321</v>
      </c>
      <c r="D84" s="36" t="s">
        <v>727</v>
      </c>
      <c r="E84" s="37">
        <v>43532</v>
      </c>
      <c r="F84" s="38" t="s">
        <v>77</v>
      </c>
      <c r="G84" s="39">
        <v>6720</v>
      </c>
      <c r="H84" s="38">
        <f t="shared" si="8"/>
        <v>28</v>
      </c>
      <c r="I84" s="38">
        <f t="shared" si="9"/>
        <v>7</v>
      </c>
      <c r="J84" s="38"/>
      <c r="K84" s="40">
        <v>43633</v>
      </c>
      <c r="L84" s="41" t="s">
        <v>807</v>
      </c>
      <c r="M84" s="42">
        <v>43627</v>
      </c>
      <c r="N84" s="43" t="s">
        <v>808</v>
      </c>
      <c r="O84" s="42">
        <v>43632</v>
      </c>
      <c r="P84" s="45"/>
      <c r="Q84" s="38"/>
      <c r="R84" s="115" t="s">
        <v>728</v>
      </c>
      <c r="S84" s="46"/>
    </row>
    <row r="85" spans="2:19" s="30" customFormat="1" ht="33" hidden="1" customHeight="1">
      <c r="B85" s="46" t="s">
        <v>83</v>
      </c>
      <c r="C85" s="35" t="s">
        <v>324</v>
      </c>
      <c r="D85" s="36" t="s">
        <v>1234</v>
      </c>
      <c r="E85" s="37">
        <v>43567</v>
      </c>
      <c r="F85" s="38" t="s">
        <v>77</v>
      </c>
      <c r="G85" s="39">
        <v>5760</v>
      </c>
      <c r="H85" s="38">
        <f t="shared" si="8"/>
        <v>24</v>
      </c>
      <c r="I85" s="38">
        <f t="shared" si="9"/>
        <v>6</v>
      </c>
      <c r="J85" s="38"/>
      <c r="K85" s="40">
        <v>43674</v>
      </c>
      <c r="L85" s="41" t="s">
        <v>2147</v>
      </c>
      <c r="M85" s="42">
        <v>43669</v>
      </c>
      <c r="N85" s="43" t="s">
        <v>1313</v>
      </c>
      <c r="O85" s="42">
        <v>43674</v>
      </c>
      <c r="P85" s="45"/>
      <c r="Q85" s="38"/>
      <c r="R85" s="115" t="s">
        <v>2055</v>
      </c>
      <c r="S85" s="46"/>
    </row>
    <row r="86" spans="2:19" s="30" customFormat="1" ht="33" customHeight="1">
      <c r="B86" s="122" t="s">
        <v>83</v>
      </c>
      <c r="C86" s="126" t="s">
        <v>430</v>
      </c>
      <c r="D86" s="127"/>
      <c r="E86" s="128">
        <v>43609</v>
      </c>
      <c r="F86" s="124" t="s">
        <v>77</v>
      </c>
      <c r="G86" s="129">
        <v>7680</v>
      </c>
      <c r="H86" s="124">
        <f t="shared" si="8"/>
        <v>32</v>
      </c>
      <c r="I86" s="124">
        <f t="shared" si="9"/>
        <v>8</v>
      </c>
      <c r="J86" s="124"/>
      <c r="K86" s="130">
        <v>43702</v>
      </c>
      <c r="L86" s="119" t="s">
        <v>2509</v>
      </c>
      <c r="M86" s="120">
        <v>43697</v>
      </c>
      <c r="N86" s="121" t="s">
        <v>2498</v>
      </c>
      <c r="O86" s="120">
        <v>43702</v>
      </c>
      <c r="P86" s="123"/>
      <c r="Q86" s="124"/>
      <c r="R86" s="133" t="s">
        <v>2525</v>
      </c>
      <c r="S86" s="122"/>
    </row>
    <row r="87" spans="2:19" s="34" customFormat="1" ht="33" hidden="1" customHeight="1">
      <c r="B87" s="47" t="s">
        <v>210</v>
      </c>
      <c r="C87" s="48" t="s">
        <v>226</v>
      </c>
      <c r="D87" s="49" t="s">
        <v>593</v>
      </c>
      <c r="E87" s="50">
        <v>43483</v>
      </c>
      <c r="F87" s="52" t="s">
        <v>218</v>
      </c>
      <c r="G87" s="51">
        <v>640</v>
      </c>
      <c r="H87" s="52">
        <f t="shared" ref="H87:H113" si="10">SUM(G87/20)</f>
        <v>32</v>
      </c>
      <c r="I87" s="52">
        <f t="shared" ref="I87:I113" si="11">SUM(H87/32)</f>
        <v>1</v>
      </c>
      <c r="J87" s="52"/>
      <c r="K87" s="53">
        <v>43534</v>
      </c>
      <c r="L87" s="54" t="s">
        <v>566</v>
      </c>
      <c r="M87" s="55"/>
      <c r="N87" s="56"/>
      <c r="O87" s="55">
        <v>43520</v>
      </c>
      <c r="P87" s="58" t="s">
        <v>651</v>
      </c>
      <c r="Q87" s="52"/>
      <c r="R87" s="63" t="s">
        <v>211</v>
      </c>
      <c r="S87" s="52"/>
    </row>
    <row r="88" spans="2:19" s="34" customFormat="1" ht="33" hidden="1" customHeight="1">
      <c r="B88" s="47" t="s">
        <v>210</v>
      </c>
      <c r="C88" s="48" t="s">
        <v>226</v>
      </c>
      <c r="D88" s="49" t="s">
        <v>434</v>
      </c>
      <c r="E88" s="50">
        <v>43483</v>
      </c>
      <c r="F88" s="52" t="s">
        <v>218</v>
      </c>
      <c r="G88" s="51">
        <v>1280</v>
      </c>
      <c r="H88" s="52">
        <f t="shared" si="10"/>
        <v>64</v>
      </c>
      <c r="I88" s="52">
        <f t="shared" si="11"/>
        <v>2</v>
      </c>
      <c r="J88" s="52"/>
      <c r="K88" s="53">
        <v>43534</v>
      </c>
      <c r="L88" s="54" t="s">
        <v>501</v>
      </c>
      <c r="M88" s="55">
        <v>43531</v>
      </c>
      <c r="N88" s="56" t="s">
        <v>568</v>
      </c>
      <c r="O88" s="55">
        <v>43535</v>
      </c>
      <c r="P88" s="58" t="s">
        <v>653</v>
      </c>
      <c r="Q88" s="52" t="s">
        <v>614</v>
      </c>
      <c r="R88" s="63" t="s">
        <v>211</v>
      </c>
      <c r="S88" s="52" t="s">
        <v>611</v>
      </c>
    </row>
    <row r="89" spans="2:19" s="34" customFormat="1" ht="33" hidden="1" customHeight="1">
      <c r="B89" s="47" t="s">
        <v>210</v>
      </c>
      <c r="C89" s="48" t="s">
        <v>233</v>
      </c>
      <c r="D89" s="49" t="s">
        <v>525</v>
      </c>
      <c r="E89" s="50">
        <v>43507</v>
      </c>
      <c r="F89" s="52" t="s">
        <v>218</v>
      </c>
      <c r="G89" s="51">
        <v>1920</v>
      </c>
      <c r="H89" s="52">
        <f t="shared" si="10"/>
        <v>96</v>
      </c>
      <c r="I89" s="52">
        <f t="shared" si="11"/>
        <v>3</v>
      </c>
      <c r="J89" s="52"/>
      <c r="K89" s="53">
        <v>43541</v>
      </c>
      <c r="L89" s="54" t="s">
        <v>502</v>
      </c>
      <c r="M89" s="55">
        <v>43536</v>
      </c>
      <c r="N89" s="56" t="s">
        <v>346</v>
      </c>
      <c r="O89" s="55">
        <v>43541</v>
      </c>
      <c r="P89" s="58" t="s">
        <v>654</v>
      </c>
      <c r="Q89" s="52" t="s">
        <v>612</v>
      </c>
      <c r="R89" s="63" t="s">
        <v>211</v>
      </c>
      <c r="S89" s="52"/>
    </row>
    <row r="90" spans="2:19" s="34" customFormat="1" ht="33" hidden="1" customHeight="1">
      <c r="B90" s="47" t="s">
        <v>210</v>
      </c>
      <c r="C90" s="48" t="s">
        <v>595</v>
      </c>
      <c r="D90" s="49" t="s">
        <v>525</v>
      </c>
      <c r="E90" s="50">
        <v>43519</v>
      </c>
      <c r="F90" s="52" t="s">
        <v>218</v>
      </c>
      <c r="G90" s="51">
        <v>1920</v>
      </c>
      <c r="H90" s="52">
        <f t="shared" si="10"/>
        <v>96</v>
      </c>
      <c r="I90" s="52">
        <f t="shared" si="11"/>
        <v>3</v>
      </c>
      <c r="J90" s="52"/>
      <c r="K90" s="53">
        <v>43555</v>
      </c>
      <c r="L90" s="54" t="s">
        <v>644</v>
      </c>
      <c r="M90" s="55">
        <v>43550</v>
      </c>
      <c r="N90" s="56" t="s">
        <v>344</v>
      </c>
      <c r="O90" s="55">
        <v>43555</v>
      </c>
      <c r="P90" s="58"/>
      <c r="Q90" s="52" t="s">
        <v>613</v>
      </c>
      <c r="R90" s="63" t="s">
        <v>211</v>
      </c>
      <c r="S90" s="52"/>
    </row>
    <row r="91" spans="2:19" s="34" customFormat="1" ht="33" hidden="1" customHeight="1">
      <c r="B91" s="47" t="s">
        <v>210</v>
      </c>
      <c r="C91" s="48" t="s">
        <v>285</v>
      </c>
      <c r="D91" s="49" t="s">
        <v>526</v>
      </c>
      <c r="E91" s="50">
        <v>43507</v>
      </c>
      <c r="F91" s="52" t="s">
        <v>218</v>
      </c>
      <c r="G91" s="51">
        <v>3200</v>
      </c>
      <c r="H91" s="52">
        <f t="shared" si="10"/>
        <v>160</v>
      </c>
      <c r="I91" s="52">
        <f t="shared" si="11"/>
        <v>5</v>
      </c>
      <c r="J91" s="52"/>
      <c r="K91" s="53">
        <v>43576</v>
      </c>
      <c r="L91" s="54" t="s">
        <v>503</v>
      </c>
      <c r="M91" s="55">
        <v>43571</v>
      </c>
      <c r="N91" s="56" t="s">
        <v>445</v>
      </c>
      <c r="O91" s="55">
        <v>43576</v>
      </c>
      <c r="P91" s="58"/>
      <c r="Q91" s="52" t="s">
        <v>643</v>
      </c>
      <c r="R91" s="63" t="s">
        <v>211</v>
      </c>
      <c r="S91" s="52"/>
    </row>
    <row r="92" spans="2:19" s="34" customFormat="1" ht="33" hidden="1" customHeight="1">
      <c r="B92" s="47" t="s">
        <v>210</v>
      </c>
      <c r="C92" s="48" t="s">
        <v>650</v>
      </c>
      <c r="D92" s="49" t="s">
        <v>526</v>
      </c>
      <c r="E92" s="50">
        <v>43507</v>
      </c>
      <c r="F92" s="52" t="s">
        <v>218</v>
      </c>
      <c r="G92" s="51">
        <v>640</v>
      </c>
      <c r="H92" s="52">
        <f t="shared" si="10"/>
        <v>32</v>
      </c>
      <c r="I92" s="52">
        <f t="shared" si="11"/>
        <v>1</v>
      </c>
      <c r="J92" s="52"/>
      <c r="K92" s="53">
        <v>43576</v>
      </c>
      <c r="L92" s="54" t="s">
        <v>448</v>
      </c>
      <c r="M92" s="55">
        <v>43578</v>
      </c>
      <c r="N92" s="56" t="s">
        <v>447</v>
      </c>
      <c r="O92" s="55">
        <v>43583</v>
      </c>
      <c r="P92" s="58"/>
      <c r="Q92" s="52" t="s">
        <v>643</v>
      </c>
      <c r="R92" s="63" t="s">
        <v>211</v>
      </c>
      <c r="S92" s="52"/>
    </row>
    <row r="93" spans="2:19" s="34" customFormat="1" ht="33" hidden="1" customHeight="1">
      <c r="B93" s="47" t="s">
        <v>210</v>
      </c>
      <c r="C93" s="48" t="s">
        <v>331</v>
      </c>
      <c r="D93" s="49" t="s">
        <v>632</v>
      </c>
      <c r="E93" s="50">
        <v>43519</v>
      </c>
      <c r="F93" s="52" t="s">
        <v>218</v>
      </c>
      <c r="G93" s="51">
        <v>3200</v>
      </c>
      <c r="H93" s="52">
        <f t="shared" si="10"/>
        <v>160</v>
      </c>
      <c r="I93" s="52">
        <f t="shared" si="11"/>
        <v>5</v>
      </c>
      <c r="J93" s="52"/>
      <c r="K93" s="53">
        <v>43562</v>
      </c>
      <c r="L93" s="54" t="s">
        <v>608</v>
      </c>
      <c r="M93" s="55">
        <v>43557</v>
      </c>
      <c r="N93" s="56" t="s">
        <v>403</v>
      </c>
      <c r="O93" s="55">
        <v>43562</v>
      </c>
      <c r="P93" s="58"/>
      <c r="Q93" s="52" t="s">
        <v>642</v>
      </c>
      <c r="R93" s="63" t="s">
        <v>211</v>
      </c>
      <c r="S93" s="52"/>
    </row>
    <row r="94" spans="2:19" s="34" customFormat="1" ht="33" hidden="1" customHeight="1">
      <c r="B94" s="47" t="s">
        <v>210</v>
      </c>
      <c r="C94" s="48" t="s">
        <v>647</v>
      </c>
      <c r="D94" s="49" t="s">
        <v>632</v>
      </c>
      <c r="E94" s="50">
        <v>43519</v>
      </c>
      <c r="F94" s="52" t="s">
        <v>218</v>
      </c>
      <c r="G94" s="51">
        <v>640</v>
      </c>
      <c r="H94" s="52">
        <f t="shared" si="10"/>
        <v>32</v>
      </c>
      <c r="I94" s="52">
        <f t="shared" si="11"/>
        <v>1</v>
      </c>
      <c r="J94" s="52"/>
      <c r="K94" s="53">
        <v>43562</v>
      </c>
      <c r="L94" s="54" t="s">
        <v>480</v>
      </c>
      <c r="M94" s="55">
        <v>43564</v>
      </c>
      <c r="N94" s="56" t="s">
        <v>646</v>
      </c>
      <c r="O94" s="55">
        <v>43569</v>
      </c>
      <c r="P94" s="58"/>
      <c r="Q94" s="52" t="s">
        <v>642</v>
      </c>
      <c r="R94" s="63" t="s">
        <v>211</v>
      </c>
      <c r="S94" s="52"/>
    </row>
    <row r="95" spans="2:19" s="32" customFormat="1" ht="33" hidden="1" customHeight="1">
      <c r="B95" s="122" t="s">
        <v>210</v>
      </c>
      <c r="C95" s="126" t="s">
        <v>2527</v>
      </c>
      <c r="D95" s="187" t="s">
        <v>2532</v>
      </c>
      <c r="E95" s="128">
        <v>43609</v>
      </c>
      <c r="F95" s="124" t="s">
        <v>218</v>
      </c>
      <c r="G95" s="129">
        <v>120</v>
      </c>
      <c r="H95" s="124">
        <f t="shared" si="10"/>
        <v>6</v>
      </c>
      <c r="I95" s="124">
        <f t="shared" si="11"/>
        <v>0.1875</v>
      </c>
      <c r="J95" s="124"/>
      <c r="K95" s="130">
        <v>43646</v>
      </c>
      <c r="L95" s="119" t="s">
        <v>1083</v>
      </c>
      <c r="M95" s="120">
        <v>43634</v>
      </c>
      <c r="N95" s="121" t="s">
        <v>1084</v>
      </c>
      <c r="O95" s="120">
        <v>43639</v>
      </c>
      <c r="P95" s="123"/>
      <c r="Q95" s="134" t="s">
        <v>2543</v>
      </c>
      <c r="R95" s="134" t="s">
        <v>2542</v>
      </c>
      <c r="S95" s="124"/>
    </row>
    <row r="96" spans="2:19" s="32" customFormat="1" ht="33" hidden="1" customHeight="1">
      <c r="B96" s="122" t="s">
        <v>215</v>
      </c>
      <c r="C96" s="126" t="s">
        <v>2531</v>
      </c>
      <c r="D96" s="187" t="s">
        <v>2532</v>
      </c>
      <c r="E96" s="128">
        <v>43609</v>
      </c>
      <c r="F96" s="124" t="s">
        <v>2550</v>
      </c>
      <c r="G96" s="129">
        <v>120</v>
      </c>
      <c r="H96" s="124">
        <f t="shared" si="10"/>
        <v>6</v>
      </c>
      <c r="I96" s="124">
        <f t="shared" si="11"/>
        <v>0.1875</v>
      </c>
      <c r="J96" s="124"/>
      <c r="K96" s="130">
        <v>43646</v>
      </c>
      <c r="L96" s="119" t="s">
        <v>1083</v>
      </c>
      <c r="M96" s="120">
        <v>43634</v>
      </c>
      <c r="N96" s="121" t="s">
        <v>1084</v>
      </c>
      <c r="O96" s="120">
        <v>43639</v>
      </c>
      <c r="P96" s="123"/>
      <c r="Q96" s="134" t="s">
        <v>2544</v>
      </c>
      <c r="R96" s="134" t="s">
        <v>2542</v>
      </c>
      <c r="S96" s="124"/>
    </row>
    <row r="97" spans="2:19" s="32" customFormat="1" ht="33" hidden="1" customHeight="1">
      <c r="B97" s="46" t="s">
        <v>210</v>
      </c>
      <c r="C97" s="35" t="s">
        <v>431</v>
      </c>
      <c r="D97" s="36" t="s">
        <v>633</v>
      </c>
      <c r="E97" s="37">
        <v>43523</v>
      </c>
      <c r="F97" s="38" t="s">
        <v>218</v>
      </c>
      <c r="G97" s="39">
        <v>3200</v>
      </c>
      <c r="H97" s="38">
        <f t="shared" si="10"/>
        <v>160</v>
      </c>
      <c r="I97" s="38">
        <f t="shared" si="11"/>
        <v>5</v>
      </c>
      <c r="J97" s="38"/>
      <c r="K97" s="40">
        <v>43597</v>
      </c>
      <c r="L97" s="41" t="s">
        <v>605</v>
      </c>
      <c r="M97" s="42">
        <v>43594</v>
      </c>
      <c r="N97" s="43" t="s">
        <v>561</v>
      </c>
      <c r="O97" s="42">
        <v>43598</v>
      </c>
      <c r="P97" s="45"/>
      <c r="Q97" s="38" t="s">
        <v>641</v>
      </c>
      <c r="R97" s="66" t="s">
        <v>211</v>
      </c>
      <c r="S97" s="38"/>
    </row>
    <row r="98" spans="2:19" s="32" customFormat="1" ht="33" hidden="1" customHeight="1">
      <c r="B98" s="46" t="s">
        <v>210</v>
      </c>
      <c r="C98" s="35" t="s">
        <v>648</v>
      </c>
      <c r="D98" s="36" t="s">
        <v>633</v>
      </c>
      <c r="E98" s="37">
        <v>43523</v>
      </c>
      <c r="F98" s="38" t="s">
        <v>218</v>
      </c>
      <c r="G98" s="39">
        <v>640</v>
      </c>
      <c r="H98" s="38">
        <f t="shared" si="10"/>
        <v>32</v>
      </c>
      <c r="I98" s="38">
        <f t="shared" si="11"/>
        <v>1</v>
      </c>
      <c r="J98" s="38"/>
      <c r="K98" s="40">
        <v>43618</v>
      </c>
      <c r="L98" s="41" t="s">
        <v>977</v>
      </c>
      <c r="M98" s="42">
        <v>43613</v>
      </c>
      <c r="N98" s="43" t="s">
        <v>766</v>
      </c>
      <c r="O98" s="42">
        <v>43618</v>
      </c>
      <c r="P98" s="45"/>
      <c r="Q98" s="38" t="s">
        <v>641</v>
      </c>
      <c r="R98" s="66" t="s">
        <v>211</v>
      </c>
      <c r="S98" s="38"/>
    </row>
    <row r="99" spans="2:19" s="32" customFormat="1" ht="33" hidden="1" customHeight="1">
      <c r="B99" s="46" t="s">
        <v>210</v>
      </c>
      <c r="C99" s="35" t="s">
        <v>738</v>
      </c>
      <c r="D99" s="36" t="s">
        <v>739</v>
      </c>
      <c r="E99" s="37">
        <v>43532</v>
      </c>
      <c r="F99" s="38" t="s">
        <v>218</v>
      </c>
      <c r="G99" s="39">
        <v>2560</v>
      </c>
      <c r="H99" s="38">
        <f t="shared" si="10"/>
        <v>128</v>
      </c>
      <c r="I99" s="38">
        <f t="shared" si="11"/>
        <v>4</v>
      </c>
      <c r="J99" s="38"/>
      <c r="K99" s="40">
        <v>43618</v>
      </c>
      <c r="L99" s="41" t="s">
        <v>977</v>
      </c>
      <c r="M99" s="42">
        <v>43613</v>
      </c>
      <c r="N99" s="43" t="s">
        <v>766</v>
      </c>
      <c r="O99" s="42">
        <v>43618</v>
      </c>
      <c r="P99" s="45"/>
      <c r="Q99" s="38" t="s">
        <v>970</v>
      </c>
      <c r="R99" s="66" t="s">
        <v>211</v>
      </c>
      <c r="S99" s="38"/>
    </row>
    <row r="100" spans="2:19" s="32" customFormat="1" ht="33" hidden="1" customHeight="1">
      <c r="B100" s="46" t="s">
        <v>210</v>
      </c>
      <c r="C100" s="35" t="s">
        <v>589</v>
      </c>
      <c r="D100" s="36" t="s">
        <v>1260</v>
      </c>
      <c r="E100" s="37">
        <v>43558</v>
      </c>
      <c r="F100" s="38" t="s">
        <v>218</v>
      </c>
      <c r="G100" s="39">
        <v>3200</v>
      </c>
      <c r="H100" s="38">
        <f t="shared" si="10"/>
        <v>160</v>
      </c>
      <c r="I100" s="38">
        <f t="shared" si="11"/>
        <v>5</v>
      </c>
      <c r="J100" s="38"/>
      <c r="K100" s="40">
        <v>43639</v>
      </c>
      <c r="L100" s="41" t="s">
        <v>978</v>
      </c>
      <c r="M100" s="42">
        <v>43634</v>
      </c>
      <c r="N100" s="43" t="s">
        <v>764</v>
      </c>
      <c r="O100" s="42">
        <v>43639</v>
      </c>
      <c r="P100" s="45"/>
      <c r="Q100" s="38" t="s">
        <v>973</v>
      </c>
      <c r="R100" s="66" t="s">
        <v>211</v>
      </c>
      <c r="S100" s="38"/>
    </row>
    <row r="101" spans="2:19" s="32" customFormat="1" ht="33" hidden="1" customHeight="1">
      <c r="B101" s="46" t="s">
        <v>210</v>
      </c>
      <c r="C101" s="35" t="s">
        <v>2078</v>
      </c>
      <c r="D101" s="36" t="s">
        <v>2426</v>
      </c>
      <c r="E101" s="37">
        <v>43602</v>
      </c>
      <c r="F101" s="38" t="s">
        <v>218</v>
      </c>
      <c r="G101" s="39">
        <v>3200</v>
      </c>
      <c r="H101" s="38">
        <f t="shared" si="10"/>
        <v>160</v>
      </c>
      <c r="I101" s="38">
        <f t="shared" si="11"/>
        <v>5</v>
      </c>
      <c r="J101" s="38"/>
      <c r="K101" s="40">
        <v>43653</v>
      </c>
      <c r="L101" s="41" t="s">
        <v>1326</v>
      </c>
      <c r="M101" s="42">
        <v>43648</v>
      </c>
      <c r="N101" s="43" t="s">
        <v>2143</v>
      </c>
      <c r="O101" s="42">
        <v>43653</v>
      </c>
      <c r="P101" s="45"/>
      <c r="Q101" s="38" t="s">
        <v>2148</v>
      </c>
      <c r="R101" s="66" t="s">
        <v>211</v>
      </c>
      <c r="S101" s="38"/>
    </row>
    <row r="102" spans="2:19" s="32" customFormat="1" ht="33" hidden="1" customHeight="1">
      <c r="B102" s="46" t="s">
        <v>210</v>
      </c>
      <c r="C102" s="35" t="s">
        <v>2079</v>
      </c>
      <c r="D102" s="36" t="s">
        <v>2428</v>
      </c>
      <c r="E102" s="37">
        <v>43602</v>
      </c>
      <c r="F102" s="38" t="s">
        <v>218</v>
      </c>
      <c r="G102" s="39">
        <v>3200</v>
      </c>
      <c r="H102" s="38">
        <f t="shared" si="10"/>
        <v>160</v>
      </c>
      <c r="I102" s="38">
        <f t="shared" si="11"/>
        <v>5</v>
      </c>
      <c r="J102" s="38"/>
      <c r="K102" s="40">
        <v>43667</v>
      </c>
      <c r="L102" s="119" t="s">
        <v>2146</v>
      </c>
      <c r="M102" s="120">
        <v>43669</v>
      </c>
      <c r="N102" s="121" t="s">
        <v>2551</v>
      </c>
      <c r="O102" s="120">
        <v>43674</v>
      </c>
      <c r="P102" s="45"/>
      <c r="Q102" s="38" t="s">
        <v>2150</v>
      </c>
      <c r="R102" s="66" t="s">
        <v>211</v>
      </c>
      <c r="S102" s="38"/>
    </row>
    <row r="103" spans="2:19" s="32" customFormat="1" ht="33" hidden="1" customHeight="1">
      <c r="B103" s="46" t="s">
        <v>210</v>
      </c>
      <c r="C103" s="35" t="s">
        <v>2378</v>
      </c>
      <c r="D103" s="36" t="s">
        <v>2518</v>
      </c>
      <c r="E103" s="37">
        <v>43602</v>
      </c>
      <c r="F103" s="38" t="s">
        <v>218</v>
      </c>
      <c r="G103" s="39">
        <v>3200</v>
      </c>
      <c r="H103" s="38">
        <f t="shared" si="10"/>
        <v>160</v>
      </c>
      <c r="I103" s="38">
        <f t="shared" si="11"/>
        <v>5</v>
      </c>
      <c r="J103" s="38"/>
      <c r="K103" s="40">
        <v>43688</v>
      </c>
      <c r="L103" s="41" t="s">
        <v>2505</v>
      </c>
      <c r="M103" s="42">
        <v>43685</v>
      </c>
      <c r="N103" s="43" t="s">
        <v>2495</v>
      </c>
      <c r="O103" s="42">
        <v>43689</v>
      </c>
      <c r="P103" s="45"/>
      <c r="Q103" s="38" t="s">
        <v>2507</v>
      </c>
      <c r="R103" s="66" t="s">
        <v>211</v>
      </c>
      <c r="S103" s="38"/>
    </row>
    <row r="104" spans="2:19" s="32" customFormat="1" ht="33" customHeight="1">
      <c r="B104" s="46" t="s">
        <v>210</v>
      </c>
      <c r="C104" s="35" t="s">
        <v>2430</v>
      </c>
      <c r="D104" s="190" t="s">
        <v>2520</v>
      </c>
      <c r="E104" s="37">
        <v>43602</v>
      </c>
      <c r="F104" s="38" t="s">
        <v>218</v>
      </c>
      <c r="G104" s="39">
        <v>3200</v>
      </c>
      <c r="H104" s="38">
        <f t="shared" si="10"/>
        <v>160</v>
      </c>
      <c r="I104" s="38">
        <f t="shared" si="11"/>
        <v>5</v>
      </c>
      <c r="J104" s="38"/>
      <c r="K104" s="40">
        <v>43702</v>
      </c>
      <c r="L104" s="41" t="s">
        <v>2509</v>
      </c>
      <c r="M104" s="42">
        <v>43697</v>
      </c>
      <c r="N104" s="43" t="s">
        <v>2499</v>
      </c>
      <c r="O104" s="42">
        <v>43702</v>
      </c>
      <c r="P104" s="45"/>
      <c r="Q104" s="38" t="s">
        <v>2517</v>
      </c>
      <c r="R104" s="66" t="s">
        <v>211</v>
      </c>
      <c r="S104" s="38"/>
    </row>
    <row r="105" spans="2:19" s="32" customFormat="1" ht="33" hidden="1" customHeight="1">
      <c r="B105" s="122" t="s">
        <v>210</v>
      </c>
      <c r="C105" s="126" t="s">
        <v>2528</v>
      </c>
      <c r="D105" s="187"/>
      <c r="E105" s="128">
        <v>43609</v>
      </c>
      <c r="F105" s="124" t="s">
        <v>218</v>
      </c>
      <c r="G105" s="129">
        <v>3200</v>
      </c>
      <c r="H105" s="124">
        <f t="shared" si="10"/>
        <v>160</v>
      </c>
      <c r="I105" s="124">
        <f t="shared" si="11"/>
        <v>5</v>
      </c>
      <c r="J105" s="124"/>
      <c r="K105" s="130">
        <v>43660</v>
      </c>
      <c r="L105" s="119" t="s">
        <v>1326</v>
      </c>
      <c r="M105" s="120">
        <v>43648</v>
      </c>
      <c r="N105" s="121" t="s">
        <v>2540</v>
      </c>
      <c r="O105" s="120">
        <v>43653</v>
      </c>
      <c r="P105" s="123"/>
      <c r="Q105" s="124" t="s">
        <v>2148</v>
      </c>
      <c r="R105" s="134" t="s">
        <v>211</v>
      </c>
      <c r="S105" s="124"/>
    </row>
    <row r="106" spans="2:19" s="32" customFormat="1" ht="33" hidden="1" customHeight="1">
      <c r="B106" s="122" t="s">
        <v>210</v>
      </c>
      <c r="C106" s="126" t="s">
        <v>2529</v>
      </c>
      <c r="D106" s="187"/>
      <c r="E106" s="128">
        <v>43609</v>
      </c>
      <c r="F106" s="124" t="s">
        <v>218</v>
      </c>
      <c r="G106" s="129">
        <v>3200</v>
      </c>
      <c r="H106" s="124">
        <f t="shared" si="10"/>
        <v>160</v>
      </c>
      <c r="I106" s="124">
        <f t="shared" si="11"/>
        <v>5</v>
      </c>
      <c r="J106" s="124"/>
      <c r="K106" s="130">
        <v>43675</v>
      </c>
      <c r="L106" s="119" t="s">
        <v>2146</v>
      </c>
      <c r="M106" s="120">
        <v>43669</v>
      </c>
      <c r="N106" s="121" t="s">
        <v>2551</v>
      </c>
      <c r="O106" s="120">
        <v>43674</v>
      </c>
      <c r="P106" s="123"/>
      <c r="Q106" s="124" t="s">
        <v>2150</v>
      </c>
      <c r="R106" s="134" t="s">
        <v>211</v>
      </c>
      <c r="S106" s="124"/>
    </row>
    <row r="107" spans="2:19" s="34" customFormat="1" ht="33" hidden="1" customHeight="1">
      <c r="B107" s="47" t="s">
        <v>740</v>
      </c>
      <c r="C107" s="48" t="s">
        <v>234</v>
      </c>
      <c r="D107" s="49" t="s">
        <v>635</v>
      </c>
      <c r="E107" s="50">
        <v>43519</v>
      </c>
      <c r="F107" s="52" t="s">
        <v>741</v>
      </c>
      <c r="G107" s="51">
        <v>1280</v>
      </c>
      <c r="H107" s="52">
        <f t="shared" si="10"/>
        <v>64</v>
      </c>
      <c r="I107" s="52">
        <f t="shared" si="11"/>
        <v>2</v>
      </c>
      <c r="J107" s="52"/>
      <c r="K107" s="53">
        <v>43576</v>
      </c>
      <c r="L107" s="54" t="s">
        <v>644</v>
      </c>
      <c r="M107" s="55">
        <v>43550</v>
      </c>
      <c r="N107" s="56" t="s">
        <v>344</v>
      </c>
      <c r="O107" s="55">
        <v>43555</v>
      </c>
      <c r="P107" s="58" t="s">
        <v>655</v>
      </c>
      <c r="Q107" s="52" t="s">
        <v>613</v>
      </c>
      <c r="R107" s="63" t="s">
        <v>211</v>
      </c>
      <c r="S107" s="52"/>
    </row>
    <row r="108" spans="2:19" s="32" customFormat="1" ht="33" hidden="1" customHeight="1">
      <c r="B108" s="46" t="s">
        <v>740</v>
      </c>
      <c r="C108" s="35" t="s">
        <v>235</v>
      </c>
      <c r="D108" s="36" t="s">
        <v>744</v>
      </c>
      <c r="E108" s="37">
        <v>43532</v>
      </c>
      <c r="F108" s="38" t="s">
        <v>741</v>
      </c>
      <c r="G108" s="39">
        <v>1280</v>
      </c>
      <c r="H108" s="38">
        <f t="shared" si="10"/>
        <v>64</v>
      </c>
      <c r="I108" s="38">
        <f t="shared" si="11"/>
        <v>2</v>
      </c>
      <c r="J108" s="38"/>
      <c r="K108" s="40">
        <v>43597</v>
      </c>
      <c r="L108" s="41" t="s">
        <v>605</v>
      </c>
      <c r="M108" s="42">
        <v>43594</v>
      </c>
      <c r="N108" s="43" t="s">
        <v>772</v>
      </c>
      <c r="O108" s="42">
        <v>43598</v>
      </c>
      <c r="P108" s="45"/>
      <c r="Q108" s="38" t="s">
        <v>641</v>
      </c>
      <c r="R108" s="66" t="s">
        <v>211</v>
      </c>
      <c r="S108" s="38"/>
    </row>
    <row r="109" spans="2:19" s="32" customFormat="1" ht="33" hidden="1" customHeight="1">
      <c r="B109" s="46" t="s">
        <v>740</v>
      </c>
      <c r="C109" s="35" t="s">
        <v>1569</v>
      </c>
      <c r="D109" s="36" t="s">
        <v>2085</v>
      </c>
      <c r="E109" s="37">
        <v>43581</v>
      </c>
      <c r="F109" s="38" t="s">
        <v>741</v>
      </c>
      <c r="G109" s="39">
        <v>1280</v>
      </c>
      <c r="H109" s="38">
        <f t="shared" si="10"/>
        <v>64</v>
      </c>
      <c r="I109" s="38">
        <f t="shared" si="11"/>
        <v>2</v>
      </c>
      <c r="J109" s="38"/>
      <c r="K109" s="40">
        <v>43632</v>
      </c>
      <c r="L109" s="41" t="s">
        <v>807</v>
      </c>
      <c r="M109" s="42">
        <v>43627</v>
      </c>
      <c r="N109" s="43" t="s">
        <v>769</v>
      </c>
      <c r="O109" s="42">
        <v>43632</v>
      </c>
      <c r="P109" s="45"/>
      <c r="Q109" s="38" t="s">
        <v>1810</v>
      </c>
      <c r="R109" s="66" t="s">
        <v>211</v>
      </c>
      <c r="S109" s="38"/>
    </row>
    <row r="110" spans="2:19" s="32" customFormat="1" ht="33" hidden="1" customHeight="1">
      <c r="B110" s="46" t="s">
        <v>740</v>
      </c>
      <c r="C110" s="35" t="s">
        <v>90</v>
      </c>
      <c r="D110" s="36" t="s">
        <v>2087</v>
      </c>
      <c r="E110" s="37">
        <v>43595</v>
      </c>
      <c r="F110" s="38" t="s">
        <v>741</v>
      </c>
      <c r="G110" s="39">
        <v>1280</v>
      </c>
      <c r="H110" s="38">
        <f t="shared" si="10"/>
        <v>64</v>
      </c>
      <c r="I110" s="38">
        <f t="shared" si="11"/>
        <v>2</v>
      </c>
      <c r="J110" s="38"/>
      <c r="K110" s="40">
        <v>43646</v>
      </c>
      <c r="L110" s="41" t="s">
        <v>1326</v>
      </c>
      <c r="M110" s="42">
        <v>43648</v>
      </c>
      <c r="N110" s="43" t="s">
        <v>2143</v>
      </c>
      <c r="O110" s="42">
        <v>43653</v>
      </c>
      <c r="P110" s="45"/>
      <c r="Q110" s="124" t="s">
        <v>2148</v>
      </c>
      <c r="R110" s="66" t="s">
        <v>211</v>
      </c>
      <c r="S110" s="38"/>
    </row>
    <row r="111" spans="2:19" s="32" customFormat="1" ht="33" hidden="1" customHeight="1">
      <c r="B111" s="122" t="s">
        <v>740</v>
      </c>
      <c r="C111" s="126" t="s">
        <v>2088</v>
      </c>
      <c r="D111" s="127" t="s">
        <v>2089</v>
      </c>
      <c r="E111" s="128">
        <v>43595</v>
      </c>
      <c r="F111" s="124" t="s">
        <v>741</v>
      </c>
      <c r="G111" s="129">
        <v>1280</v>
      </c>
      <c r="H111" s="124">
        <f t="shared" si="10"/>
        <v>64</v>
      </c>
      <c r="I111" s="124">
        <f t="shared" si="11"/>
        <v>2</v>
      </c>
      <c r="J111" s="124"/>
      <c r="K111" s="130">
        <v>43709</v>
      </c>
      <c r="L111" s="119" t="s">
        <v>2552</v>
      </c>
      <c r="M111" s="120">
        <v>43706</v>
      </c>
      <c r="N111" s="121" t="s">
        <v>2547</v>
      </c>
      <c r="O111" s="120">
        <v>43710</v>
      </c>
      <c r="P111" s="123"/>
      <c r="Q111" s="134" t="s">
        <v>2548</v>
      </c>
      <c r="R111" s="134" t="s">
        <v>211</v>
      </c>
      <c r="S111" s="124"/>
    </row>
    <row r="112" spans="2:19" s="32" customFormat="1" ht="33" hidden="1" customHeight="1">
      <c r="B112" s="122" t="s">
        <v>740</v>
      </c>
      <c r="C112" s="126" t="s">
        <v>208</v>
      </c>
      <c r="D112" s="187" t="s">
        <v>2519</v>
      </c>
      <c r="E112" s="128">
        <v>43602</v>
      </c>
      <c r="F112" s="124" t="s">
        <v>741</v>
      </c>
      <c r="G112" s="129">
        <v>1280</v>
      </c>
      <c r="H112" s="124">
        <f t="shared" si="10"/>
        <v>64</v>
      </c>
      <c r="I112" s="124">
        <f t="shared" si="11"/>
        <v>2</v>
      </c>
      <c r="J112" s="124"/>
      <c r="K112" s="195">
        <v>43730</v>
      </c>
      <c r="L112" s="119" t="s">
        <v>2553</v>
      </c>
      <c r="M112" s="120">
        <v>43725</v>
      </c>
      <c r="N112" s="121" t="s">
        <v>2546</v>
      </c>
      <c r="O112" s="120">
        <v>43730</v>
      </c>
      <c r="P112" s="123"/>
      <c r="Q112" s="134" t="s">
        <v>2549</v>
      </c>
      <c r="R112" s="134" t="s">
        <v>211</v>
      </c>
      <c r="S112" s="124"/>
    </row>
    <row r="113" spans="1:19" s="32" customFormat="1" ht="33" hidden="1" customHeight="1">
      <c r="B113" s="135" t="s">
        <v>740</v>
      </c>
      <c r="C113" s="136" t="s">
        <v>212</v>
      </c>
      <c r="D113" s="191" t="s">
        <v>2444</v>
      </c>
      <c r="E113" s="138">
        <v>43602</v>
      </c>
      <c r="F113" s="139" t="s">
        <v>741</v>
      </c>
      <c r="G113" s="140">
        <v>640</v>
      </c>
      <c r="H113" s="139">
        <f t="shared" si="10"/>
        <v>32</v>
      </c>
      <c r="I113" s="139">
        <f t="shared" si="11"/>
        <v>1</v>
      </c>
      <c r="J113" s="139"/>
      <c r="K113" s="141" t="s">
        <v>2545</v>
      </c>
      <c r="L113" s="142"/>
      <c r="M113" s="143"/>
      <c r="N113" s="144"/>
      <c r="O113" s="143"/>
      <c r="P113" s="145"/>
      <c r="Q113" s="193" t="s">
        <v>2517</v>
      </c>
      <c r="R113" s="192" t="s">
        <v>211</v>
      </c>
      <c r="S113" s="139" t="s">
        <v>2541</v>
      </c>
    </row>
    <row r="114" spans="1:19" s="33" customFormat="1" ht="33" hidden="1" customHeight="1">
      <c r="A114" s="33" t="s">
        <v>2530</v>
      </c>
      <c r="B114" s="47" t="s">
        <v>86</v>
      </c>
      <c r="C114" s="48" t="s">
        <v>225</v>
      </c>
      <c r="D114" s="49" t="s">
        <v>487</v>
      </c>
      <c r="E114" s="50">
        <v>43490</v>
      </c>
      <c r="F114" s="52" t="s">
        <v>87</v>
      </c>
      <c r="G114" s="51">
        <v>1520</v>
      </c>
      <c r="H114" s="52">
        <f>SUM(G114/190)</f>
        <v>8</v>
      </c>
      <c r="I114" s="52">
        <f>SUM(H114/4)</f>
        <v>2</v>
      </c>
      <c r="J114" s="52"/>
      <c r="K114" s="53">
        <v>43569</v>
      </c>
      <c r="L114" s="54" t="s">
        <v>417</v>
      </c>
      <c r="M114" s="55">
        <v>43564</v>
      </c>
      <c r="N114" s="56" t="s">
        <v>405</v>
      </c>
      <c r="O114" s="55">
        <v>43569</v>
      </c>
      <c r="P114" s="58"/>
      <c r="Q114" s="52"/>
      <c r="R114" s="63" t="s">
        <v>495</v>
      </c>
      <c r="S114" s="47"/>
    </row>
    <row r="115" spans="1:19" s="30" customFormat="1" ht="33" hidden="1" customHeight="1">
      <c r="B115" s="46" t="s">
        <v>86</v>
      </c>
      <c r="C115" s="35" t="s">
        <v>226</v>
      </c>
      <c r="D115" s="36" t="s">
        <v>833</v>
      </c>
      <c r="E115" s="37">
        <v>43546</v>
      </c>
      <c r="F115" s="38" t="s">
        <v>87</v>
      </c>
      <c r="G115" s="39">
        <v>1520</v>
      </c>
      <c r="H115" s="38">
        <f>SUM(G115/190)</f>
        <v>8</v>
      </c>
      <c r="I115" s="38">
        <f>SUM(H115/4)</f>
        <v>2</v>
      </c>
      <c r="J115" s="38"/>
      <c r="K115" s="40">
        <v>43632</v>
      </c>
      <c r="L115" s="41" t="s">
        <v>838</v>
      </c>
      <c r="M115" s="42">
        <v>43627</v>
      </c>
      <c r="N115" s="43" t="s">
        <v>769</v>
      </c>
      <c r="O115" s="42">
        <v>43632</v>
      </c>
      <c r="P115" s="45"/>
      <c r="Q115" s="38"/>
      <c r="R115" s="66" t="s">
        <v>928</v>
      </c>
      <c r="S115" s="46"/>
    </row>
    <row r="116" spans="1:19" s="30" customFormat="1" ht="33" hidden="1" customHeight="1">
      <c r="B116" s="46" t="s">
        <v>2514</v>
      </c>
      <c r="C116" s="35" t="s">
        <v>2515</v>
      </c>
      <c r="D116" s="36" t="s">
        <v>2480</v>
      </c>
      <c r="E116" s="37">
        <v>43602</v>
      </c>
      <c r="F116" s="38" t="s">
        <v>2516</v>
      </c>
      <c r="G116" s="39">
        <v>1520</v>
      </c>
      <c r="H116" s="38">
        <v>8</v>
      </c>
      <c r="I116" s="38">
        <v>2</v>
      </c>
      <c r="J116" s="38"/>
      <c r="K116" s="40">
        <v>43702</v>
      </c>
      <c r="L116" s="41" t="s">
        <v>2512</v>
      </c>
      <c r="M116" s="42">
        <v>43697</v>
      </c>
      <c r="N116" s="43" t="s">
        <v>2502</v>
      </c>
      <c r="O116" s="42">
        <v>43702</v>
      </c>
      <c r="P116" s="45"/>
      <c r="Q116" s="38"/>
      <c r="R116" s="66"/>
      <c r="S116" s="46"/>
    </row>
    <row r="117" spans="1:19" s="33" customFormat="1" ht="33" hidden="1" customHeight="1">
      <c r="B117" s="47" t="s">
        <v>745</v>
      </c>
      <c r="C117" s="48" t="s">
        <v>399</v>
      </c>
      <c r="D117" s="49" t="s">
        <v>746</v>
      </c>
      <c r="E117" s="50"/>
      <c r="F117" s="47" t="s">
        <v>236</v>
      </c>
      <c r="G117" s="51">
        <v>2400</v>
      </c>
      <c r="H117" s="52">
        <f t="shared" ref="H117:H127" si="12">SUM(G117/200)</f>
        <v>12</v>
      </c>
      <c r="I117" s="52">
        <f t="shared" ref="I117:I127" si="13">SUM(H117/4)</f>
        <v>3</v>
      </c>
      <c r="J117" s="52"/>
      <c r="K117" s="53">
        <v>43527</v>
      </c>
      <c r="L117" s="54" t="s">
        <v>402</v>
      </c>
      <c r="M117" s="55">
        <v>43531</v>
      </c>
      <c r="N117" s="56" t="s">
        <v>568</v>
      </c>
      <c r="O117" s="55">
        <v>43535</v>
      </c>
      <c r="P117" s="58"/>
      <c r="Q117" s="52"/>
      <c r="R117" s="63"/>
      <c r="S117" s="47" t="s">
        <v>611</v>
      </c>
    </row>
    <row r="118" spans="1:19" s="33" customFormat="1" ht="33" hidden="1" customHeight="1">
      <c r="B118" s="47" t="s">
        <v>238</v>
      </c>
      <c r="C118" s="48" t="s">
        <v>227</v>
      </c>
      <c r="D118" s="49" t="s">
        <v>435</v>
      </c>
      <c r="E118" s="50"/>
      <c r="F118" s="52" t="s">
        <v>236</v>
      </c>
      <c r="G118" s="51">
        <v>2400</v>
      </c>
      <c r="H118" s="52">
        <f t="shared" si="12"/>
        <v>12</v>
      </c>
      <c r="I118" s="52">
        <f t="shared" si="13"/>
        <v>3</v>
      </c>
      <c r="J118" s="52"/>
      <c r="K118" s="53">
        <v>43548</v>
      </c>
      <c r="L118" s="54" t="s">
        <v>401</v>
      </c>
      <c r="M118" s="55">
        <v>43543</v>
      </c>
      <c r="N118" s="56" t="s">
        <v>400</v>
      </c>
      <c r="O118" s="55">
        <v>43548</v>
      </c>
      <c r="P118" s="58"/>
      <c r="Q118" s="52"/>
      <c r="R118" s="63"/>
      <c r="S118" s="47"/>
    </row>
    <row r="119" spans="1:19" s="33" customFormat="1" ht="33" hidden="1" customHeight="1">
      <c r="B119" s="47" t="s">
        <v>238</v>
      </c>
      <c r="C119" s="48" t="s">
        <v>274</v>
      </c>
      <c r="D119" s="49" t="s">
        <v>474</v>
      </c>
      <c r="E119" s="50"/>
      <c r="F119" s="52" t="s">
        <v>236</v>
      </c>
      <c r="G119" s="51">
        <v>3200</v>
      </c>
      <c r="H119" s="52">
        <f t="shared" si="12"/>
        <v>16</v>
      </c>
      <c r="I119" s="52">
        <f t="shared" si="13"/>
        <v>4</v>
      </c>
      <c r="J119" s="52"/>
      <c r="K119" s="53">
        <v>43562</v>
      </c>
      <c r="L119" s="54" t="s">
        <v>406</v>
      </c>
      <c r="M119" s="55">
        <v>43557</v>
      </c>
      <c r="N119" s="56" t="s">
        <v>403</v>
      </c>
      <c r="O119" s="55">
        <v>43562</v>
      </c>
      <c r="P119" s="58"/>
      <c r="Q119" s="52"/>
      <c r="R119" s="63"/>
      <c r="S119" s="47"/>
    </row>
    <row r="120" spans="1:19" s="33" customFormat="1" ht="33" hidden="1" customHeight="1">
      <c r="B120" s="47" t="s">
        <v>238</v>
      </c>
      <c r="C120" s="48" t="s">
        <v>404</v>
      </c>
      <c r="D120" s="49" t="s">
        <v>475</v>
      </c>
      <c r="E120" s="50"/>
      <c r="F120" s="52" t="s">
        <v>236</v>
      </c>
      <c r="G120" s="51">
        <v>1600</v>
      </c>
      <c r="H120" s="52">
        <f t="shared" si="12"/>
        <v>8</v>
      </c>
      <c r="I120" s="52">
        <f t="shared" si="13"/>
        <v>2</v>
      </c>
      <c r="J120" s="52"/>
      <c r="K120" s="53">
        <v>43562</v>
      </c>
      <c r="L120" s="54" t="s">
        <v>407</v>
      </c>
      <c r="M120" s="55">
        <v>43564</v>
      </c>
      <c r="N120" s="56" t="s">
        <v>405</v>
      </c>
      <c r="O120" s="55">
        <v>43569</v>
      </c>
      <c r="P120" s="58"/>
      <c r="Q120" s="52"/>
      <c r="R120" s="63"/>
      <c r="S120" s="47"/>
    </row>
    <row r="121" spans="1:19" s="33" customFormat="1" ht="33" hidden="1" customHeight="1">
      <c r="B121" s="47" t="s">
        <v>238</v>
      </c>
      <c r="C121" s="48" t="s">
        <v>490</v>
      </c>
      <c r="D121" s="49" t="s">
        <v>488</v>
      </c>
      <c r="E121" s="50">
        <v>43495</v>
      </c>
      <c r="F121" s="52" t="s">
        <v>236</v>
      </c>
      <c r="G121" s="51">
        <v>1600</v>
      </c>
      <c r="H121" s="52">
        <f t="shared" si="12"/>
        <v>8</v>
      </c>
      <c r="I121" s="52">
        <f t="shared" si="13"/>
        <v>2</v>
      </c>
      <c r="J121" s="52"/>
      <c r="K121" s="53">
        <v>43583</v>
      </c>
      <c r="L121" s="54" t="s">
        <v>481</v>
      </c>
      <c r="M121" s="55">
        <v>43578</v>
      </c>
      <c r="N121" s="56" t="s">
        <v>447</v>
      </c>
      <c r="O121" s="55">
        <v>43583</v>
      </c>
      <c r="P121" s="58"/>
      <c r="Q121" s="52"/>
      <c r="R121" s="63"/>
      <c r="S121" s="47"/>
    </row>
    <row r="122" spans="1:19" s="30" customFormat="1" ht="33" hidden="1" customHeight="1">
      <c r="B122" s="46" t="s">
        <v>238</v>
      </c>
      <c r="C122" s="35" t="s">
        <v>597</v>
      </c>
      <c r="D122" s="36" t="s">
        <v>598</v>
      </c>
      <c r="E122" s="37">
        <v>43519</v>
      </c>
      <c r="F122" s="38" t="s">
        <v>236</v>
      </c>
      <c r="G122" s="39">
        <v>1600</v>
      </c>
      <c r="H122" s="38">
        <f t="shared" si="12"/>
        <v>8</v>
      </c>
      <c r="I122" s="38">
        <f t="shared" si="13"/>
        <v>2</v>
      </c>
      <c r="J122" s="38"/>
      <c r="K122" s="40">
        <v>43597</v>
      </c>
      <c r="L122" s="41" t="s">
        <v>606</v>
      </c>
      <c r="M122" s="42">
        <v>43592</v>
      </c>
      <c r="N122" s="43" t="s">
        <v>600</v>
      </c>
      <c r="O122" s="42">
        <v>43597</v>
      </c>
      <c r="P122" s="45"/>
      <c r="Q122" s="38"/>
      <c r="R122" s="66"/>
      <c r="S122" s="46"/>
    </row>
    <row r="123" spans="1:19" s="30" customFormat="1" ht="33" hidden="1" customHeight="1">
      <c r="B123" s="46" t="s">
        <v>238</v>
      </c>
      <c r="C123" s="35" t="s">
        <v>1085</v>
      </c>
      <c r="D123" s="36" t="s">
        <v>598</v>
      </c>
      <c r="E123" s="37">
        <v>43519</v>
      </c>
      <c r="F123" s="38" t="s">
        <v>236</v>
      </c>
      <c r="G123" s="39">
        <v>1600</v>
      </c>
      <c r="H123" s="38">
        <f t="shared" si="12"/>
        <v>8</v>
      </c>
      <c r="I123" s="38">
        <f t="shared" si="13"/>
        <v>2</v>
      </c>
      <c r="J123" s="38"/>
      <c r="K123" s="40">
        <v>43597</v>
      </c>
      <c r="L123" s="41" t="s">
        <v>1086</v>
      </c>
      <c r="M123" s="42">
        <v>43606</v>
      </c>
      <c r="N123" s="43" t="s">
        <v>599</v>
      </c>
      <c r="O123" s="42">
        <v>43613</v>
      </c>
      <c r="P123" s="45"/>
      <c r="Q123" s="38"/>
      <c r="R123" s="66"/>
      <c r="S123" s="46"/>
    </row>
    <row r="124" spans="1:19" s="30" customFormat="1" ht="33" hidden="1" customHeight="1">
      <c r="B124" s="46" t="s">
        <v>238</v>
      </c>
      <c r="C124" s="35" t="s">
        <v>226</v>
      </c>
      <c r="D124" s="36" t="s">
        <v>749</v>
      </c>
      <c r="E124" s="37">
        <v>43532</v>
      </c>
      <c r="F124" s="38" t="s">
        <v>236</v>
      </c>
      <c r="G124" s="39">
        <v>3200</v>
      </c>
      <c r="H124" s="38">
        <f t="shared" si="12"/>
        <v>16</v>
      </c>
      <c r="I124" s="38">
        <f t="shared" si="13"/>
        <v>4</v>
      </c>
      <c r="J124" s="38"/>
      <c r="K124" s="40">
        <v>43625</v>
      </c>
      <c r="L124" s="119" t="s">
        <v>2538</v>
      </c>
      <c r="M124" s="120">
        <v>43627</v>
      </c>
      <c r="N124" s="121" t="s">
        <v>808</v>
      </c>
      <c r="O124" s="120">
        <v>43632</v>
      </c>
      <c r="P124" s="45"/>
      <c r="Q124" s="38"/>
      <c r="R124" s="66"/>
      <c r="S124" s="122" t="s">
        <v>2539</v>
      </c>
    </row>
    <row r="125" spans="1:19" s="30" customFormat="1" ht="33" hidden="1" customHeight="1">
      <c r="B125" s="46" t="s">
        <v>238</v>
      </c>
      <c r="C125" s="35" t="s">
        <v>233</v>
      </c>
      <c r="D125" s="36" t="s">
        <v>750</v>
      </c>
      <c r="E125" s="37">
        <v>43532</v>
      </c>
      <c r="F125" s="38" t="s">
        <v>236</v>
      </c>
      <c r="G125" s="39">
        <v>3200</v>
      </c>
      <c r="H125" s="38">
        <f t="shared" si="12"/>
        <v>16</v>
      </c>
      <c r="I125" s="38">
        <f t="shared" si="13"/>
        <v>4</v>
      </c>
      <c r="J125" s="38"/>
      <c r="K125" s="40">
        <v>43646</v>
      </c>
      <c r="L125" s="41" t="s">
        <v>778</v>
      </c>
      <c r="M125" s="42">
        <v>43641</v>
      </c>
      <c r="N125" s="43" t="s">
        <v>776</v>
      </c>
      <c r="O125" s="42">
        <v>43646</v>
      </c>
      <c r="P125" s="45"/>
      <c r="Q125" s="38"/>
      <c r="R125" s="66"/>
      <c r="S125" s="46"/>
    </row>
    <row r="126" spans="1:19" s="30" customFormat="1" ht="33" hidden="1" customHeight="1">
      <c r="B126" s="46" t="s">
        <v>238</v>
      </c>
      <c r="C126" s="35" t="s">
        <v>285</v>
      </c>
      <c r="D126" s="36" t="s">
        <v>1305</v>
      </c>
      <c r="E126" s="37">
        <v>43567</v>
      </c>
      <c r="F126" s="38" t="s">
        <v>236</v>
      </c>
      <c r="G126" s="39">
        <v>3200</v>
      </c>
      <c r="H126" s="38">
        <f t="shared" si="12"/>
        <v>16</v>
      </c>
      <c r="I126" s="38">
        <f t="shared" si="13"/>
        <v>4</v>
      </c>
      <c r="J126" s="38"/>
      <c r="K126" s="40">
        <v>43660</v>
      </c>
      <c r="L126" s="41" t="s">
        <v>1327</v>
      </c>
      <c r="M126" s="42">
        <v>43655</v>
      </c>
      <c r="N126" s="43" t="s">
        <v>1315</v>
      </c>
      <c r="O126" s="42">
        <v>43660</v>
      </c>
      <c r="P126" s="45"/>
      <c r="Q126" s="38"/>
      <c r="R126" s="66"/>
      <c r="S126" s="46"/>
    </row>
    <row r="127" spans="1:19" s="30" customFormat="1" ht="33" hidden="1" customHeight="1">
      <c r="B127" s="46" t="s">
        <v>238</v>
      </c>
      <c r="C127" s="35" t="s">
        <v>331</v>
      </c>
      <c r="D127" s="36" t="s">
        <v>1306</v>
      </c>
      <c r="E127" s="37">
        <v>43567</v>
      </c>
      <c r="F127" s="38" t="s">
        <v>236</v>
      </c>
      <c r="G127" s="39">
        <v>3200</v>
      </c>
      <c r="H127" s="38">
        <f t="shared" si="12"/>
        <v>16</v>
      </c>
      <c r="I127" s="38">
        <f t="shared" si="13"/>
        <v>4</v>
      </c>
      <c r="J127" s="38"/>
      <c r="K127" s="40">
        <v>43674</v>
      </c>
      <c r="L127" s="41" t="s">
        <v>1324</v>
      </c>
      <c r="M127" s="42">
        <v>43669</v>
      </c>
      <c r="N127" s="43" t="s">
        <v>1313</v>
      </c>
      <c r="O127" s="42">
        <v>43674</v>
      </c>
      <c r="P127" s="45"/>
      <c r="Q127" s="38"/>
      <c r="R127" s="66"/>
      <c r="S127" s="46"/>
    </row>
    <row r="128" spans="1:19" s="19" customFormat="1">
      <c r="B128"/>
      <c r="C128" s="15"/>
      <c r="D128" s="1"/>
      <c r="E128" s="174"/>
      <c r="F128"/>
      <c r="G128" s="11"/>
      <c r="H128"/>
      <c r="I128"/>
      <c r="J128"/>
      <c r="K128" s="13"/>
      <c r="L128"/>
      <c r="N128" s="28"/>
      <c r="P128"/>
      <c r="Q128"/>
      <c r="R128" s="17"/>
      <c r="S128"/>
    </row>
    <row r="129" spans="2:19" s="19" customFormat="1" ht="26.4" hidden="1">
      <c r="B129"/>
      <c r="C129" s="15"/>
      <c r="D129" s="1"/>
      <c r="F129" s="177"/>
      <c r="L129" s="176" t="s">
        <v>1821</v>
      </c>
      <c r="M129" s="177"/>
      <c r="N129" s="177"/>
      <c r="O129"/>
      <c r="P129" s="13"/>
      <c r="Q129"/>
      <c r="S129" s="28"/>
    </row>
    <row r="130" spans="2:19" ht="26.4" hidden="1">
      <c r="F130" s="177"/>
      <c r="L130" s="176" t="s">
        <v>1822</v>
      </c>
      <c r="M130" s="177"/>
      <c r="N130" s="177"/>
      <c r="O130"/>
      <c r="P130" s="13"/>
      <c r="R130" s="19"/>
      <c r="S130" s="28"/>
    </row>
    <row r="131" spans="2:19" ht="26.4" hidden="1">
      <c r="F131" s="177"/>
      <c r="L131" s="176" t="s">
        <v>1823</v>
      </c>
      <c r="M131" s="177"/>
      <c r="N131" s="177"/>
      <c r="O131"/>
      <c r="P131" s="13"/>
      <c r="R131" s="19"/>
      <c r="S131" s="28"/>
    </row>
    <row r="132" spans="2:19" hidden="1">
      <c r="E132" s="175"/>
      <c r="L132" s="11"/>
      <c r="M132"/>
      <c r="N132"/>
      <c r="O132"/>
      <c r="P132" s="13"/>
      <c r="R132" s="19"/>
      <c r="S132" s="28"/>
    </row>
    <row r="133" spans="2:19" s="19" customFormat="1" hidden="1">
      <c r="B133"/>
      <c r="C133" s="15"/>
      <c r="D133" s="1"/>
      <c r="L133" s="178" t="s">
        <v>1825</v>
      </c>
      <c r="M133" s="178" t="s">
        <v>1826</v>
      </c>
      <c r="N133" s="178" t="s">
        <v>1827</v>
      </c>
      <c r="O133" s="178" t="s">
        <v>1828</v>
      </c>
      <c r="P133" s="179" t="s">
        <v>1829</v>
      </c>
      <c r="Q133" s="179" t="s">
        <v>1830</v>
      </c>
      <c r="R133" s="179" t="s">
        <v>1831</v>
      </c>
      <c r="S133" s="179"/>
    </row>
    <row r="134" spans="2:19" s="19" customFormat="1" hidden="1">
      <c r="B134"/>
      <c r="C134" s="15"/>
      <c r="D134" s="1"/>
      <c r="L134" s="180" t="s">
        <v>1832</v>
      </c>
      <c r="M134" s="181" t="s">
        <v>1833</v>
      </c>
      <c r="N134" s="181" t="s">
        <v>1834</v>
      </c>
      <c r="O134" s="182" t="s">
        <v>1835</v>
      </c>
      <c r="P134" s="183">
        <v>1000</v>
      </c>
      <c r="Q134" s="183">
        <v>4</v>
      </c>
      <c r="R134" s="184">
        <v>43598</v>
      </c>
      <c r="S134" s="181" t="s">
        <v>99</v>
      </c>
    </row>
    <row r="135" spans="2:19" s="19" customFormat="1" hidden="1">
      <c r="B135"/>
      <c r="C135" s="15"/>
      <c r="D135" s="1"/>
      <c r="L135" s="180" t="s">
        <v>1832</v>
      </c>
      <c r="M135" s="181" t="s">
        <v>1836</v>
      </c>
      <c r="N135" s="181" t="s">
        <v>1834</v>
      </c>
      <c r="O135" s="182" t="s">
        <v>1835</v>
      </c>
      <c r="P135" s="183">
        <v>6000</v>
      </c>
      <c r="Q135" s="183">
        <v>24</v>
      </c>
      <c r="R135" s="184">
        <v>43598</v>
      </c>
      <c r="S135" s="181" t="s">
        <v>99</v>
      </c>
    </row>
    <row r="136" spans="2:19" s="19" customFormat="1" hidden="1">
      <c r="B136"/>
      <c r="C136" s="15"/>
      <c r="D136" s="1"/>
      <c r="L136" s="180" t="s">
        <v>1832</v>
      </c>
      <c r="M136" s="181" t="s">
        <v>1837</v>
      </c>
      <c r="N136" s="181" t="s">
        <v>1834</v>
      </c>
      <c r="O136" s="182" t="s">
        <v>1835</v>
      </c>
      <c r="P136" s="183">
        <v>5000</v>
      </c>
      <c r="Q136" s="183">
        <v>20</v>
      </c>
      <c r="R136" s="185" t="s">
        <v>1838</v>
      </c>
      <c r="S136" s="180" t="s">
        <v>1839</v>
      </c>
    </row>
    <row r="137" spans="2:19" s="19" customFormat="1" hidden="1">
      <c r="B137"/>
      <c r="C137" s="15"/>
      <c r="D137" s="1"/>
      <c r="L137" s="180" t="s">
        <v>1832</v>
      </c>
      <c r="M137" s="181" t="s">
        <v>1840</v>
      </c>
      <c r="N137" s="181" t="s">
        <v>1834</v>
      </c>
      <c r="O137" s="182" t="s">
        <v>1835</v>
      </c>
      <c r="P137" s="183">
        <v>5000</v>
      </c>
      <c r="Q137" s="183">
        <v>20</v>
      </c>
      <c r="R137" s="184">
        <v>43605</v>
      </c>
      <c r="S137" s="181" t="s">
        <v>99</v>
      </c>
    </row>
    <row r="138" spans="2:19" s="19" customFormat="1" hidden="1">
      <c r="B138"/>
      <c r="C138" s="15"/>
      <c r="D138" s="1"/>
      <c r="L138" s="180" t="s">
        <v>1832</v>
      </c>
      <c r="M138" s="181" t="s">
        <v>1841</v>
      </c>
      <c r="N138" s="181" t="s">
        <v>1834</v>
      </c>
      <c r="O138" s="182" t="s">
        <v>1835</v>
      </c>
      <c r="P138" s="183">
        <v>7000</v>
      </c>
      <c r="Q138" s="183">
        <v>28</v>
      </c>
      <c r="R138" s="184">
        <v>43605</v>
      </c>
      <c r="S138" s="181" t="s">
        <v>99</v>
      </c>
    </row>
    <row r="139" spans="2:19" hidden="1">
      <c r="L139" s="180" t="s">
        <v>1842</v>
      </c>
      <c r="M139" s="181" t="s">
        <v>1843</v>
      </c>
      <c r="N139" s="181" t="s">
        <v>1844</v>
      </c>
      <c r="O139" s="182" t="s">
        <v>1835</v>
      </c>
      <c r="P139" s="183">
        <v>2000</v>
      </c>
      <c r="Q139" s="183">
        <v>8</v>
      </c>
      <c r="R139" s="184">
        <v>43598</v>
      </c>
      <c r="S139" s="181" t="s">
        <v>99</v>
      </c>
    </row>
    <row r="140" spans="2:19" hidden="1">
      <c r="L140" s="180" t="s">
        <v>1842</v>
      </c>
      <c r="M140" s="181" t="s">
        <v>1845</v>
      </c>
      <c r="N140" s="181" t="s">
        <v>1844</v>
      </c>
      <c r="O140" s="182" t="s">
        <v>1835</v>
      </c>
      <c r="P140" s="183">
        <v>2000</v>
      </c>
      <c r="Q140" s="183">
        <v>8</v>
      </c>
      <c r="R140" s="184">
        <v>43598</v>
      </c>
      <c r="S140" s="181" t="s">
        <v>99</v>
      </c>
    </row>
    <row r="141" spans="2:19" hidden="1">
      <c r="L141" s="180" t="s">
        <v>1842</v>
      </c>
      <c r="M141" s="181" t="s">
        <v>1846</v>
      </c>
      <c r="N141" s="181" t="s">
        <v>1844</v>
      </c>
      <c r="O141" s="182" t="s">
        <v>1835</v>
      </c>
      <c r="P141" s="183">
        <v>10000</v>
      </c>
      <c r="Q141" s="183">
        <v>40</v>
      </c>
      <c r="R141" s="184">
        <v>43598</v>
      </c>
      <c r="S141" s="181" t="s">
        <v>99</v>
      </c>
    </row>
    <row r="142" spans="2:19" hidden="1">
      <c r="L142" s="180" t="s">
        <v>1842</v>
      </c>
      <c r="M142" s="181" t="s">
        <v>1847</v>
      </c>
      <c r="N142" s="181" t="s">
        <v>1844</v>
      </c>
      <c r="O142" s="182" t="s">
        <v>1835</v>
      </c>
      <c r="P142" s="183">
        <v>8000</v>
      </c>
      <c r="Q142" s="183">
        <v>32</v>
      </c>
      <c r="R142" s="184">
        <v>43598</v>
      </c>
      <c r="S142" s="180"/>
    </row>
    <row r="143" spans="2:19" hidden="1">
      <c r="L143" s="180" t="s">
        <v>1842</v>
      </c>
      <c r="M143" s="181" t="s">
        <v>1848</v>
      </c>
      <c r="N143" s="181" t="s">
        <v>1844</v>
      </c>
      <c r="O143" s="182" t="s">
        <v>1835</v>
      </c>
      <c r="P143" s="183">
        <v>10000</v>
      </c>
      <c r="Q143" s="183">
        <v>40</v>
      </c>
      <c r="R143" s="185" t="s">
        <v>1849</v>
      </c>
      <c r="S143" s="180" t="s">
        <v>1839</v>
      </c>
    </row>
    <row r="144" spans="2:19" hidden="1">
      <c r="L144" s="182" t="s">
        <v>1850</v>
      </c>
      <c r="M144" s="181" t="s">
        <v>1851</v>
      </c>
      <c r="N144" s="181" t="s">
        <v>1834</v>
      </c>
      <c r="O144" s="182" t="s">
        <v>1852</v>
      </c>
      <c r="P144" s="183">
        <v>5000</v>
      </c>
      <c r="Q144" s="183">
        <v>20</v>
      </c>
      <c r="R144" s="184">
        <v>43605</v>
      </c>
      <c r="S144" s="181" t="s">
        <v>99</v>
      </c>
    </row>
    <row r="145" spans="12:19" hidden="1">
      <c r="L145" s="180" t="s">
        <v>1842</v>
      </c>
      <c r="M145" s="181" t="s">
        <v>1851</v>
      </c>
      <c r="N145" s="181" t="s">
        <v>1844</v>
      </c>
      <c r="O145" s="182" t="s">
        <v>1835</v>
      </c>
      <c r="P145" s="183">
        <v>2000</v>
      </c>
      <c r="Q145" s="183">
        <v>8</v>
      </c>
      <c r="R145" s="184">
        <v>43605</v>
      </c>
      <c r="S145" s="181" t="s">
        <v>99</v>
      </c>
    </row>
    <row r="146" spans="12:19" hidden="1">
      <c r="L146" s="182" t="s">
        <v>1850</v>
      </c>
      <c r="M146" s="181" t="s">
        <v>1855</v>
      </c>
      <c r="N146" s="181" t="s">
        <v>1834</v>
      </c>
      <c r="O146" s="182" t="s">
        <v>1852</v>
      </c>
      <c r="P146" s="183">
        <v>6000</v>
      </c>
      <c r="Q146" s="183">
        <v>24</v>
      </c>
      <c r="R146" s="184">
        <v>43605</v>
      </c>
      <c r="S146" s="181" t="s">
        <v>99</v>
      </c>
    </row>
    <row r="147" spans="12:19" hidden="1">
      <c r="L147" s="182" t="s">
        <v>1850</v>
      </c>
      <c r="M147" s="181" t="s">
        <v>1856</v>
      </c>
      <c r="N147" s="181" t="s">
        <v>1834</v>
      </c>
      <c r="O147" s="182" t="s">
        <v>1852</v>
      </c>
      <c r="P147" s="183">
        <v>6000</v>
      </c>
      <c r="Q147" s="183">
        <v>24</v>
      </c>
      <c r="R147" s="185">
        <v>43605</v>
      </c>
      <c r="S147" s="180"/>
    </row>
    <row r="148" spans="12:19" hidden="1">
      <c r="L148" s="182" t="s">
        <v>1850</v>
      </c>
      <c r="M148" s="181" t="s">
        <v>1857</v>
      </c>
      <c r="N148" s="181" t="s">
        <v>1834</v>
      </c>
      <c r="O148" s="182" t="s">
        <v>1852</v>
      </c>
      <c r="P148" s="183">
        <v>6000</v>
      </c>
      <c r="Q148" s="183">
        <v>24</v>
      </c>
      <c r="R148" s="184" t="s">
        <v>1861</v>
      </c>
      <c r="S148" s="181" t="s">
        <v>1862</v>
      </c>
    </row>
    <row r="151" spans="12:19" ht="16.2">
      <c r="L151" s="186"/>
    </row>
    <row r="152" spans="12:19" ht="16.2">
      <c r="L152" s="186"/>
    </row>
    <row r="153" spans="12:19" ht="16.2">
      <c r="L153" s="186"/>
    </row>
    <row r="166" spans="6:6">
      <c r="F166" t="s">
        <v>2522</v>
      </c>
    </row>
  </sheetData>
  <autoFilter ref="B2:R127" xr:uid="{00000000-0009-0000-0000-000018000000}">
    <filterColumn colId="10">
      <filters>
        <filter val="414-UM1829"/>
      </filters>
    </filterColumn>
  </autoFilter>
  <phoneticPr fontId="1"/>
  <pageMargins left="0.23622047244094491" right="0.23622047244094491" top="0.35433070866141736" bottom="0.35433070866141736" header="0.31496062992125984" footer="0.31496062992125984"/>
  <pageSetup paperSize="9" scale="77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57" filterMode="1">
    <pageSetUpPr fitToPage="1"/>
  </sheetPr>
  <dimension ref="A1:S166"/>
  <sheetViews>
    <sheetView zoomScale="77" zoomScaleNormal="77" workbookViewId="0">
      <pane xSplit="3" ySplit="2" topLeftCell="D27" activePane="bottomRight" state="frozen"/>
      <selection activeCell="B70" sqref="B70"/>
      <selection pane="topRight" activeCell="B70" sqref="B70"/>
      <selection pane="bottomLeft" activeCell="B70" sqref="B70"/>
      <selection pane="bottomRight" activeCell="D41" sqref="D41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15.87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C2" s="14" t="s">
        <v>9</v>
      </c>
      <c r="D2" s="5" t="s">
        <v>0</v>
      </c>
      <c r="E2" s="6" t="s">
        <v>10</v>
      </c>
      <c r="F2" s="6" t="s">
        <v>11</v>
      </c>
      <c r="G2" s="10" t="s">
        <v>1</v>
      </c>
      <c r="H2" s="6" t="s">
        <v>15</v>
      </c>
      <c r="I2" s="6" t="s">
        <v>16</v>
      </c>
      <c r="J2" s="6" t="s">
        <v>12</v>
      </c>
      <c r="K2" s="12" t="s">
        <v>7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85</v>
      </c>
      <c r="Q2" s="6" t="s">
        <v>8</v>
      </c>
      <c r="R2" s="16" t="s">
        <v>6</v>
      </c>
      <c r="S2" s="16" t="s">
        <v>409</v>
      </c>
    </row>
    <row r="3" spans="2:19" s="33" customFormat="1" ht="33" hidden="1" customHeight="1">
      <c r="B3" s="47" t="s">
        <v>220</v>
      </c>
      <c r="C3" s="48" t="s">
        <v>309</v>
      </c>
      <c r="D3" s="49" t="s">
        <v>310</v>
      </c>
      <c r="E3" s="50">
        <v>43420</v>
      </c>
      <c r="F3" s="49" t="s">
        <v>79</v>
      </c>
      <c r="G3" s="51">
        <v>7000</v>
      </c>
      <c r="H3" s="52">
        <f t="shared" ref="H3:H23" si="0">SUM(G3/250)</f>
        <v>28</v>
      </c>
      <c r="I3" s="52">
        <f t="shared" ref="I3:I46" si="1">SUM(H3/4)</f>
        <v>7</v>
      </c>
      <c r="J3" s="49"/>
      <c r="K3" s="53">
        <v>43541</v>
      </c>
      <c r="L3" s="54" t="s">
        <v>388</v>
      </c>
      <c r="M3" s="55">
        <v>43542</v>
      </c>
      <c r="N3" s="56" t="s">
        <v>649</v>
      </c>
      <c r="O3" s="55">
        <v>43183</v>
      </c>
      <c r="P3" s="54" t="s">
        <v>753</v>
      </c>
      <c r="Q3" s="49"/>
      <c r="R3" s="57" t="s">
        <v>420</v>
      </c>
      <c r="S3" s="47"/>
    </row>
    <row r="4" spans="2:19" s="33" customFormat="1" ht="33" hidden="1" customHeight="1">
      <c r="B4" s="47" t="s">
        <v>78</v>
      </c>
      <c r="C4" s="48" t="s">
        <v>311</v>
      </c>
      <c r="D4" s="49" t="s">
        <v>312</v>
      </c>
      <c r="E4" s="50">
        <v>43420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43169</v>
      </c>
      <c r="L4" s="54" t="s">
        <v>343</v>
      </c>
      <c r="M4" s="55">
        <v>43528</v>
      </c>
      <c r="N4" s="56" t="s">
        <v>439</v>
      </c>
      <c r="O4" s="55">
        <v>43534</v>
      </c>
      <c r="P4" s="54"/>
      <c r="Q4" s="49" t="s">
        <v>82</v>
      </c>
      <c r="R4" s="57" t="s">
        <v>313</v>
      </c>
      <c r="S4" s="47"/>
    </row>
    <row r="5" spans="2:19" s="33" customFormat="1" ht="33" hidden="1" customHeight="1">
      <c r="B5" s="47" t="s">
        <v>78</v>
      </c>
      <c r="C5" s="48" t="s">
        <v>374</v>
      </c>
      <c r="D5" s="49" t="s">
        <v>375</v>
      </c>
      <c r="E5" s="50">
        <v>43455</v>
      </c>
      <c r="F5" s="49" t="s">
        <v>79</v>
      </c>
      <c r="G5" s="51">
        <v>21000</v>
      </c>
      <c r="H5" s="52">
        <f t="shared" si="0"/>
        <v>84</v>
      </c>
      <c r="I5" s="52">
        <f t="shared" si="1"/>
        <v>21</v>
      </c>
      <c r="J5" s="49"/>
      <c r="K5" s="53">
        <v>43541</v>
      </c>
      <c r="L5" s="54" t="s">
        <v>388</v>
      </c>
      <c r="M5" s="55">
        <v>43542</v>
      </c>
      <c r="N5" s="56" t="s">
        <v>649</v>
      </c>
      <c r="O5" s="55">
        <v>43183</v>
      </c>
      <c r="P5" s="54" t="s">
        <v>754</v>
      </c>
      <c r="Q5" s="49" t="s">
        <v>82</v>
      </c>
      <c r="R5" s="57" t="s">
        <v>376</v>
      </c>
      <c r="S5" s="47"/>
    </row>
    <row r="6" spans="2:19" s="33" customFormat="1" ht="33" hidden="1" customHeight="1">
      <c r="B6" s="47" t="s">
        <v>220</v>
      </c>
      <c r="C6" s="48" t="s">
        <v>377</v>
      </c>
      <c r="D6" s="49" t="s">
        <v>378</v>
      </c>
      <c r="E6" s="50">
        <v>43455</v>
      </c>
      <c r="F6" s="49" t="s">
        <v>91</v>
      </c>
      <c r="G6" s="51">
        <v>14000</v>
      </c>
      <c r="H6" s="52">
        <f t="shared" si="0"/>
        <v>56</v>
      </c>
      <c r="I6" s="52">
        <f t="shared" si="1"/>
        <v>14</v>
      </c>
      <c r="J6" s="49"/>
      <c r="K6" s="53">
        <v>43548</v>
      </c>
      <c r="L6" s="54" t="s">
        <v>802</v>
      </c>
      <c r="M6" s="55">
        <v>43563</v>
      </c>
      <c r="N6" s="56" t="s">
        <v>438</v>
      </c>
      <c r="O6" s="55">
        <v>43569</v>
      </c>
      <c r="P6" s="54" t="s">
        <v>839</v>
      </c>
      <c r="Q6" s="49"/>
      <c r="R6" s="57" t="s">
        <v>379</v>
      </c>
      <c r="S6" s="47"/>
    </row>
    <row r="7" spans="2:19" s="33" customFormat="1" ht="33" hidden="1" customHeight="1">
      <c r="B7" s="47" t="s">
        <v>78</v>
      </c>
      <c r="C7" s="48" t="s">
        <v>380</v>
      </c>
      <c r="D7" s="49" t="s">
        <v>381</v>
      </c>
      <c r="E7" s="50">
        <v>43455</v>
      </c>
      <c r="F7" s="49" t="s">
        <v>240</v>
      </c>
      <c r="G7" s="51">
        <v>40000</v>
      </c>
      <c r="H7" s="52">
        <f t="shared" si="0"/>
        <v>160</v>
      </c>
      <c r="I7" s="52">
        <f t="shared" si="1"/>
        <v>40</v>
      </c>
      <c r="J7" s="49"/>
      <c r="K7" s="53">
        <v>43555</v>
      </c>
      <c r="L7" s="54" t="s">
        <v>389</v>
      </c>
      <c r="M7" s="55">
        <v>43549</v>
      </c>
      <c r="N7" s="56" t="s">
        <v>752</v>
      </c>
      <c r="O7" s="55">
        <v>43555</v>
      </c>
      <c r="P7" s="54" t="s">
        <v>755</v>
      </c>
      <c r="Q7" s="49" t="s">
        <v>82</v>
      </c>
      <c r="R7" s="57" t="s">
        <v>382</v>
      </c>
      <c r="S7" s="47"/>
    </row>
    <row r="8" spans="2:19" s="33" customFormat="1" ht="33" hidden="1" customHeight="1">
      <c r="B8" s="47" t="s">
        <v>220</v>
      </c>
      <c r="C8" s="48" t="s">
        <v>421</v>
      </c>
      <c r="D8" s="49" t="s">
        <v>453</v>
      </c>
      <c r="E8" s="50">
        <v>43483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43576</v>
      </c>
      <c r="L8" s="54" t="s">
        <v>443</v>
      </c>
      <c r="M8" s="55">
        <v>43570</v>
      </c>
      <c r="N8" s="56" t="s">
        <v>440</v>
      </c>
      <c r="O8" s="55">
        <v>43576</v>
      </c>
      <c r="P8" s="54" t="s">
        <v>981</v>
      </c>
      <c r="Q8" s="49"/>
      <c r="R8" s="57" t="s">
        <v>454</v>
      </c>
      <c r="S8" s="47"/>
    </row>
    <row r="9" spans="2:19" s="30" customFormat="1" ht="33" hidden="1" customHeight="1">
      <c r="B9" s="46" t="s">
        <v>78</v>
      </c>
      <c r="C9" s="35" t="s">
        <v>422</v>
      </c>
      <c r="D9" s="36" t="s">
        <v>455</v>
      </c>
      <c r="E9" s="37">
        <v>43483</v>
      </c>
      <c r="F9" s="36" t="s">
        <v>91</v>
      </c>
      <c r="G9" s="39">
        <v>10000</v>
      </c>
      <c r="H9" s="38">
        <f>SUM(G9/250)</f>
        <v>40</v>
      </c>
      <c r="I9" s="38">
        <f t="shared" si="1"/>
        <v>10</v>
      </c>
      <c r="J9" s="36"/>
      <c r="K9" s="40">
        <v>43618</v>
      </c>
      <c r="L9" s="41" t="s">
        <v>442</v>
      </c>
      <c r="M9" s="42">
        <v>43612</v>
      </c>
      <c r="N9" s="43" t="s">
        <v>637</v>
      </c>
      <c r="O9" s="42">
        <v>43618</v>
      </c>
      <c r="P9" s="41" t="s">
        <v>2155</v>
      </c>
      <c r="Q9" s="36" t="s">
        <v>82</v>
      </c>
      <c r="R9" s="44" t="s">
        <v>616</v>
      </c>
      <c r="S9" s="46"/>
    </row>
    <row r="10" spans="2:19" s="30" customFormat="1" ht="33" hidden="1" customHeight="1">
      <c r="B10" s="46" t="s">
        <v>78</v>
      </c>
      <c r="C10" s="35" t="s">
        <v>617</v>
      </c>
      <c r="D10" s="36" t="s">
        <v>455</v>
      </c>
      <c r="E10" s="37">
        <v>43523</v>
      </c>
      <c r="F10" s="36" t="s">
        <v>91</v>
      </c>
      <c r="G10" s="39">
        <v>10000</v>
      </c>
      <c r="H10" s="38">
        <f>SUM(G10/250)</f>
        <v>40</v>
      </c>
      <c r="I10" s="38">
        <f>SUM(H10/4)</f>
        <v>10</v>
      </c>
      <c r="J10" s="36"/>
      <c r="K10" s="40">
        <v>43618</v>
      </c>
      <c r="L10" s="41" t="s">
        <v>638</v>
      </c>
      <c r="M10" s="42">
        <v>43612</v>
      </c>
      <c r="N10" s="43" t="s">
        <v>636</v>
      </c>
      <c r="O10" s="42">
        <v>43618</v>
      </c>
      <c r="P10" s="41" t="s">
        <v>2156</v>
      </c>
      <c r="Q10" s="36" t="s">
        <v>82</v>
      </c>
      <c r="R10" s="44" t="s">
        <v>618</v>
      </c>
      <c r="S10" s="46"/>
    </row>
    <row r="11" spans="2:19" s="30" customFormat="1" ht="33" hidden="1" customHeight="1">
      <c r="B11" s="46" t="s">
        <v>78</v>
      </c>
      <c r="C11" s="35" t="s">
        <v>1330</v>
      </c>
      <c r="D11" s="36" t="s">
        <v>1337</v>
      </c>
      <c r="E11" s="37">
        <v>43483</v>
      </c>
      <c r="F11" s="36" t="s">
        <v>91</v>
      </c>
      <c r="G11" s="39">
        <v>20000</v>
      </c>
      <c r="H11" s="38">
        <f>SUM(G11/250)</f>
        <v>80</v>
      </c>
      <c r="I11" s="38">
        <f t="shared" si="1"/>
        <v>20</v>
      </c>
      <c r="J11" s="36"/>
      <c r="K11" s="40">
        <v>43618</v>
      </c>
      <c r="L11" s="41" t="s">
        <v>442</v>
      </c>
      <c r="M11" s="42">
        <v>43612</v>
      </c>
      <c r="N11" s="43" t="s">
        <v>637</v>
      </c>
      <c r="O11" s="42">
        <v>43618</v>
      </c>
      <c r="P11" s="41" t="s">
        <v>2157</v>
      </c>
      <c r="Q11" s="36" t="s">
        <v>82</v>
      </c>
      <c r="R11" s="44" t="s">
        <v>616</v>
      </c>
      <c r="S11" s="46" t="s">
        <v>479</v>
      </c>
    </row>
    <row r="12" spans="2:19" s="33" customFormat="1" ht="33" hidden="1" customHeight="1">
      <c r="B12" s="47" t="s">
        <v>78</v>
      </c>
      <c r="C12" s="48" t="s">
        <v>423</v>
      </c>
      <c r="D12" s="49" t="s">
        <v>457</v>
      </c>
      <c r="E12" s="50">
        <v>43483</v>
      </c>
      <c r="F12" s="49" t="s">
        <v>79</v>
      </c>
      <c r="G12" s="51">
        <v>20000</v>
      </c>
      <c r="H12" s="52">
        <f t="shared" si="0"/>
        <v>80</v>
      </c>
      <c r="I12" s="52">
        <f t="shared" si="1"/>
        <v>20</v>
      </c>
      <c r="J12" s="49"/>
      <c r="K12" s="53">
        <v>43576</v>
      </c>
      <c r="L12" s="54" t="s">
        <v>443</v>
      </c>
      <c r="M12" s="55">
        <v>43570</v>
      </c>
      <c r="N12" s="56" t="s">
        <v>440</v>
      </c>
      <c r="O12" s="55">
        <v>43576</v>
      </c>
      <c r="P12" s="54" t="s">
        <v>982</v>
      </c>
      <c r="Q12" s="49" t="s">
        <v>82</v>
      </c>
      <c r="R12" s="57" t="s">
        <v>424</v>
      </c>
      <c r="S12" s="47"/>
    </row>
    <row r="13" spans="2:19" s="33" customFormat="1" ht="33" hidden="1" customHeight="1">
      <c r="B13" s="47" t="s">
        <v>220</v>
      </c>
      <c r="C13" s="48" t="s">
        <v>425</v>
      </c>
      <c r="D13" s="49" t="s">
        <v>459</v>
      </c>
      <c r="E13" s="50">
        <v>43483</v>
      </c>
      <c r="F13" s="49" t="s">
        <v>79</v>
      </c>
      <c r="G13" s="51">
        <v>20000</v>
      </c>
      <c r="H13" s="52">
        <f t="shared" si="0"/>
        <v>80</v>
      </c>
      <c r="I13" s="52">
        <f t="shared" si="1"/>
        <v>20</v>
      </c>
      <c r="J13" s="49"/>
      <c r="K13" s="53">
        <v>43583</v>
      </c>
      <c r="L13" s="54" t="s">
        <v>444</v>
      </c>
      <c r="M13" s="55">
        <v>43577</v>
      </c>
      <c r="N13" s="56" t="s">
        <v>441</v>
      </c>
      <c r="O13" s="55">
        <v>43583</v>
      </c>
      <c r="P13" s="54" t="s">
        <v>1568</v>
      </c>
      <c r="Q13" s="49"/>
      <c r="R13" s="57" t="s">
        <v>426</v>
      </c>
      <c r="S13" s="47"/>
    </row>
    <row r="14" spans="2:19" s="33" customFormat="1" ht="33" hidden="1" customHeight="1">
      <c r="B14" s="47" t="s">
        <v>78</v>
      </c>
      <c r="C14" s="48" t="s">
        <v>462</v>
      </c>
      <c r="D14" s="49" t="s">
        <v>483</v>
      </c>
      <c r="E14" s="50">
        <v>43490</v>
      </c>
      <c r="F14" s="49" t="s">
        <v>79</v>
      </c>
      <c r="G14" s="51">
        <v>20000</v>
      </c>
      <c r="H14" s="52">
        <f t="shared" si="0"/>
        <v>80</v>
      </c>
      <c r="I14" s="52">
        <f t="shared" si="1"/>
        <v>20</v>
      </c>
      <c r="J14" s="49"/>
      <c r="K14" s="53">
        <v>43583</v>
      </c>
      <c r="L14" s="54" t="s">
        <v>444</v>
      </c>
      <c r="M14" s="55">
        <v>43577</v>
      </c>
      <c r="N14" s="56" t="s">
        <v>441</v>
      </c>
      <c r="O14" s="55">
        <v>43583</v>
      </c>
      <c r="P14" s="54" t="s">
        <v>983</v>
      </c>
      <c r="Q14" s="49" t="s">
        <v>82</v>
      </c>
      <c r="R14" s="57" t="s">
        <v>463</v>
      </c>
      <c r="S14" s="47"/>
    </row>
    <row r="15" spans="2:19" s="33" customFormat="1" ht="33" hidden="1" customHeight="1">
      <c r="B15" s="47" t="s">
        <v>78</v>
      </c>
      <c r="C15" s="48" t="s">
        <v>570</v>
      </c>
      <c r="D15" s="49" t="s">
        <v>571</v>
      </c>
      <c r="E15" s="50">
        <v>43519</v>
      </c>
      <c r="F15" s="49" t="s">
        <v>79</v>
      </c>
      <c r="G15" s="51">
        <v>20000</v>
      </c>
      <c r="H15" s="52">
        <f t="shared" si="0"/>
        <v>80</v>
      </c>
      <c r="I15" s="52">
        <f t="shared" si="1"/>
        <v>20</v>
      </c>
      <c r="J15" s="49"/>
      <c r="K15" s="53">
        <v>43590</v>
      </c>
      <c r="L15" s="54" t="s">
        <v>602</v>
      </c>
      <c r="M15" s="55">
        <v>43577</v>
      </c>
      <c r="N15" s="56" t="s">
        <v>441</v>
      </c>
      <c r="O15" s="55">
        <v>43583</v>
      </c>
      <c r="P15" s="54" t="s">
        <v>984</v>
      </c>
      <c r="Q15" s="49" t="s">
        <v>82</v>
      </c>
      <c r="R15" s="57" t="s">
        <v>572</v>
      </c>
      <c r="S15" s="47"/>
    </row>
    <row r="16" spans="2:19" s="30" customFormat="1" ht="33" hidden="1" customHeight="1">
      <c r="B16" s="46" t="s">
        <v>78</v>
      </c>
      <c r="C16" s="35" t="s">
        <v>573</v>
      </c>
      <c r="D16" s="36" t="s">
        <v>574</v>
      </c>
      <c r="E16" s="37">
        <v>43519</v>
      </c>
      <c r="F16" s="36" t="s">
        <v>79</v>
      </c>
      <c r="G16" s="39">
        <v>20000</v>
      </c>
      <c r="H16" s="38">
        <f>SUM(G16/250)</f>
        <v>80</v>
      </c>
      <c r="I16" s="38">
        <f>SUM(H16/4)</f>
        <v>20</v>
      </c>
      <c r="J16" s="36"/>
      <c r="K16" s="40">
        <v>43604</v>
      </c>
      <c r="L16" s="41" t="s">
        <v>757</v>
      </c>
      <c r="M16" s="42">
        <v>43598</v>
      </c>
      <c r="N16" s="43" t="s">
        <v>756</v>
      </c>
      <c r="O16" s="42">
        <v>43604</v>
      </c>
      <c r="P16" s="41" t="s">
        <v>1811</v>
      </c>
      <c r="Q16" s="36" t="s">
        <v>82</v>
      </c>
      <c r="R16" s="44" t="s">
        <v>575</v>
      </c>
      <c r="S16" s="46"/>
    </row>
    <row r="17" spans="2:19" s="30" customFormat="1" ht="33" hidden="1" customHeight="1">
      <c r="B17" s="46" t="s">
        <v>78</v>
      </c>
      <c r="C17" s="35" t="s">
        <v>785</v>
      </c>
      <c r="D17" s="36" t="s">
        <v>577</v>
      </c>
      <c r="E17" s="37">
        <v>43519</v>
      </c>
      <c r="F17" s="36" t="s">
        <v>91</v>
      </c>
      <c r="G17" s="39">
        <v>10000</v>
      </c>
      <c r="H17" s="38">
        <f>SUM(G17/250)</f>
        <v>40</v>
      </c>
      <c r="I17" s="38">
        <f>SUM(H17/4)</f>
        <v>10</v>
      </c>
      <c r="J17" s="36"/>
      <c r="K17" s="40">
        <v>43598</v>
      </c>
      <c r="L17" s="41" t="s">
        <v>803</v>
      </c>
      <c r="M17" s="42">
        <v>43598</v>
      </c>
      <c r="N17" s="43" t="s">
        <v>804</v>
      </c>
      <c r="O17" s="42">
        <v>43604</v>
      </c>
      <c r="P17" s="41" t="s">
        <v>1812</v>
      </c>
      <c r="Q17" s="36" t="s">
        <v>82</v>
      </c>
      <c r="R17" s="44" t="s">
        <v>786</v>
      </c>
      <c r="S17" s="46"/>
    </row>
    <row r="18" spans="2:19" s="30" customFormat="1" ht="33" hidden="1" customHeight="1">
      <c r="B18" s="46" t="s">
        <v>220</v>
      </c>
      <c r="C18" s="35" t="s">
        <v>579</v>
      </c>
      <c r="D18" s="36" t="s">
        <v>580</v>
      </c>
      <c r="E18" s="37">
        <v>43519</v>
      </c>
      <c r="F18" s="36" t="s">
        <v>79</v>
      </c>
      <c r="G18" s="39">
        <v>10000</v>
      </c>
      <c r="H18" s="38">
        <f>SUM(G18/250)</f>
        <v>40</v>
      </c>
      <c r="I18" s="38">
        <f>SUM(H18/4)</f>
        <v>10</v>
      </c>
      <c r="J18" s="36"/>
      <c r="K18" s="40">
        <v>43598</v>
      </c>
      <c r="L18" s="41" t="s">
        <v>803</v>
      </c>
      <c r="M18" s="42">
        <v>43598</v>
      </c>
      <c r="N18" s="43" t="s">
        <v>804</v>
      </c>
      <c r="O18" s="42">
        <v>43604</v>
      </c>
      <c r="P18" s="41" t="s">
        <v>1813</v>
      </c>
      <c r="Q18" s="36"/>
      <c r="R18" s="44" t="s">
        <v>787</v>
      </c>
      <c r="S18" s="46"/>
    </row>
    <row r="19" spans="2:19" s="30" customFormat="1" ht="33" hidden="1" customHeight="1">
      <c r="B19" s="46" t="s">
        <v>78</v>
      </c>
      <c r="C19" s="35" t="s">
        <v>576</v>
      </c>
      <c r="D19" s="36" t="s">
        <v>577</v>
      </c>
      <c r="E19" s="37">
        <v>43519</v>
      </c>
      <c r="F19" s="36" t="s">
        <v>79</v>
      </c>
      <c r="G19" s="39">
        <v>20000</v>
      </c>
      <c r="H19" s="38">
        <f>SUM(G19/250)</f>
        <v>80</v>
      </c>
      <c r="I19" s="38">
        <f>SUM(H19/4)</f>
        <v>20</v>
      </c>
      <c r="J19" s="36"/>
      <c r="K19" s="40">
        <v>43611</v>
      </c>
      <c r="L19" s="41" t="s">
        <v>604</v>
      </c>
      <c r="M19" s="42">
        <v>43605</v>
      </c>
      <c r="N19" s="43" t="s">
        <v>639</v>
      </c>
      <c r="O19" s="42">
        <v>43611</v>
      </c>
      <c r="P19" s="41" t="s">
        <v>1858</v>
      </c>
      <c r="Q19" s="36" t="s">
        <v>82</v>
      </c>
      <c r="R19" s="44" t="s">
        <v>578</v>
      </c>
      <c r="S19" s="46"/>
    </row>
    <row r="20" spans="2:19" s="30" customFormat="1" ht="33" hidden="1" customHeight="1">
      <c r="B20" s="46" t="s">
        <v>78</v>
      </c>
      <c r="C20" s="35" t="s">
        <v>685</v>
      </c>
      <c r="D20" s="36" t="s">
        <v>686</v>
      </c>
      <c r="E20" s="37">
        <v>43532</v>
      </c>
      <c r="F20" s="36" t="s">
        <v>79</v>
      </c>
      <c r="G20" s="39">
        <v>20000</v>
      </c>
      <c r="H20" s="38">
        <f>SUM(G20/250)</f>
        <v>80</v>
      </c>
      <c r="I20" s="38">
        <f>SUM(H20/4)</f>
        <v>20</v>
      </c>
      <c r="J20" s="36"/>
      <c r="K20" s="40">
        <v>43625</v>
      </c>
      <c r="L20" s="41" t="s">
        <v>761</v>
      </c>
      <c r="M20" s="42">
        <v>43619</v>
      </c>
      <c r="N20" s="43" t="s">
        <v>758</v>
      </c>
      <c r="O20" s="42">
        <v>43625</v>
      </c>
      <c r="P20" s="41"/>
      <c r="Q20" s="36" t="s">
        <v>82</v>
      </c>
      <c r="R20" s="44" t="s">
        <v>687</v>
      </c>
      <c r="S20" s="46"/>
    </row>
    <row r="21" spans="2:19" s="30" customFormat="1" ht="33" hidden="1" customHeight="1">
      <c r="B21" s="46" t="s">
        <v>78</v>
      </c>
      <c r="C21" s="35" t="s">
        <v>1332</v>
      </c>
      <c r="D21" s="36" t="s">
        <v>1366</v>
      </c>
      <c r="E21" s="37">
        <v>43532</v>
      </c>
      <c r="F21" s="36" t="s">
        <v>79</v>
      </c>
      <c r="G21" s="39">
        <v>20000</v>
      </c>
      <c r="H21" s="38">
        <f t="shared" ref="H21" si="2">SUM(G21/250)</f>
        <v>80</v>
      </c>
      <c r="I21" s="38">
        <f t="shared" si="1"/>
        <v>20</v>
      </c>
      <c r="J21" s="36"/>
      <c r="K21" s="40">
        <v>43625</v>
      </c>
      <c r="L21" s="41" t="s">
        <v>761</v>
      </c>
      <c r="M21" s="42">
        <v>43619</v>
      </c>
      <c r="N21" s="43" t="s">
        <v>758</v>
      </c>
      <c r="O21" s="42">
        <v>43625</v>
      </c>
      <c r="P21" s="41"/>
      <c r="Q21" s="36" t="s">
        <v>82</v>
      </c>
      <c r="R21" s="44" t="s">
        <v>687</v>
      </c>
      <c r="S21" s="46" t="s">
        <v>479</v>
      </c>
    </row>
    <row r="22" spans="2:19" s="30" customFormat="1" ht="33" hidden="1" customHeight="1">
      <c r="B22" s="46" t="s">
        <v>220</v>
      </c>
      <c r="C22" s="35" t="s">
        <v>688</v>
      </c>
      <c r="D22" s="36" t="s">
        <v>689</v>
      </c>
      <c r="E22" s="37">
        <v>43532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43632</v>
      </c>
      <c r="L22" s="41" t="s">
        <v>762</v>
      </c>
      <c r="M22" s="42">
        <v>43626</v>
      </c>
      <c r="N22" s="43" t="s">
        <v>759</v>
      </c>
      <c r="O22" s="42">
        <v>43632</v>
      </c>
      <c r="P22" s="41" t="s">
        <v>1820</v>
      </c>
      <c r="Q22" s="36"/>
      <c r="R22" s="44" t="s">
        <v>690</v>
      </c>
      <c r="S22" s="46"/>
    </row>
    <row r="23" spans="2:19" s="30" customFormat="1" ht="33" hidden="1" customHeight="1">
      <c r="B23" s="46" t="s">
        <v>78</v>
      </c>
      <c r="C23" s="35" t="s">
        <v>691</v>
      </c>
      <c r="D23" s="36" t="s">
        <v>692</v>
      </c>
      <c r="E23" s="37">
        <v>43532</v>
      </c>
      <c r="F23" s="36" t="s">
        <v>79</v>
      </c>
      <c r="G23" s="39">
        <v>20000</v>
      </c>
      <c r="H23" s="38">
        <f t="shared" si="0"/>
        <v>80</v>
      </c>
      <c r="I23" s="38">
        <f t="shared" si="1"/>
        <v>20</v>
      </c>
      <c r="J23" s="36"/>
      <c r="K23" s="40">
        <v>43639</v>
      </c>
      <c r="L23" s="41" t="s">
        <v>763</v>
      </c>
      <c r="M23" s="42">
        <v>43633</v>
      </c>
      <c r="N23" s="43" t="s">
        <v>760</v>
      </c>
      <c r="O23" s="42">
        <v>43639</v>
      </c>
      <c r="P23" s="41"/>
      <c r="Q23" s="36" t="s">
        <v>82</v>
      </c>
      <c r="R23" s="44" t="s">
        <v>693</v>
      </c>
      <c r="S23" s="46"/>
    </row>
    <row r="24" spans="2:19" s="30" customFormat="1" ht="33" hidden="1" customHeight="1">
      <c r="B24" s="46" t="s">
        <v>78</v>
      </c>
      <c r="C24" s="35" t="s">
        <v>1816</v>
      </c>
      <c r="D24" s="36" t="s">
        <v>1156</v>
      </c>
      <c r="E24" s="37">
        <v>43566</v>
      </c>
      <c r="F24" s="36" t="s">
        <v>79</v>
      </c>
      <c r="G24" s="39">
        <v>6000</v>
      </c>
      <c r="H24" s="38">
        <f>SUM(G24/250)</f>
        <v>24</v>
      </c>
      <c r="I24" s="38">
        <f>SUM(H24/4)</f>
        <v>6</v>
      </c>
      <c r="J24" s="36"/>
      <c r="K24" s="40">
        <v>43611</v>
      </c>
      <c r="L24" s="41" t="s">
        <v>603</v>
      </c>
      <c r="M24" s="42">
        <v>43605</v>
      </c>
      <c r="N24" s="43" t="s">
        <v>1080</v>
      </c>
      <c r="O24" s="42">
        <v>43611</v>
      </c>
      <c r="P24" s="41" t="s">
        <v>1859</v>
      </c>
      <c r="Q24" s="36" t="s">
        <v>82</v>
      </c>
      <c r="R24" s="44" t="s">
        <v>1605</v>
      </c>
      <c r="S24" s="46"/>
    </row>
    <row r="25" spans="2:19" s="30" customFormat="1" ht="33" hidden="1" customHeight="1">
      <c r="B25" s="46" t="s">
        <v>1817</v>
      </c>
      <c r="C25" s="35" t="s">
        <v>986</v>
      </c>
      <c r="D25" s="36" t="s">
        <v>1156</v>
      </c>
      <c r="E25" s="37">
        <v>43566</v>
      </c>
      <c r="F25" s="36" t="s">
        <v>79</v>
      </c>
      <c r="G25" s="39">
        <v>14000</v>
      </c>
      <c r="H25" s="38">
        <f>SUM(G25/250)</f>
        <v>56</v>
      </c>
      <c r="I25" s="38">
        <f>SUM(H25/4)</f>
        <v>14</v>
      </c>
      <c r="J25" s="36"/>
      <c r="K25" s="40">
        <v>43611</v>
      </c>
      <c r="L25" s="41" t="s">
        <v>603</v>
      </c>
      <c r="M25" s="42">
        <v>43605</v>
      </c>
      <c r="N25" s="43" t="s">
        <v>1080</v>
      </c>
      <c r="O25" s="42">
        <v>43611</v>
      </c>
      <c r="P25" s="41" t="s">
        <v>1824</v>
      </c>
      <c r="Q25" s="36"/>
      <c r="R25" s="44" t="s">
        <v>1605</v>
      </c>
      <c r="S25" s="46"/>
    </row>
    <row r="26" spans="2:19" s="30" customFormat="1" ht="33" hidden="1" customHeight="1">
      <c r="B26" s="46" t="s">
        <v>78</v>
      </c>
      <c r="C26" s="35" t="s">
        <v>988</v>
      </c>
      <c r="D26" s="36" t="s">
        <v>1158</v>
      </c>
      <c r="E26" s="37">
        <v>43566</v>
      </c>
      <c r="F26" s="36" t="s">
        <v>79</v>
      </c>
      <c r="G26" s="39">
        <v>20000</v>
      </c>
      <c r="H26" s="38">
        <f t="shared" ref="H26:H38" si="3">SUM(G26/250)</f>
        <v>80</v>
      </c>
      <c r="I26" s="38">
        <f t="shared" si="1"/>
        <v>20</v>
      </c>
      <c r="J26" s="36"/>
      <c r="K26" s="40">
        <v>43632</v>
      </c>
      <c r="L26" s="41" t="s">
        <v>1081</v>
      </c>
      <c r="M26" s="42">
        <v>43626</v>
      </c>
      <c r="N26" s="43" t="s">
        <v>1082</v>
      </c>
      <c r="O26" s="42">
        <v>43632</v>
      </c>
      <c r="P26" s="41"/>
      <c r="Q26" s="36" t="s">
        <v>82</v>
      </c>
      <c r="R26" s="44" t="s">
        <v>989</v>
      </c>
      <c r="S26" s="46"/>
    </row>
    <row r="27" spans="2:19" s="30" customFormat="1" ht="33" hidden="1" customHeight="1">
      <c r="B27" s="46" t="s">
        <v>78</v>
      </c>
      <c r="C27" s="35" t="s">
        <v>1160</v>
      </c>
      <c r="D27" s="36" t="s">
        <v>1161</v>
      </c>
      <c r="E27" s="37">
        <v>43567</v>
      </c>
      <c r="F27" s="36" t="s">
        <v>63</v>
      </c>
      <c r="G27" s="39">
        <v>40000</v>
      </c>
      <c r="H27" s="38">
        <f t="shared" si="3"/>
        <v>160</v>
      </c>
      <c r="I27" s="38">
        <f t="shared" si="1"/>
        <v>40</v>
      </c>
      <c r="J27" s="36"/>
      <c r="K27" s="40">
        <v>43646</v>
      </c>
      <c r="L27" s="41" t="s">
        <v>1316</v>
      </c>
      <c r="M27" s="42">
        <v>43640</v>
      </c>
      <c r="N27" s="43" t="s">
        <v>1308</v>
      </c>
      <c r="O27" s="42">
        <v>43646</v>
      </c>
      <c r="P27" s="41"/>
      <c r="Q27" s="36" t="s">
        <v>82</v>
      </c>
      <c r="R27" s="44" t="s">
        <v>2141</v>
      </c>
      <c r="S27" s="46" t="s">
        <v>2140</v>
      </c>
    </row>
    <row r="28" spans="2:19" s="30" customFormat="1" ht="33" hidden="1" customHeight="1">
      <c r="B28" s="46" t="s">
        <v>220</v>
      </c>
      <c r="C28" s="35" t="s">
        <v>1163</v>
      </c>
      <c r="D28" s="36" t="s">
        <v>1164</v>
      </c>
      <c r="E28" s="37">
        <v>43567</v>
      </c>
      <c r="F28" s="36" t="s">
        <v>79</v>
      </c>
      <c r="G28" s="39">
        <v>20000</v>
      </c>
      <c r="H28" s="38">
        <f t="shared" si="3"/>
        <v>80</v>
      </c>
      <c r="I28" s="38">
        <f t="shared" si="1"/>
        <v>20</v>
      </c>
      <c r="J28" s="36"/>
      <c r="K28" s="40">
        <v>43646</v>
      </c>
      <c r="L28" s="41" t="s">
        <v>1316</v>
      </c>
      <c r="M28" s="42">
        <v>43640</v>
      </c>
      <c r="N28" s="43" t="s">
        <v>1308</v>
      </c>
      <c r="O28" s="42">
        <v>43646</v>
      </c>
      <c r="P28" s="41"/>
      <c r="Q28" s="36"/>
      <c r="R28" s="44" t="s">
        <v>2139</v>
      </c>
      <c r="S28" s="46" t="s">
        <v>2140</v>
      </c>
    </row>
    <row r="29" spans="2:19" s="30" customFormat="1" ht="33" hidden="1" customHeight="1">
      <c r="B29" s="46" t="s">
        <v>78</v>
      </c>
      <c r="C29" s="35" t="s">
        <v>1166</v>
      </c>
      <c r="D29" s="36" t="s">
        <v>1167</v>
      </c>
      <c r="E29" s="37">
        <v>43567</v>
      </c>
      <c r="F29" s="36" t="s">
        <v>79</v>
      </c>
      <c r="G29" s="39">
        <v>20000</v>
      </c>
      <c r="H29" s="38">
        <f t="shared" si="3"/>
        <v>80</v>
      </c>
      <c r="I29" s="38">
        <f t="shared" si="1"/>
        <v>20</v>
      </c>
      <c r="J29" s="36"/>
      <c r="K29" s="40">
        <v>43653</v>
      </c>
      <c r="L29" s="41" t="s">
        <v>1317</v>
      </c>
      <c r="M29" s="42">
        <v>43647</v>
      </c>
      <c r="N29" s="43" t="s">
        <v>1309</v>
      </c>
      <c r="O29" s="42">
        <v>43653</v>
      </c>
      <c r="P29" s="41"/>
      <c r="Q29" s="36" t="s">
        <v>82</v>
      </c>
      <c r="R29" s="44" t="s">
        <v>2142</v>
      </c>
      <c r="S29" s="46" t="s">
        <v>2140</v>
      </c>
    </row>
    <row r="30" spans="2:19" s="30" customFormat="1" ht="33" hidden="1" customHeight="1">
      <c r="B30" s="46" t="s">
        <v>78</v>
      </c>
      <c r="C30" s="35" t="s">
        <v>1169</v>
      </c>
      <c r="D30" s="36" t="s">
        <v>1170</v>
      </c>
      <c r="E30" s="37">
        <v>43567</v>
      </c>
      <c r="F30" s="36" t="s">
        <v>79</v>
      </c>
      <c r="G30" s="39">
        <v>20000</v>
      </c>
      <c r="H30" s="38">
        <f t="shared" si="3"/>
        <v>80</v>
      </c>
      <c r="I30" s="38">
        <f t="shared" si="1"/>
        <v>20</v>
      </c>
      <c r="J30" s="36"/>
      <c r="K30" s="40">
        <v>43660</v>
      </c>
      <c r="L30" s="41" t="s">
        <v>1318</v>
      </c>
      <c r="M30" s="42">
        <v>43654</v>
      </c>
      <c r="N30" s="43" t="s">
        <v>1310</v>
      </c>
      <c r="O30" s="42">
        <v>43660</v>
      </c>
      <c r="P30" s="41"/>
      <c r="Q30" s="36" t="s">
        <v>82</v>
      </c>
      <c r="R30" s="44" t="s">
        <v>1171</v>
      </c>
      <c r="S30" s="46"/>
    </row>
    <row r="31" spans="2:19" s="30" customFormat="1" ht="33" hidden="1" customHeight="1">
      <c r="B31" s="46" t="s">
        <v>78</v>
      </c>
      <c r="C31" s="35" t="s">
        <v>1172</v>
      </c>
      <c r="D31" s="36" t="s">
        <v>1173</v>
      </c>
      <c r="E31" s="37">
        <v>43567</v>
      </c>
      <c r="F31" s="36" t="s">
        <v>79</v>
      </c>
      <c r="G31" s="39">
        <v>20000</v>
      </c>
      <c r="H31" s="38">
        <f t="shared" si="3"/>
        <v>80</v>
      </c>
      <c r="I31" s="38">
        <f t="shared" si="1"/>
        <v>20</v>
      </c>
      <c r="J31" s="36"/>
      <c r="K31" s="40">
        <v>43667</v>
      </c>
      <c r="L31" s="41" t="s">
        <v>1320</v>
      </c>
      <c r="M31" s="42">
        <v>43658</v>
      </c>
      <c r="N31" s="43" t="s">
        <v>1311</v>
      </c>
      <c r="O31" s="42">
        <v>43667</v>
      </c>
      <c r="P31" s="41"/>
      <c r="Q31" s="36" t="s">
        <v>82</v>
      </c>
      <c r="R31" s="44" t="s">
        <v>1174</v>
      </c>
      <c r="S31" s="46"/>
    </row>
    <row r="32" spans="2:19" s="30" customFormat="1" ht="33" hidden="1" customHeight="1">
      <c r="B32" s="46" t="s">
        <v>220</v>
      </c>
      <c r="C32" s="35" t="s">
        <v>1175</v>
      </c>
      <c r="D32" s="36" t="s">
        <v>1176</v>
      </c>
      <c r="E32" s="37">
        <v>43567</v>
      </c>
      <c r="F32" s="36" t="s">
        <v>79</v>
      </c>
      <c r="G32" s="39">
        <v>20000</v>
      </c>
      <c r="H32" s="38">
        <f t="shared" si="3"/>
        <v>80</v>
      </c>
      <c r="I32" s="38">
        <f t="shared" si="1"/>
        <v>20</v>
      </c>
      <c r="J32" s="36"/>
      <c r="K32" s="40">
        <v>43667</v>
      </c>
      <c r="L32" s="41" t="s">
        <v>1319</v>
      </c>
      <c r="M32" s="42">
        <v>43658</v>
      </c>
      <c r="N32" s="43" t="s">
        <v>1311</v>
      </c>
      <c r="O32" s="42">
        <v>43667</v>
      </c>
      <c r="P32" s="41"/>
      <c r="Q32" s="36"/>
      <c r="R32" s="44" t="s">
        <v>1177</v>
      </c>
      <c r="S32" s="46"/>
    </row>
    <row r="33" spans="2:19" s="30" customFormat="1" ht="33" hidden="1" customHeight="1">
      <c r="B33" s="46" t="s">
        <v>78</v>
      </c>
      <c r="C33" s="35" t="s">
        <v>1178</v>
      </c>
      <c r="D33" s="36" t="s">
        <v>1179</v>
      </c>
      <c r="E33" s="37">
        <v>43567</v>
      </c>
      <c r="F33" s="36" t="s">
        <v>91</v>
      </c>
      <c r="G33" s="39">
        <v>10000</v>
      </c>
      <c r="H33" s="38">
        <f t="shared" si="3"/>
        <v>40</v>
      </c>
      <c r="I33" s="38">
        <f t="shared" si="1"/>
        <v>10</v>
      </c>
      <c r="J33" s="36"/>
      <c r="K33" s="40">
        <v>43674</v>
      </c>
      <c r="L33" s="41" t="s">
        <v>1322</v>
      </c>
      <c r="M33" s="42">
        <v>43668</v>
      </c>
      <c r="N33" s="43" t="s">
        <v>1312</v>
      </c>
      <c r="O33" s="42">
        <v>43674</v>
      </c>
      <c r="P33" s="41"/>
      <c r="Q33" s="36" t="s">
        <v>82</v>
      </c>
      <c r="R33" s="44" t="s">
        <v>2271</v>
      </c>
      <c r="S33" s="46"/>
    </row>
    <row r="34" spans="2:19" s="30" customFormat="1" ht="33" hidden="1" customHeight="1">
      <c r="B34" s="46" t="s">
        <v>220</v>
      </c>
      <c r="C34" s="35" t="s">
        <v>1181</v>
      </c>
      <c r="D34" s="36" t="s">
        <v>1182</v>
      </c>
      <c r="E34" s="37">
        <v>43567</v>
      </c>
      <c r="F34" s="36" t="s">
        <v>91</v>
      </c>
      <c r="G34" s="39">
        <v>10000</v>
      </c>
      <c r="H34" s="38">
        <f t="shared" si="3"/>
        <v>40</v>
      </c>
      <c r="I34" s="38">
        <f t="shared" si="1"/>
        <v>10</v>
      </c>
      <c r="J34" s="36"/>
      <c r="K34" s="40">
        <v>43674</v>
      </c>
      <c r="L34" s="41" t="s">
        <v>1321</v>
      </c>
      <c r="M34" s="42">
        <v>43668</v>
      </c>
      <c r="N34" s="43" t="s">
        <v>1312</v>
      </c>
      <c r="O34" s="42">
        <v>43674</v>
      </c>
      <c r="P34" s="41"/>
      <c r="Q34" s="36"/>
      <c r="R34" s="44" t="s">
        <v>1183</v>
      </c>
      <c r="S34" s="46"/>
    </row>
    <row r="35" spans="2:19" s="30" customFormat="1" ht="33" hidden="1" customHeight="1">
      <c r="B35" s="122" t="s">
        <v>78</v>
      </c>
      <c r="C35" s="126" t="s">
        <v>2273</v>
      </c>
      <c r="D35" s="127" t="s">
        <v>2274</v>
      </c>
      <c r="E35" s="128">
        <v>43602</v>
      </c>
      <c r="F35" s="127" t="s">
        <v>79</v>
      </c>
      <c r="G35" s="129">
        <v>20000</v>
      </c>
      <c r="H35" s="124">
        <f t="shared" si="3"/>
        <v>80</v>
      </c>
      <c r="I35" s="124">
        <f t="shared" ref="I35:I38" si="4">SUM(H35/4)</f>
        <v>20</v>
      </c>
      <c r="J35" s="127"/>
      <c r="K35" s="130">
        <v>43688</v>
      </c>
      <c r="L35" s="119" t="s">
        <v>2503</v>
      </c>
      <c r="M35" s="120">
        <v>43682</v>
      </c>
      <c r="N35" s="121" t="s">
        <v>2493</v>
      </c>
      <c r="O35" s="120">
        <v>43688</v>
      </c>
      <c r="P35" s="119"/>
      <c r="Q35" s="127" t="s">
        <v>82</v>
      </c>
      <c r="R35" s="125" t="s">
        <v>2275</v>
      </c>
      <c r="S35" s="122"/>
    </row>
    <row r="36" spans="2:19" s="30" customFormat="1" ht="33" hidden="1" customHeight="1">
      <c r="B36" s="122" t="s">
        <v>78</v>
      </c>
      <c r="C36" s="126" t="s">
        <v>2276</v>
      </c>
      <c r="D36" s="127" t="s">
        <v>2277</v>
      </c>
      <c r="E36" s="128">
        <v>43602</v>
      </c>
      <c r="F36" s="127" t="s">
        <v>79</v>
      </c>
      <c r="G36" s="129">
        <v>20000</v>
      </c>
      <c r="H36" s="124">
        <f t="shared" si="3"/>
        <v>80</v>
      </c>
      <c r="I36" s="124">
        <f t="shared" si="4"/>
        <v>20</v>
      </c>
      <c r="J36" s="127"/>
      <c r="K36" s="130">
        <v>43695</v>
      </c>
      <c r="L36" s="119" t="s">
        <v>2503</v>
      </c>
      <c r="M36" s="120">
        <v>43682</v>
      </c>
      <c r="N36" s="121" t="s">
        <v>2493</v>
      </c>
      <c r="O36" s="120">
        <v>43688</v>
      </c>
      <c r="P36" s="119"/>
      <c r="Q36" s="127" t="s">
        <v>82</v>
      </c>
      <c r="R36" s="125" t="s">
        <v>2278</v>
      </c>
      <c r="S36" s="122"/>
    </row>
    <row r="37" spans="2:19" s="30" customFormat="1" ht="33" hidden="1" customHeight="1">
      <c r="B37" s="122" t="s">
        <v>220</v>
      </c>
      <c r="C37" s="126" t="s">
        <v>2279</v>
      </c>
      <c r="D37" s="127" t="s">
        <v>2280</v>
      </c>
      <c r="E37" s="128">
        <v>43602</v>
      </c>
      <c r="F37" s="127" t="s">
        <v>79</v>
      </c>
      <c r="G37" s="129">
        <v>20000</v>
      </c>
      <c r="H37" s="124">
        <f t="shared" si="3"/>
        <v>80</v>
      </c>
      <c r="I37" s="124">
        <f t="shared" si="4"/>
        <v>20</v>
      </c>
      <c r="J37" s="127"/>
      <c r="K37" s="130">
        <v>43695</v>
      </c>
      <c r="L37" s="119" t="s">
        <v>2503</v>
      </c>
      <c r="M37" s="120">
        <v>43682</v>
      </c>
      <c r="N37" s="121" t="s">
        <v>2493</v>
      </c>
      <c r="O37" s="120">
        <v>43688</v>
      </c>
      <c r="P37" s="119"/>
      <c r="Q37" s="127"/>
      <c r="R37" s="125" t="s">
        <v>2281</v>
      </c>
      <c r="S37" s="122"/>
    </row>
    <row r="38" spans="2:19" s="30" customFormat="1" ht="33" hidden="1" customHeight="1">
      <c r="B38" s="46" t="s">
        <v>78</v>
      </c>
      <c r="C38" s="35" t="s">
        <v>2282</v>
      </c>
      <c r="D38" s="36" t="s">
        <v>2283</v>
      </c>
      <c r="E38" s="37">
        <v>43602</v>
      </c>
      <c r="F38" s="36" t="s">
        <v>79</v>
      </c>
      <c r="G38" s="39">
        <v>20000</v>
      </c>
      <c r="H38" s="38">
        <f t="shared" si="3"/>
        <v>80</v>
      </c>
      <c r="I38" s="38">
        <f t="shared" si="4"/>
        <v>20</v>
      </c>
      <c r="J38" s="36"/>
      <c r="K38" s="40">
        <v>43709</v>
      </c>
      <c r="L38" s="41" t="s">
        <v>2504</v>
      </c>
      <c r="M38" s="42">
        <v>43703</v>
      </c>
      <c r="N38" s="43" t="s">
        <v>2494</v>
      </c>
      <c r="O38" s="42">
        <v>43709</v>
      </c>
      <c r="P38" s="41"/>
      <c r="Q38" s="36" t="s">
        <v>82</v>
      </c>
      <c r="R38" s="44" t="s">
        <v>2284</v>
      </c>
      <c r="S38" s="46"/>
    </row>
    <row r="39" spans="2:19" s="96" customFormat="1" ht="33" hidden="1" customHeight="1">
      <c r="B39" s="47" t="s">
        <v>17</v>
      </c>
      <c r="C39" s="48" t="s">
        <v>361</v>
      </c>
      <c r="D39" s="49" t="s">
        <v>384</v>
      </c>
      <c r="E39" s="50">
        <v>43441</v>
      </c>
      <c r="F39" s="52" t="s">
        <v>84</v>
      </c>
      <c r="G39" s="51">
        <v>9200</v>
      </c>
      <c r="H39" s="52">
        <f t="shared" ref="H39:H46" si="5">SUM(G39/230)</f>
        <v>40</v>
      </c>
      <c r="I39" s="52">
        <f t="shared" si="1"/>
        <v>10</v>
      </c>
      <c r="J39" s="49"/>
      <c r="K39" s="53">
        <v>43548</v>
      </c>
      <c r="L39" s="54" t="s">
        <v>476</v>
      </c>
      <c r="M39" s="55">
        <v>43543</v>
      </c>
      <c r="N39" s="56" t="s">
        <v>400</v>
      </c>
      <c r="O39" s="55">
        <v>43548</v>
      </c>
      <c r="P39" s="58"/>
      <c r="Q39" s="52" t="s">
        <v>82</v>
      </c>
      <c r="R39" s="57" t="s">
        <v>362</v>
      </c>
      <c r="S39" s="47"/>
    </row>
    <row r="40" spans="2:19" s="96" customFormat="1" ht="33" hidden="1" customHeight="1">
      <c r="B40" s="47" t="s">
        <v>17</v>
      </c>
      <c r="C40" s="48" t="s">
        <v>427</v>
      </c>
      <c r="D40" s="49" t="s">
        <v>491</v>
      </c>
      <c r="E40" s="50">
        <v>43483</v>
      </c>
      <c r="F40" s="52" t="s">
        <v>84</v>
      </c>
      <c r="G40" s="51">
        <v>9200</v>
      </c>
      <c r="H40" s="52">
        <f t="shared" si="5"/>
        <v>40</v>
      </c>
      <c r="I40" s="52">
        <f t="shared" si="1"/>
        <v>10</v>
      </c>
      <c r="J40" s="49"/>
      <c r="K40" s="53">
        <v>43576</v>
      </c>
      <c r="L40" s="54" t="s">
        <v>446</v>
      </c>
      <c r="M40" s="55">
        <v>43571</v>
      </c>
      <c r="N40" s="56" t="s">
        <v>445</v>
      </c>
      <c r="O40" s="55">
        <v>43576</v>
      </c>
      <c r="P40" s="58"/>
      <c r="Q40" s="52" t="s">
        <v>82</v>
      </c>
      <c r="R40" s="57" t="s">
        <v>466</v>
      </c>
      <c r="S40" s="47"/>
    </row>
    <row r="41" spans="2:19" s="67" customFormat="1" ht="33" hidden="1" customHeight="1">
      <c r="B41" s="46" t="s">
        <v>17</v>
      </c>
      <c r="C41" s="35" t="s">
        <v>581</v>
      </c>
      <c r="D41" s="36" t="s">
        <v>582</v>
      </c>
      <c r="E41" s="37">
        <v>43519</v>
      </c>
      <c r="F41" s="38" t="s">
        <v>84</v>
      </c>
      <c r="G41" s="39">
        <v>9200</v>
      </c>
      <c r="H41" s="38">
        <f t="shared" si="5"/>
        <v>40</v>
      </c>
      <c r="I41" s="38">
        <f t="shared" si="1"/>
        <v>10</v>
      </c>
      <c r="J41" s="36"/>
      <c r="K41" s="40">
        <v>43632</v>
      </c>
      <c r="L41" s="41" t="s">
        <v>975</v>
      </c>
      <c r="M41" s="42">
        <v>43620</v>
      </c>
      <c r="N41" s="43" t="s">
        <v>768</v>
      </c>
      <c r="O41" s="42">
        <v>43625</v>
      </c>
      <c r="P41" s="45"/>
      <c r="Q41" s="38" t="s">
        <v>82</v>
      </c>
      <c r="R41" s="44" t="s">
        <v>825</v>
      </c>
      <c r="S41" s="46"/>
    </row>
    <row r="42" spans="2:19" s="67" customFormat="1" ht="33" hidden="1" customHeight="1">
      <c r="B42" s="46" t="s">
        <v>17</v>
      </c>
      <c r="C42" s="35" t="s">
        <v>694</v>
      </c>
      <c r="D42" s="36" t="s">
        <v>695</v>
      </c>
      <c r="E42" s="37">
        <v>43532</v>
      </c>
      <c r="F42" s="38" t="s">
        <v>314</v>
      </c>
      <c r="G42" s="39">
        <v>9200</v>
      </c>
      <c r="H42" s="38">
        <f t="shared" si="5"/>
        <v>40</v>
      </c>
      <c r="I42" s="38">
        <f t="shared" si="1"/>
        <v>10</v>
      </c>
      <c r="J42" s="36"/>
      <c r="K42" s="109">
        <v>43653</v>
      </c>
      <c r="L42" s="41" t="s">
        <v>1864</v>
      </c>
      <c r="M42" s="42">
        <v>43655</v>
      </c>
      <c r="N42" s="43" t="s">
        <v>1315</v>
      </c>
      <c r="O42" s="42">
        <v>43660</v>
      </c>
      <c r="P42" s="45"/>
      <c r="Q42" s="38" t="s">
        <v>82</v>
      </c>
      <c r="R42" s="114" t="s">
        <v>2537</v>
      </c>
      <c r="S42" s="46"/>
    </row>
    <row r="43" spans="2:19" s="117" customFormat="1" ht="33" hidden="1" customHeight="1">
      <c r="B43" s="103" t="s">
        <v>17</v>
      </c>
      <c r="C43" s="104" t="s">
        <v>2299</v>
      </c>
      <c r="D43" s="105"/>
      <c r="E43" s="106">
        <v>43609</v>
      </c>
      <c r="F43" s="107" t="s">
        <v>13</v>
      </c>
      <c r="G43" s="108">
        <v>2760</v>
      </c>
      <c r="H43" s="107">
        <f t="shared" si="5"/>
        <v>12</v>
      </c>
      <c r="I43" s="107">
        <f t="shared" si="1"/>
        <v>3</v>
      </c>
      <c r="J43" s="105"/>
      <c r="K43" s="109">
        <v>43653</v>
      </c>
      <c r="L43" s="110"/>
      <c r="M43" s="111"/>
      <c r="N43" s="112"/>
      <c r="O43" s="111"/>
      <c r="P43" s="113"/>
      <c r="Q43" s="107" t="s">
        <v>82</v>
      </c>
      <c r="R43" s="114" t="s">
        <v>2537</v>
      </c>
      <c r="S43" s="103"/>
    </row>
    <row r="44" spans="2:19" s="67" customFormat="1" ht="33" hidden="1" customHeight="1">
      <c r="B44" s="122" t="s">
        <v>17</v>
      </c>
      <c r="C44" s="126" t="s">
        <v>2299</v>
      </c>
      <c r="D44" s="127" t="s">
        <v>2300</v>
      </c>
      <c r="E44" s="128">
        <v>43602</v>
      </c>
      <c r="F44" s="124" t="s">
        <v>314</v>
      </c>
      <c r="G44" s="129">
        <v>9200</v>
      </c>
      <c r="H44" s="124">
        <f t="shared" si="5"/>
        <v>40</v>
      </c>
      <c r="I44" s="124">
        <f t="shared" ref="I44" si="6">SUM(H44/4)</f>
        <v>10</v>
      </c>
      <c r="J44" s="127"/>
      <c r="K44" s="130">
        <v>43695</v>
      </c>
      <c r="L44" s="119" t="s">
        <v>2506</v>
      </c>
      <c r="M44" s="120">
        <v>43685</v>
      </c>
      <c r="N44" s="121" t="s">
        <v>2496</v>
      </c>
      <c r="O44" s="120">
        <v>43689</v>
      </c>
      <c r="P44" s="123"/>
      <c r="Q44" s="124" t="s">
        <v>82</v>
      </c>
      <c r="R44" s="125" t="s">
        <v>2302</v>
      </c>
      <c r="S44" s="122"/>
    </row>
    <row r="45" spans="2:19" s="67" customFormat="1" ht="33" hidden="1" customHeight="1">
      <c r="B45" s="46" t="s">
        <v>81</v>
      </c>
      <c r="C45" s="35" t="s">
        <v>279</v>
      </c>
      <c r="D45" s="36" t="s">
        <v>288</v>
      </c>
      <c r="E45" s="37">
        <v>43392</v>
      </c>
      <c r="F45" s="38" t="s">
        <v>84</v>
      </c>
      <c r="G45" s="39">
        <v>11960</v>
      </c>
      <c r="H45" s="38">
        <f t="shared" si="5"/>
        <v>52</v>
      </c>
      <c r="I45" s="38">
        <f t="shared" si="1"/>
        <v>13</v>
      </c>
      <c r="J45" s="38"/>
      <c r="K45" s="40">
        <v>43597</v>
      </c>
      <c r="L45" s="41" t="s">
        <v>562</v>
      </c>
      <c r="M45" s="42">
        <v>43594</v>
      </c>
      <c r="N45" s="43" t="s">
        <v>561</v>
      </c>
      <c r="O45" s="42">
        <v>43598</v>
      </c>
      <c r="P45" s="45" t="s">
        <v>1567</v>
      </c>
      <c r="Q45" s="46"/>
      <c r="R45" s="44" t="s">
        <v>515</v>
      </c>
      <c r="S45" s="46"/>
    </row>
    <row r="46" spans="2:19" s="67" customFormat="1" ht="33" hidden="1" customHeight="1">
      <c r="B46" s="46" t="s">
        <v>81</v>
      </c>
      <c r="C46" s="35" t="s">
        <v>1328</v>
      </c>
      <c r="D46" s="36" t="s">
        <v>288</v>
      </c>
      <c r="E46" s="37">
        <v>43392</v>
      </c>
      <c r="F46" s="38" t="s">
        <v>84</v>
      </c>
      <c r="G46" s="39">
        <v>1840</v>
      </c>
      <c r="H46" s="38">
        <f t="shared" si="5"/>
        <v>8</v>
      </c>
      <c r="I46" s="38">
        <f t="shared" si="1"/>
        <v>2</v>
      </c>
      <c r="J46" s="38"/>
      <c r="K46" s="40">
        <v>43597</v>
      </c>
      <c r="L46" s="41" t="s">
        <v>773</v>
      </c>
      <c r="M46" s="42">
        <v>43601</v>
      </c>
      <c r="N46" s="43" t="s">
        <v>601</v>
      </c>
      <c r="O46" s="42">
        <v>43605</v>
      </c>
      <c r="P46" s="45" t="s">
        <v>1567</v>
      </c>
      <c r="Q46" s="46"/>
      <c r="R46" s="44" t="s">
        <v>515</v>
      </c>
      <c r="S46" s="46" t="s">
        <v>1329</v>
      </c>
    </row>
    <row r="47" spans="2:19" s="96" customFormat="1" ht="33" hidden="1" customHeight="1">
      <c r="B47" s="47" t="s">
        <v>81</v>
      </c>
      <c r="C47" s="48" t="s">
        <v>318</v>
      </c>
      <c r="D47" s="49" t="s">
        <v>319</v>
      </c>
      <c r="E47" s="50">
        <v>43420</v>
      </c>
      <c r="F47" s="52" t="s">
        <v>314</v>
      </c>
      <c r="G47" s="51">
        <v>17940</v>
      </c>
      <c r="H47" s="52">
        <f>SUM(G47/230)</f>
        <v>78</v>
      </c>
      <c r="I47" s="52">
        <f>SUM(H47/4)</f>
        <v>19.5</v>
      </c>
      <c r="J47" s="52"/>
      <c r="K47" s="53">
        <v>43576</v>
      </c>
      <c r="L47" s="54" t="s">
        <v>480</v>
      </c>
      <c r="M47" s="55">
        <v>43564</v>
      </c>
      <c r="N47" s="56" t="s">
        <v>405</v>
      </c>
      <c r="O47" s="55">
        <v>43569</v>
      </c>
      <c r="P47" s="58"/>
      <c r="Q47" s="47"/>
      <c r="R47" s="57" t="s">
        <v>516</v>
      </c>
      <c r="S47" s="47" t="s">
        <v>391</v>
      </c>
    </row>
    <row r="48" spans="2:19" s="67" customFormat="1" ht="33" hidden="1" customHeight="1">
      <c r="B48" s="46" t="s">
        <v>81</v>
      </c>
      <c r="C48" s="35" t="s">
        <v>700</v>
      </c>
      <c r="D48" s="36" t="s">
        <v>701</v>
      </c>
      <c r="E48" s="37">
        <v>43532</v>
      </c>
      <c r="F48" s="38" t="s">
        <v>314</v>
      </c>
      <c r="G48" s="39">
        <v>13800</v>
      </c>
      <c r="H48" s="38">
        <f t="shared" ref="H48:H55" si="7">SUM(G48/230)</f>
        <v>60</v>
      </c>
      <c r="I48" s="38">
        <f t="shared" ref="I48:I55" si="8">SUM(H48/4)</f>
        <v>15</v>
      </c>
      <c r="J48" s="38"/>
      <c r="K48" s="40">
        <v>43615</v>
      </c>
      <c r="L48" s="41" t="s">
        <v>977</v>
      </c>
      <c r="M48" s="42">
        <v>43613</v>
      </c>
      <c r="N48" s="43" t="s">
        <v>766</v>
      </c>
      <c r="O48" s="42">
        <v>43618</v>
      </c>
      <c r="P48" s="45"/>
      <c r="Q48" s="46"/>
      <c r="R48" s="44" t="s">
        <v>850</v>
      </c>
      <c r="S48" s="46"/>
    </row>
    <row r="49" spans="2:19" s="67" customFormat="1" ht="33" hidden="1" customHeight="1">
      <c r="B49" s="46" t="s">
        <v>81</v>
      </c>
      <c r="C49" s="35" t="s">
        <v>2158</v>
      </c>
      <c r="D49" s="105" t="s">
        <v>2535</v>
      </c>
      <c r="E49" s="37">
        <v>43532</v>
      </c>
      <c r="F49" s="38" t="s">
        <v>314</v>
      </c>
      <c r="G49" s="39">
        <v>4600</v>
      </c>
      <c r="H49" s="38">
        <f t="shared" si="7"/>
        <v>20</v>
      </c>
      <c r="I49" s="38">
        <f t="shared" si="8"/>
        <v>5</v>
      </c>
      <c r="J49" s="38"/>
      <c r="K49" s="40">
        <v>43615</v>
      </c>
      <c r="L49" s="41" t="s">
        <v>975</v>
      </c>
      <c r="M49" s="42">
        <v>43620</v>
      </c>
      <c r="N49" s="43" t="s">
        <v>768</v>
      </c>
      <c r="O49" s="42">
        <v>43625</v>
      </c>
      <c r="P49" s="45"/>
      <c r="Q49" s="46"/>
      <c r="R49" s="44" t="s">
        <v>850</v>
      </c>
      <c r="S49" s="46"/>
    </row>
    <row r="50" spans="2:19" s="67" customFormat="1" ht="33" hidden="1" customHeight="1">
      <c r="B50" s="46" t="s">
        <v>81</v>
      </c>
      <c r="C50" s="35" t="s">
        <v>702</v>
      </c>
      <c r="D50" s="36" t="s">
        <v>703</v>
      </c>
      <c r="E50" s="37">
        <v>43532</v>
      </c>
      <c r="F50" s="38" t="s">
        <v>314</v>
      </c>
      <c r="G50" s="39">
        <v>9200</v>
      </c>
      <c r="H50" s="38">
        <f t="shared" si="7"/>
        <v>40</v>
      </c>
      <c r="I50" s="38">
        <f t="shared" si="8"/>
        <v>10</v>
      </c>
      <c r="J50" s="38"/>
      <c r="K50" s="40">
        <v>43632</v>
      </c>
      <c r="L50" s="41" t="s">
        <v>807</v>
      </c>
      <c r="M50" s="42">
        <v>43627</v>
      </c>
      <c r="N50" s="43" t="s">
        <v>808</v>
      </c>
      <c r="O50" s="42">
        <v>43632</v>
      </c>
      <c r="P50" s="45"/>
      <c r="Q50" s="46"/>
      <c r="R50" s="44" t="s">
        <v>2160</v>
      </c>
      <c r="S50" s="46"/>
    </row>
    <row r="51" spans="2:19" s="67" customFormat="1" ht="33" hidden="1" customHeight="1">
      <c r="B51" s="46" t="s">
        <v>81</v>
      </c>
      <c r="C51" s="35" t="s">
        <v>852</v>
      </c>
      <c r="D51" s="36" t="s">
        <v>1990</v>
      </c>
      <c r="E51" s="37">
        <v>43558</v>
      </c>
      <c r="F51" s="38" t="s">
        <v>314</v>
      </c>
      <c r="G51" s="39">
        <v>9200</v>
      </c>
      <c r="H51" s="38">
        <f t="shared" si="7"/>
        <v>40</v>
      </c>
      <c r="I51" s="38">
        <f t="shared" si="8"/>
        <v>10</v>
      </c>
      <c r="J51" s="38"/>
      <c r="K51" s="40">
        <v>43639</v>
      </c>
      <c r="L51" s="41" t="s">
        <v>1083</v>
      </c>
      <c r="M51" s="42">
        <v>43634</v>
      </c>
      <c r="N51" s="43" t="s">
        <v>1084</v>
      </c>
      <c r="O51" s="42">
        <v>43639</v>
      </c>
      <c r="P51" s="45"/>
      <c r="Q51" s="46"/>
      <c r="R51" s="44" t="s">
        <v>2160</v>
      </c>
      <c r="S51" s="46"/>
    </row>
    <row r="52" spans="2:19" s="67" customFormat="1" ht="33" hidden="1" customHeight="1">
      <c r="B52" s="46" t="s">
        <v>81</v>
      </c>
      <c r="C52" s="35" t="s">
        <v>1435</v>
      </c>
      <c r="D52" s="36" t="s">
        <v>1436</v>
      </c>
      <c r="E52" s="37">
        <v>43574</v>
      </c>
      <c r="F52" s="38" t="s">
        <v>314</v>
      </c>
      <c r="G52" s="39">
        <v>18400</v>
      </c>
      <c r="H52" s="38">
        <f t="shared" si="7"/>
        <v>80</v>
      </c>
      <c r="I52" s="38">
        <f t="shared" si="8"/>
        <v>20</v>
      </c>
      <c r="J52" s="38"/>
      <c r="K52" s="40">
        <v>43653</v>
      </c>
      <c r="L52" s="41" t="s">
        <v>1326</v>
      </c>
      <c r="M52" s="42">
        <v>43648</v>
      </c>
      <c r="N52" s="43" t="s">
        <v>2143</v>
      </c>
      <c r="O52" s="42">
        <v>43653</v>
      </c>
      <c r="P52" s="45"/>
      <c r="Q52" s="46"/>
      <c r="R52" s="44" t="s">
        <v>1993</v>
      </c>
      <c r="S52" s="46"/>
    </row>
    <row r="53" spans="2:19" s="67" customFormat="1" ht="33" hidden="1" customHeight="1">
      <c r="B53" s="122" t="s">
        <v>81</v>
      </c>
      <c r="C53" s="126" t="s">
        <v>2322</v>
      </c>
      <c r="D53" s="127" t="s">
        <v>2323</v>
      </c>
      <c r="E53" s="128">
        <v>43602</v>
      </c>
      <c r="F53" s="124" t="s">
        <v>314</v>
      </c>
      <c r="G53" s="129">
        <v>18400</v>
      </c>
      <c r="H53" s="124">
        <f>SUM(G53/230)</f>
        <v>80</v>
      </c>
      <c r="I53" s="124">
        <f>SUM(H53/4)</f>
        <v>20</v>
      </c>
      <c r="J53" s="124"/>
      <c r="K53" s="130">
        <v>43681</v>
      </c>
      <c r="L53" s="119" t="s">
        <v>2508</v>
      </c>
      <c r="M53" s="120">
        <v>43676</v>
      </c>
      <c r="N53" s="121" t="s">
        <v>2497</v>
      </c>
      <c r="O53" s="120">
        <v>43681</v>
      </c>
      <c r="P53" s="123"/>
      <c r="Q53" s="122"/>
      <c r="R53" s="125" t="s">
        <v>2324</v>
      </c>
      <c r="S53" s="122"/>
    </row>
    <row r="54" spans="2:19" s="67" customFormat="1" ht="33" customHeight="1">
      <c r="B54" s="122" t="s">
        <v>81</v>
      </c>
      <c r="C54" s="126" t="s">
        <v>2325</v>
      </c>
      <c r="D54" s="127" t="s">
        <v>2326</v>
      </c>
      <c r="E54" s="128">
        <v>43602</v>
      </c>
      <c r="F54" s="124" t="s">
        <v>314</v>
      </c>
      <c r="G54" s="129">
        <v>17940</v>
      </c>
      <c r="H54" s="124">
        <f t="shared" ref="H54" si="9">SUM(G54/230)</f>
        <v>78</v>
      </c>
      <c r="I54" s="124">
        <f t="shared" ref="I54" si="10">SUM(H54/4)</f>
        <v>19.5</v>
      </c>
      <c r="J54" s="124"/>
      <c r="K54" s="130">
        <v>43702</v>
      </c>
      <c r="L54" s="119" t="s">
        <v>2510</v>
      </c>
      <c r="M54" s="120">
        <v>43697</v>
      </c>
      <c r="N54" s="121" t="s">
        <v>2499</v>
      </c>
      <c r="O54" s="120">
        <v>43702</v>
      </c>
      <c r="P54" s="123"/>
      <c r="Q54" s="122"/>
      <c r="R54" s="125" t="s">
        <v>2327</v>
      </c>
      <c r="S54" s="122"/>
    </row>
    <row r="55" spans="2:19" s="67" customFormat="1" ht="33" hidden="1" customHeight="1">
      <c r="B55" s="46" t="s">
        <v>704</v>
      </c>
      <c r="C55" s="35" t="s">
        <v>554</v>
      </c>
      <c r="D55" s="36" t="s">
        <v>705</v>
      </c>
      <c r="E55" s="37">
        <v>43532</v>
      </c>
      <c r="F55" s="38" t="s">
        <v>314</v>
      </c>
      <c r="G55" s="39">
        <v>920</v>
      </c>
      <c r="H55" s="38">
        <f t="shared" si="7"/>
        <v>4</v>
      </c>
      <c r="I55" s="38">
        <f t="shared" si="8"/>
        <v>1</v>
      </c>
      <c r="J55" s="38"/>
      <c r="K55" s="40">
        <v>43609</v>
      </c>
      <c r="L55" s="41" t="s">
        <v>773</v>
      </c>
      <c r="M55" s="42">
        <v>43601</v>
      </c>
      <c r="N55" s="43" t="s">
        <v>774</v>
      </c>
      <c r="O55" s="42">
        <v>43605</v>
      </c>
      <c r="P55" s="45"/>
      <c r="Q55" s="46"/>
      <c r="R55" s="44"/>
      <c r="S55" s="46" t="s">
        <v>706</v>
      </c>
    </row>
    <row r="56" spans="2:19" s="96" customFormat="1" ht="33" hidden="1" customHeight="1">
      <c r="B56" s="47" t="s">
        <v>517</v>
      </c>
      <c r="C56" s="48" t="s">
        <v>554</v>
      </c>
      <c r="D56" s="49" t="s">
        <v>583</v>
      </c>
      <c r="E56" s="50">
        <v>43511</v>
      </c>
      <c r="F56" s="52" t="s">
        <v>314</v>
      </c>
      <c r="G56" s="51">
        <v>460</v>
      </c>
      <c r="H56" s="52">
        <f>SUM(G56/230)</f>
        <v>2</v>
      </c>
      <c r="I56" s="52">
        <f>SUM(H56/4)</f>
        <v>0.5</v>
      </c>
      <c r="J56" s="52"/>
      <c r="K56" s="53">
        <v>43576</v>
      </c>
      <c r="L56" s="54" t="s">
        <v>480</v>
      </c>
      <c r="M56" s="55">
        <v>43564</v>
      </c>
      <c r="N56" s="56" t="s">
        <v>646</v>
      </c>
      <c r="O56" s="55">
        <v>43569</v>
      </c>
      <c r="P56" s="58"/>
      <c r="Q56" s="47"/>
      <c r="R56" s="57" t="s">
        <v>516</v>
      </c>
      <c r="S56" s="47"/>
    </row>
    <row r="57" spans="2:19" s="67" customFormat="1" ht="33" customHeight="1">
      <c r="B57" s="122" t="s">
        <v>517</v>
      </c>
      <c r="C57" s="126" t="s">
        <v>2333</v>
      </c>
      <c r="D57" s="127" t="s">
        <v>2334</v>
      </c>
      <c r="E57" s="128">
        <v>43602</v>
      </c>
      <c r="F57" s="124" t="s">
        <v>314</v>
      </c>
      <c r="G57" s="129">
        <v>460</v>
      </c>
      <c r="H57" s="124">
        <f>SUM(G57/230)</f>
        <v>2</v>
      </c>
      <c r="I57" s="124">
        <f>SUM(H57/4)</f>
        <v>0.5</v>
      </c>
      <c r="J57" s="124"/>
      <c r="K57" s="130">
        <v>43702</v>
      </c>
      <c r="L57" s="119" t="s">
        <v>2509</v>
      </c>
      <c r="M57" s="120">
        <v>43697</v>
      </c>
      <c r="N57" s="121" t="s">
        <v>2499</v>
      </c>
      <c r="O57" s="120">
        <v>43702</v>
      </c>
      <c r="P57" s="123"/>
      <c r="Q57" s="122"/>
      <c r="R57" s="125" t="s">
        <v>2335</v>
      </c>
      <c r="S57" s="122"/>
    </row>
    <row r="58" spans="2:19" s="33" customFormat="1" ht="33" customHeight="1">
      <c r="B58" s="47" t="s">
        <v>222</v>
      </c>
      <c r="C58" s="48" t="s">
        <v>324</v>
      </c>
      <c r="D58" s="49" t="s">
        <v>325</v>
      </c>
      <c r="E58" s="50">
        <v>43420</v>
      </c>
      <c r="F58" s="52" t="s">
        <v>314</v>
      </c>
      <c r="G58" s="51">
        <v>1920</v>
      </c>
      <c r="H58" s="52">
        <f t="shared" ref="H58:H69" si="11">SUM(G58/20)</f>
        <v>96</v>
      </c>
      <c r="I58" s="52">
        <f t="shared" ref="I58:I69" si="12">SUM(H58/32)</f>
        <v>3</v>
      </c>
      <c r="J58" s="59"/>
      <c r="K58" s="53">
        <v>43541</v>
      </c>
      <c r="L58" s="54" t="s">
        <v>2509</v>
      </c>
      <c r="M58" s="55">
        <v>43531</v>
      </c>
      <c r="N58" s="56" t="s">
        <v>569</v>
      </c>
      <c r="O58" s="55">
        <v>43535</v>
      </c>
      <c r="P58" s="58"/>
      <c r="Q58" s="60" t="s">
        <v>89</v>
      </c>
      <c r="R58" s="57" t="s">
        <v>326</v>
      </c>
      <c r="S58" s="47" t="s">
        <v>645</v>
      </c>
    </row>
    <row r="59" spans="2:19" s="33" customFormat="1" ht="33" customHeight="1">
      <c r="B59" s="47" t="s">
        <v>222</v>
      </c>
      <c r="C59" s="48" t="s">
        <v>500</v>
      </c>
      <c r="D59" s="49" t="s">
        <v>325</v>
      </c>
      <c r="E59" s="50">
        <v>43420</v>
      </c>
      <c r="F59" s="52" t="s">
        <v>314</v>
      </c>
      <c r="G59" s="51">
        <v>1280</v>
      </c>
      <c r="H59" s="52">
        <f t="shared" si="11"/>
        <v>64</v>
      </c>
      <c r="I59" s="52">
        <f t="shared" si="12"/>
        <v>2</v>
      </c>
      <c r="J59" s="59"/>
      <c r="K59" s="53">
        <v>43541</v>
      </c>
      <c r="L59" s="54" t="s">
        <v>2509</v>
      </c>
      <c r="M59" s="55">
        <v>43536</v>
      </c>
      <c r="N59" s="56" t="s">
        <v>346</v>
      </c>
      <c r="O59" s="55">
        <v>43541</v>
      </c>
      <c r="P59" s="58"/>
      <c r="Q59" s="60" t="s">
        <v>89</v>
      </c>
      <c r="R59" s="57" t="s">
        <v>326</v>
      </c>
      <c r="S59" s="47" t="s">
        <v>395</v>
      </c>
    </row>
    <row r="60" spans="2:19" s="33" customFormat="1" ht="33" customHeight="1">
      <c r="B60" s="47" t="s">
        <v>222</v>
      </c>
      <c r="C60" s="48" t="s">
        <v>430</v>
      </c>
      <c r="D60" s="49" t="s">
        <v>470</v>
      </c>
      <c r="E60" s="50">
        <v>43473</v>
      </c>
      <c r="F60" s="52" t="s">
        <v>314</v>
      </c>
      <c r="G60" s="51">
        <v>1920</v>
      </c>
      <c r="H60" s="52">
        <f t="shared" si="11"/>
        <v>96</v>
      </c>
      <c r="I60" s="52">
        <f t="shared" si="12"/>
        <v>3</v>
      </c>
      <c r="J60" s="59"/>
      <c r="K60" s="53">
        <v>43555</v>
      </c>
      <c r="L60" s="54" t="s">
        <v>2509</v>
      </c>
      <c r="M60" s="55">
        <v>43550</v>
      </c>
      <c r="N60" s="56" t="s">
        <v>344</v>
      </c>
      <c r="O60" s="55">
        <v>43555</v>
      </c>
      <c r="P60" s="58"/>
      <c r="Q60" s="60" t="s">
        <v>89</v>
      </c>
      <c r="R60" s="57" t="s">
        <v>518</v>
      </c>
      <c r="S60" s="47"/>
    </row>
    <row r="61" spans="2:19" s="33" customFormat="1" ht="33" customHeight="1">
      <c r="B61" s="47" t="s">
        <v>222</v>
      </c>
      <c r="C61" s="48" t="s">
        <v>430</v>
      </c>
      <c r="D61" s="49" t="s">
        <v>470</v>
      </c>
      <c r="E61" s="50">
        <v>43473</v>
      </c>
      <c r="F61" s="52" t="s">
        <v>314</v>
      </c>
      <c r="G61" s="51">
        <v>1920</v>
      </c>
      <c r="H61" s="52">
        <f t="shared" si="11"/>
        <v>96</v>
      </c>
      <c r="I61" s="52">
        <f t="shared" si="12"/>
        <v>3</v>
      </c>
      <c r="J61" s="59"/>
      <c r="K61" s="53">
        <v>43555</v>
      </c>
      <c r="L61" s="54" t="s">
        <v>2509</v>
      </c>
      <c r="M61" s="55">
        <v>43564</v>
      </c>
      <c r="N61" s="56" t="s">
        <v>405</v>
      </c>
      <c r="O61" s="55">
        <v>43569</v>
      </c>
      <c r="P61" s="58"/>
      <c r="Q61" s="60" t="s">
        <v>89</v>
      </c>
      <c r="R61" s="57" t="s">
        <v>518</v>
      </c>
      <c r="S61" s="47"/>
    </row>
    <row r="62" spans="2:19" s="33" customFormat="1" ht="33" customHeight="1">
      <c r="B62" s="47" t="s">
        <v>222</v>
      </c>
      <c r="C62" s="48" t="s">
        <v>519</v>
      </c>
      <c r="D62" s="49" t="s">
        <v>710</v>
      </c>
      <c r="E62" s="50">
        <v>43511</v>
      </c>
      <c r="F62" s="52" t="s">
        <v>314</v>
      </c>
      <c r="G62" s="51">
        <v>640</v>
      </c>
      <c r="H62" s="52">
        <f t="shared" si="11"/>
        <v>32</v>
      </c>
      <c r="I62" s="52">
        <f t="shared" si="12"/>
        <v>1</v>
      </c>
      <c r="J62" s="59"/>
      <c r="K62" s="53">
        <v>43555</v>
      </c>
      <c r="L62" s="54" t="s">
        <v>2509</v>
      </c>
      <c r="M62" s="55">
        <v>43557</v>
      </c>
      <c r="N62" s="56" t="s">
        <v>403</v>
      </c>
      <c r="O62" s="55">
        <v>43562</v>
      </c>
      <c r="P62" s="58"/>
      <c r="Q62" s="60" t="s">
        <v>89</v>
      </c>
      <c r="R62" s="57" t="s">
        <v>518</v>
      </c>
      <c r="S62" s="47"/>
    </row>
    <row r="63" spans="2:19" s="33" customFormat="1" ht="33" customHeight="1">
      <c r="B63" s="47" t="s">
        <v>222</v>
      </c>
      <c r="C63" s="48" t="s">
        <v>520</v>
      </c>
      <c r="D63" s="49" t="s">
        <v>584</v>
      </c>
      <c r="E63" s="50">
        <v>43511</v>
      </c>
      <c r="F63" s="52" t="s">
        <v>314</v>
      </c>
      <c r="G63" s="51">
        <v>1920</v>
      </c>
      <c r="H63" s="52">
        <f t="shared" si="11"/>
        <v>96</v>
      </c>
      <c r="I63" s="52">
        <f t="shared" si="12"/>
        <v>3</v>
      </c>
      <c r="J63" s="59"/>
      <c r="K63" s="53">
        <v>43576</v>
      </c>
      <c r="L63" s="54" t="s">
        <v>2509</v>
      </c>
      <c r="M63" s="55">
        <v>43571</v>
      </c>
      <c r="N63" s="56" t="s">
        <v>445</v>
      </c>
      <c r="O63" s="55">
        <v>43576</v>
      </c>
      <c r="P63" s="58"/>
      <c r="Q63" s="60" t="s">
        <v>89</v>
      </c>
      <c r="R63" s="57" t="s">
        <v>585</v>
      </c>
      <c r="S63" s="47"/>
    </row>
    <row r="64" spans="2:19" s="30" customFormat="1" ht="33" customHeight="1">
      <c r="B64" s="46" t="s">
        <v>222</v>
      </c>
      <c r="C64" s="35" t="s">
        <v>586</v>
      </c>
      <c r="D64" s="36" t="s">
        <v>640</v>
      </c>
      <c r="E64" s="37">
        <v>43519</v>
      </c>
      <c r="F64" s="38" t="s">
        <v>314</v>
      </c>
      <c r="G64" s="39">
        <v>2560</v>
      </c>
      <c r="H64" s="38">
        <f t="shared" si="11"/>
        <v>128</v>
      </c>
      <c r="I64" s="38">
        <f t="shared" si="12"/>
        <v>4</v>
      </c>
      <c r="J64" s="61"/>
      <c r="K64" s="40">
        <v>43611</v>
      </c>
      <c r="L64" s="41" t="s">
        <v>2509</v>
      </c>
      <c r="M64" s="42">
        <v>43601</v>
      </c>
      <c r="N64" s="43" t="s">
        <v>601</v>
      </c>
      <c r="O64" s="42">
        <v>43605</v>
      </c>
      <c r="P64" s="45"/>
      <c r="Q64" s="62" t="s">
        <v>89</v>
      </c>
      <c r="R64" s="44" t="s">
        <v>790</v>
      </c>
      <c r="S64" s="46" t="s">
        <v>980</v>
      </c>
    </row>
    <row r="65" spans="2:19" s="30" customFormat="1" ht="33" customHeight="1">
      <c r="B65" s="46" t="s">
        <v>222</v>
      </c>
      <c r="C65" s="35" t="s">
        <v>713</v>
      </c>
      <c r="D65" s="36" t="s">
        <v>714</v>
      </c>
      <c r="E65" s="37">
        <v>43532</v>
      </c>
      <c r="F65" s="38" t="s">
        <v>314</v>
      </c>
      <c r="G65" s="39">
        <v>1920</v>
      </c>
      <c r="H65" s="38">
        <f t="shared" si="11"/>
        <v>96</v>
      </c>
      <c r="I65" s="38">
        <f t="shared" si="12"/>
        <v>3</v>
      </c>
      <c r="J65" s="61"/>
      <c r="K65" s="40">
        <v>43639</v>
      </c>
      <c r="L65" s="41" t="s">
        <v>2509</v>
      </c>
      <c r="M65" s="42">
        <v>43634</v>
      </c>
      <c r="N65" s="43" t="s">
        <v>1084</v>
      </c>
      <c r="O65" s="42">
        <v>43639</v>
      </c>
      <c r="P65" s="45"/>
      <c r="Q65" s="62" t="s">
        <v>89</v>
      </c>
      <c r="R65" s="44" t="s">
        <v>1026</v>
      </c>
      <c r="S65" s="46"/>
    </row>
    <row r="66" spans="2:19" s="30" customFormat="1" ht="33" customHeight="1">
      <c r="B66" s="46" t="s">
        <v>222</v>
      </c>
      <c r="C66" s="35" t="s">
        <v>1184</v>
      </c>
      <c r="D66" s="36" t="s">
        <v>1185</v>
      </c>
      <c r="E66" s="37">
        <v>43567</v>
      </c>
      <c r="F66" s="38" t="s">
        <v>314</v>
      </c>
      <c r="G66" s="39">
        <v>2560</v>
      </c>
      <c r="H66" s="38">
        <f t="shared" si="11"/>
        <v>128</v>
      </c>
      <c r="I66" s="38">
        <f t="shared" si="12"/>
        <v>4</v>
      </c>
      <c r="J66" s="61"/>
      <c r="K66" s="109">
        <v>43653</v>
      </c>
      <c r="L66" s="41" t="s">
        <v>2509</v>
      </c>
      <c r="M66" s="42">
        <v>43664</v>
      </c>
      <c r="N66" s="43" t="s">
        <v>2145</v>
      </c>
      <c r="O66" s="42">
        <v>43668</v>
      </c>
      <c r="P66" s="45"/>
      <c r="Q66" s="62" t="s">
        <v>89</v>
      </c>
      <c r="R66" s="114" t="s">
        <v>2523</v>
      </c>
      <c r="S66" s="46"/>
    </row>
    <row r="67" spans="2:19" s="147" customFormat="1" ht="33" hidden="1" customHeight="1">
      <c r="B67" s="103" t="s">
        <v>222</v>
      </c>
      <c r="C67" s="104" t="s">
        <v>2524</v>
      </c>
      <c r="D67" s="105"/>
      <c r="E67" s="106">
        <v>43609</v>
      </c>
      <c r="F67" s="107" t="s">
        <v>13</v>
      </c>
      <c r="G67" s="108">
        <v>1280</v>
      </c>
      <c r="H67" s="107">
        <f t="shared" si="11"/>
        <v>64</v>
      </c>
      <c r="I67" s="107">
        <f t="shared" si="12"/>
        <v>2</v>
      </c>
      <c r="J67" s="148"/>
      <c r="K67" s="109">
        <v>43653</v>
      </c>
      <c r="L67" s="110"/>
      <c r="M67" s="111"/>
      <c r="N67" s="112"/>
      <c r="O67" s="111"/>
      <c r="P67" s="113"/>
      <c r="Q67" s="149" t="s">
        <v>89</v>
      </c>
      <c r="R67" s="114" t="s">
        <v>2523</v>
      </c>
      <c r="S67" s="103"/>
    </row>
    <row r="68" spans="2:19" s="30" customFormat="1" ht="33" hidden="1" customHeight="1">
      <c r="B68" s="122" t="s">
        <v>222</v>
      </c>
      <c r="C68" s="126" t="s">
        <v>2357</v>
      </c>
      <c r="D68" s="127" t="s">
        <v>2358</v>
      </c>
      <c r="E68" s="128">
        <v>43602</v>
      </c>
      <c r="F68" s="124" t="s">
        <v>314</v>
      </c>
      <c r="G68" s="129">
        <v>2560</v>
      </c>
      <c r="H68" s="124">
        <f t="shared" si="11"/>
        <v>128</v>
      </c>
      <c r="I68" s="124">
        <f t="shared" si="12"/>
        <v>4</v>
      </c>
      <c r="J68" s="131"/>
      <c r="K68" s="130">
        <v>43681</v>
      </c>
      <c r="L68" s="119" t="s">
        <v>2521</v>
      </c>
      <c r="M68" s="120">
        <v>43676</v>
      </c>
      <c r="N68" s="121" t="s">
        <v>2497</v>
      </c>
      <c r="O68" s="120">
        <v>43681</v>
      </c>
      <c r="P68" s="123"/>
      <c r="Q68" s="132" t="s">
        <v>89</v>
      </c>
      <c r="R68" s="125" t="s">
        <v>2359</v>
      </c>
      <c r="S68" s="122"/>
    </row>
    <row r="69" spans="2:19" s="30" customFormat="1" ht="33" customHeight="1">
      <c r="B69" s="122" t="s">
        <v>222</v>
      </c>
      <c r="C69" s="126" t="s">
        <v>2360</v>
      </c>
      <c r="D69" s="105" t="s">
        <v>2534</v>
      </c>
      <c r="E69" s="128">
        <v>43602</v>
      </c>
      <c r="F69" s="124" t="s">
        <v>314</v>
      </c>
      <c r="G69" s="129">
        <v>2560</v>
      </c>
      <c r="H69" s="124">
        <f t="shared" si="11"/>
        <v>128</v>
      </c>
      <c r="I69" s="124">
        <f t="shared" si="12"/>
        <v>4</v>
      </c>
      <c r="J69" s="131"/>
      <c r="K69" s="130">
        <v>43702</v>
      </c>
      <c r="L69" s="119" t="s">
        <v>2509</v>
      </c>
      <c r="M69" s="120">
        <v>43697</v>
      </c>
      <c r="N69" s="121" t="s">
        <v>2499</v>
      </c>
      <c r="O69" s="120">
        <v>43702</v>
      </c>
      <c r="P69" s="123"/>
      <c r="Q69" s="132" t="s">
        <v>89</v>
      </c>
      <c r="R69" s="125" t="s">
        <v>2361</v>
      </c>
      <c r="S69" s="122"/>
    </row>
    <row r="70" spans="2:19" s="33" customFormat="1" ht="33" hidden="1" customHeight="1">
      <c r="B70" s="47" t="s">
        <v>38</v>
      </c>
      <c r="C70" s="48" t="s">
        <v>225</v>
      </c>
      <c r="D70" s="49" t="s">
        <v>587</v>
      </c>
      <c r="E70" s="50">
        <v>43519</v>
      </c>
      <c r="F70" s="52" t="s">
        <v>14</v>
      </c>
      <c r="G70" s="64">
        <v>640</v>
      </c>
      <c r="H70" s="52">
        <f>SUBTOTAL(9,G70)/20</f>
        <v>0</v>
      </c>
      <c r="I70" s="52">
        <f>H70/32</f>
        <v>0</v>
      </c>
      <c r="J70" s="52"/>
      <c r="K70" s="53">
        <v>43583</v>
      </c>
      <c r="L70" s="54" t="s">
        <v>565</v>
      </c>
      <c r="M70" s="55">
        <v>43578</v>
      </c>
      <c r="N70" s="56" t="s">
        <v>447</v>
      </c>
      <c r="O70" s="55">
        <v>43583</v>
      </c>
      <c r="P70" s="58"/>
      <c r="Q70" s="52"/>
      <c r="R70" s="63" t="s">
        <v>515</v>
      </c>
      <c r="S70" s="47"/>
    </row>
    <row r="71" spans="2:19" s="30" customFormat="1" ht="33" hidden="1" customHeight="1">
      <c r="B71" s="46" t="s">
        <v>38</v>
      </c>
      <c r="C71" s="35" t="s">
        <v>226</v>
      </c>
      <c r="D71" s="36" t="s">
        <v>1194</v>
      </c>
      <c r="E71" s="37">
        <v>43567</v>
      </c>
      <c r="F71" s="38" t="s">
        <v>14</v>
      </c>
      <c r="G71" s="65">
        <v>640</v>
      </c>
      <c r="H71" s="38">
        <f>SUBTOTAL(9,G71)/20</f>
        <v>0</v>
      </c>
      <c r="I71" s="38">
        <f>H71/32</f>
        <v>0</v>
      </c>
      <c r="J71" s="38"/>
      <c r="K71" s="40">
        <v>43667</v>
      </c>
      <c r="L71" s="41" t="s">
        <v>1325</v>
      </c>
      <c r="M71" s="42">
        <v>43662</v>
      </c>
      <c r="N71" s="43" t="s">
        <v>836</v>
      </c>
      <c r="O71" s="42">
        <v>43667</v>
      </c>
      <c r="P71" s="45"/>
      <c r="Q71" s="38"/>
      <c r="R71" s="66" t="s">
        <v>1196</v>
      </c>
      <c r="S71" s="46"/>
    </row>
    <row r="72" spans="2:19" s="33" customFormat="1" ht="33" hidden="1" customHeight="1">
      <c r="B72" s="47" t="s">
        <v>88</v>
      </c>
      <c r="C72" s="48" t="s">
        <v>431</v>
      </c>
      <c r="D72" s="49" t="s">
        <v>471</v>
      </c>
      <c r="E72" s="50">
        <v>43483</v>
      </c>
      <c r="F72" s="52" t="s">
        <v>14</v>
      </c>
      <c r="G72" s="64">
        <v>760</v>
      </c>
      <c r="H72" s="52">
        <f t="shared" ref="H72:H77" si="13">SUBTOTAL(9,G72)/190</f>
        <v>0</v>
      </c>
      <c r="I72" s="52">
        <f t="shared" ref="I72:I77" si="14">H72/4</f>
        <v>0</v>
      </c>
      <c r="J72" s="52"/>
      <c r="K72" s="53">
        <v>43569</v>
      </c>
      <c r="L72" s="54" t="s">
        <v>417</v>
      </c>
      <c r="M72" s="55">
        <v>43564</v>
      </c>
      <c r="N72" s="56" t="s">
        <v>405</v>
      </c>
      <c r="O72" s="55">
        <v>43569</v>
      </c>
      <c r="P72" s="58"/>
      <c r="Q72" s="52"/>
      <c r="R72" s="63" t="s">
        <v>493</v>
      </c>
      <c r="S72" s="47"/>
    </row>
    <row r="73" spans="2:19" s="33" customFormat="1" ht="33" hidden="1" customHeight="1">
      <c r="B73" s="47" t="s">
        <v>88</v>
      </c>
      <c r="C73" s="48" t="s">
        <v>523</v>
      </c>
      <c r="D73" s="49" t="s">
        <v>588</v>
      </c>
      <c r="E73" s="50">
        <v>43511</v>
      </c>
      <c r="F73" s="52" t="s">
        <v>14</v>
      </c>
      <c r="G73" s="64">
        <v>760</v>
      </c>
      <c r="H73" s="52">
        <f t="shared" si="13"/>
        <v>0</v>
      </c>
      <c r="I73" s="52">
        <f t="shared" si="14"/>
        <v>0</v>
      </c>
      <c r="J73" s="52"/>
      <c r="K73" s="53">
        <v>43583</v>
      </c>
      <c r="L73" s="54" t="s">
        <v>565</v>
      </c>
      <c r="M73" s="55">
        <v>43578</v>
      </c>
      <c r="N73" s="56" t="s">
        <v>447</v>
      </c>
      <c r="O73" s="55">
        <v>43583</v>
      </c>
      <c r="P73" s="58"/>
      <c r="Q73" s="52"/>
      <c r="R73" s="63" t="s">
        <v>320</v>
      </c>
      <c r="S73" s="47"/>
    </row>
    <row r="74" spans="2:19" s="30" customFormat="1" ht="33" hidden="1" customHeight="1">
      <c r="B74" s="46" t="s">
        <v>88</v>
      </c>
      <c r="C74" s="35" t="s">
        <v>589</v>
      </c>
      <c r="D74" s="36" t="s">
        <v>590</v>
      </c>
      <c r="E74" s="37">
        <v>43519</v>
      </c>
      <c r="F74" s="38" t="s">
        <v>14</v>
      </c>
      <c r="G74" s="65">
        <v>760</v>
      </c>
      <c r="H74" s="38">
        <f t="shared" si="13"/>
        <v>0</v>
      </c>
      <c r="I74" s="38">
        <f t="shared" si="14"/>
        <v>0</v>
      </c>
      <c r="J74" s="38"/>
      <c r="K74" s="40">
        <v>43597</v>
      </c>
      <c r="L74" s="41" t="s">
        <v>606</v>
      </c>
      <c r="M74" s="42">
        <v>43592</v>
      </c>
      <c r="N74" s="43" t="s">
        <v>600</v>
      </c>
      <c r="O74" s="42">
        <v>43597</v>
      </c>
      <c r="P74" s="45"/>
      <c r="Q74" s="38"/>
      <c r="R74" s="66" t="s">
        <v>469</v>
      </c>
      <c r="S74" s="46"/>
    </row>
    <row r="75" spans="2:19" s="30" customFormat="1" ht="33" hidden="1" customHeight="1">
      <c r="B75" s="46" t="s">
        <v>88</v>
      </c>
      <c r="C75" s="35" t="s">
        <v>1333</v>
      </c>
      <c r="D75" s="36" t="s">
        <v>1207</v>
      </c>
      <c r="E75" s="37">
        <v>43567</v>
      </c>
      <c r="F75" s="38" t="s">
        <v>14</v>
      </c>
      <c r="G75" s="65">
        <v>760</v>
      </c>
      <c r="H75" s="38">
        <f t="shared" si="13"/>
        <v>0</v>
      </c>
      <c r="I75" s="38">
        <f t="shared" si="14"/>
        <v>0</v>
      </c>
      <c r="J75" s="38"/>
      <c r="K75" s="40">
        <v>43667</v>
      </c>
      <c r="L75" s="41" t="s">
        <v>1325</v>
      </c>
      <c r="M75" s="42">
        <v>43662</v>
      </c>
      <c r="N75" s="43" t="s">
        <v>836</v>
      </c>
      <c r="O75" s="42">
        <v>43667</v>
      </c>
      <c r="P75" s="45"/>
      <c r="Q75" s="38"/>
      <c r="R75" s="66" t="s">
        <v>1208</v>
      </c>
      <c r="S75" s="46"/>
    </row>
    <row r="76" spans="2:19" s="30" customFormat="1" ht="33" hidden="1" customHeight="1">
      <c r="B76" s="122" t="s">
        <v>88</v>
      </c>
      <c r="C76" s="126" t="s">
        <v>2079</v>
      </c>
      <c r="D76" s="105" t="s">
        <v>2536</v>
      </c>
      <c r="E76" s="128">
        <v>43602</v>
      </c>
      <c r="F76" s="124" t="s">
        <v>14</v>
      </c>
      <c r="G76" s="152">
        <v>760</v>
      </c>
      <c r="H76" s="124">
        <f t="shared" si="13"/>
        <v>0</v>
      </c>
      <c r="I76" s="124">
        <f t="shared" si="14"/>
        <v>0</v>
      </c>
      <c r="J76" s="124"/>
      <c r="K76" s="130">
        <v>43667</v>
      </c>
      <c r="L76" s="119" t="s">
        <v>2511</v>
      </c>
      <c r="M76" s="120">
        <v>43662</v>
      </c>
      <c r="N76" s="121" t="s">
        <v>2500</v>
      </c>
      <c r="O76" s="120">
        <v>43667</v>
      </c>
      <c r="P76" s="123"/>
      <c r="Q76" s="124"/>
      <c r="R76" s="134" t="s">
        <v>1208</v>
      </c>
      <c r="S76" s="122"/>
    </row>
    <row r="77" spans="2:19" s="30" customFormat="1" ht="33" hidden="1" customHeight="1">
      <c r="B77" s="122" t="s">
        <v>88</v>
      </c>
      <c r="C77" s="126" t="s">
        <v>2378</v>
      </c>
      <c r="D77" s="127" t="s">
        <v>2379</v>
      </c>
      <c r="E77" s="128">
        <v>43602</v>
      </c>
      <c r="F77" s="124" t="s">
        <v>14</v>
      </c>
      <c r="G77" s="152">
        <v>760</v>
      </c>
      <c r="H77" s="124">
        <f t="shared" si="13"/>
        <v>0</v>
      </c>
      <c r="I77" s="124">
        <f t="shared" si="14"/>
        <v>0</v>
      </c>
      <c r="J77" s="124"/>
      <c r="K77" s="130">
        <v>43702</v>
      </c>
      <c r="L77" s="119" t="s">
        <v>2512</v>
      </c>
      <c r="M77" s="120">
        <v>43697</v>
      </c>
      <c r="N77" s="121" t="s">
        <v>2499</v>
      </c>
      <c r="O77" s="120">
        <v>43702</v>
      </c>
      <c r="P77" s="123"/>
      <c r="Q77" s="124"/>
      <c r="R77" s="134" t="s">
        <v>2380</v>
      </c>
      <c r="S77" s="122"/>
    </row>
    <row r="78" spans="2:19" s="33" customFormat="1" ht="33" hidden="1" customHeight="1">
      <c r="B78" s="47" t="s">
        <v>83</v>
      </c>
      <c r="C78" s="48" t="s">
        <v>408</v>
      </c>
      <c r="D78" s="49" t="s">
        <v>415</v>
      </c>
      <c r="E78" s="50">
        <v>43462</v>
      </c>
      <c r="F78" s="52" t="s">
        <v>77</v>
      </c>
      <c r="G78" s="51">
        <v>960</v>
      </c>
      <c r="H78" s="52">
        <f t="shared" ref="H78:H86" si="15">SUM(G78/240)</f>
        <v>4</v>
      </c>
      <c r="I78" s="52">
        <f t="shared" ref="I78:I86" si="16">SUM(H78/4)</f>
        <v>1</v>
      </c>
      <c r="J78" s="52"/>
      <c r="K78" s="53">
        <v>43148</v>
      </c>
      <c r="L78" s="54" t="s">
        <v>501</v>
      </c>
      <c r="M78" s="55">
        <v>43531</v>
      </c>
      <c r="N78" s="56" t="s">
        <v>568</v>
      </c>
      <c r="O78" s="55">
        <v>43535</v>
      </c>
      <c r="P78" s="58" t="s">
        <v>656</v>
      </c>
      <c r="Q78" s="52"/>
      <c r="R78" s="118" t="s">
        <v>392</v>
      </c>
      <c r="S78" s="47" t="s">
        <v>609</v>
      </c>
    </row>
    <row r="79" spans="2:19" s="33" customFormat="1" ht="33" hidden="1" customHeight="1">
      <c r="B79" s="47" t="s">
        <v>83</v>
      </c>
      <c r="C79" s="48" t="s">
        <v>478</v>
      </c>
      <c r="D79" s="49" t="s">
        <v>485</v>
      </c>
      <c r="E79" s="50">
        <v>43462</v>
      </c>
      <c r="F79" s="52" t="s">
        <v>77</v>
      </c>
      <c r="G79" s="51">
        <v>2880</v>
      </c>
      <c r="H79" s="52">
        <f t="shared" si="15"/>
        <v>12</v>
      </c>
      <c r="I79" s="52">
        <f t="shared" si="16"/>
        <v>3</v>
      </c>
      <c r="J79" s="52"/>
      <c r="K79" s="53">
        <v>43541</v>
      </c>
      <c r="L79" s="54" t="s">
        <v>501</v>
      </c>
      <c r="M79" s="55">
        <v>43531</v>
      </c>
      <c r="N79" s="56" t="s">
        <v>568</v>
      </c>
      <c r="O79" s="55">
        <v>43535</v>
      </c>
      <c r="P79" s="58" t="s">
        <v>657</v>
      </c>
      <c r="Q79" s="52"/>
      <c r="R79" s="118" t="s">
        <v>486</v>
      </c>
      <c r="S79" s="47" t="s">
        <v>610</v>
      </c>
    </row>
    <row r="80" spans="2:19" s="33" customFormat="1" ht="33" hidden="1" customHeight="1">
      <c r="B80" s="47" t="s">
        <v>83</v>
      </c>
      <c r="C80" s="48" t="s">
        <v>232</v>
      </c>
      <c r="D80" s="49" t="s">
        <v>386</v>
      </c>
      <c r="E80" s="50">
        <v>43455</v>
      </c>
      <c r="F80" s="52" t="s">
        <v>77</v>
      </c>
      <c r="G80" s="51">
        <v>5760</v>
      </c>
      <c r="H80" s="52">
        <f t="shared" si="15"/>
        <v>24</v>
      </c>
      <c r="I80" s="52">
        <f t="shared" si="16"/>
        <v>6</v>
      </c>
      <c r="J80" s="52"/>
      <c r="K80" s="53">
        <v>43541</v>
      </c>
      <c r="L80" s="54" t="s">
        <v>476</v>
      </c>
      <c r="M80" s="55">
        <v>43543</v>
      </c>
      <c r="N80" s="56" t="s">
        <v>400</v>
      </c>
      <c r="O80" s="55">
        <v>43548</v>
      </c>
      <c r="P80" s="58" t="s">
        <v>658</v>
      </c>
      <c r="Q80" s="52"/>
      <c r="R80" s="118" t="s">
        <v>387</v>
      </c>
      <c r="S80" s="47"/>
    </row>
    <row r="81" spans="2:19" s="33" customFormat="1" ht="33" hidden="1" customHeight="1">
      <c r="B81" s="47" t="s">
        <v>83</v>
      </c>
      <c r="C81" s="48" t="s">
        <v>244</v>
      </c>
      <c r="D81" s="49" t="s">
        <v>722</v>
      </c>
      <c r="E81" s="50">
        <v>43483</v>
      </c>
      <c r="F81" s="52" t="s">
        <v>77</v>
      </c>
      <c r="G81" s="51">
        <v>6720</v>
      </c>
      <c r="H81" s="52">
        <f t="shared" si="15"/>
        <v>28</v>
      </c>
      <c r="I81" s="52">
        <f t="shared" si="16"/>
        <v>7</v>
      </c>
      <c r="J81" s="52"/>
      <c r="K81" s="53">
        <v>43569</v>
      </c>
      <c r="L81" s="54" t="s">
        <v>480</v>
      </c>
      <c r="M81" s="55">
        <v>43564</v>
      </c>
      <c r="N81" s="56" t="s">
        <v>646</v>
      </c>
      <c r="O81" s="55">
        <v>43569</v>
      </c>
      <c r="P81" s="58" t="s">
        <v>659</v>
      </c>
      <c r="Q81" s="52"/>
      <c r="R81" s="118" t="s">
        <v>432</v>
      </c>
      <c r="S81" s="47"/>
    </row>
    <row r="82" spans="2:19" s="33" customFormat="1" ht="33" hidden="1" customHeight="1">
      <c r="B82" s="47" t="s">
        <v>83</v>
      </c>
      <c r="C82" s="48" t="s">
        <v>660</v>
      </c>
      <c r="D82" s="49" t="s">
        <v>472</v>
      </c>
      <c r="E82" s="50">
        <v>43483</v>
      </c>
      <c r="F82" s="52" t="s">
        <v>77</v>
      </c>
      <c r="G82" s="51">
        <v>5760</v>
      </c>
      <c r="H82" s="52">
        <f>SUM(G82/240)</f>
        <v>24</v>
      </c>
      <c r="I82" s="52">
        <f>SUM(H82/4)</f>
        <v>6</v>
      </c>
      <c r="J82" s="52"/>
      <c r="K82" s="53">
        <v>43583</v>
      </c>
      <c r="L82" s="54" t="s">
        <v>448</v>
      </c>
      <c r="M82" s="55">
        <v>43578</v>
      </c>
      <c r="N82" s="56" t="s">
        <v>447</v>
      </c>
      <c r="O82" s="55">
        <v>43583</v>
      </c>
      <c r="P82" s="58" t="s">
        <v>662</v>
      </c>
      <c r="Q82" s="52"/>
      <c r="R82" s="118" t="s">
        <v>432</v>
      </c>
      <c r="S82" s="47"/>
    </row>
    <row r="83" spans="2:19" s="30" customFormat="1" ht="33" hidden="1" customHeight="1">
      <c r="B83" s="46" t="s">
        <v>83</v>
      </c>
      <c r="C83" s="35" t="s">
        <v>258</v>
      </c>
      <c r="D83" s="36" t="s">
        <v>591</v>
      </c>
      <c r="E83" s="37">
        <v>43519</v>
      </c>
      <c r="F83" s="38" t="s">
        <v>77</v>
      </c>
      <c r="G83" s="39">
        <v>5760</v>
      </c>
      <c r="H83" s="38">
        <f t="shared" si="15"/>
        <v>24</v>
      </c>
      <c r="I83" s="38">
        <f t="shared" si="16"/>
        <v>6</v>
      </c>
      <c r="J83" s="38"/>
      <c r="K83" s="40">
        <v>43605</v>
      </c>
      <c r="L83" s="41" t="s">
        <v>607</v>
      </c>
      <c r="M83" s="42">
        <v>43601</v>
      </c>
      <c r="N83" s="43" t="s">
        <v>601</v>
      </c>
      <c r="O83" s="42">
        <v>43605</v>
      </c>
      <c r="P83" s="45" t="s">
        <v>663</v>
      </c>
      <c r="Q83" s="38"/>
      <c r="R83" s="115" t="s">
        <v>592</v>
      </c>
      <c r="S83" s="46"/>
    </row>
    <row r="84" spans="2:19" s="30" customFormat="1" ht="33" hidden="1" customHeight="1">
      <c r="B84" s="46" t="s">
        <v>83</v>
      </c>
      <c r="C84" s="35" t="s">
        <v>321</v>
      </c>
      <c r="D84" s="36" t="s">
        <v>727</v>
      </c>
      <c r="E84" s="37">
        <v>43532</v>
      </c>
      <c r="F84" s="38" t="s">
        <v>77</v>
      </c>
      <c r="G84" s="39">
        <v>6720</v>
      </c>
      <c r="H84" s="38">
        <f t="shared" si="15"/>
        <v>28</v>
      </c>
      <c r="I84" s="38">
        <f t="shared" si="16"/>
        <v>7</v>
      </c>
      <c r="J84" s="38"/>
      <c r="K84" s="40">
        <v>43633</v>
      </c>
      <c r="L84" s="41" t="s">
        <v>807</v>
      </c>
      <c r="M84" s="42">
        <v>43627</v>
      </c>
      <c r="N84" s="43" t="s">
        <v>808</v>
      </c>
      <c r="O84" s="42">
        <v>43632</v>
      </c>
      <c r="P84" s="45"/>
      <c r="Q84" s="38"/>
      <c r="R84" s="115" t="s">
        <v>728</v>
      </c>
      <c r="S84" s="46"/>
    </row>
    <row r="85" spans="2:19" s="30" customFormat="1" ht="33" hidden="1" customHeight="1">
      <c r="B85" s="46" t="s">
        <v>83</v>
      </c>
      <c r="C85" s="35" t="s">
        <v>324</v>
      </c>
      <c r="D85" s="36" t="s">
        <v>1234</v>
      </c>
      <c r="E85" s="37">
        <v>43567</v>
      </c>
      <c r="F85" s="38" t="s">
        <v>77</v>
      </c>
      <c r="G85" s="39">
        <v>5760</v>
      </c>
      <c r="H85" s="38">
        <f t="shared" si="15"/>
        <v>24</v>
      </c>
      <c r="I85" s="38">
        <f t="shared" si="16"/>
        <v>6</v>
      </c>
      <c r="J85" s="38"/>
      <c r="K85" s="40">
        <v>43674</v>
      </c>
      <c r="L85" s="41" t="s">
        <v>2147</v>
      </c>
      <c r="M85" s="42">
        <v>43669</v>
      </c>
      <c r="N85" s="43" t="s">
        <v>1313</v>
      </c>
      <c r="O85" s="42">
        <v>43674</v>
      </c>
      <c r="P85" s="45"/>
      <c r="Q85" s="38"/>
      <c r="R85" s="133" t="s">
        <v>2055</v>
      </c>
      <c r="S85" s="46"/>
    </row>
    <row r="86" spans="2:19" s="147" customFormat="1" ht="33" hidden="1" customHeight="1">
      <c r="B86" s="103" t="s">
        <v>83</v>
      </c>
      <c r="C86" s="104" t="s">
        <v>430</v>
      </c>
      <c r="D86" s="105"/>
      <c r="E86" s="106">
        <v>43609</v>
      </c>
      <c r="F86" s="107" t="s">
        <v>77</v>
      </c>
      <c r="G86" s="108">
        <v>7680</v>
      </c>
      <c r="H86" s="107">
        <f t="shared" si="15"/>
        <v>32</v>
      </c>
      <c r="I86" s="107">
        <f t="shared" si="16"/>
        <v>8</v>
      </c>
      <c r="J86" s="107"/>
      <c r="K86" s="109">
        <v>43702</v>
      </c>
      <c r="L86" s="110"/>
      <c r="M86" s="111"/>
      <c r="N86" s="112"/>
      <c r="O86" s="111"/>
      <c r="P86" s="113"/>
      <c r="Q86" s="107"/>
      <c r="R86" s="150" t="s">
        <v>2525</v>
      </c>
      <c r="S86" s="103"/>
    </row>
    <row r="87" spans="2:19" s="34" customFormat="1" ht="33" hidden="1" customHeight="1">
      <c r="B87" s="47" t="s">
        <v>210</v>
      </c>
      <c r="C87" s="48" t="s">
        <v>226</v>
      </c>
      <c r="D87" s="49" t="s">
        <v>593</v>
      </c>
      <c r="E87" s="50">
        <v>43483</v>
      </c>
      <c r="F87" s="52" t="s">
        <v>218</v>
      </c>
      <c r="G87" s="51">
        <v>640</v>
      </c>
      <c r="H87" s="52">
        <f t="shared" ref="H87:H111" si="17">SUM(G87/20)</f>
        <v>32</v>
      </c>
      <c r="I87" s="52">
        <f t="shared" ref="I87:I111" si="18">SUM(H87/32)</f>
        <v>1</v>
      </c>
      <c r="J87" s="52"/>
      <c r="K87" s="53">
        <v>43534</v>
      </c>
      <c r="L87" s="54" t="s">
        <v>566</v>
      </c>
      <c r="M87" s="55"/>
      <c r="N87" s="56"/>
      <c r="O87" s="55">
        <v>43520</v>
      </c>
      <c r="P87" s="58" t="s">
        <v>651</v>
      </c>
      <c r="Q87" s="52"/>
      <c r="R87" s="63" t="s">
        <v>211</v>
      </c>
      <c r="S87" s="52"/>
    </row>
    <row r="88" spans="2:19" s="34" customFormat="1" ht="33" hidden="1" customHeight="1">
      <c r="B88" s="47" t="s">
        <v>210</v>
      </c>
      <c r="C88" s="48" t="s">
        <v>226</v>
      </c>
      <c r="D88" s="49" t="s">
        <v>434</v>
      </c>
      <c r="E88" s="50">
        <v>43483</v>
      </c>
      <c r="F88" s="52" t="s">
        <v>218</v>
      </c>
      <c r="G88" s="51">
        <v>1280</v>
      </c>
      <c r="H88" s="52">
        <f t="shared" si="17"/>
        <v>64</v>
      </c>
      <c r="I88" s="52">
        <f t="shared" si="18"/>
        <v>2</v>
      </c>
      <c r="J88" s="52"/>
      <c r="K88" s="53">
        <v>43534</v>
      </c>
      <c r="L88" s="54" t="s">
        <v>501</v>
      </c>
      <c r="M88" s="55">
        <v>43531</v>
      </c>
      <c r="N88" s="56" t="s">
        <v>568</v>
      </c>
      <c r="O88" s="55">
        <v>43535</v>
      </c>
      <c r="P88" s="58" t="s">
        <v>653</v>
      </c>
      <c r="Q88" s="52" t="s">
        <v>614</v>
      </c>
      <c r="R88" s="63" t="s">
        <v>211</v>
      </c>
      <c r="S88" s="52" t="s">
        <v>611</v>
      </c>
    </row>
    <row r="89" spans="2:19" s="34" customFormat="1" ht="33" hidden="1" customHeight="1">
      <c r="B89" s="47" t="s">
        <v>210</v>
      </c>
      <c r="C89" s="48" t="s">
        <v>233</v>
      </c>
      <c r="D89" s="49" t="s">
        <v>525</v>
      </c>
      <c r="E89" s="50">
        <v>43507</v>
      </c>
      <c r="F89" s="52" t="s">
        <v>218</v>
      </c>
      <c r="G89" s="51">
        <v>1920</v>
      </c>
      <c r="H89" s="52">
        <f t="shared" si="17"/>
        <v>96</v>
      </c>
      <c r="I89" s="52">
        <f t="shared" si="18"/>
        <v>3</v>
      </c>
      <c r="J89" s="52"/>
      <c r="K89" s="53">
        <v>43541</v>
      </c>
      <c r="L89" s="54" t="s">
        <v>502</v>
      </c>
      <c r="M89" s="55">
        <v>43536</v>
      </c>
      <c r="N89" s="56" t="s">
        <v>346</v>
      </c>
      <c r="O89" s="55">
        <v>43541</v>
      </c>
      <c r="P89" s="58" t="s">
        <v>654</v>
      </c>
      <c r="Q89" s="52" t="s">
        <v>612</v>
      </c>
      <c r="R89" s="63" t="s">
        <v>211</v>
      </c>
      <c r="S89" s="52"/>
    </row>
    <row r="90" spans="2:19" s="34" customFormat="1" ht="33" hidden="1" customHeight="1">
      <c r="B90" s="47" t="s">
        <v>210</v>
      </c>
      <c r="C90" s="48" t="s">
        <v>595</v>
      </c>
      <c r="D90" s="49" t="s">
        <v>525</v>
      </c>
      <c r="E90" s="50">
        <v>43519</v>
      </c>
      <c r="F90" s="52" t="s">
        <v>218</v>
      </c>
      <c r="G90" s="51">
        <v>1920</v>
      </c>
      <c r="H90" s="52">
        <f t="shared" si="17"/>
        <v>96</v>
      </c>
      <c r="I90" s="52">
        <f t="shared" si="18"/>
        <v>3</v>
      </c>
      <c r="J90" s="52"/>
      <c r="K90" s="53">
        <v>43555</v>
      </c>
      <c r="L90" s="54" t="s">
        <v>644</v>
      </c>
      <c r="M90" s="55">
        <v>43550</v>
      </c>
      <c r="N90" s="56" t="s">
        <v>344</v>
      </c>
      <c r="O90" s="55">
        <v>43555</v>
      </c>
      <c r="P90" s="58"/>
      <c r="Q90" s="52" t="s">
        <v>613</v>
      </c>
      <c r="R90" s="63" t="s">
        <v>211</v>
      </c>
      <c r="S90" s="52"/>
    </row>
    <row r="91" spans="2:19" s="34" customFormat="1" ht="33" hidden="1" customHeight="1">
      <c r="B91" s="47" t="s">
        <v>210</v>
      </c>
      <c r="C91" s="48" t="s">
        <v>285</v>
      </c>
      <c r="D91" s="49" t="s">
        <v>526</v>
      </c>
      <c r="E91" s="50">
        <v>43507</v>
      </c>
      <c r="F91" s="52" t="s">
        <v>218</v>
      </c>
      <c r="G91" s="51">
        <v>3200</v>
      </c>
      <c r="H91" s="52">
        <f t="shared" si="17"/>
        <v>160</v>
      </c>
      <c r="I91" s="52">
        <f t="shared" si="18"/>
        <v>5</v>
      </c>
      <c r="J91" s="52"/>
      <c r="K91" s="53">
        <v>43576</v>
      </c>
      <c r="L91" s="54" t="s">
        <v>503</v>
      </c>
      <c r="M91" s="55">
        <v>43571</v>
      </c>
      <c r="N91" s="56" t="s">
        <v>445</v>
      </c>
      <c r="O91" s="55">
        <v>43576</v>
      </c>
      <c r="P91" s="58"/>
      <c r="Q91" s="52" t="s">
        <v>643</v>
      </c>
      <c r="R91" s="63" t="s">
        <v>211</v>
      </c>
      <c r="S91" s="52"/>
    </row>
    <row r="92" spans="2:19" s="34" customFormat="1" ht="33" hidden="1" customHeight="1">
      <c r="B92" s="47" t="s">
        <v>210</v>
      </c>
      <c r="C92" s="48" t="s">
        <v>650</v>
      </c>
      <c r="D92" s="49" t="s">
        <v>526</v>
      </c>
      <c r="E92" s="50">
        <v>43507</v>
      </c>
      <c r="F92" s="52" t="s">
        <v>218</v>
      </c>
      <c r="G92" s="51">
        <v>640</v>
      </c>
      <c r="H92" s="52">
        <f>SUM(G92/20)</f>
        <v>32</v>
      </c>
      <c r="I92" s="52">
        <f>SUM(H92/32)</f>
        <v>1</v>
      </c>
      <c r="J92" s="52"/>
      <c r="K92" s="53">
        <v>43576</v>
      </c>
      <c r="L92" s="54" t="s">
        <v>448</v>
      </c>
      <c r="M92" s="55">
        <v>43578</v>
      </c>
      <c r="N92" s="56" t="s">
        <v>447</v>
      </c>
      <c r="O92" s="55">
        <v>43583</v>
      </c>
      <c r="P92" s="58"/>
      <c r="Q92" s="52" t="s">
        <v>643</v>
      </c>
      <c r="R92" s="63" t="s">
        <v>211</v>
      </c>
      <c r="S92" s="52"/>
    </row>
    <row r="93" spans="2:19" s="34" customFormat="1" ht="33" hidden="1" customHeight="1">
      <c r="B93" s="47" t="s">
        <v>210</v>
      </c>
      <c r="C93" s="48" t="s">
        <v>331</v>
      </c>
      <c r="D93" s="49" t="s">
        <v>632</v>
      </c>
      <c r="E93" s="50">
        <v>43519</v>
      </c>
      <c r="F93" s="52" t="s">
        <v>218</v>
      </c>
      <c r="G93" s="51">
        <v>3200</v>
      </c>
      <c r="H93" s="52">
        <f t="shared" si="17"/>
        <v>160</v>
      </c>
      <c r="I93" s="52">
        <f t="shared" si="18"/>
        <v>5</v>
      </c>
      <c r="J93" s="52"/>
      <c r="K93" s="53">
        <v>43562</v>
      </c>
      <c r="L93" s="54" t="s">
        <v>608</v>
      </c>
      <c r="M93" s="55">
        <v>43557</v>
      </c>
      <c r="N93" s="56" t="s">
        <v>403</v>
      </c>
      <c r="O93" s="55">
        <v>43562</v>
      </c>
      <c r="P93" s="58"/>
      <c r="Q93" s="52" t="s">
        <v>642</v>
      </c>
      <c r="R93" s="63" t="s">
        <v>211</v>
      </c>
      <c r="S93" s="52"/>
    </row>
    <row r="94" spans="2:19" s="34" customFormat="1" ht="33" hidden="1" customHeight="1">
      <c r="B94" s="47" t="s">
        <v>210</v>
      </c>
      <c r="C94" s="48" t="s">
        <v>647</v>
      </c>
      <c r="D94" s="49" t="s">
        <v>632</v>
      </c>
      <c r="E94" s="50">
        <v>43519</v>
      </c>
      <c r="F94" s="52" t="s">
        <v>218</v>
      </c>
      <c r="G94" s="51">
        <v>640</v>
      </c>
      <c r="H94" s="52">
        <f>SUM(G94/20)</f>
        <v>32</v>
      </c>
      <c r="I94" s="52">
        <f>SUM(H94/32)</f>
        <v>1</v>
      </c>
      <c r="J94" s="52"/>
      <c r="K94" s="53">
        <v>43562</v>
      </c>
      <c r="L94" s="54" t="s">
        <v>480</v>
      </c>
      <c r="M94" s="55">
        <v>43564</v>
      </c>
      <c r="N94" s="56" t="s">
        <v>646</v>
      </c>
      <c r="O94" s="55">
        <v>43569</v>
      </c>
      <c r="P94" s="58"/>
      <c r="Q94" s="52" t="s">
        <v>642</v>
      </c>
      <c r="R94" s="63" t="s">
        <v>211</v>
      </c>
      <c r="S94" s="52"/>
    </row>
    <row r="95" spans="2:19" s="32" customFormat="1" ht="33" hidden="1" customHeight="1">
      <c r="B95" s="46" t="s">
        <v>210</v>
      </c>
      <c r="C95" s="35" t="s">
        <v>431</v>
      </c>
      <c r="D95" s="36" t="s">
        <v>633</v>
      </c>
      <c r="E95" s="37">
        <v>43523</v>
      </c>
      <c r="F95" s="38" t="s">
        <v>218</v>
      </c>
      <c r="G95" s="39">
        <v>3200</v>
      </c>
      <c r="H95" s="38">
        <f t="shared" si="17"/>
        <v>160</v>
      </c>
      <c r="I95" s="38">
        <f t="shared" si="18"/>
        <v>5</v>
      </c>
      <c r="J95" s="38"/>
      <c r="K95" s="40">
        <v>43597</v>
      </c>
      <c r="L95" s="41" t="s">
        <v>605</v>
      </c>
      <c r="M95" s="42">
        <v>43594</v>
      </c>
      <c r="N95" s="43" t="s">
        <v>561</v>
      </c>
      <c r="O95" s="42">
        <v>43598</v>
      </c>
      <c r="P95" s="45"/>
      <c r="Q95" s="38" t="s">
        <v>641</v>
      </c>
      <c r="R95" s="66" t="s">
        <v>211</v>
      </c>
      <c r="S95" s="38"/>
    </row>
    <row r="96" spans="2:19" s="32" customFormat="1" ht="33" hidden="1" customHeight="1">
      <c r="B96" s="46" t="s">
        <v>210</v>
      </c>
      <c r="C96" s="35" t="s">
        <v>648</v>
      </c>
      <c r="D96" s="36" t="s">
        <v>633</v>
      </c>
      <c r="E96" s="37">
        <v>43523</v>
      </c>
      <c r="F96" s="38" t="s">
        <v>218</v>
      </c>
      <c r="G96" s="39">
        <v>640</v>
      </c>
      <c r="H96" s="38">
        <f>SUM(G96/20)</f>
        <v>32</v>
      </c>
      <c r="I96" s="38">
        <f>SUM(H96/32)</f>
        <v>1</v>
      </c>
      <c r="J96" s="38"/>
      <c r="K96" s="40">
        <v>43618</v>
      </c>
      <c r="L96" s="41" t="s">
        <v>977</v>
      </c>
      <c r="M96" s="42">
        <v>43613</v>
      </c>
      <c r="N96" s="43" t="s">
        <v>766</v>
      </c>
      <c r="O96" s="42">
        <v>43618</v>
      </c>
      <c r="P96" s="45"/>
      <c r="Q96" s="38" t="s">
        <v>641</v>
      </c>
      <c r="R96" s="66" t="s">
        <v>211</v>
      </c>
      <c r="S96" s="38"/>
    </row>
    <row r="97" spans="2:19" s="32" customFormat="1" ht="33" hidden="1" customHeight="1">
      <c r="B97" s="46" t="s">
        <v>210</v>
      </c>
      <c r="C97" s="35" t="s">
        <v>738</v>
      </c>
      <c r="D97" s="36" t="s">
        <v>739</v>
      </c>
      <c r="E97" s="37">
        <v>43532</v>
      </c>
      <c r="F97" s="38" t="s">
        <v>218</v>
      </c>
      <c r="G97" s="39">
        <v>2560</v>
      </c>
      <c r="H97" s="38">
        <f t="shared" ref="H97" si="19">SUM(G97/20)</f>
        <v>128</v>
      </c>
      <c r="I97" s="38">
        <f t="shared" ref="I97" si="20">SUM(H97/32)</f>
        <v>4</v>
      </c>
      <c r="J97" s="38"/>
      <c r="K97" s="40">
        <v>43618</v>
      </c>
      <c r="L97" s="41" t="s">
        <v>977</v>
      </c>
      <c r="M97" s="42">
        <v>43613</v>
      </c>
      <c r="N97" s="43" t="s">
        <v>766</v>
      </c>
      <c r="O97" s="42">
        <v>43618</v>
      </c>
      <c r="P97" s="45"/>
      <c r="Q97" s="38" t="s">
        <v>970</v>
      </c>
      <c r="R97" s="66" t="s">
        <v>211</v>
      </c>
      <c r="S97" s="38"/>
    </row>
    <row r="98" spans="2:19" s="32" customFormat="1" ht="33" hidden="1" customHeight="1">
      <c r="B98" s="46" t="s">
        <v>210</v>
      </c>
      <c r="C98" s="35" t="s">
        <v>589</v>
      </c>
      <c r="D98" s="36" t="s">
        <v>1260</v>
      </c>
      <c r="E98" s="37">
        <v>43558</v>
      </c>
      <c r="F98" s="38" t="s">
        <v>218</v>
      </c>
      <c r="G98" s="39">
        <v>3200</v>
      </c>
      <c r="H98" s="38">
        <f>SUM(G98/20)</f>
        <v>160</v>
      </c>
      <c r="I98" s="38">
        <f>SUM(H98/32)</f>
        <v>5</v>
      </c>
      <c r="J98" s="38"/>
      <c r="K98" s="40">
        <v>43639</v>
      </c>
      <c r="L98" s="41" t="s">
        <v>978</v>
      </c>
      <c r="M98" s="42">
        <v>43634</v>
      </c>
      <c r="N98" s="43" t="s">
        <v>764</v>
      </c>
      <c r="O98" s="42">
        <v>43639</v>
      </c>
      <c r="P98" s="45"/>
      <c r="Q98" s="38" t="s">
        <v>973</v>
      </c>
      <c r="R98" s="66" t="s">
        <v>211</v>
      </c>
      <c r="S98" s="38"/>
    </row>
    <row r="99" spans="2:19" s="32" customFormat="1" ht="33" hidden="1" customHeight="1">
      <c r="B99" s="46" t="s">
        <v>210</v>
      </c>
      <c r="C99" s="35" t="s">
        <v>2078</v>
      </c>
      <c r="D99" s="36" t="s">
        <v>2426</v>
      </c>
      <c r="E99" s="37">
        <v>43602</v>
      </c>
      <c r="F99" s="38" t="s">
        <v>218</v>
      </c>
      <c r="G99" s="39">
        <v>3200</v>
      </c>
      <c r="H99" s="38">
        <f t="shared" ref="H99:H100" si="21">SUM(G99/20)</f>
        <v>160</v>
      </c>
      <c r="I99" s="38">
        <f t="shared" ref="I99:I100" si="22">SUM(H99/32)</f>
        <v>5</v>
      </c>
      <c r="J99" s="38"/>
      <c r="K99" s="40">
        <v>43653</v>
      </c>
      <c r="L99" s="41" t="s">
        <v>1326</v>
      </c>
      <c r="M99" s="42">
        <v>43648</v>
      </c>
      <c r="N99" s="43" t="s">
        <v>2143</v>
      </c>
      <c r="O99" s="42">
        <v>43653</v>
      </c>
      <c r="P99" s="45"/>
      <c r="Q99" s="38" t="s">
        <v>2148</v>
      </c>
      <c r="R99" s="66" t="s">
        <v>211</v>
      </c>
      <c r="S99" s="38"/>
    </row>
    <row r="100" spans="2:19" s="32" customFormat="1" ht="33" hidden="1" customHeight="1">
      <c r="B100" s="46" t="s">
        <v>210</v>
      </c>
      <c r="C100" s="35" t="s">
        <v>2079</v>
      </c>
      <c r="D100" s="36" t="s">
        <v>2428</v>
      </c>
      <c r="E100" s="37">
        <v>43602</v>
      </c>
      <c r="F100" s="38" t="s">
        <v>218</v>
      </c>
      <c r="G100" s="39">
        <v>3200</v>
      </c>
      <c r="H100" s="38">
        <f t="shared" si="21"/>
        <v>160</v>
      </c>
      <c r="I100" s="38">
        <f t="shared" si="22"/>
        <v>5</v>
      </c>
      <c r="J100" s="38"/>
      <c r="K100" s="40">
        <v>43667</v>
      </c>
      <c r="L100" s="41" t="s">
        <v>2149</v>
      </c>
      <c r="M100" s="42">
        <v>43664</v>
      </c>
      <c r="N100" s="43" t="s">
        <v>2145</v>
      </c>
      <c r="O100" s="42">
        <v>43668</v>
      </c>
      <c r="P100" s="45"/>
      <c r="Q100" s="38" t="s">
        <v>2150</v>
      </c>
      <c r="R100" s="66" t="s">
        <v>211</v>
      </c>
      <c r="S100" s="38"/>
    </row>
    <row r="101" spans="2:19" s="32" customFormat="1" ht="33" hidden="1" customHeight="1">
      <c r="B101" s="122" t="s">
        <v>210</v>
      </c>
      <c r="C101" s="126" t="s">
        <v>2378</v>
      </c>
      <c r="D101" s="127" t="s">
        <v>2518</v>
      </c>
      <c r="E101" s="128">
        <v>43602</v>
      </c>
      <c r="F101" s="124" t="s">
        <v>218</v>
      </c>
      <c r="G101" s="129">
        <v>3200</v>
      </c>
      <c r="H101" s="124">
        <f t="shared" ref="H101:H103" si="23">SUM(G101/20)</f>
        <v>160</v>
      </c>
      <c r="I101" s="124">
        <f t="shared" ref="I101:I103" si="24">SUM(H101/32)</f>
        <v>5</v>
      </c>
      <c r="J101" s="124"/>
      <c r="K101" s="130">
        <v>43688</v>
      </c>
      <c r="L101" s="119" t="s">
        <v>2505</v>
      </c>
      <c r="M101" s="120">
        <v>43685</v>
      </c>
      <c r="N101" s="121" t="s">
        <v>2495</v>
      </c>
      <c r="O101" s="120">
        <v>43689</v>
      </c>
      <c r="P101" s="123"/>
      <c r="Q101" s="124" t="s">
        <v>2507</v>
      </c>
      <c r="R101" s="134" t="s">
        <v>211</v>
      </c>
      <c r="S101" s="124"/>
    </row>
    <row r="102" spans="2:19" s="32" customFormat="1" ht="33" customHeight="1">
      <c r="B102" s="122" t="s">
        <v>210</v>
      </c>
      <c r="C102" s="126" t="s">
        <v>2430</v>
      </c>
      <c r="D102" s="187" t="s">
        <v>2520</v>
      </c>
      <c r="E102" s="128">
        <v>43602</v>
      </c>
      <c r="F102" s="124" t="s">
        <v>218</v>
      </c>
      <c r="G102" s="129">
        <v>3200</v>
      </c>
      <c r="H102" s="124">
        <f t="shared" si="23"/>
        <v>160</v>
      </c>
      <c r="I102" s="124">
        <f t="shared" si="24"/>
        <v>5</v>
      </c>
      <c r="J102" s="124"/>
      <c r="K102" s="130">
        <v>43702</v>
      </c>
      <c r="L102" s="119" t="s">
        <v>2509</v>
      </c>
      <c r="M102" s="120">
        <v>43697</v>
      </c>
      <c r="N102" s="121" t="s">
        <v>2499</v>
      </c>
      <c r="O102" s="120">
        <v>43702</v>
      </c>
      <c r="P102" s="123"/>
      <c r="Q102" s="124" t="s">
        <v>2517</v>
      </c>
      <c r="R102" s="134" t="s">
        <v>211</v>
      </c>
      <c r="S102" s="124"/>
    </row>
    <row r="103" spans="2:19" s="153" customFormat="1" ht="33" hidden="1" customHeight="1">
      <c r="B103" s="103" t="s">
        <v>210</v>
      </c>
      <c r="C103" s="104" t="s">
        <v>2527</v>
      </c>
      <c r="D103" s="189" t="s">
        <v>2532</v>
      </c>
      <c r="E103" s="106">
        <v>43609</v>
      </c>
      <c r="F103" s="107" t="s">
        <v>218</v>
      </c>
      <c r="G103" s="108">
        <v>120</v>
      </c>
      <c r="H103" s="107">
        <f t="shared" si="23"/>
        <v>6</v>
      </c>
      <c r="I103" s="107">
        <f t="shared" si="24"/>
        <v>0.1875</v>
      </c>
      <c r="J103" s="107"/>
      <c r="K103" s="109">
        <v>43646</v>
      </c>
      <c r="L103" s="110"/>
      <c r="M103" s="111"/>
      <c r="N103" s="112"/>
      <c r="O103" s="111"/>
      <c r="P103" s="113"/>
      <c r="Q103" s="107"/>
      <c r="R103" s="116" t="s">
        <v>2533</v>
      </c>
      <c r="S103" s="107"/>
    </row>
    <row r="104" spans="2:19" s="153" customFormat="1" ht="33" hidden="1" customHeight="1">
      <c r="B104" s="103" t="s">
        <v>210</v>
      </c>
      <c r="C104" s="104" t="s">
        <v>2528</v>
      </c>
      <c r="D104" s="189"/>
      <c r="E104" s="106">
        <v>43609</v>
      </c>
      <c r="F104" s="107" t="s">
        <v>218</v>
      </c>
      <c r="G104" s="108">
        <v>3200</v>
      </c>
      <c r="H104" s="107">
        <f t="shared" ref="H104:H105" si="25">SUM(G104/20)</f>
        <v>160</v>
      </c>
      <c r="I104" s="107">
        <f t="shared" ref="I104:I105" si="26">SUM(H104/32)</f>
        <v>5</v>
      </c>
      <c r="J104" s="107"/>
      <c r="K104" s="109">
        <v>43660</v>
      </c>
      <c r="L104" s="110"/>
      <c r="M104" s="111"/>
      <c r="N104" s="112"/>
      <c r="O104" s="111"/>
      <c r="P104" s="113"/>
      <c r="Q104" s="107"/>
      <c r="R104" s="116" t="s">
        <v>211</v>
      </c>
      <c r="S104" s="107"/>
    </row>
    <row r="105" spans="2:19" s="153" customFormat="1" ht="33" hidden="1" customHeight="1">
      <c r="B105" s="103" t="s">
        <v>210</v>
      </c>
      <c r="C105" s="104" t="s">
        <v>2529</v>
      </c>
      <c r="D105" s="189"/>
      <c r="E105" s="106">
        <v>43609</v>
      </c>
      <c r="F105" s="107" t="s">
        <v>218</v>
      </c>
      <c r="G105" s="108">
        <v>3200</v>
      </c>
      <c r="H105" s="107">
        <f t="shared" si="25"/>
        <v>160</v>
      </c>
      <c r="I105" s="107">
        <f t="shared" si="26"/>
        <v>5</v>
      </c>
      <c r="J105" s="107"/>
      <c r="K105" s="109">
        <v>43675</v>
      </c>
      <c r="L105" s="110"/>
      <c r="M105" s="111"/>
      <c r="N105" s="112"/>
      <c r="O105" s="111"/>
      <c r="P105" s="113"/>
      <c r="Q105" s="107"/>
      <c r="R105" s="116" t="s">
        <v>211</v>
      </c>
      <c r="S105" s="107"/>
    </row>
    <row r="106" spans="2:19" s="34" customFormat="1" ht="33" hidden="1" customHeight="1">
      <c r="B106" s="47" t="s">
        <v>740</v>
      </c>
      <c r="C106" s="48" t="s">
        <v>234</v>
      </c>
      <c r="D106" s="49" t="s">
        <v>635</v>
      </c>
      <c r="E106" s="50">
        <v>43519</v>
      </c>
      <c r="F106" s="52" t="s">
        <v>741</v>
      </c>
      <c r="G106" s="51">
        <v>1280</v>
      </c>
      <c r="H106" s="52">
        <f t="shared" si="17"/>
        <v>64</v>
      </c>
      <c r="I106" s="52">
        <f t="shared" si="18"/>
        <v>2</v>
      </c>
      <c r="J106" s="52"/>
      <c r="K106" s="53">
        <v>43576</v>
      </c>
      <c r="L106" s="54" t="s">
        <v>644</v>
      </c>
      <c r="M106" s="55">
        <v>43550</v>
      </c>
      <c r="N106" s="56" t="s">
        <v>344</v>
      </c>
      <c r="O106" s="55">
        <v>43555</v>
      </c>
      <c r="P106" s="58" t="s">
        <v>655</v>
      </c>
      <c r="Q106" s="52" t="s">
        <v>613</v>
      </c>
      <c r="R106" s="63" t="s">
        <v>211</v>
      </c>
      <c r="S106" s="52"/>
    </row>
    <row r="107" spans="2:19" s="32" customFormat="1" ht="33" hidden="1" customHeight="1">
      <c r="B107" s="46" t="s">
        <v>740</v>
      </c>
      <c r="C107" s="35" t="s">
        <v>235</v>
      </c>
      <c r="D107" s="36" t="s">
        <v>744</v>
      </c>
      <c r="E107" s="37">
        <v>43532</v>
      </c>
      <c r="F107" s="38" t="s">
        <v>741</v>
      </c>
      <c r="G107" s="39">
        <v>1280</v>
      </c>
      <c r="H107" s="38">
        <f t="shared" si="17"/>
        <v>64</v>
      </c>
      <c r="I107" s="38">
        <f t="shared" si="18"/>
        <v>2</v>
      </c>
      <c r="J107" s="38"/>
      <c r="K107" s="40">
        <v>43597</v>
      </c>
      <c r="L107" s="41" t="s">
        <v>605</v>
      </c>
      <c r="M107" s="42">
        <v>43594</v>
      </c>
      <c r="N107" s="43" t="s">
        <v>772</v>
      </c>
      <c r="O107" s="42">
        <v>43598</v>
      </c>
      <c r="P107" s="45"/>
      <c r="Q107" s="38" t="s">
        <v>641</v>
      </c>
      <c r="R107" s="66" t="s">
        <v>211</v>
      </c>
      <c r="S107" s="38"/>
    </row>
    <row r="108" spans="2:19" s="32" customFormat="1" ht="33" hidden="1" customHeight="1">
      <c r="B108" s="46" t="s">
        <v>740</v>
      </c>
      <c r="C108" s="35" t="s">
        <v>1569</v>
      </c>
      <c r="D108" s="36" t="s">
        <v>2085</v>
      </c>
      <c r="E108" s="37">
        <v>43581</v>
      </c>
      <c r="F108" s="38" t="s">
        <v>741</v>
      </c>
      <c r="G108" s="39">
        <v>1280</v>
      </c>
      <c r="H108" s="38">
        <f t="shared" si="17"/>
        <v>64</v>
      </c>
      <c r="I108" s="38">
        <f t="shared" si="18"/>
        <v>2</v>
      </c>
      <c r="J108" s="38"/>
      <c r="K108" s="40">
        <v>43632</v>
      </c>
      <c r="L108" s="41" t="s">
        <v>807</v>
      </c>
      <c r="M108" s="42">
        <v>43627</v>
      </c>
      <c r="N108" s="43" t="s">
        <v>769</v>
      </c>
      <c r="O108" s="42">
        <v>43632</v>
      </c>
      <c r="P108" s="45"/>
      <c r="Q108" s="38" t="s">
        <v>1810</v>
      </c>
      <c r="R108" s="66" t="s">
        <v>211</v>
      </c>
      <c r="S108" s="38"/>
    </row>
    <row r="109" spans="2:19" s="32" customFormat="1" ht="33" hidden="1" customHeight="1">
      <c r="B109" s="46" t="s">
        <v>740</v>
      </c>
      <c r="C109" s="35" t="s">
        <v>90</v>
      </c>
      <c r="D109" s="36" t="s">
        <v>2087</v>
      </c>
      <c r="E109" s="37">
        <v>43595</v>
      </c>
      <c r="F109" s="38" t="s">
        <v>741</v>
      </c>
      <c r="G109" s="39">
        <v>1280</v>
      </c>
      <c r="H109" s="38">
        <f t="shared" si="17"/>
        <v>64</v>
      </c>
      <c r="I109" s="38">
        <f t="shared" si="18"/>
        <v>2</v>
      </c>
      <c r="J109" s="38"/>
      <c r="K109" s="40">
        <v>43646</v>
      </c>
      <c r="L109" s="119" t="s">
        <v>1326</v>
      </c>
      <c r="M109" s="120">
        <v>43648</v>
      </c>
      <c r="N109" s="121" t="s">
        <v>2143</v>
      </c>
      <c r="O109" s="120">
        <v>43653</v>
      </c>
      <c r="P109" s="45"/>
      <c r="Q109" s="38" t="s">
        <v>2153</v>
      </c>
      <c r="R109" s="66" t="s">
        <v>211</v>
      </c>
      <c r="S109" s="38"/>
    </row>
    <row r="110" spans="2:19" s="32" customFormat="1" ht="33" hidden="1" customHeight="1">
      <c r="B110" s="46" t="s">
        <v>740</v>
      </c>
      <c r="C110" s="35" t="s">
        <v>2088</v>
      </c>
      <c r="D110" s="36" t="s">
        <v>2089</v>
      </c>
      <c r="E110" s="37">
        <v>43595</v>
      </c>
      <c r="F110" s="38" t="s">
        <v>741</v>
      </c>
      <c r="G110" s="108">
        <v>640</v>
      </c>
      <c r="H110" s="107">
        <f t="shared" si="17"/>
        <v>32</v>
      </c>
      <c r="I110" s="107">
        <f t="shared" si="18"/>
        <v>1</v>
      </c>
      <c r="J110" s="38"/>
      <c r="K110" s="109">
        <v>43730</v>
      </c>
      <c r="L110" s="41" t="s">
        <v>2146</v>
      </c>
      <c r="M110" s="42">
        <v>43669</v>
      </c>
      <c r="N110" s="43" t="s">
        <v>1313</v>
      </c>
      <c r="O110" s="42">
        <v>43674</v>
      </c>
      <c r="P110" s="45"/>
      <c r="Q110" s="38" t="s">
        <v>2154</v>
      </c>
      <c r="R110" s="66" t="s">
        <v>211</v>
      </c>
      <c r="S110" s="38"/>
    </row>
    <row r="111" spans="2:19" s="32" customFormat="1" ht="33" hidden="1" customHeight="1">
      <c r="B111" s="122" t="s">
        <v>740</v>
      </c>
      <c r="C111" s="126" t="s">
        <v>208</v>
      </c>
      <c r="D111" s="187" t="s">
        <v>2519</v>
      </c>
      <c r="E111" s="128">
        <v>43602</v>
      </c>
      <c r="F111" s="124" t="s">
        <v>741</v>
      </c>
      <c r="G111" s="129">
        <v>1280</v>
      </c>
      <c r="H111" s="124">
        <f t="shared" si="17"/>
        <v>64</v>
      </c>
      <c r="I111" s="124">
        <f t="shared" si="18"/>
        <v>2</v>
      </c>
      <c r="J111" s="124"/>
      <c r="K111" s="188" t="s">
        <v>2526</v>
      </c>
      <c r="L111" s="119" t="s">
        <v>2505</v>
      </c>
      <c r="M111" s="120">
        <v>43685</v>
      </c>
      <c r="N111" s="121" t="s">
        <v>2501</v>
      </c>
      <c r="O111" s="120">
        <v>43689</v>
      </c>
      <c r="P111" s="123"/>
      <c r="Q111" s="124" t="s">
        <v>2507</v>
      </c>
      <c r="R111" s="134" t="s">
        <v>211</v>
      </c>
      <c r="S111" s="124"/>
    </row>
    <row r="112" spans="2:19" s="32" customFormat="1" ht="33" customHeight="1">
      <c r="B112" s="122" t="s">
        <v>740</v>
      </c>
      <c r="C112" s="126" t="s">
        <v>212</v>
      </c>
      <c r="D112" s="187" t="s">
        <v>2444</v>
      </c>
      <c r="E112" s="128">
        <v>43602</v>
      </c>
      <c r="F112" s="124" t="s">
        <v>741</v>
      </c>
      <c r="G112" s="108">
        <v>640</v>
      </c>
      <c r="H112" s="107">
        <f>SUM(G112/20)</f>
        <v>32</v>
      </c>
      <c r="I112" s="107">
        <f>SUM(H112/32)</f>
        <v>1</v>
      </c>
      <c r="J112" s="124"/>
      <c r="K112" s="130">
        <v>43709</v>
      </c>
      <c r="L112" s="119" t="s">
        <v>2509</v>
      </c>
      <c r="M112" s="120">
        <v>43697</v>
      </c>
      <c r="N112" s="121" t="s">
        <v>2498</v>
      </c>
      <c r="O112" s="120">
        <v>43702</v>
      </c>
      <c r="P112" s="123"/>
      <c r="Q112" s="124" t="s">
        <v>2517</v>
      </c>
      <c r="R112" s="134" t="s">
        <v>211</v>
      </c>
      <c r="S112" s="124"/>
    </row>
    <row r="113" spans="1:19" s="153" customFormat="1" ht="33" hidden="1" customHeight="1">
      <c r="B113" s="103" t="s">
        <v>215</v>
      </c>
      <c r="C113" s="104" t="s">
        <v>2531</v>
      </c>
      <c r="D113" s="189" t="s">
        <v>2532</v>
      </c>
      <c r="E113" s="106">
        <v>43609</v>
      </c>
      <c r="F113" s="107"/>
      <c r="G113" s="108">
        <v>120</v>
      </c>
      <c r="H113" s="107">
        <f>SUM(G113/20)</f>
        <v>6</v>
      </c>
      <c r="I113" s="107">
        <f>SUM(H113/32)</f>
        <v>0.1875</v>
      </c>
      <c r="J113" s="107"/>
      <c r="K113" s="109">
        <v>43646</v>
      </c>
      <c r="L113" s="110"/>
      <c r="M113" s="111"/>
      <c r="N113" s="112"/>
      <c r="O113" s="111"/>
      <c r="P113" s="113"/>
      <c r="Q113" s="107"/>
      <c r="R113" s="116" t="s">
        <v>2533</v>
      </c>
      <c r="S113" s="107"/>
    </row>
    <row r="114" spans="1:19" s="33" customFormat="1" ht="33" hidden="1" customHeight="1">
      <c r="A114" s="33" t="s">
        <v>2530</v>
      </c>
      <c r="B114" s="47" t="s">
        <v>86</v>
      </c>
      <c r="C114" s="48" t="s">
        <v>225</v>
      </c>
      <c r="D114" s="49" t="s">
        <v>487</v>
      </c>
      <c r="E114" s="50">
        <v>43490</v>
      </c>
      <c r="F114" s="52" t="s">
        <v>87</v>
      </c>
      <c r="G114" s="51">
        <v>1520</v>
      </c>
      <c r="H114" s="52">
        <f>SUM(G114/190)</f>
        <v>8</v>
      </c>
      <c r="I114" s="52">
        <f>SUM(H114/4)</f>
        <v>2</v>
      </c>
      <c r="J114" s="52"/>
      <c r="K114" s="53">
        <v>43569</v>
      </c>
      <c r="L114" s="54" t="s">
        <v>417</v>
      </c>
      <c r="M114" s="55">
        <v>43564</v>
      </c>
      <c r="N114" s="56" t="s">
        <v>405</v>
      </c>
      <c r="O114" s="55">
        <v>43569</v>
      </c>
      <c r="P114" s="58"/>
      <c r="Q114" s="52"/>
      <c r="R114" s="63" t="s">
        <v>495</v>
      </c>
      <c r="S114" s="47"/>
    </row>
    <row r="115" spans="1:19" s="30" customFormat="1" ht="33" hidden="1" customHeight="1">
      <c r="B115" s="46" t="s">
        <v>86</v>
      </c>
      <c r="C115" s="35" t="s">
        <v>226</v>
      </c>
      <c r="D115" s="36" t="s">
        <v>833</v>
      </c>
      <c r="E115" s="37">
        <v>43546</v>
      </c>
      <c r="F115" s="38" t="s">
        <v>87</v>
      </c>
      <c r="G115" s="39">
        <v>1520</v>
      </c>
      <c r="H115" s="38">
        <f>SUM(G115/190)</f>
        <v>8</v>
      </c>
      <c r="I115" s="38">
        <f>SUM(H115/4)</f>
        <v>2</v>
      </c>
      <c r="J115" s="38"/>
      <c r="K115" s="40">
        <v>43632</v>
      </c>
      <c r="L115" s="41" t="s">
        <v>838</v>
      </c>
      <c r="M115" s="42">
        <v>43627</v>
      </c>
      <c r="N115" s="43" t="s">
        <v>769</v>
      </c>
      <c r="O115" s="42">
        <v>43632</v>
      </c>
      <c r="P115" s="45"/>
      <c r="Q115" s="38"/>
      <c r="R115" s="66" t="s">
        <v>928</v>
      </c>
      <c r="S115" s="46"/>
    </row>
    <row r="116" spans="1:19" s="30" customFormat="1" ht="33" hidden="1" customHeight="1">
      <c r="B116" s="122" t="s">
        <v>2514</v>
      </c>
      <c r="C116" s="126" t="s">
        <v>2515</v>
      </c>
      <c r="D116" s="127" t="s">
        <v>2480</v>
      </c>
      <c r="E116" s="128">
        <v>43602</v>
      </c>
      <c r="F116" s="124" t="s">
        <v>2516</v>
      </c>
      <c r="G116" s="129">
        <v>1520</v>
      </c>
      <c r="H116" s="124">
        <v>8</v>
      </c>
      <c r="I116" s="124">
        <v>2</v>
      </c>
      <c r="J116" s="124"/>
      <c r="K116" s="130">
        <v>43702</v>
      </c>
      <c r="L116" s="119" t="s">
        <v>2513</v>
      </c>
      <c r="M116" s="120">
        <v>43697</v>
      </c>
      <c r="N116" s="121" t="s">
        <v>2502</v>
      </c>
      <c r="O116" s="120">
        <v>43702</v>
      </c>
      <c r="P116" s="123"/>
      <c r="Q116" s="124"/>
      <c r="R116" s="134"/>
      <c r="S116" s="122"/>
    </row>
    <row r="117" spans="1:19" s="33" customFormat="1" ht="33" hidden="1" customHeight="1">
      <c r="B117" s="47" t="s">
        <v>745</v>
      </c>
      <c r="C117" s="48" t="s">
        <v>399</v>
      </c>
      <c r="D117" s="49" t="s">
        <v>746</v>
      </c>
      <c r="E117" s="50"/>
      <c r="F117" s="47" t="s">
        <v>236</v>
      </c>
      <c r="G117" s="51">
        <v>2400</v>
      </c>
      <c r="H117" s="52">
        <f t="shared" ref="H117:H127" si="27">SUM(G117/200)</f>
        <v>12</v>
      </c>
      <c r="I117" s="52">
        <f t="shared" ref="I117:I127" si="28">SUM(H117/4)</f>
        <v>3</v>
      </c>
      <c r="J117" s="52"/>
      <c r="K117" s="53">
        <v>43527</v>
      </c>
      <c r="L117" s="54" t="s">
        <v>402</v>
      </c>
      <c r="M117" s="55">
        <v>43531</v>
      </c>
      <c r="N117" s="56" t="s">
        <v>568</v>
      </c>
      <c r="O117" s="55">
        <v>43535</v>
      </c>
      <c r="P117" s="58"/>
      <c r="Q117" s="52"/>
      <c r="R117" s="63"/>
      <c r="S117" s="47" t="s">
        <v>611</v>
      </c>
    </row>
    <row r="118" spans="1:19" s="33" customFormat="1" ht="33" hidden="1" customHeight="1">
      <c r="B118" s="47" t="s">
        <v>238</v>
      </c>
      <c r="C118" s="48" t="s">
        <v>227</v>
      </c>
      <c r="D118" s="49" t="s">
        <v>435</v>
      </c>
      <c r="E118" s="50"/>
      <c r="F118" s="52" t="s">
        <v>236</v>
      </c>
      <c r="G118" s="51">
        <v>2400</v>
      </c>
      <c r="H118" s="52">
        <f t="shared" si="27"/>
        <v>12</v>
      </c>
      <c r="I118" s="52">
        <f t="shared" si="28"/>
        <v>3</v>
      </c>
      <c r="J118" s="52"/>
      <c r="K118" s="53">
        <v>43548</v>
      </c>
      <c r="L118" s="54" t="s">
        <v>401</v>
      </c>
      <c r="M118" s="55">
        <v>43543</v>
      </c>
      <c r="N118" s="56" t="s">
        <v>400</v>
      </c>
      <c r="O118" s="55">
        <v>43548</v>
      </c>
      <c r="P118" s="58"/>
      <c r="Q118" s="52"/>
      <c r="R118" s="63"/>
      <c r="S118" s="47"/>
    </row>
    <row r="119" spans="1:19" s="33" customFormat="1" ht="33" hidden="1" customHeight="1">
      <c r="B119" s="47" t="s">
        <v>238</v>
      </c>
      <c r="C119" s="48" t="s">
        <v>274</v>
      </c>
      <c r="D119" s="49" t="s">
        <v>474</v>
      </c>
      <c r="E119" s="50"/>
      <c r="F119" s="52" t="s">
        <v>236</v>
      </c>
      <c r="G119" s="51">
        <v>3200</v>
      </c>
      <c r="H119" s="52">
        <f t="shared" si="27"/>
        <v>16</v>
      </c>
      <c r="I119" s="52">
        <f t="shared" si="28"/>
        <v>4</v>
      </c>
      <c r="J119" s="52"/>
      <c r="K119" s="53">
        <v>43562</v>
      </c>
      <c r="L119" s="54" t="s">
        <v>406</v>
      </c>
      <c r="M119" s="55">
        <v>43557</v>
      </c>
      <c r="N119" s="56" t="s">
        <v>403</v>
      </c>
      <c r="O119" s="55">
        <v>43562</v>
      </c>
      <c r="P119" s="58"/>
      <c r="Q119" s="52"/>
      <c r="R119" s="63"/>
      <c r="S119" s="47"/>
    </row>
    <row r="120" spans="1:19" s="33" customFormat="1" ht="33" hidden="1" customHeight="1">
      <c r="B120" s="47" t="s">
        <v>238</v>
      </c>
      <c r="C120" s="48" t="s">
        <v>404</v>
      </c>
      <c r="D120" s="49" t="s">
        <v>475</v>
      </c>
      <c r="E120" s="50"/>
      <c r="F120" s="52" t="s">
        <v>236</v>
      </c>
      <c r="G120" s="51">
        <v>1600</v>
      </c>
      <c r="H120" s="52">
        <f t="shared" si="27"/>
        <v>8</v>
      </c>
      <c r="I120" s="52">
        <f t="shared" si="28"/>
        <v>2</v>
      </c>
      <c r="J120" s="52"/>
      <c r="K120" s="53">
        <v>43562</v>
      </c>
      <c r="L120" s="54" t="s">
        <v>407</v>
      </c>
      <c r="M120" s="55">
        <v>43564</v>
      </c>
      <c r="N120" s="56" t="s">
        <v>405</v>
      </c>
      <c r="O120" s="55">
        <v>43569</v>
      </c>
      <c r="P120" s="58"/>
      <c r="Q120" s="52"/>
      <c r="R120" s="63"/>
      <c r="S120" s="47"/>
    </row>
    <row r="121" spans="1:19" s="33" customFormat="1" ht="33" hidden="1" customHeight="1">
      <c r="B121" s="47" t="s">
        <v>238</v>
      </c>
      <c r="C121" s="48" t="s">
        <v>490</v>
      </c>
      <c r="D121" s="49" t="s">
        <v>488</v>
      </c>
      <c r="E121" s="50">
        <v>43495</v>
      </c>
      <c r="F121" s="52" t="s">
        <v>236</v>
      </c>
      <c r="G121" s="51">
        <v>1600</v>
      </c>
      <c r="H121" s="52">
        <f t="shared" si="27"/>
        <v>8</v>
      </c>
      <c r="I121" s="52">
        <f t="shared" si="28"/>
        <v>2</v>
      </c>
      <c r="J121" s="52"/>
      <c r="K121" s="53">
        <v>43583</v>
      </c>
      <c r="L121" s="54" t="s">
        <v>481</v>
      </c>
      <c r="M121" s="55">
        <v>43578</v>
      </c>
      <c r="N121" s="56" t="s">
        <v>447</v>
      </c>
      <c r="O121" s="55">
        <v>43583</v>
      </c>
      <c r="P121" s="58"/>
      <c r="Q121" s="52"/>
      <c r="R121" s="63"/>
      <c r="S121" s="47"/>
    </row>
    <row r="122" spans="1:19" s="30" customFormat="1" ht="33" hidden="1" customHeight="1">
      <c r="B122" s="46" t="s">
        <v>238</v>
      </c>
      <c r="C122" s="35" t="s">
        <v>597</v>
      </c>
      <c r="D122" s="36" t="s">
        <v>598</v>
      </c>
      <c r="E122" s="37">
        <v>43519</v>
      </c>
      <c r="F122" s="38" t="s">
        <v>236</v>
      </c>
      <c r="G122" s="39">
        <v>1600</v>
      </c>
      <c r="H122" s="38">
        <f t="shared" si="27"/>
        <v>8</v>
      </c>
      <c r="I122" s="38">
        <f t="shared" si="28"/>
        <v>2</v>
      </c>
      <c r="J122" s="38"/>
      <c r="K122" s="40">
        <v>43597</v>
      </c>
      <c r="L122" s="41" t="s">
        <v>606</v>
      </c>
      <c r="M122" s="42">
        <v>43592</v>
      </c>
      <c r="N122" s="43" t="s">
        <v>600</v>
      </c>
      <c r="O122" s="42">
        <v>43597</v>
      </c>
      <c r="P122" s="45"/>
      <c r="Q122" s="38"/>
      <c r="R122" s="66"/>
      <c r="S122" s="46"/>
    </row>
    <row r="123" spans="1:19" s="30" customFormat="1" ht="33" hidden="1" customHeight="1">
      <c r="B123" s="46" t="s">
        <v>238</v>
      </c>
      <c r="C123" s="35" t="s">
        <v>1085</v>
      </c>
      <c r="D123" s="36" t="s">
        <v>598</v>
      </c>
      <c r="E123" s="37">
        <v>43519</v>
      </c>
      <c r="F123" s="38" t="s">
        <v>236</v>
      </c>
      <c r="G123" s="39">
        <v>1600</v>
      </c>
      <c r="H123" s="38">
        <f t="shared" si="27"/>
        <v>8</v>
      </c>
      <c r="I123" s="38">
        <f t="shared" si="28"/>
        <v>2</v>
      </c>
      <c r="J123" s="38"/>
      <c r="K123" s="40">
        <v>43597</v>
      </c>
      <c r="L123" s="41" t="s">
        <v>1086</v>
      </c>
      <c r="M123" s="42">
        <v>43606</v>
      </c>
      <c r="N123" s="43" t="s">
        <v>599</v>
      </c>
      <c r="O123" s="42">
        <v>43613</v>
      </c>
      <c r="P123" s="45"/>
      <c r="Q123" s="38"/>
      <c r="R123" s="66"/>
      <c r="S123" s="46"/>
    </row>
    <row r="124" spans="1:19" s="30" customFormat="1" ht="33" hidden="1" customHeight="1">
      <c r="B124" s="46" t="s">
        <v>238</v>
      </c>
      <c r="C124" s="35" t="s">
        <v>226</v>
      </c>
      <c r="D124" s="36" t="s">
        <v>749</v>
      </c>
      <c r="E124" s="37">
        <v>43532</v>
      </c>
      <c r="F124" s="38" t="s">
        <v>236</v>
      </c>
      <c r="G124" s="39">
        <v>3200</v>
      </c>
      <c r="H124" s="38">
        <f t="shared" si="27"/>
        <v>16</v>
      </c>
      <c r="I124" s="38">
        <f t="shared" si="28"/>
        <v>4</v>
      </c>
      <c r="J124" s="38"/>
      <c r="K124" s="40">
        <v>43625</v>
      </c>
      <c r="L124" s="41" t="s">
        <v>777</v>
      </c>
      <c r="M124" s="42">
        <v>43620</v>
      </c>
      <c r="N124" s="43" t="s">
        <v>768</v>
      </c>
      <c r="O124" s="42" t="s">
        <v>775</v>
      </c>
      <c r="P124" s="45"/>
      <c r="Q124" s="38"/>
      <c r="R124" s="66"/>
      <c r="S124" s="46"/>
    </row>
    <row r="125" spans="1:19" s="30" customFormat="1" ht="33" hidden="1" customHeight="1">
      <c r="B125" s="46" t="s">
        <v>238</v>
      </c>
      <c r="C125" s="35" t="s">
        <v>233</v>
      </c>
      <c r="D125" s="36" t="s">
        <v>750</v>
      </c>
      <c r="E125" s="37">
        <v>43532</v>
      </c>
      <c r="F125" s="38" t="s">
        <v>236</v>
      </c>
      <c r="G125" s="39">
        <v>3200</v>
      </c>
      <c r="H125" s="38">
        <f t="shared" si="27"/>
        <v>16</v>
      </c>
      <c r="I125" s="38">
        <f t="shared" si="28"/>
        <v>4</v>
      </c>
      <c r="J125" s="38"/>
      <c r="K125" s="40">
        <v>43646</v>
      </c>
      <c r="L125" s="41" t="s">
        <v>778</v>
      </c>
      <c r="M125" s="42">
        <v>43641</v>
      </c>
      <c r="N125" s="43" t="s">
        <v>776</v>
      </c>
      <c r="O125" s="42">
        <v>43646</v>
      </c>
      <c r="P125" s="45"/>
      <c r="Q125" s="38"/>
      <c r="R125" s="66"/>
      <c r="S125" s="46"/>
    </row>
    <row r="126" spans="1:19" s="30" customFormat="1" ht="33" hidden="1" customHeight="1">
      <c r="B126" s="46" t="s">
        <v>238</v>
      </c>
      <c r="C126" s="35" t="s">
        <v>285</v>
      </c>
      <c r="D126" s="36" t="s">
        <v>1305</v>
      </c>
      <c r="E126" s="37">
        <v>43567</v>
      </c>
      <c r="F126" s="38" t="s">
        <v>236</v>
      </c>
      <c r="G126" s="39">
        <v>3200</v>
      </c>
      <c r="H126" s="38">
        <f t="shared" si="27"/>
        <v>16</v>
      </c>
      <c r="I126" s="38">
        <f t="shared" si="28"/>
        <v>4</v>
      </c>
      <c r="J126" s="38"/>
      <c r="K126" s="40">
        <v>43660</v>
      </c>
      <c r="L126" s="41" t="s">
        <v>1327</v>
      </c>
      <c r="M126" s="42">
        <v>43655</v>
      </c>
      <c r="N126" s="43" t="s">
        <v>1315</v>
      </c>
      <c r="O126" s="42">
        <v>43660</v>
      </c>
      <c r="P126" s="45"/>
      <c r="Q126" s="38"/>
      <c r="R126" s="66"/>
      <c r="S126" s="46"/>
    </row>
    <row r="127" spans="1:19" s="30" customFormat="1" ht="33" hidden="1" customHeight="1">
      <c r="B127" s="46" t="s">
        <v>238</v>
      </c>
      <c r="C127" s="35" t="s">
        <v>331</v>
      </c>
      <c r="D127" s="36" t="s">
        <v>1306</v>
      </c>
      <c r="E127" s="37">
        <v>43567</v>
      </c>
      <c r="F127" s="38" t="s">
        <v>236</v>
      </c>
      <c r="G127" s="39">
        <v>3200</v>
      </c>
      <c r="H127" s="38">
        <f t="shared" si="27"/>
        <v>16</v>
      </c>
      <c r="I127" s="38">
        <f t="shared" si="28"/>
        <v>4</v>
      </c>
      <c r="J127" s="38"/>
      <c r="K127" s="40">
        <v>43674</v>
      </c>
      <c r="L127" s="41" t="s">
        <v>1324</v>
      </c>
      <c r="M127" s="42">
        <v>43669</v>
      </c>
      <c r="N127" s="43" t="s">
        <v>1313</v>
      </c>
      <c r="O127" s="42">
        <v>43674</v>
      </c>
      <c r="P127" s="45"/>
      <c r="Q127" s="38"/>
      <c r="R127" s="66"/>
      <c r="S127" s="46"/>
    </row>
    <row r="128" spans="1:19" s="19" customFormat="1">
      <c r="B128"/>
      <c r="C128" s="15"/>
      <c r="D128" s="1"/>
      <c r="E128" s="174"/>
      <c r="F128"/>
      <c r="G128" s="11"/>
      <c r="H128"/>
      <c r="I128"/>
      <c r="J128"/>
      <c r="K128" s="13"/>
      <c r="L128"/>
      <c r="N128" s="28"/>
      <c r="P128"/>
      <c r="Q128"/>
      <c r="R128" s="17"/>
      <c r="S128"/>
    </row>
    <row r="129" spans="2:19" s="19" customFormat="1" ht="26.4" hidden="1">
      <c r="B129"/>
      <c r="C129" s="15"/>
      <c r="D129" s="1"/>
      <c r="F129" s="177"/>
      <c r="L129" s="176" t="s">
        <v>1821</v>
      </c>
      <c r="M129" s="177"/>
      <c r="N129" s="177"/>
      <c r="O129"/>
      <c r="P129" s="13"/>
      <c r="Q129"/>
      <c r="S129" s="28"/>
    </row>
    <row r="130" spans="2:19" ht="26.4" hidden="1">
      <c r="F130" s="177"/>
      <c r="L130" s="176" t="s">
        <v>1822</v>
      </c>
      <c r="M130" s="177"/>
      <c r="N130" s="177"/>
      <c r="O130"/>
      <c r="P130" s="13"/>
      <c r="R130" s="19"/>
      <c r="S130" s="28"/>
    </row>
    <row r="131" spans="2:19" ht="26.4" hidden="1">
      <c r="F131" s="177"/>
      <c r="L131" s="176" t="s">
        <v>1823</v>
      </c>
      <c r="M131" s="177"/>
      <c r="N131" s="177"/>
      <c r="O131"/>
      <c r="P131" s="13"/>
      <c r="R131" s="19"/>
      <c r="S131" s="28"/>
    </row>
    <row r="132" spans="2:19" hidden="1">
      <c r="E132" s="175"/>
      <c r="L132" s="11"/>
      <c r="M132"/>
      <c r="N132"/>
      <c r="O132"/>
      <c r="P132" s="13"/>
      <c r="R132" s="19"/>
      <c r="S132" s="28"/>
    </row>
    <row r="133" spans="2:19" s="19" customFormat="1" hidden="1">
      <c r="B133"/>
      <c r="C133" s="15"/>
      <c r="D133" s="1"/>
      <c r="L133" s="178" t="s">
        <v>1825</v>
      </c>
      <c r="M133" s="178" t="s">
        <v>1826</v>
      </c>
      <c r="N133" s="178" t="s">
        <v>1827</v>
      </c>
      <c r="O133" s="178" t="s">
        <v>1828</v>
      </c>
      <c r="P133" s="179" t="s">
        <v>1829</v>
      </c>
      <c r="Q133" s="179" t="s">
        <v>1830</v>
      </c>
      <c r="R133" s="179" t="s">
        <v>1831</v>
      </c>
      <c r="S133" s="179"/>
    </row>
    <row r="134" spans="2:19" s="19" customFormat="1" hidden="1">
      <c r="B134"/>
      <c r="C134" s="15"/>
      <c r="D134" s="1"/>
      <c r="L134" s="180" t="s">
        <v>1832</v>
      </c>
      <c r="M134" s="181" t="s">
        <v>1833</v>
      </c>
      <c r="N134" s="181" t="s">
        <v>1834</v>
      </c>
      <c r="O134" s="182" t="s">
        <v>1835</v>
      </c>
      <c r="P134" s="183">
        <v>1000</v>
      </c>
      <c r="Q134" s="183">
        <v>4</v>
      </c>
      <c r="R134" s="184">
        <v>43598</v>
      </c>
      <c r="S134" s="181" t="s">
        <v>99</v>
      </c>
    </row>
    <row r="135" spans="2:19" s="19" customFormat="1" hidden="1">
      <c r="B135"/>
      <c r="C135" s="15"/>
      <c r="D135" s="1"/>
      <c r="L135" s="180" t="s">
        <v>1832</v>
      </c>
      <c r="M135" s="181" t="s">
        <v>1836</v>
      </c>
      <c r="N135" s="181" t="s">
        <v>1834</v>
      </c>
      <c r="O135" s="182" t="s">
        <v>1835</v>
      </c>
      <c r="P135" s="183">
        <v>6000</v>
      </c>
      <c r="Q135" s="183">
        <v>24</v>
      </c>
      <c r="R135" s="184">
        <v>43598</v>
      </c>
      <c r="S135" s="181" t="s">
        <v>99</v>
      </c>
    </row>
    <row r="136" spans="2:19" s="19" customFormat="1" hidden="1">
      <c r="B136"/>
      <c r="C136" s="15"/>
      <c r="D136" s="1"/>
      <c r="L136" s="180" t="s">
        <v>1832</v>
      </c>
      <c r="M136" s="181" t="s">
        <v>1837</v>
      </c>
      <c r="N136" s="181" t="s">
        <v>1834</v>
      </c>
      <c r="O136" s="182" t="s">
        <v>1835</v>
      </c>
      <c r="P136" s="183">
        <v>5000</v>
      </c>
      <c r="Q136" s="183">
        <v>20</v>
      </c>
      <c r="R136" s="185" t="s">
        <v>1838</v>
      </c>
      <c r="S136" s="180" t="s">
        <v>1839</v>
      </c>
    </row>
    <row r="137" spans="2:19" s="19" customFormat="1" hidden="1">
      <c r="B137"/>
      <c r="C137" s="15"/>
      <c r="D137" s="1"/>
      <c r="L137" s="180" t="s">
        <v>1832</v>
      </c>
      <c r="M137" s="181" t="s">
        <v>1840</v>
      </c>
      <c r="N137" s="181" t="s">
        <v>1834</v>
      </c>
      <c r="O137" s="182" t="s">
        <v>1835</v>
      </c>
      <c r="P137" s="183">
        <v>5000</v>
      </c>
      <c r="Q137" s="183">
        <v>20</v>
      </c>
      <c r="R137" s="184">
        <v>43605</v>
      </c>
      <c r="S137" s="181" t="s">
        <v>99</v>
      </c>
    </row>
    <row r="138" spans="2:19" s="19" customFormat="1" hidden="1">
      <c r="B138"/>
      <c r="C138" s="15"/>
      <c r="D138" s="1"/>
      <c r="L138" s="180" t="s">
        <v>1832</v>
      </c>
      <c r="M138" s="181" t="s">
        <v>1841</v>
      </c>
      <c r="N138" s="181" t="s">
        <v>1834</v>
      </c>
      <c r="O138" s="182" t="s">
        <v>1835</v>
      </c>
      <c r="P138" s="183">
        <v>7000</v>
      </c>
      <c r="Q138" s="183">
        <v>28</v>
      </c>
      <c r="R138" s="184">
        <v>43605</v>
      </c>
      <c r="S138" s="181" t="s">
        <v>99</v>
      </c>
    </row>
    <row r="139" spans="2:19" hidden="1">
      <c r="L139" s="180" t="s">
        <v>1842</v>
      </c>
      <c r="M139" s="181" t="s">
        <v>1843</v>
      </c>
      <c r="N139" s="181" t="s">
        <v>1844</v>
      </c>
      <c r="O139" s="182" t="s">
        <v>1835</v>
      </c>
      <c r="P139" s="183">
        <v>2000</v>
      </c>
      <c r="Q139" s="183">
        <v>8</v>
      </c>
      <c r="R139" s="184">
        <v>43598</v>
      </c>
      <c r="S139" s="181" t="s">
        <v>99</v>
      </c>
    </row>
    <row r="140" spans="2:19" hidden="1">
      <c r="L140" s="180" t="s">
        <v>1842</v>
      </c>
      <c r="M140" s="181" t="s">
        <v>1845</v>
      </c>
      <c r="N140" s="181" t="s">
        <v>1844</v>
      </c>
      <c r="O140" s="182" t="s">
        <v>1835</v>
      </c>
      <c r="P140" s="183">
        <v>2000</v>
      </c>
      <c r="Q140" s="183">
        <v>8</v>
      </c>
      <c r="R140" s="184">
        <v>43598</v>
      </c>
      <c r="S140" s="181" t="s">
        <v>99</v>
      </c>
    </row>
    <row r="141" spans="2:19" hidden="1">
      <c r="L141" s="180" t="s">
        <v>1842</v>
      </c>
      <c r="M141" s="181" t="s">
        <v>1846</v>
      </c>
      <c r="N141" s="181" t="s">
        <v>1844</v>
      </c>
      <c r="O141" s="182" t="s">
        <v>1835</v>
      </c>
      <c r="P141" s="183">
        <v>10000</v>
      </c>
      <c r="Q141" s="183">
        <v>40</v>
      </c>
      <c r="R141" s="184">
        <v>43598</v>
      </c>
      <c r="S141" s="181" t="s">
        <v>99</v>
      </c>
    </row>
    <row r="142" spans="2:19" hidden="1">
      <c r="L142" s="180" t="s">
        <v>1842</v>
      </c>
      <c r="M142" s="181" t="s">
        <v>1847</v>
      </c>
      <c r="N142" s="181" t="s">
        <v>1844</v>
      </c>
      <c r="O142" s="182" t="s">
        <v>1835</v>
      </c>
      <c r="P142" s="183">
        <v>8000</v>
      </c>
      <c r="Q142" s="183">
        <v>32</v>
      </c>
      <c r="R142" s="184">
        <v>43598</v>
      </c>
      <c r="S142" s="180"/>
    </row>
    <row r="143" spans="2:19" hidden="1">
      <c r="L143" s="180" t="s">
        <v>1842</v>
      </c>
      <c r="M143" s="181" t="s">
        <v>1848</v>
      </c>
      <c r="N143" s="181" t="s">
        <v>1844</v>
      </c>
      <c r="O143" s="182" t="s">
        <v>1835</v>
      </c>
      <c r="P143" s="183">
        <v>10000</v>
      </c>
      <c r="Q143" s="183">
        <v>40</v>
      </c>
      <c r="R143" s="185" t="s">
        <v>1849</v>
      </c>
      <c r="S143" s="180" t="s">
        <v>1839</v>
      </c>
    </row>
    <row r="144" spans="2:19" hidden="1">
      <c r="L144" s="182" t="s">
        <v>1850</v>
      </c>
      <c r="M144" s="181" t="s">
        <v>1851</v>
      </c>
      <c r="N144" s="181" t="s">
        <v>1834</v>
      </c>
      <c r="O144" s="182" t="s">
        <v>1852</v>
      </c>
      <c r="P144" s="183">
        <v>5000</v>
      </c>
      <c r="Q144" s="183">
        <v>20</v>
      </c>
      <c r="R144" s="184">
        <v>43605</v>
      </c>
      <c r="S144" s="181" t="s">
        <v>99</v>
      </c>
    </row>
    <row r="145" spans="12:19" hidden="1">
      <c r="L145" s="180" t="s">
        <v>1842</v>
      </c>
      <c r="M145" s="181" t="s">
        <v>1851</v>
      </c>
      <c r="N145" s="181" t="s">
        <v>1844</v>
      </c>
      <c r="O145" s="182" t="s">
        <v>1835</v>
      </c>
      <c r="P145" s="183">
        <v>2000</v>
      </c>
      <c r="Q145" s="183">
        <v>8</v>
      </c>
      <c r="R145" s="184">
        <v>43605</v>
      </c>
      <c r="S145" s="181" t="s">
        <v>99</v>
      </c>
    </row>
    <row r="146" spans="12:19" hidden="1">
      <c r="L146" s="182" t="s">
        <v>1850</v>
      </c>
      <c r="M146" s="181" t="s">
        <v>1855</v>
      </c>
      <c r="N146" s="181" t="s">
        <v>1834</v>
      </c>
      <c r="O146" s="182" t="s">
        <v>1852</v>
      </c>
      <c r="P146" s="183">
        <v>6000</v>
      </c>
      <c r="Q146" s="183">
        <v>24</v>
      </c>
      <c r="R146" s="184">
        <v>43605</v>
      </c>
      <c r="S146" s="181" t="s">
        <v>99</v>
      </c>
    </row>
    <row r="147" spans="12:19" hidden="1">
      <c r="L147" s="182" t="s">
        <v>1850</v>
      </c>
      <c r="M147" s="181" t="s">
        <v>1856</v>
      </c>
      <c r="N147" s="181" t="s">
        <v>1834</v>
      </c>
      <c r="O147" s="182" t="s">
        <v>1852</v>
      </c>
      <c r="P147" s="183">
        <v>6000</v>
      </c>
      <c r="Q147" s="183">
        <v>24</v>
      </c>
      <c r="R147" s="185">
        <v>43605</v>
      </c>
      <c r="S147" s="180"/>
    </row>
    <row r="148" spans="12:19" hidden="1">
      <c r="L148" s="182" t="s">
        <v>1850</v>
      </c>
      <c r="M148" s="181" t="s">
        <v>1857</v>
      </c>
      <c r="N148" s="181" t="s">
        <v>1834</v>
      </c>
      <c r="O148" s="182" t="s">
        <v>1852</v>
      </c>
      <c r="P148" s="183">
        <v>6000</v>
      </c>
      <c r="Q148" s="183">
        <v>24</v>
      </c>
      <c r="R148" s="184" t="s">
        <v>1861</v>
      </c>
      <c r="S148" s="181" t="s">
        <v>1862</v>
      </c>
    </row>
    <row r="151" spans="12:19" ht="16.2">
      <c r="L151" s="186"/>
    </row>
    <row r="152" spans="12:19" ht="16.2">
      <c r="L152" s="186"/>
    </row>
    <row r="153" spans="12:19" ht="16.2">
      <c r="L153" s="186"/>
    </row>
    <row r="166" spans="6:6">
      <c r="F166" t="s">
        <v>2522</v>
      </c>
    </row>
  </sheetData>
  <autoFilter ref="B2:R127" xr:uid="{00000000-0009-0000-0000-000019000000}">
    <filterColumn colId="10">
      <filters>
        <filter val="414-UM1829"/>
      </filters>
    </filterColumn>
  </autoFilter>
  <phoneticPr fontId="1"/>
  <pageMargins left="0.23622047244094491" right="0.23622047244094491" top="0.35433070866141736" bottom="0.35433070866141736" header="0.31496062992125984" footer="0.31496062992125984"/>
  <pageSetup paperSize="9" scale="77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6" filterMode="1">
    <pageSetUpPr fitToPage="1"/>
  </sheetPr>
  <dimension ref="B1:S146"/>
  <sheetViews>
    <sheetView zoomScale="77" zoomScaleNormal="77" workbookViewId="0">
      <pane xSplit="3" ySplit="2" topLeftCell="D9" activePane="bottomRight" state="frozen"/>
      <selection activeCell="B70" sqref="B70"/>
      <selection pane="topRight" activeCell="B70" sqref="B70"/>
      <selection pane="bottomLeft" activeCell="B70" sqref="B70"/>
      <selection pane="bottomRight" activeCell="L57" sqref="L57:O62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15.87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C2" s="14" t="s">
        <v>2163</v>
      </c>
      <c r="D2" s="5" t="s">
        <v>0</v>
      </c>
      <c r="E2" s="6" t="s">
        <v>2164</v>
      </c>
      <c r="F2" s="6" t="s">
        <v>2165</v>
      </c>
      <c r="G2" s="10" t="s">
        <v>1</v>
      </c>
      <c r="H2" s="6" t="s">
        <v>15</v>
      </c>
      <c r="I2" s="6" t="s">
        <v>16</v>
      </c>
      <c r="J2" s="6" t="s">
        <v>2166</v>
      </c>
      <c r="K2" s="12" t="s">
        <v>2167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2168</v>
      </c>
      <c r="Q2" s="6" t="s">
        <v>2169</v>
      </c>
      <c r="R2" s="16" t="s">
        <v>6</v>
      </c>
      <c r="S2" s="16" t="s">
        <v>2170</v>
      </c>
    </row>
    <row r="3" spans="2:19" s="33" customFormat="1" ht="33" hidden="1" customHeight="1">
      <c r="B3" s="47" t="s">
        <v>220</v>
      </c>
      <c r="C3" s="48" t="s">
        <v>309</v>
      </c>
      <c r="D3" s="49" t="s">
        <v>310</v>
      </c>
      <c r="E3" s="50">
        <v>43420</v>
      </c>
      <c r="F3" s="49" t="s">
        <v>79</v>
      </c>
      <c r="G3" s="51">
        <v>7000</v>
      </c>
      <c r="H3" s="52">
        <f t="shared" ref="H3:H23" si="0">SUM(G3/250)</f>
        <v>28</v>
      </c>
      <c r="I3" s="52">
        <f t="shared" ref="I3:I45" si="1">SUM(H3/4)</f>
        <v>7</v>
      </c>
      <c r="J3" s="49"/>
      <c r="K3" s="53">
        <v>43541</v>
      </c>
      <c r="L3" s="54" t="s">
        <v>2171</v>
      </c>
      <c r="M3" s="55">
        <v>43542</v>
      </c>
      <c r="N3" s="56" t="s">
        <v>649</v>
      </c>
      <c r="O3" s="55">
        <v>43183</v>
      </c>
      <c r="P3" s="54" t="s">
        <v>2172</v>
      </c>
      <c r="Q3" s="49"/>
      <c r="R3" s="57" t="s">
        <v>2173</v>
      </c>
      <c r="S3" s="47"/>
    </row>
    <row r="4" spans="2:19" s="33" customFormat="1" ht="33" hidden="1" customHeight="1">
      <c r="B4" s="47" t="s">
        <v>78</v>
      </c>
      <c r="C4" s="48" t="s">
        <v>311</v>
      </c>
      <c r="D4" s="49" t="s">
        <v>312</v>
      </c>
      <c r="E4" s="50">
        <v>43420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43169</v>
      </c>
      <c r="L4" s="54" t="s">
        <v>2174</v>
      </c>
      <c r="M4" s="55">
        <v>43528</v>
      </c>
      <c r="N4" s="56" t="s">
        <v>2175</v>
      </c>
      <c r="O4" s="55">
        <v>43534</v>
      </c>
      <c r="P4" s="54"/>
      <c r="Q4" s="49" t="s">
        <v>82</v>
      </c>
      <c r="R4" s="57" t="s">
        <v>2176</v>
      </c>
      <c r="S4" s="47"/>
    </row>
    <row r="5" spans="2:19" s="33" customFormat="1" ht="33" hidden="1" customHeight="1">
      <c r="B5" s="47" t="s">
        <v>78</v>
      </c>
      <c r="C5" s="48" t="s">
        <v>374</v>
      </c>
      <c r="D5" s="49" t="s">
        <v>375</v>
      </c>
      <c r="E5" s="50">
        <v>43455</v>
      </c>
      <c r="F5" s="49" t="s">
        <v>79</v>
      </c>
      <c r="G5" s="51">
        <v>21000</v>
      </c>
      <c r="H5" s="52">
        <f t="shared" si="0"/>
        <v>84</v>
      </c>
      <c r="I5" s="52">
        <f t="shared" si="1"/>
        <v>21</v>
      </c>
      <c r="J5" s="49"/>
      <c r="K5" s="53">
        <v>43541</v>
      </c>
      <c r="L5" s="54" t="s">
        <v>2171</v>
      </c>
      <c r="M5" s="55">
        <v>43542</v>
      </c>
      <c r="N5" s="56" t="s">
        <v>649</v>
      </c>
      <c r="O5" s="55">
        <v>43183</v>
      </c>
      <c r="P5" s="54" t="s">
        <v>2177</v>
      </c>
      <c r="Q5" s="49" t="s">
        <v>82</v>
      </c>
      <c r="R5" s="57" t="s">
        <v>2178</v>
      </c>
      <c r="S5" s="47"/>
    </row>
    <row r="6" spans="2:19" s="33" customFormat="1" ht="33" hidden="1" customHeight="1">
      <c r="B6" s="47" t="s">
        <v>220</v>
      </c>
      <c r="C6" s="48" t="s">
        <v>377</v>
      </c>
      <c r="D6" s="49" t="s">
        <v>378</v>
      </c>
      <c r="E6" s="50">
        <v>43455</v>
      </c>
      <c r="F6" s="49" t="s">
        <v>2179</v>
      </c>
      <c r="G6" s="51">
        <v>14000</v>
      </c>
      <c r="H6" s="52">
        <f t="shared" si="0"/>
        <v>56</v>
      </c>
      <c r="I6" s="52">
        <f t="shared" si="1"/>
        <v>14</v>
      </c>
      <c r="J6" s="49"/>
      <c r="K6" s="53">
        <v>43548</v>
      </c>
      <c r="L6" s="54" t="s">
        <v>2180</v>
      </c>
      <c r="M6" s="55">
        <v>43563</v>
      </c>
      <c r="N6" s="56" t="s">
        <v>2181</v>
      </c>
      <c r="O6" s="55">
        <v>43569</v>
      </c>
      <c r="P6" s="54" t="s">
        <v>2182</v>
      </c>
      <c r="Q6" s="49"/>
      <c r="R6" s="57" t="s">
        <v>2183</v>
      </c>
      <c r="S6" s="47"/>
    </row>
    <row r="7" spans="2:19" s="33" customFormat="1" ht="33" hidden="1" customHeight="1">
      <c r="B7" s="47" t="s">
        <v>78</v>
      </c>
      <c r="C7" s="48" t="s">
        <v>380</v>
      </c>
      <c r="D7" s="49" t="s">
        <v>381</v>
      </c>
      <c r="E7" s="50">
        <v>43455</v>
      </c>
      <c r="F7" s="49" t="s">
        <v>2184</v>
      </c>
      <c r="G7" s="51">
        <v>40000</v>
      </c>
      <c r="H7" s="52">
        <f t="shared" si="0"/>
        <v>160</v>
      </c>
      <c r="I7" s="52">
        <f t="shared" si="1"/>
        <v>40</v>
      </c>
      <c r="J7" s="49"/>
      <c r="K7" s="53">
        <v>43555</v>
      </c>
      <c r="L7" s="54" t="s">
        <v>2185</v>
      </c>
      <c r="M7" s="55">
        <v>43549</v>
      </c>
      <c r="N7" s="56" t="s">
        <v>2186</v>
      </c>
      <c r="O7" s="55">
        <v>43555</v>
      </c>
      <c r="P7" s="54" t="s">
        <v>2187</v>
      </c>
      <c r="Q7" s="49" t="s">
        <v>82</v>
      </c>
      <c r="R7" s="57" t="s">
        <v>2188</v>
      </c>
      <c r="S7" s="47"/>
    </row>
    <row r="8" spans="2:19" s="33" customFormat="1" ht="33" hidden="1" customHeight="1">
      <c r="B8" s="47" t="s">
        <v>220</v>
      </c>
      <c r="C8" s="48" t="s">
        <v>421</v>
      </c>
      <c r="D8" s="49" t="s">
        <v>453</v>
      </c>
      <c r="E8" s="50">
        <v>43483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43576</v>
      </c>
      <c r="L8" s="54" t="s">
        <v>2189</v>
      </c>
      <c r="M8" s="55">
        <v>43570</v>
      </c>
      <c r="N8" s="56" t="s">
        <v>2190</v>
      </c>
      <c r="O8" s="55">
        <v>43576</v>
      </c>
      <c r="P8" s="54" t="s">
        <v>2191</v>
      </c>
      <c r="Q8" s="49"/>
      <c r="R8" s="57" t="s">
        <v>2192</v>
      </c>
      <c r="S8" s="47"/>
    </row>
    <row r="9" spans="2:19" s="30" customFormat="1" ht="33" hidden="1" customHeight="1">
      <c r="B9" s="46" t="s">
        <v>78</v>
      </c>
      <c r="C9" s="35" t="s">
        <v>422</v>
      </c>
      <c r="D9" s="36" t="s">
        <v>455</v>
      </c>
      <c r="E9" s="37">
        <v>43483</v>
      </c>
      <c r="F9" s="36" t="s">
        <v>2193</v>
      </c>
      <c r="G9" s="39">
        <v>10000</v>
      </c>
      <c r="H9" s="38">
        <f>SUM(G9/250)</f>
        <v>40</v>
      </c>
      <c r="I9" s="38">
        <f t="shared" si="1"/>
        <v>10</v>
      </c>
      <c r="J9" s="36"/>
      <c r="K9" s="40">
        <v>43618</v>
      </c>
      <c r="L9" s="41" t="s">
        <v>2194</v>
      </c>
      <c r="M9" s="42">
        <v>43612</v>
      </c>
      <c r="N9" s="43" t="s">
        <v>2195</v>
      </c>
      <c r="O9" s="42">
        <v>43618</v>
      </c>
      <c r="P9" s="119" t="s">
        <v>2196</v>
      </c>
      <c r="Q9" s="36" t="s">
        <v>82</v>
      </c>
      <c r="R9" s="44" t="s">
        <v>2197</v>
      </c>
      <c r="S9" s="46"/>
    </row>
    <row r="10" spans="2:19" s="30" customFormat="1" ht="33" hidden="1" customHeight="1">
      <c r="B10" s="46" t="s">
        <v>78</v>
      </c>
      <c r="C10" s="35" t="s">
        <v>2198</v>
      </c>
      <c r="D10" s="36" t="s">
        <v>455</v>
      </c>
      <c r="E10" s="37">
        <v>43523</v>
      </c>
      <c r="F10" s="36" t="s">
        <v>2193</v>
      </c>
      <c r="G10" s="39">
        <v>10000</v>
      </c>
      <c r="H10" s="38">
        <f>SUM(G10/250)</f>
        <v>40</v>
      </c>
      <c r="I10" s="38">
        <f>SUM(H10/4)</f>
        <v>10</v>
      </c>
      <c r="J10" s="36"/>
      <c r="K10" s="40">
        <v>43618</v>
      </c>
      <c r="L10" s="41" t="s">
        <v>638</v>
      </c>
      <c r="M10" s="42">
        <v>43612</v>
      </c>
      <c r="N10" s="43" t="s">
        <v>636</v>
      </c>
      <c r="O10" s="42">
        <v>43618</v>
      </c>
      <c r="P10" s="119" t="s">
        <v>2199</v>
      </c>
      <c r="Q10" s="36" t="s">
        <v>82</v>
      </c>
      <c r="R10" s="44" t="s">
        <v>2200</v>
      </c>
      <c r="S10" s="46"/>
    </row>
    <row r="11" spans="2:19" s="30" customFormat="1" ht="33" hidden="1" customHeight="1">
      <c r="B11" s="46" t="s">
        <v>78</v>
      </c>
      <c r="C11" s="35" t="s">
        <v>2201</v>
      </c>
      <c r="D11" s="36" t="s">
        <v>1337</v>
      </c>
      <c r="E11" s="37">
        <v>43483</v>
      </c>
      <c r="F11" s="36" t="s">
        <v>2193</v>
      </c>
      <c r="G11" s="39">
        <v>20000</v>
      </c>
      <c r="H11" s="38">
        <f>SUM(G11/250)</f>
        <v>80</v>
      </c>
      <c r="I11" s="38">
        <f t="shared" si="1"/>
        <v>20</v>
      </c>
      <c r="J11" s="36"/>
      <c r="K11" s="40">
        <v>43618</v>
      </c>
      <c r="L11" s="41" t="s">
        <v>2194</v>
      </c>
      <c r="M11" s="42">
        <v>43612</v>
      </c>
      <c r="N11" s="43" t="s">
        <v>2195</v>
      </c>
      <c r="O11" s="42">
        <v>43618</v>
      </c>
      <c r="P11" s="119" t="s">
        <v>2202</v>
      </c>
      <c r="Q11" s="36" t="s">
        <v>82</v>
      </c>
      <c r="R11" s="44" t="s">
        <v>2197</v>
      </c>
      <c r="S11" s="46" t="s">
        <v>479</v>
      </c>
    </row>
    <row r="12" spans="2:19" s="33" customFormat="1" ht="33" hidden="1" customHeight="1">
      <c r="B12" s="47" t="s">
        <v>78</v>
      </c>
      <c r="C12" s="48" t="s">
        <v>423</v>
      </c>
      <c r="D12" s="49" t="s">
        <v>457</v>
      </c>
      <c r="E12" s="50">
        <v>43483</v>
      </c>
      <c r="F12" s="49" t="s">
        <v>79</v>
      </c>
      <c r="G12" s="51">
        <v>20000</v>
      </c>
      <c r="H12" s="52">
        <f t="shared" si="0"/>
        <v>80</v>
      </c>
      <c r="I12" s="52">
        <f t="shared" si="1"/>
        <v>20</v>
      </c>
      <c r="J12" s="49"/>
      <c r="K12" s="53">
        <v>43576</v>
      </c>
      <c r="L12" s="54" t="s">
        <v>2203</v>
      </c>
      <c r="M12" s="55">
        <v>43570</v>
      </c>
      <c r="N12" s="56" t="s">
        <v>2204</v>
      </c>
      <c r="O12" s="55">
        <v>43576</v>
      </c>
      <c r="P12" s="54" t="s">
        <v>2205</v>
      </c>
      <c r="Q12" s="49" t="s">
        <v>82</v>
      </c>
      <c r="R12" s="57" t="s">
        <v>2206</v>
      </c>
      <c r="S12" s="47"/>
    </row>
    <row r="13" spans="2:19" s="33" customFormat="1" ht="33" hidden="1" customHeight="1">
      <c r="B13" s="47" t="s">
        <v>220</v>
      </c>
      <c r="C13" s="48" t="s">
        <v>425</v>
      </c>
      <c r="D13" s="49" t="s">
        <v>459</v>
      </c>
      <c r="E13" s="50">
        <v>43483</v>
      </c>
      <c r="F13" s="49" t="s">
        <v>79</v>
      </c>
      <c r="G13" s="51">
        <v>20000</v>
      </c>
      <c r="H13" s="52">
        <f t="shared" si="0"/>
        <v>80</v>
      </c>
      <c r="I13" s="52">
        <f t="shared" si="1"/>
        <v>20</v>
      </c>
      <c r="J13" s="49"/>
      <c r="K13" s="53">
        <v>43583</v>
      </c>
      <c r="L13" s="54" t="s">
        <v>2207</v>
      </c>
      <c r="M13" s="55">
        <v>43577</v>
      </c>
      <c r="N13" s="56" t="s">
        <v>2208</v>
      </c>
      <c r="O13" s="55">
        <v>43583</v>
      </c>
      <c r="P13" s="54" t="s">
        <v>2209</v>
      </c>
      <c r="Q13" s="49"/>
      <c r="R13" s="57" t="s">
        <v>2210</v>
      </c>
      <c r="S13" s="47"/>
    </row>
    <row r="14" spans="2:19" s="33" customFormat="1" ht="33" hidden="1" customHeight="1">
      <c r="B14" s="47" t="s">
        <v>78</v>
      </c>
      <c r="C14" s="48" t="s">
        <v>462</v>
      </c>
      <c r="D14" s="49" t="s">
        <v>483</v>
      </c>
      <c r="E14" s="50">
        <v>43490</v>
      </c>
      <c r="F14" s="49" t="s">
        <v>79</v>
      </c>
      <c r="G14" s="51">
        <v>20000</v>
      </c>
      <c r="H14" s="52">
        <f t="shared" si="0"/>
        <v>80</v>
      </c>
      <c r="I14" s="52">
        <f t="shared" si="1"/>
        <v>20</v>
      </c>
      <c r="J14" s="49"/>
      <c r="K14" s="53">
        <v>43583</v>
      </c>
      <c r="L14" s="54" t="s">
        <v>2207</v>
      </c>
      <c r="M14" s="55">
        <v>43577</v>
      </c>
      <c r="N14" s="56" t="s">
        <v>2208</v>
      </c>
      <c r="O14" s="55">
        <v>43583</v>
      </c>
      <c r="P14" s="54" t="s">
        <v>2211</v>
      </c>
      <c r="Q14" s="49" t="s">
        <v>82</v>
      </c>
      <c r="R14" s="57" t="s">
        <v>2212</v>
      </c>
      <c r="S14" s="47"/>
    </row>
    <row r="15" spans="2:19" s="33" customFormat="1" ht="33" hidden="1" customHeight="1">
      <c r="B15" s="47" t="s">
        <v>78</v>
      </c>
      <c r="C15" s="48" t="s">
        <v>570</v>
      </c>
      <c r="D15" s="49" t="s">
        <v>571</v>
      </c>
      <c r="E15" s="50">
        <v>43519</v>
      </c>
      <c r="F15" s="49" t="s">
        <v>79</v>
      </c>
      <c r="G15" s="51">
        <v>20000</v>
      </c>
      <c r="H15" s="52">
        <f t="shared" si="0"/>
        <v>80</v>
      </c>
      <c r="I15" s="52">
        <f t="shared" si="1"/>
        <v>20</v>
      </c>
      <c r="J15" s="49"/>
      <c r="K15" s="53">
        <v>43590</v>
      </c>
      <c r="L15" s="54" t="s">
        <v>602</v>
      </c>
      <c r="M15" s="55">
        <v>43577</v>
      </c>
      <c r="N15" s="56" t="s">
        <v>2208</v>
      </c>
      <c r="O15" s="55">
        <v>43583</v>
      </c>
      <c r="P15" s="54" t="s">
        <v>2213</v>
      </c>
      <c r="Q15" s="49" t="s">
        <v>82</v>
      </c>
      <c r="R15" s="57" t="s">
        <v>2214</v>
      </c>
      <c r="S15" s="47"/>
    </row>
    <row r="16" spans="2:19" s="30" customFormat="1" ht="33" hidden="1" customHeight="1">
      <c r="B16" s="46" t="s">
        <v>78</v>
      </c>
      <c r="C16" s="35" t="s">
        <v>573</v>
      </c>
      <c r="D16" s="36" t="s">
        <v>574</v>
      </c>
      <c r="E16" s="37">
        <v>43519</v>
      </c>
      <c r="F16" s="36" t="s">
        <v>79</v>
      </c>
      <c r="G16" s="39">
        <v>20000</v>
      </c>
      <c r="H16" s="38">
        <f>SUM(G16/250)</f>
        <v>80</v>
      </c>
      <c r="I16" s="38">
        <f>SUM(H16/4)</f>
        <v>20</v>
      </c>
      <c r="J16" s="36"/>
      <c r="K16" s="40">
        <v>43604</v>
      </c>
      <c r="L16" s="41" t="s">
        <v>2215</v>
      </c>
      <c r="M16" s="42">
        <v>43598</v>
      </c>
      <c r="N16" s="43" t="s">
        <v>2216</v>
      </c>
      <c r="O16" s="42">
        <v>43604</v>
      </c>
      <c r="P16" s="41" t="s">
        <v>2217</v>
      </c>
      <c r="Q16" s="36" t="s">
        <v>82</v>
      </c>
      <c r="R16" s="44" t="s">
        <v>2218</v>
      </c>
      <c r="S16" s="46"/>
    </row>
    <row r="17" spans="2:19" s="30" customFormat="1" ht="33" hidden="1" customHeight="1">
      <c r="B17" s="46" t="s">
        <v>78</v>
      </c>
      <c r="C17" s="35" t="s">
        <v>2219</v>
      </c>
      <c r="D17" s="36" t="s">
        <v>577</v>
      </c>
      <c r="E17" s="37">
        <v>43519</v>
      </c>
      <c r="F17" s="36" t="s">
        <v>2220</v>
      </c>
      <c r="G17" s="39">
        <v>10000</v>
      </c>
      <c r="H17" s="38">
        <f>SUM(G17/250)</f>
        <v>40</v>
      </c>
      <c r="I17" s="38">
        <f>SUM(H17/4)</f>
        <v>10</v>
      </c>
      <c r="J17" s="36"/>
      <c r="K17" s="40">
        <v>43598</v>
      </c>
      <c r="L17" s="41" t="s">
        <v>803</v>
      </c>
      <c r="M17" s="42">
        <v>43598</v>
      </c>
      <c r="N17" s="43" t="s">
        <v>804</v>
      </c>
      <c r="O17" s="42">
        <v>43604</v>
      </c>
      <c r="P17" s="41" t="s">
        <v>2221</v>
      </c>
      <c r="Q17" s="36" t="s">
        <v>82</v>
      </c>
      <c r="R17" s="44" t="s">
        <v>2222</v>
      </c>
      <c r="S17" s="46"/>
    </row>
    <row r="18" spans="2:19" s="30" customFormat="1" ht="33" hidden="1" customHeight="1">
      <c r="B18" s="46" t="s">
        <v>220</v>
      </c>
      <c r="C18" s="35" t="s">
        <v>579</v>
      </c>
      <c r="D18" s="36" t="s">
        <v>580</v>
      </c>
      <c r="E18" s="37">
        <v>43519</v>
      </c>
      <c r="F18" s="36" t="s">
        <v>79</v>
      </c>
      <c r="G18" s="39">
        <v>10000</v>
      </c>
      <c r="H18" s="38">
        <f>SUM(G18/250)</f>
        <v>40</v>
      </c>
      <c r="I18" s="38">
        <f>SUM(H18/4)</f>
        <v>10</v>
      </c>
      <c r="J18" s="36"/>
      <c r="K18" s="40">
        <v>43598</v>
      </c>
      <c r="L18" s="41" t="s">
        <v>803</v>
      </c>
      <c r="M18" s="42">
        <v>43598</v>
      </c>
      <c r="N18" s="43" t="s">
        <v>804</v>
      </c>
      <c r="O18" s="42">
        <v>43604</v>
      </c>
      <c r="P18" s="41" t="s">
        <v>2223</v>
      </c>
      <c r="Q18" s="36"/>
      <c r="R18" s="44" t="s">
        <v>2224</v>
      </c>
      <c r="S18" s="46"/>
    </row>
    <row r="19" spans="2:19" s="30" customFormat="1" ht="33" hidden="1" customHeight="1">
      <c r="B19" s="46" t="s">
        <v>78</v>
      </c>
      <c r="C19" s="35" t="s">
        <v>576</v>
      </c>
      <c r="D19" s="36" t="s">
        <v>577</v>
      </c>
      <c r="E19" s="37">
        <v>43519</v>
      </c>
      <c r="F19" s="36" t="s">
        <v>79</v>
      </c>
      <c r="G19" s="39">
        <v>20000</v>
      </c>
      <c r="H19" s="38">
        <f>SUM(G19/250)</f>
        <v>80</v>
      </c>
      <c r="I19" s="38">
        <f>SUM(H19/4)</f>
        <v>20</v>
      </c>
      <c r="J19" s="36"/>
      <c r="K19" s="40">
        <v>43611</v>
      </c>
      <c r="L19" s="41" t="s">
        <v>2225</v>
      </c>
      <c r="M19" s="42">
        <v>43605</v>
      </c>
      <c r="N19" s="43" t="s">
        <v>2226</v>
      </c>
      <c r="O19" s="42">
        <v>43611</v>
      </c>
      <c r="P19" s="41" t="s">
        <v>2227</v>
      </c>
      <c r="Q19" s="36" t="s">
        <v>82</v>
      </c>
      <c r="R19" s="44" t="s">
        <v>2228</v>
      </c>
      <c r="S19" s="46"/>
    </row>
    <row r="20" spans="2:19" s="30" customFormat="1" ht="33" hidden="1" customHeight="1">
      <c r="B20" s="46" t="s">
        <v>78</v>
      </c>
      <c r="C20" s="35" t="s">
        <v>685</v>
      </c>
      <c r="D20" s="36" t="s">
        <v>686</v>
      </c>
      <c r="E20" s="37">
        <v>43532</v>
      </c>
      <c r="F20" s="36" t="s">
        <v>79</v>
      </c>
      <c r="G20" s="39">
        <v>20000</v>
      </c>
      <c r="H20" s="38">
        <f>SUM(G20/250)</f>
        <v>80</v>
      </c>
      <c r="I20" s="38">
        <f>SUM(H20/4)</f>
        <v>20</v>
      </c>
      <c r="J20" s="36"/>
      <c r="K20" s="40">
        <v>43625</v>
      </c>
      <c r="L20" s="41" t="s">
        <v>2229</v>
      </c>
      <c r="M20" s="42">
        <v>43619</v>
      </c>
      <c r="N20" s="43" t="s">
        <v>2230</v>
      </c>
      <c r="O20" s="42">
        <v>43625</v>
      </c>
      <c r="P20" s="41"/>
      <c r="Q20" s="36" t="s">
        <v>82</v>
      </c>
      <c r="R20" s="44" t="s">
        <v>2231</v>
      </c>
      <c r="S20" s="46"/>
    </row>
    <row r="21" spans="2:19" s="30" customFormat="1" ht="33" hidden="1" customHeight="1">
      <c r="B21" s="46" t="s">
        <v>78</v>
      </c>
      <c r="C21" s="35" t="s">
        <v>2232</v>
      </c>
      <c r="D21" s="36" t="s">
        <v>1366</v>
      </c>
      <c r="E21" s="37">
        <v>43532</v>
      </c>
      <c r="F21" s="36" t="s">
        <v>79</v>
      </c>
      <c r="G21" s="39">
        <v>20000</v>
      </c>
      <c r="H21" s="38">
        <f t="shared" ref="H21" si="2">SUM(G21/250)</f>
        <v>80</v>
      </c>
      <c r="I21" s="38">
        <f t="shared" si="1"/>
        <v>20</v>
      </c>
      <c r="J21" s="36"/>
      <c r="K21" s="40">
        <v>43625</v>
      </c>
      <c r="L21" s="41" t="s">
        <v>2233</v>
      </c>
      <c r="M21" s="42">
        <v>43619</v>
      </c>
      <c r="N21" s="43" t="s">
        <v>2234</v>
      </c>
      <c r="O21" s="42">
        <v>43625</v>
      </c>
      <c r="P21" s="41"/>
      <c r="Q21" s="36" t="s">
        <v>82</v>
      </c>
      <c r="R21" s="44" t="s">
        <v>2235</v>
      </c>
      <c r="S21" s="46" t="s">
        <v>479</v>
      </c>
    </row>
    <row r="22" spans="2:19" s="30" customFormat="1" ht="33" hidden="1" customHeight="1">
      <c r="B22" s="46" t="s">
        <v>220</v>
      </c>
      <c r="C22" s="35" t="s">
        <v>688</v>
      </c>
      <c r="D22" s="36" t="s">
        <v>689</v>
      </c>
      <c r="E22" s="37">
        <v>43532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43632</v>
      </c>
      <c r="L22" s="41" t="s">
        <v>2236</v>
      </c>
      <c r="M22" s="42">
        <v>43626</v>
      </c>
      <c r="N22" s="43" t="s">
        <v>2237</v>
      </c>
      <c r="O22" s="42">
        <v>43632</v>
      </c>
      <c r="P22" s="41" t="s">
        <v>2238</v>
      </c>
      <c r="Q22" s="36"/>
      <c r="R22" s="44" t="s">
        <v>2239</v>
      </c>
      <c r="S22" s="46"/>
    </row>
    <row r="23" spans="2:19" s="30" customFormat="1" ht="33" hidden="1" customHeight="1">
      <c r="B23" s="46" t="s">
        <v>78</v>
      </c>
      <c r="C23" s="35" t="s">
        <v>691</v>
      </c>
      <c r="D23" s="36" t="s">
        <v>692</v>
      </c>
      <c r="E23" s="37">
        <v>43532</v>
      </c>
      <c r="F23" s="36" t="s">
        <v>79</v>
      </c>
      <c r="G23" s="39">
        <v>20000</v>
      </c>
      <c r="H23" s="38">
        <f t="shared" si="0"/>
        <v>80</v>
      </c>
      <c r="I23" s="38">
        <f t="shared" si="1"/>
        <v>20</v>
      </c>
      <c r="J23" s="36"/>
      <c r="K23" s="40">
        <v>43639</v>
      </c>
      <c r="L23" s="41" t="s">
        <v>2240</v>
      </c>
      <c r="M23" s="42">
        <v>43633</v>
      </c>
      <c r="N23" s="43" t="s">
        <v>2241</v>
      </c>
      <c r="O23" s="42">
        <v>43639</v>
      </c>
      <c r="P23" s="41"/>
      <c r="Q23" s="36" t="s">
        <v>82</v>
      </c>
      <c r="R23" s="44" t="s">
        <v>2242</v>
      </c>
      <c r="S23" s="46"/>
    </row>
    <row r="24" spans="2:19" s="30" customFormat="1" ht="33" hidden="1" customHeight="1">
      <c r="B24" s="46" t="s">
        <v>78</v>
      </c>
      <c r="C24" s="35" t="s">
        <v>2243</v>
      </c>
      <c r="D24" s="36" t="s">
        <v>2244</v>
      </c>
      <c r="E24" s="37">
        <v>43566</v>
      </c>
      <c r="F24" s="36" t="s">
        <v>79</v>
      </c>
      <c r="G24" s="39">
        <v>6000</v>
      </c>
      <c r="H24" s="38">
        <f>SUM(G24/250)</f>
        <v>24</v>
      </c>
      <c r="I24" s="38">
        <f>SUM(H24/4)</f>
        <v>6</v>
      </c>
      <c r="J24" s="36"/>
      <c r="K24" s="40">
        <v>43611</v>
      </c>
      <c r="L24" s="41" t="s">
        <v>603</v>
      </c>
      <c r="M24" s="42">
        <v>43605</v>
      </c>
      <c r="N24" s="43" t="s">
        <v>1080</v>
      </c>
      <c r="O24" s="42">
        <v>43611</v>
      </c>
      <c r="P24" s="41" t="s">
        <v>2245</v>
      </c>
      <c r="Q24" s="36" t="s">
        <v>82</v>
      </c>
      <c r="R24" s="44" t="s">
        <v>2246</v>
      </c>
      <c r="S24" s="46"/>
    </row>
    <row r="25" spans="2:19" s="30" customFormat="1" ht="33" hidden="1" customHeight="1">
      <c r="B25" s="46" t="s">
        <v>2247</v>
      </c>
      <c r="C25" s="35" t="s">
        <v>986</v>
      </c>
      <c r="D25" s="36" t="s">
        <v>2248</v>
      </c>
      <c r="E25" s="37">
        <v>43566</v>
      </c>
      <c r="F25" s="36" t="s">
        <v>79</v>
      </c>
      <c r="G25" s="39">
        <v>14000</v>
      </c>
      <c r="H25" s="38">
        <f>SUM(G25/250)</f>
        <v>56</v>
      </c>
      <c r="I25" s="38">
        <f>SUM(H25/4)</f>
        <v>14</v>
      </c>
      <c r="J25" s="36"/>
      <c r="K25" s="40">
        <v>43611</v>
      </c>
      <c r="L25" s="41" t="s">
        <v>603</v>
      </c>
      <c r="M25" s="42">
        <v>43605</v>
      </c>
      <c r="N25" s="43" t="s">
        <v>1080</v>
      </c>
      <c r="O25" s="42">
        <v>43611</v>
      </c>
      <c r="P25" s="41" t="s">
        <v>2249</v>
      </c>
      <c r="Q25" s="36"/>
      <c r="R25" s="44" t="s">
        <v>2250</v>
      </c>
      <c r="S25" s="46"/>
    </row>
    <row r="26" spans="2:19" s="30" customFormat="1" ht="33" hidden="1" customHeight="1">
      <c r="B26" s="46" t="s">
        <v>78</v>
      </c>
      <c r="C26" s="35" t="s">
        <v>988</v>
      </c>
      <c r="D26" s="36" t="s">
        <v>2251</v>
      </c>
      <c r="E26" s="37">
        <v>43566</v>
      </c>
      <c r="F26" s="36" t="s">
        <v>79</v>
      </c>
      <c r="G26" s="39">
        <v>20000</v>
      </c>
      <c r="H26" s="38">
        <f t="shared" ref="H26:H38" si="3">SUM(G26/250)</f>
        <v>80</v>
      </c>
      <c r="I26" s="38">
        <f t="shared" si="1"/>
        <v>20</v>
      </c>
      <c r="J26" s="36"/>
      <c r="K26" s="40">
        <v>43632</v>
      </c>
      <c r="L26" s="41" t="s">
        <v>1081</v>
      </c>
      <c r="M26" s="42">
        <v>43626</v>
      </c>
      <c r="N26" s="43" t="s">
        <v>1082</v>
      </c>
      <c r="O26" s="42">
        <v>43632</v>
      </c>
      <c r="P26" s="41"/>
      <c r="Q26" s="36" t="s">
        <v>82</v>
      </c>
      <c r="R26" s="44" t="s">
        <v>2252</v>
      </c>
      <c r="S26" s="46"/>
    </row>
    <row r="27" spans="2:19" s="30" customFormat="1" ht="33" hidden="1" customHeight="1">
      <c r="B27" s="46" t="s">
        <v>78</v>
      </c>
      <c r="C27" s="35" t="s">
        <v>1160</v>
      </c>
      <c r="D27" s="36" t="s">
        <v>1161</v>
      </c>
      <c r="E27" s="37">
        <v>43567</v>
      </c>
      <c r="F27" s="36" t="s">
        <v>2253</v>
      </c>
      <c r="G27" s="39">
        <v>40000</v>
      </c>
      <c r="H27" s="38">
        <f t="shared" si="3"/>
        <v>160</v>
      </c>
      <c r="I27" s="38">
        <f t="shared" si="1"/>
        <v>40</v>
      </c>
      <c r="J27" s="36"/>
      <c r="K27" s="40">
        <v>43646</v>
      </c>
      <c r="L27" s="41" t="s">
        <v>2254</v>
      </c>
      <c r="M27" s="42">
        <v>43640</v>
      </c>
      <c r="N27" s="43" t="s">
        <v>2255</v>
      </c>
      <c r="O27" s="42">
        <v>43646</v>
      </c>
      <c r="P27" s="41"/>
      <c r="Q27" s="36" t="s">
        <v>82</v>
      </c>
      <c r="R27" s="125" t="s">
        <v>2256</v>
      </c>
      <c r="S27" s="122" t="s">
        <v>2140</v>
      </c>
    </row>
    <row r="28" spans="2:19" s="30" customFormat="1" ht="33" hidden="1" customHeight="1">
      <c r="B28" s="46" t="s">
        <v>220</v>
      </c>
      <c r="C28" s="35" t="s">
        <v>1163</v>
      </c>
      <c r="D28" s="36" t="s">
        <v>1164</v>
      </c>
      <c r="E28" s="37">
        <v>43567</v>
      </c>
      <c r="F28" s="36" t="s">
        <v>79</v>
      </c>
      <c r="G28" s="39">
        <v>20000</v>
      </c>
      <c r="H28" s="38">
        <f t="shared" si="3"/>
        <v>80</v>
      </c>
      <c r="I28" s="38">
        <f t="shared" si="1"/>
        <v>20</v>
      </c>
      <c r="J28" s="36"/>
      <c r="K28" s="40">
        <v>43646</v>
      </c>
      <c r="L28" s="41" t="s">
        <v>2254</v>
      </c>
      <c r="M28" s="42">
        <v>43640</v>
      </c>
      <c r="N28" s="43" t="s">
        <v>2255</v>
      </c>
      <c r="O28" s="42">
        <v>43646</v>
      </c>
      <c r="P28" s="41"/>
      <c r="Q28" s="36"/>
      <c r="R28" s="125" t="s">
        <v>2257</v>
      </c>
      <c r="S28" s="122" t="s">
        <v>2140</v>
      </c>
    </row>
    <row r="29" spans="2:19" s="30" customFormat="1" ht="33" hidden="1" customHeight="1">
      <c r="B29" s="46" t="s">
        <v>78</v>
      </c>
      <c r="C29" s="35" t="s">
        <v>1166</v>
      </c>
      <c r="D29" s="36" t="s">
        <v>1167</v>
      </c>
      <c r="E29" s="37">
        <v>43567</v>
      </c>
      <c r="F29" s="36" t="s">
        <v>79</v>
      </c>
      <c r="G29" s="39">
        <v>20000</v>
      </c>
      <c r="H29" s="38">
        <f t="shared" si="3"/>
        <v>80</v>
      </c>
      <c r="I29" s="38">
        <f t="shared" si="1"/>
        <v>20</v>
      </c>
      <c r="J29" s="36"/>
      <c r="K29" s="40">
        <v>43653</v>
      </c>
      <c r="L29" s="41" t="s">
        <v>2258</v>
      </c>
      <c r="M29" s="42">
        <v>43647</v>
      </c>
      <c r="N29" s="43" t="s">
        <v>2259</v>
      </c>
      <c r="O29" s="42">
        <v>43653</v>
      </c>
      <c r="P29" s="41"/>
      <c r="Q29" s="36" t="s">
        <v>82</v>
      </c>
      <c r="R29" s="125" t="s">
        <v>2260</v>
      </c>
      <c r="S29" s="122" t="s">
        <v>2140</v>
      </c>
    </row>
    <row r="30" spans="2:19" s="30" customFormat="1" ht="33" hidden="1" customHeight="1">
      <c r="B30" s="46" t="s">
        <v>78</v>
      </c>
      <c r="C30" s="35" t="s">
        <v>1169</v>
      </c>
      <c r="D30" s="36" t="s">
        <v>1170</v>
      </c>
      <c r="E30" s="37">
        <v>43567</v>
      </c>
      <c r="F30" s="36" t="s">
        <v>79</v>
      </c>
      <c r="G30" s="39">
        <v>20000</v>
      </c>
      <c r="H30" s="38">
        <f t="shared" si="3"/>
        <v>80</v>
      </c>
      <c r="I30" s="38">
        <f t="shared" si="1"/>
        <v>20</v>
      </c>
      <c r="J30" s="36"/>
      <c r="K30" s="40">
        <v>43660</v>
      </c>
      <c r="L30" s="41" t="s">
        <v>2261</v>
      </c>
      <c r="M30" s="42">
        <v>43654</v>
      </c>
      <c r="N30" s="43" t="s">
        <v>2262</v>
      </c>
      <c r="O30" s="42">
        <v>43660</v>
      </c>
      <c r="P30" s="41"/>
      <c r="Q30" s="36" t="s">
        <v>82</v>
      </c>
      <c r="R30" s="44" t="s">
        <v>2263</v>
      </c>
      <c r="S30" s="46"/>
    </row>
    <row r="31" spans="2:19" s="30" customFormat="1" ht="33" hidden="1" customHeight="1">
      <c r="B31" s="46" t="s">
        <v>78</v>
      </c>
      <c r="C31" s="35" t="s">
        <v>1172</v>
      </c>
      <c r="D31" s="36" t="s">
        <v>1173</v>
      </c>
      <c r="E31" s="37">
        <v>43567</v>
      </c>
      <c r="F31" s="36" t="s">
        <v>79</v>
      </c>
      <c r="G31" s="39">
        <v>20000</v>
      </c>
      <c r="H31" s="38">
        <f t="shared" si="3"/>
        <v>80</v>
      </c>
      <c r="I31" s="38">
        <f t="shared" si="1"/>
        <v>20</v>
      </c>
      <c r="J31" s="36"/>
      <c r="K31" s="40">
        <v>43667</v>
      </c>
      <c r="L31" s="41" t="s">
        <v>2264</v>
      </c>
      <c r="M31" s="42">
        <v>43658</v>
      </c>
      <c r="N31" s="43" t="s">
        <v>2265</v>
      </c>
      <c r="O31" s="42">
        <v>43667</v>
      </c>
      <c r="P31" s="41"/>
      <c r="Q31" s="36" t="s">
        <v>82</v>
      </c>
      <c r="R31" s="44" t="s">
        <v>2266</v>
      </c>
      <c r="S31" s="46"/>
    </row>
    <row r="32" spans="2:19" s="30" customFormat="1" ht="33" hidden="1" customHeight="1">
      <c r="B32" s="46" t="s">
        <v>220</v>
      </c>
      <c r="C32" s="35" t="s">
        <v>1175</v>
      </c>
      <c r="D32" s="36" t="s">
        <v>1176</v>
      </c>
      <c r="E32" s="37">
        <v>43567</v>
      </c>
      <c r="F32" s="36" t="s">
        <v>79</v>
      </c>
      <c r="G32" s="39">
        <v>20000</v>
      </c>
      <c r="H32" s="38">
        <f t="shared" si="3"/>
        <v>80</v>
      </c>
      <c r="I32" s="38">
        <f t="shared" si="1"/>
        <v>20</v>
      </c>
      <c r="J32" s="36"/>
      <c r="K32" s="40">
        <v>43667</v>
      </c>
      <c r="L32" s="41" t="s">
        <v>1319</v>
      </c>
      <c r="M32" s="42">
        <v>43658</v>
      </c>
      <c r="N32" s="43" t="s">
        <v>2265</v>
      </c>
      <c r="O32" s="42">
        <v>43667</v>
      </c>
      <c r="P32" s="41"/>
      <c r="Q32" s="36"/>
      <c r="R32" s="44" t="s">
        <v>2267</v>
      </c>
      <c r="S32" s="46"/>
    </row>
    <row r="33" spans="2:19" s="30" customFormat="1" ht="33" hidden="1" customHeight="1">
      <c r="B33" s="46" t="s">
        <v>78</v>
      </c>
      <c r="C33" s="35" t="s">
        <v>1178</v>
      </c>
      <c r="D33" s="36" t="s">
        <v>1179</v>
      </c>
      <c r="E33" s="37">
        <v>43567</v>
      </c>
      <c r="F33" s="36" t="s">
        <v>2268</v>
      </c>
      <c r="G33" s="39">
        <v>10000</v>
      </c>
      <c r="H33" s="38">
        <f t="shared" si="3"/>
        <v>40</v>
      </c>
      <c r="I33" s="38">
        <f t="shared" si="1"/>
        <v>10</v>
      </c>
      <c r="J33" s="36"/>
      <c r="K33" s="40">
        <v>43674</v>
      </c>
      <c r="L33" s="41" t="s">
        <v>2269</v>
      </c>
      <c r="M33" s="42">
        <v>43668</v>
      </c>
      <c r="N33" s="43" t="s">
        <v>2270</v>
      </c>
      <c r="O33" s="42">
        <v>43674</v>
      </c>
      <c r="P33" s="41"/>
      <c r="Q33" s="36" t="s">
        <v>82</v>
      </c>
      <c r="R33" s="44" t="s">
        <v>2271</v>
      </c>
      <c r="S33" s="46"/>
    </row>
    <row r="34" spans="2:19" s="30" customFormat="1" ht="33" hidden="1" customHeight="1">
      <c r="B34" s="46" t="s">
        <v>220</v>
      </c>
      <c r="C34" s="35" t="s">
        <v>1181</v>
      </c>
      <c r="D34" s="36" t="s">
        <v>1182</v>
      </c>
      <c r="E34" s="37">
        <v>43567</v>
      </c>
      <c r="F34" s="36" t="s">
        <v>2268</v>
      </c>
      <c r="G34" s="39">
        <v>10000</v>
      </c>
      <c r="H34" s="38">
        <f t="shared" si="3"/>
        <v>40</v>
      </c>
      <c r="I34" s="38">
        <f t="shared" si="1"/>
        <v>10</v>
      </c>
      <c r="J34" s="36"/>
      <c r="K34" s="40">
        <v>43674</v>
      </c>
      <c r="L34" s="41" t="s">
        <v>1321</v>
      </c>
      <c r="M34" s="42">
        <v>43668</v>
      </c>
      <c r="N34" s="43" t="s">
        <v>2270</v>
      </c>
      <c r="O34" s="42">
        <v>43674</v>
      </c>
      <c r="P34" s="41"/>
      <c r="Q34" s="36"/>
      <c r="R34" s="44" t="s">
        <v>2272</v>
      </c>
      <c r="S34" s="46"/>
    </row>
    <row r="35" spans="2:19" s="147" customFormat="1" ht="33" hidden="1" customHeight="1">
      <c r="B35" s="103" t="s">
        <v>78</v>
      </c>
      <c r="C35" s="104" t="s">
        <v>2273</v>
      </c>
      <c r="D35" s="105" t="s">
        <v>2274</v>
      </c>
      <c r="E35" s="106">
        <v>43602</v>
      </c>
      <c r="F35" s="105" t="s">
        <v>79</v>
      </c>
      <c r="G35" s="108">
        <v>20000</v>
      </c>
      <c r="H35" s="107">
        <f t="shared" si="3"/>
        <v>80</v>
      </c>
      <c r="I35" s="107">
        <f t="shared" ref="I35:I38" si="4">SUM(H35/4)</f>
        <v>20</v>
      </c>
      <c r="J35" s="105"/>
      <c r="K35" s="109">
        <v>43688</v>
      </c>
      <c r="L35" s="110"/>
      <c r="M35" s="111"/>
      <c r="N35" s="112"/>
      <c r="O35" s="111"/>
      <c r="P35" s="110"/>
      <c r="Q35" s="105" t="s">
        <v>82</v>
      </c>
      <c r="R35" s="114" t="s">
        <v>2275</v>
      </c>
      <c r="S35" s="103"/>
    </row>
    <row r="36" spans="2:19" s="147" customFormat="1" ht="33" hidden="1" customHeight="1">
      <c r="B36" s="103" t="s">
        <v>78</v>
      </c>
      <c r="C36" s="104" t="s">
        <v>2276</v>
      </c>
      <c r="D36" s="105" t="s">
        <v>2277</v>
      </c>
      <c r="E36" s="106">
        <v>43602</v>
      </c>
      <c r="F36" s="105" t="s">
        <v>79</v>
      </c>
      <c r="G36" s="108">
        <v>20000</v>
      </c>
      <c r="H36" s="107">
        <f t="shared" si="3"/>
        <v>80</v>
      </c>
      <c r="I36" s="107">
        <f t="shared" si="4"/>
        <v>20</v>
      </c>
      <c r="J36" s="105"/>
      <c r="K36" s="109">
        <v>43695</v>
      </c>
      <c r="L36" s="110"/>
      <c r="M36" s="111"/>
      <c r="N36" s="112"/>
      <c r="O36" s="111"/>
      <c r="P36" s="110"/>
      <c r="Q36" s="105" t="s">
        <v>82</v>
      </c>
      <c r="R36" s="114" t="s">
        <v>2278</v>
      </c>
      <c r="S36" s="103"/>
    </row>
    <row r="37" spans="2:19" s="147" customFormat="1" ht="33" hidden="1" customHeight="1">
      <c r="B37" s="103" t="s">
        <v>220</v>
      </c>
      <c r="C37" s="104" t="s">
        <v>2279</v>
      </c>
      <c r="D37" s="105" t="s">
        <v>2280</v>
      </c>
      <c r="E37" s="106">
        <v>43602</v>
      </c>
      <c r="F37" s="105" t="s">
        <v>79</v>
      </c>
      <c r="G37" s="108">
        <v>20000</v>
      </c>
      <c r="H37" s="107">
        <f t="shared" si="3"/>
        <v>80</v>
      </c>
      <c r="I37" s="107">
        <f t="shared" si="4"/>
        <v>20</v>
      </c>
      <c r="J37" s="105"/>
      <c r="K37" s="109">
        <v>43695</v>
      </c>
      <c r="L37" s="110"/>
      <c r="M37" s="111"/>
      <c r="N37" s="112"/>
      <c r="O37" s="111"/>
      <c r="P37" s="110"/>
      <c r="Q37" s="105"/>
      <c r="R37" s="114" t="s">
        <v>2281</v>
      </c>
      <c r="S37" s="103"/>
    </row>
    <row r="38" spans="2:19" s="147" customFormat="1" ht="33" hidden="1" customHeight="1">
      <c r="B38" s="103" t="s">
        <v>78</v>
      </c>
      <c r="C38" s="104" t="s">
        <v>2282</v>
      </c>
      <c r="D38" s="105" t="s">
        <v>2283</v>
      </c>
      <c r="E38" s="106">
        <v>43602</v>
      </c>
      <c r="F38" s="105" t="s">
        <v>79</v>
      </c>
      <c r="G38" s="108">
        <v>20000</v>
      </c>
      <c r="H38" s="107">
        <f t="shared" si="3"/>
        <v>80</v>
      </c>
      <c r="I38" s="107">
        <f t="shared" si="4"/>
        <v>20</v>
      </c>
      <c r="J38" s="105"/>
      <c r="K38" s="109">
        <v>43709</v>
      </c>
      <c r="L38" s="110"/>
      <c r="M38" s="111"/>
      <c r="N38" s="112"/>
      <c r="O38" s="111"/>
      <c r="P38" s="110"/>
      <c r="Q38" s="105" t="s">
        <v>82</v>
      </c>
      <c r="R38" s="114" t="s">
        <v>2284</v>
      </c>
      <c r="S38" s="103"/>
    </row>
    <row r="39" spans="2:19" s="96" customFormat="1" ht="33" hidden="1" customHeight="1">
      <c r="B39" s="47" t="s">
        <v>17</v>
      </c>
      <c r="C39" s="48" t="s">
        <v>361</v>
      </c>
      <c r="D39" s="49" t="s">
        <v>384</v>
      </c>
      <c r="E39" s="50">
        <v>43441</v>
      </c>
      <c r="F39" s="52" t="s">
        <v>84</v>
      </c>
      <c r="G39" s="51">
        <v>9200</v>
      </c>
      <c r="H39" s="52">
        <f t="shared" ref="H39:H45" si="5">SUM(G39/230)</f>
        <v>40</v>
      </c>
      <c r="I39" s="52">
        <f t="shared" si="1"/>
        <v>10</v>
      </c>
      <c r="J39" s="49"/>
      <c r="K39" s="53">
        <v>43548</v>
      </c>
      <c r="L39" s="54" t="s">
        <v>2285</v>
      </c>
      <c r="M39" s="55">
        <v>43543</v>
      </c>
      <c r="N39" s="56" t="s">
        <v>2286</v>
      </c>
      <c r="O39" s="55">
        <v>43548</v>
      </c>
      <c r="P39" s="58"/>
      <c r="Q39" s="52" t="s">
        <v>82</v>
      </c>
      <c r="R39" s="57" t="s">
        <v>2287</v>
      </c>
      <c r="S39" s="47"/>
    </row>
    <row r="40" spans="2:19" s="96" customFormat="1" ht="33" hidden="1" customHeight="1">
      <c r="B40" s="47" t="s">
        <v>17</v>
      </c>
      <c r="C40" s="48" t="s">
        <v>427</v>
      </c>
      <c r="D40" s="49" t="s">
        <v>2288</v>
      </c>
      <c r="E40" s="50">
        <v>43483</v>
      </c>
      <c r="F40" s="52" t="s">
        <v>84</v>
      </c>
      <c r="G40" s="51">
        <v>9200</v>
      </c>
      <c r="H40" s="52">
        <f t="shared" si="5"/>
        <v>40</v>
      </c>
      <c r="I40" s="52">
        <f t="shared" si="1"/>
        <v>10</v>
      </c>
      <c r="J40" s="49"/>
      <c r="K40" s="53">
        <v>43576</v>
      </c>
      <c r="L40" s="54" t="s">
        <v>2289</v>
      </c>
      <c r="M40" s="55">
        <v>43571</v>
      </c>
      <c r="N40" s="56" t="s">
        <v>2290</v>
      </c>
      <c r="O40" s="55">
        <v>43576</v>
      </c>
      <c r="P40" s="58"/>
      <c r="Q40" s="52" t="s">
        <v>82</v>
      </c>
      <c r="R40" s="57" t="s">
        <v>2291</v>
      </c>
      <c r="S40" s="47"/>
    </row>
    <row r="41" spans="2:19" s="67" customFormat="1" ht="33" hidden="1" customHeight="1">
      <c r="B41" s="46" t="s">
        <v>17</v>
      </c>
      <c r="C41" s="35" t="s">
        <v>581</v>
      </c>
      <c r="D41" s="36" t="s">
        <v>582</v>
      </c>
      <c r="E41" s="37">
        <v>43519</v>
      </c>
      <c r="F41" s="38" t="s">
        <v>84</v>
      </c>
      <c r="G41" s="39">
        <v>9200</v>
      </c>
      <c r="H41" s="38">
        <f t="shared" si="5"/>
        <v>40</v>
      </c>
      <c r="I41" s="38">
        <f t="shared" si="1"/>
        <v>10</v>
      </c>
      <c r="J41" s="36"/>
      <c r="K41" s="40">
        <v>43632</v>
      </c>
      <c r="L41" s="119" t="s">
        <v>2292</v>
      </c>
      <c r="M41" s="120">
        <v>43620</v>
      </c>
      <c r="N41" s="121" t="s">
        <v>2293</v>
      </c>
      <c r="O41" s="120">
        <v>43625</v>
      </c>
      <c r="P41" s="45"/>
      <c r="Q41" s="38" t="s">
        <v>82</v>
      </c>
      <c r="R41" s="44" t="s">
        <v>2294</v>
      </c>
      <c r="S41" s="46"/>
    </row>
    <row r="42" spans="2:19" s="67" customFormat="1" ht="33" hidden="1" customHeight="1">
      <c r="B42" s="46" t="s">
        <v>17</v>
      </c>
      <c r="C42" s="35" t="s">
        <v>694</v>
      </c>
      <c r="D42" s="36" t="s">
        <v>695</v>
      </c>
      <c r="E42" s="37">
        <v>43532</v>
      </c>
      <c r="F42" s="38" t="s">
        <v>2295</v>
      </c>
      <c r="G42" s="39">
        <v>9200</v>
      </c>
      <c r="H42" s="38">
        <f t="shared" si="5"/>
        <v>40</v>
      </c>
      <c r="I42" s="38">
        <f t="shared" si="1"/>
        <v>10</v>
      </c>
      <c r="J42" s="36"/>
      <c r="K42" s="40">
        <v>43660</v>
      </c>
      <c r="L42" s="41" t="s">
        <v>2296</v>
      </c>
      <c r="M42" s="42">
        <v>43655</v>
      </c>
      <c r="N42" s="43" t="s">
        <v>2297</v>
      </c>
      <c r="O42" s="42">
        <v>43660</v>
      </c>
      <c r="P42" s="45"/>
      <c r="Q42" s="38" t="s">
        <v>82</v>
      </c>
      <c r="R42" s="44" t="s">
        <v>2298</v>
      </c>
      <c r="S42" s="46"/>
    </row>
    <row r="43" spans="2:19" s="117" customFormat="1" ht="33" hidden="1" customHeight="1">
      <c r="B43" s="103" t="s">
        <v>17</v>
      </c>
      <c r="C43" s="104" t="s">
        <v>2299</v>
      </c>
      <c r="D43" s="105" t="s">
        <v>2300</v>
      </c>
      <c r="E43" s="106">
        <v>43602</v>
      </c>
      <c r="F43" s="107" t="s">
        <v>2301</v>
      </c>
      <c r="G43" s="108">
        <v>9200</v>
      </c>
      <c r="H43" s="107">
        <f t="shared" si="5"/>
        <v>40</v>
      </c>
      <c r="I43" s="107">
        <f t="shared" ref="I43" si="6">SUM(H43/4)</f>
        <v>10</v>
      </c>
      <c r="J43" s="105"/>
      <c r="K43" s="109">
        <v>43695</v>
      </c>
      <c r="L43" s="110"/>
      <c r="M43" s="111"/>
      <c r="N43" s="112"/>
      <c r="O43" s="111"/>
      <c r="P43" s="113"/>
      <c r="Q43" s="107" t="s">
        <v>82</v>
      </c>
      <c r="R43" s="114" t="s">
        <v>2302</v>
      </c>
      <c r="S43" s="103"/>
    </row>
    <row r="44" spans="2:19" s="67" customFormat="1" ht="33" hidden="1" customHeight="1">
      <c r="B44" s="46" t="s">
        <v>81</v>
      </c>
      <c r="C44" s="35" t="s">
        <v>279</v>
      </c>
      <c r="D44" s="36" t="s">
        <v>2303</v>
      </c>
      <c r="E44" s="37">
        <v>43392</v>
      </c>
      <c r="F44" s="38" t="s">
        <v>84</v>
      </c>
      <c r="G44" s="39">
        <v>11960</v>
      </c>
      <c r="H44" s="38">
        <f t="shared" si="5"/>
        <v>52</v>
      </c>
      <c r="I44" s="38">
        <f t="shared" si="1"/>
        <v>13</v>
      </c>
      <c r="J44" s="38"/>
      <c r="K44" s="40">
        <v>43597</v>
      </c>
      <c r="L44" s="41" t="s">
        <v>2304</v>
      </c>
      <c r="M44" s="42">
        <v>43594</v>
      </c>
      <c r="N44" s="43" t="s">
        <v>2305</v>
      </c>
      <c r="O44" s="42">
        <v>43598</v>
      </c>
      <c r="P44" s="45" t="s">
        <v>2306</v>
      </c>
      <c r="Q44" s="46"/>
      <c r="R44" s="44" t="s">
        <v>2307</v>
      </c>
      <c r="S44" s="46"/>
    </row>
    <row r="45" spans="2:19" s="67" customFormat="1" ht="33" hidden="1" customHeight="1">
      <c r="B45" s="46" t="s">
        <v>81</v>
      </c>
      <c r="C45" s="35" t="s">
        <v>2308</v>
      </c>
      <c r="D45" s="36" t="s">
        <v>2309</v>
      </c>
      <c r="E45" s="37">
        <v>43392</v>
      </c>
      <c r="F45" s="38" t="s">
        <v>84</v>
      </c>
      <c r="G45" s="39">
        <v>1840</v>
      </c>
      <c r="H45" s="38">
        <f t="shared" si="5"/>
        <v>8</v>
      </c>
      <c r="I45" s="38">
        <f t="shared" si="1"/>
        <v>2</v>
      </c>
      <c r="J45" s="38"/>
      <c r="K45" s="40">
        <v>43597</v>
      </c>
      <c r="L45" s="41" t="s">
        <v>773</v>
      </c>
      <c r="M45" s="42">
        <v>43601</v>
      </c>
      <c r="N45" s="43" t="s">
        <v>2310</v>
      </c>
      <c r="O45" s="42">
        <v>43605</v>
      </c>
      <c r="P45" s="45" t="s">
        <v>2306</v>
      </c>
      <c r="Q45" s="46"/>
      <c r="R45" s="44" t="s">
        <v>2307</v>
      </c>
      <c r="S45" s="46" t="s">
        <v>1329</v>
      </c>
    </row>
    <row r="46" spans="2:19" s="96" customFormat="1" ht="33" hidden="1" customHeight="1">
      <c r="B46" s="47" t="s">
        <v>81</v>
      </c>
      <c r="C46" s="48" t="s">
        <v>318</v>
      </c>
      <c r="D46" s="49" t="s">
        <v>319</v>
      </c>
      <c r="E46" s="50">
        <v>43420</v>
      </c>
      <c r="F46" s="52" t="s">
        <v>2295</v>
      </c>
      <c r="G46" s="51">
        <v>17940</v>
      </c>
      <c r="H46" s="52">
        <f>SUM(G46/230)</f>
        <v>78</v>
      </c>
      <c r="I46" s="52">
        <f>SUM(H46/4)</f>
        <v>19.5</v>
      </c>
      <c r="J46" s="52"/>
      <c r="K46" s="53">
        <v>43576</v>
      </c>
      <c r="L46" s="54" t="s">
        <v>480</v>
      </c>
      <c r="M46" s="55">
        <v>43564</v>
      </c>
      <c r="N46" s="56" t="s">
        <v>2311</v>
      </c>
      <c r="O46" s="55">
        <v>43569</v>
      </c>
      <c r="P46" s="58"/>
      <c r="Q46" s="47"/>
      <c r="R46" s="57" t="s">
        <v>2312</v>
      </c>
      <c r="S46" s="47" t="s">
        <v>2313</v>
      </c>
    </row>
    <row r="47" spans="2:19" s="67" customFormat="1" ht="33" hidden="1" customHeight="1">
      <c r="B47" s="46" t="s">
        <v>81</v>
      </c>
      <c r="C47" s="35" t="s">
        <v>2314</v>
      </c>
      <c r="D47" s="36" t="s">
        <v>701</v>
      </c>
      <c r="E47" s="37">
        <v>43532</v>
      </c>
      <c r="F47" s="38" t="s">
        <v>2295</v>
      </c>
      <c r="G47" s="39">
        <v>13800</v>
      </c>
      <c r="H47" s="38">
        <f t="shared" ref="H47:H54" si="7">SUM(G47/230)</f>
        <v>60</v>
      </c>
      <c r="I47" s="38">
        <f t="shared" ref="I47:I54" si="8">SUM(H47/4)</f>
        <v>15</v>
      </c>
      <c r="J47" s="38"/>
      <c r="K47" s="130">
        <v>43615</v>
      </c>
      <c r="L47" s="119" t="s">
        <v>2315</v>
      </c>
      <c r="M47" s="120">
        <v>43613</v>
      </c>
      <c r="N47" s="121" t="s">
        <v>2316</v>
      </c>
      <c r="O47" s="120">
        <v>43618</v>
      </c>
      <c r="P47" s="45"/>
      <c r="Q47" s="46"/>
      <c r="R47" s="44" t="s">
        <v>2317</v>
      </c>
      <c r="S47" s="46"/>
    </row>
    <row r="48" spans="2:19" s="67" customFormat="1" ht="33" hidden="1" customHeight="1">
      <c r="B48" s="122" t="s">
        <v>81</v>
      </c>
      <c r="C48" s="126" t="s">
        <v>2318</v>
      </c>
      <c r="D48" s="105"/>
      <c r="E48" s="128">
        <v>43532</v>
      </c>
      <c r="F48" s="124" t="s">
        <v>2295</v>
      </c>
      <c r="G48" s="129">
        <v>4600</v>
      </c>
      <c r="H48" s="124">
        <f t="shared" si="7"/>
        <v>20</v>
      </c>
      <c r="I48" s="124">
        <f t="shared" si="8"/>
        <v>5</v>
      </c>
      <c r="J48" s="124"/>
      <c r="K48" s="130">
        <v>43615</v>
      </c>
      <c r="L48" s="119" t="s">
        <v>2292</v>
      </c>
      <c r="M48" s="120">
        <v>43620</v>
      </c>
      <c r="N48" s="121" t="s">
        <v>2293</v>
      </c>
      <c r="O48" s="120">
        <v>43625</v>
      </c>
      <c r="P48" s="123"/>
      <c r="Q48" s="122"/>
      <c r="R48" s="125" t="s">
        <v>2317</v>
      </c>
      <c r="S48" s="122"/>
    </row>
    <row r="49" spans="2:19" s="67" customFormat="1" ht="33" hidden="1" customHeight="1">
      <c r="B49" s="46" t="s">
        <v>81</v>
      </c>
      <c r="C49" s="35" t="s">
        <v>702</v>
      </c>
      <c r="D49" s="36" t="s">
        <v>703</v>
      </c>
      <c r="E49" s="37">
        <v>43532</v>
      </c>
      <c r="F49" s="38" t="s">
        <v>2295</v>
      </c>
      <c r="G49" s="39">
        <v>9200</v>
      </c>
      <c r="H49" s="38">
        <f t="shared" si="7"/>
        <v>40</v>
      </c>
      <c r="I49" s="38">
        <f t="shared" si="8"/>
        <v>10</v>
      </c>
      <c r="J49" s="38"/>
      <c r="K49" s="130">
        <v>43632</v>
      </c>
      <c r="L49" s="119" t="s">
        <v>807</v>
      </c>
      <c r="M49" s="120">
        <v>43627</v>
      </c>
      <c r="N49" s="121" t="s">
        <v>808</v>
      </c>
      <c r="O49" s="120">
        <v>43632</v>
      </c>
      <c r="P49" s="45"/>
      <c r="Q49" s="46"/>
      <c r="R49" s="125" t="s">
        <v>2319</v>
      </c>
      <c r="S49" s="46"/>
    </row>
    <row r="50" spans="2:19" s="67" customFormat="1" ht="33" hidden="1" customHeight="1">
      <c r="B50" s="46" t="s">
        <v>81</v>
      </c>
      <c r="C50" s="35" t="s">
        <v>852</v>
      </c>
      <c r="D50" s="36" t="s">
        <v>1990</v>
      </c>
      <c r="E50" s="37">
        <v>43558</v>
      </c>
      <c r="F50" s="38" t="s">
        <v>2295</v>
      </c>
      <c r="G50" s="39">
        <v>9200</v>
      </c>
      <c r="H50" s="38">
        <f t="shared" si="7"/>
        <v>40</v>
      </c>
      <c r="I50" s="38">
        <f t="shared" si="8"/>
        <v>10</v>
      </c>
      <c r="J50" s="38"/>
      <c r="K50" s="130">
        <v>43639</v>
      </c>
      <c r="L50" s="119" t="s">
        <v>1083</v>
      </c>
      <c r="M50" s="120">
        <v>43634</v>
      </c>
      <c r="N50" s="121" t="s">
        <v>1084</v>
      </c>
      <c r="O50" s="120">
        <v>43639</v>
      </c>
      <c r="P50" s="45"/>
      <c r="Q50" s="46"/>
      <c r="R50" s="125" t="s">
        <v>2319</v>
      </c>
      <c r="S50" s="46"/>
    </row>
    <row r="51" spans="2:19" s="67" customFormat="1" ht="33" hidden="1" customHeight="1">
      <c r="B51" s="46" t="s">
        <v>81</v>
      </c>
      <c r="C51" s="35" t="s">
        <v>1435</v>
      </c>
      <c r="D51" s="36" t="s">
        <v>1436</v>
      </c>
      <c r="E51" s="37">
        <v>43574</v>
      </c>
      <c r="F51" s="38" t="s">
        <v>2295</v>
      </c>
      <c r="G51" s="39">
        <v>18400</v>
      </c>
      <c r="H51" s="38">
        <f t="shared" si="7"/>
        <v>80</v>
      </c>
      <c r="I51" s="38">
        <f t="shared" si="8"/>
        <v>20</v>
      </c>
      <c r="J51" s="38"/>
      <c r="K51" s="130">
        <v>43653</v>
      </c>
      <c r="L51" s="119" t="s">
        <v>1326</v>
      </c>
      <c r="M51" s="120">
        <v>43648</v>
      </c>
      <c r="N51" s="121" t="s">
        <v>2320</v>
      </c>
      <c r="O51" s="120">
        <v>43653</v>
      </c>
      <c r="P51" s="45"/>
      <c r="Q51" s="46"/>
      <c r="R51" s="125" t="s">
        <v>2321</v>
      </c>
      <c r="S51" s="46"/>
    </row>
    <row r="52" spans="2:19" s="117" customFormat="1" ht="33" hidden="1" customHeight="1">
      <c r="B52" s="103" t="s">
        <v>81</v>
      </c>
      <c r="C52" s="104" t="s">
        <v>2322</v>
      </c>
      <c r="D52" s="105" t="s">
        <v>2323</v>
      </c>
      <c r="E52" s="106">
        <v>43602</v>
      </c>
      <c r="F52" s="107" t="s">
        <v>2295</v>
      </c>
      <c r="G52" s="108">
        <v>18400</v>
      </c>
      <c r="H52" s="107">
        <f>SUM(G52/230)</f>
        <v>80</v>
      </c>
      <c r="I52" s="107">
        <f>SUM(H52/4)</f>
        <v>20</v>
      </c>
      <c r="J52" s="107"/>
      <c r="K52" s="109">
        <v>43681</v>
      </c>
      <c r="L52" s="110"/>
      <c r="M52" s="111"/>
      <c r="N52" s="112"/>
      <c r="O52" s="111"/>
      <c r="P52" s="113"/>
      <c r="Q52" s="103"/>
      <c r="R52" s="114" t="s">
        <v>2324</v>
      </c>
      <c r="S52" s="103"/>
    </row>
    <row r="53" spans="2:19" s="117" customFormat="1" ht="33" hidden="1" customHeight="1">
      <c r="B53" s="103" t="s">
        <v>81</v>
      </c>
      <c r="C53" s="104" t="s">
        <v>2325</v>
      </c>
      <c r="D53" s="105" t="s">
        <v>2326</v>
      </c>
      <c r="E53" s="106">
        <v>43602</v>
      </c>
      <c r="F53" s="107" t="s">
        <v>2295</v>
      </c>
      <c r="G53" s="108">
        <v>17940</v>
      </c>
      <c r="H53" s="107">
        <f t="shared" ref="H53" si="9">SUM(G53/230)</f>
        <v>78</v>
      </c>
      <c r="I53" s="107">
        <f t="shared" ref="I53" si="10">SUM(H53/4)</f>
        <v>19.5</v>
      </c>
      <c r="J53" s="107"/>
      <c r="K53" s="109">
        <v>43702</v>
      </c>
      <c r="L53" s="110"/>
      <c r="M53" s="111"/>
      <c r="N53" s="112"/>
      <c r="O53" s="111"/>
      <c r="P53" s="113"/>
      <c r="Q53" s="103"/>
      <c r="R53" s="114" t="s">
        <v>2327</v>
      </c>
      <c r="S53" s="103"/>
    </row>
    <row r="54" spans="2:19" s="67" customFormat="1" ht="33" hidden="1" customHeight="1">
      <c r="B54" s="46" t="s">
        <v>2328</v>
      </c>
      <c r="C54" s="35" t="s">
        <v>2329</v>
      </c>
      <c r="D54" s="36" t="s">
        <v>705</v>
      </c>
      <c r="E54" s="37">
        <v>43532</v>
      </c>
      <c r="F54" s="38" t="s">
        <v>2295</v>
      </c>
      <c r="G54" s="39">
        <v>920</v>
      </c>
      <c r="H54" s="38">
        <f t="shared" si="7"/>
        <v>4</v>
      </c>
      <c r="I54" s="38">
        <f t="shared" si="8"/>
        <v>1</v>
      </c>
      <c r="J54" s="38"/>
      <c r="K54" s="40">
        <v>43609</v>
      </c>
      <c r="L54" s="41" t="s">
        <v>773</v>
      </c>
      <c r="M54" s="42">
        <v>43601</v>
      </c>
      <c r="N54" s="43" t="s">
        <v>774</v>
      </c>
      <c r="O54" s="42">
        <v>43605</v>
      </c>
      <c r="P54" s="45"/>
      <c r="Q54" s="46"/>
      <c r="R54" s="44"/>
      <c r="S54" s="46" t="s">
        <v>2330</v>
      </c>
    </row>
    <row r="55" spans="2:19" s="96" customFormat="1" ht="33" hidden="1" customHeight="1">
      <c r="B55" s="47" t="s">
        <v>2331</v>
      </c>
      <c r="C55" s="48" t="s">
        <v>2329</v>
      </c>
      <c r="D55" s="49" t="s">
        <v>2332</v>
      </c>
      <c r="E55" s="50">
        <v>43511</v>
      </c>
      <c r="F55" s="52" t="s">
        <v>2295</v>
      </c>
      <c r="G55" s="51">
        <v>460</v>
      </c>
      <c r="H55" s="52">
        <f>SUM(G55/230)</f>
        <v>2</v>
      </c>
      <c r="I55" s="52">
        <f>SUM(H55/4)</f>
        <v>0.5</v>
      </c>
      <c r="J55" s="52"/>
      <c r="K55" s="53">
        <v>43576</v>
      </c>
      <c r="L55" s="54" t="s">
        <v>480</v>
      </c>
      <c r="M55" s="55">
        <v>43564</v>
      </c>
      <c r="N55" s="56" t="s">
        <v>646</v>
      </c>
      <c r="O55" s="55">
        <v>43569</v>
      </c>
      <c r="P55" s="58"/>
      <c r="Q55" s="47"/>
      <c r="R55" s="57" t="s">
        <v>2312</v>
      </c>
      <c r="S55" s="47"/>
    </row>
    <row r="56" spans="2:19" s="117" customFormat="1" ht="33" hidden="1" customHeight="1">
      <c r="B56" s="103" t="s">
        <v>2331</v>
      </c>
      <c r="C56" s="104" t="s">
        <v>2333</v>
      </c>
      <c r="D56" s="105" t="s">
        <v>2334</v>
      </c>
      <c r="E56" s="106">
        <v>43602</v>
      </c>
      <c r="F56" s="107" t="s">
        <v>2295</v>
      </c>
      <c r="G56" s="108">
        <v>460</v>
      </c>
      <c r="H56" s="107">
        <f>SUM(G56/230)</f>
        <v>2</v>
      </c>
      <c r="I56" s="107">
        <f>SUM(H56/4)</f>
        <v>0.5</v>
      </c>
      <c r="J56" s="107"/>
      <c r="K56" s="109">
        <v>43702</v>
      </c>
      <c r="L56" s="110"/>
      <c r="M56" s="111"/>
      <c r="N56" s="112"/>
      <c r="O56" s="111"/>
      <c r="P56" s="113"/>
      <c r="Q56" s="103"/>
      <c r="R56" s="114" t="s">
        <v>2335</v>
      </c>
      <c r="S56" s="103"/>
    </row>
    <row r="57" spans="2:19" s="33" customFormat="1" ht="33" customHeight="1">
      <c r="B57" s="47" t="s">
        <v>2336</v>
      </c>
      <c r="C57" s="48" t="s">
        <v>324</v>
      </c>
      <c r="D57" s="49" t="s">
        <v>325</v>
      </c>
      <c r="E57" s="50">
        <v>43420</v>
      </c>
      <c r="F57" s="52" t="s">
        <v>2295</v>
      </c>
      <c r="G57" s="51">
        <v>1920</v>
      </c>
      <c r="H57" s="52">
        <f t="shared" ref="H57:H67" si="11">SUM(G57/20)</f>
        <v>96</v>
      </c>
      <c r="I57" s="52">
        <f t="shared" ref="I57:I67" si="12">SUM(H57/32)</f>
        <v>3</v>
      </c>
      <c r="J57" s="59"/>
      <c r="K57" s="53">
        <v>43541</v>
      </c>
      <c r="L57" s="54" t="s">
        <v>2337</v>
      </c>
      <c r="M57" s="55">
        <v>43531</v>
      </c>
      <c r="N57" s="56" t="s">
        <v>2338</v>
      </c>
      <c r="O57" s="55">
        <v>43535</v>
      </c>
      <c r="P57" s="58"/>
      <c r="Q57" s="60" t="s">
        <v>89</v>
      </c>
      <c r="R57" s="57" t="s">
        <v>2339</v>
      </c>
      <c r="S57" s="47" t="s">
        <v>645</v>
      </c>
    </row>
    <row r="58" spans="2:19" s="33" customFormat="1" ht="33" customHeight="1">
      <c r="B58" s="47" t="s">
        <v>2336</v>
      </c>
      <c r="C58" s="48" t="s">
        <v>2340</v>
      </c>
      <c r="D58" s="49" t="s">
        <v>325</v>
      </c>
      <c r="E58" s="50">
        <v>43420</v>
      </c>
      <c r="F58" s="52" t="s">
        <v>2295</v>
      </c>
      <c r="G58" s="51">
        <v>1280</v>
      </c>
      <c r="H58" s="52">
        <f t="shared" si="11"/>
        <v>64</v>
      </c>
      <c r="I58" s="52">
        <f t="shared" si="12"/>
        <v>2</v>
      </c>
      <c r="J58" s="59"/>
      <c r="K58" s="53">
        <v>43541</v>
      </c>
      <c r="L58" s="54" t="s">
        <v>563</v>
      </c>
      <c r="M58" s="55">
        <v>43536</v>
      </c>
      <c r="N58" s="56" t="s">
        <v>2341</v>
      </c>
      <c r="O58" s="55">
        <v>43541</v>
      </c>
      <c r="P58" s="58"/>
      <c r="Q58" s="60" t="s">
        <v>89</v>
      </c>
      <c r="R58" s="57" t="s">
        <v>2339</v>
      </c>
      <c r="S58" s="47" t="s">
        <v>395</v>
      </c>
    </row>
    <row r="59" spans="2:19" s="33" customFormat="1" ht="33" customHeight="1">
      <c r="B59" s="47" t="s">
        <v>2336</v>
      </c>
      <c r="C59" s="48" t="s">
        <v>430</v>
      </c>
      <c r="D59" s="49" t="s">
        <v>470</v>
      </c>
      <c r="E59" s="50">
        <v>43473</v>
      </c>
      <c r="F59" s="52" t="s">
        <v>2295</v>
      </c>
      <c r="G59" s="51">
        <v>1920</v>
      </c>
      <c r="H59" s="52">
        <f t="shared" si="11"/>
        <v>96</v>
      </c>
      <c r="I59" s="52">
        <f t="shared" si="12"/>
        <v>3</v>
      </c>
      <c r="J59" s="59"/>
      <c r="K59" s="53">
        <v>43555</v>
      </c>
      <c r="L59" s="54" t="s">
        <v>2342</v>
      </c>
      <c r="M59" s="55">
        <v>43550</v>
      </c>
      <c r="N59" s="56" t="s">
        <v>2343</v>
      </c>
      <c r="O59" s="55">
        <v>43555</v>
      </c>
      <c r="P59" s="58"/>
      <c r="Q59" s="60" t="s">
        <v>89</v>
      </c>
      <c r="R59" s="57" t="s">
        <v>2344</v>
      </c>
      <c r="S59" s="47"/>
    </row>
    <row r="60" spans="2:19" s="33" customFormat="1" ht="33" customHeight="1">
      <c r="B60" s="47" t="s">
        <v>2336</v>
      </c>
      <c r="C60" s="48" t="s">
        <v>430</v>
      </c>
      <c r="D60" s="49" t="s">
        <v>470</v>
      </c>
      <c r="E60" s="50">
        <v>43473</v>
      </c>
      <c r="F60" s="52" t="s">
        <v>2295</v>
      </c>
      <c r="G60" s="51">
        <v>1920</v>
      </c>
      <c r="H60" s="52">
        <f t="shared" si="11"/>
        <v>96</v>
      </c>
      <c r="I60" s="52">
        <f t="shared" si="12"/>
        <v>3</v>
      </c>
      <c r="J60" s="59"/>
      <c r="K60" s="53">
        <v>43555</v>
      </c>
      <c r="L60" s="54" t="s">
        <v>2345</v>
      </c>
      <c r="M60" s="55">
        <v>43564</v>
      </c>
      <c r="N60" s="56" t="s">
        <v>2311</v>
      </c>
      <c r="O60" s="55">
        <v>43569</v>
      </c>
      <c r="P60" s="58"/>
      <c r="Q60" s="60" t="s">
        <v>89</v>
      </c>
      <c r="R60" s="57" t="s">
        <v>2344</v>
      </c>
      <c r="S60" s="47"/>
    </row>
    <row r="61" spans="2:19" s="33" customFormat="1" ht="33" customHeight="1">
      <c r="B61" s="47" t="s">
        <v>2336</v>
      </c>
      <c r="C61" s="48" t="s">
        <v>519</v>
      </c>
      <c r="D61" s="49" t="s">
        <v>710</v>
      </c>
      <c r="E61" s="50">
        <v>43511</v>
      </c>
      <c r="F61" s="52" t="s">
        <v>2295</v>
      </c>
      <c r="G61" s="51">
        <v>640</v>
      </c>
      <c r="H61" s="52">
        <f t="shared" si="11"/>
        <v>32</v>
      </c>
      <c r="I61" s="52">
        <f t="shared" si="12"/>
        <v>1</v>
      </c>
      <c r="J61" s="59"/>
      <c r="K61" s="53">
        <v>43555</v>
      </c>
      <c r="L61" s="54" t="s">
        <v>2346</v>
      </c>
      <c r="M61" s="55">
        <v>43557</v>
      </c>
      <c r="N61" s="56" t="s">
        <v>2347</v>
      </c>
      <c r="O61" s="55">
        <v>43562</v>
      </c>
      <c r="P61" s="58"/>
      <c r="Q61" s="60" t="s">
        <v>89</v>
      </c>
      <c r="R61" s="57" t="s">
        <v>2344</v>
      </c>
      <c r="S61" s="47"/>
    </row>
    <row r="62" spans="2:19" s="33" customFormat="1" ht="33" customHeight="1">
      <c r="B62" s="47" t="s">
        <v>2336</v>
      </c>
      <c r="C62" s="48" t="s">
        <v>520</v>
      </c>
      <c r="D62" s="49" t="s">
        <v>584</v>
      </c>
      <c r="E62" s="50">
        <v>43511</v>
      </c>
      <c r="F62" s="52" t="s">
        <v>2295</v>
      </c>
      <c r="G62" s="51">
        <v>1920</v>
      </c>
      <c r="H62" s="52">
        <f t="shared" si="11"/>
        <v>96</v>
      </c>
      <c r="I62" s="52">
        <f t="shared" si="12"/>
        <v>3</v>
      </c>
      <c r="J62" s="59"/>
      <c r="K62" s="53">
        <v>43576</v>
      </c>
      <c r="L62" s="54" t="s">
        <v>503</v>
      </c>
      <c r="M62" s="55">
        <v>43571</v>
      </c>
      <c r="N62" s="56" t="s">
        <v>2290</v>
      </c>
      <c r="O62" s="55">
        <v>43576</v>
      </c>
      <c r="P62" s="58"/>
      <c r="Q62" s="60" t="s">
        <v>89</v>
      </c>
      <c r="R62" s="57" t="s">
        <v>2348</v>
      </c>
      <c r="S62" s="47"/>
    </row>
    <row r="63" spans="2:19" s="30" customFormat="1" ht="33" customHeight="1">
      <c r="B63" s="46" t="s">
        <v>2336</v>
      </c>
      <c r="C63" s="35" t="s">
        <v>586</v>
      </c>
      <c r="D63" s="36" t="s">
        <v>640</v>
      </c>
      <c r="E63" s="37">
        <v>43519</v>
      </c>
      <c r="F63" s="38" t="s">
        <v>2295</v>
      </c>
      <c r="G63" s="129">
        <v>2560</v>
      </c>
      <c r="H63" s="124">
        <f t="shared" si="11"/>
        <v>128</v>
      </c>
      <c r="I63" s="124">
        <f t="shared" si="12"/>
        <v>4</v>
      </c>
      <c r="J63" s="61"/>
      <c r="K63" s="40">
        <v>43611</v>
      </c>
      <c r="L63" s="41" t="s">
        <v>2349</v>
      </c>
      <c r="M63" s="42">
        <v>43601</v>
      </c>
      <c r="N63" s="43" t="s">
        <v>2310</v>
      </c>
      <c r="O63" s="42">
        <v>43605</v>
      </c>
      <c r="P63" s="45"/>
      <c r="Q63" s="62" t="s">
        <v>89</v>
      </c>
      <c r="R63" s="44" t="s">
        <v>2350</v>
      </c>
      <c r="S63" s="46" t="s">
        <v>980</v>
      </c>
    </row>
    <row r="64" spans="2:19" s="30" customFormat="1" ht="33" customHeight="1">
      <c r="B64" s="46" t="s">
        <v>2336</v>
      </c>
      <c r="C64" s="35" t="s">
        <v>713</v>
      </c>
      <c r="D64" s="36" t="s">
        <v>714</v>
      </c>
      <c r="E64" s="37">
        <v>43532</v>
      </c>
      <c r="F64" s="38" t="s">
        <v>2295</v>
      </c>
      <c r="G64" s="129">
        <v>1920</v>
      </c>
      <c r="H64" s="124">
        <f t="shared" si="11"/>
        <v>96</v>
      </c>
      <c r="I64" s="124">
        <f t="shared" si="12"/>
        <v>3</v>
      </c>
      <c r="J64" s="61"/>
      <c r="K64" s="40">
        <v>43639</v>
      </c>
      <c r="L64" s="41" t="s">
        <v>1083</v>
      </c>
      <c r="M64" s="42">
        <v>43634</v>
      </c>
      <c r="N64" s="43" t="s">
        <v>1084</v>
      </c>
      <c r="O64" s="42">
        <v>43639</v>
      </c>
      <c r="P64" s="45"/>
      <c r="Q64" s="62" t="s">
        <v>89</v>
      </c>
      <c r="R64" s="44" t="s">
        <v>2351</v>
      </c>
      <c r="S64" s="46"/>
    </row>
    <row r="65" spans="2:19" s="30" customFormat="1" ht="33" customHeight="1">
      <c r="B65" s="46" t="s">
        <v>2352</v>
      </c>
      <c r="C65" s="35" t="s">
        <v>1184</v>
      </c>
      <c r="D65" s="36" t="s">
        <v>1185</v>
      </c>
      <c r="E65" s="37">
        <v>43567</v>
      </c>
      <c r="F65" s="38" t="s">
        <v>2353</v>
      </c>
      <c r="G65" s="39">
        <v>2560</v>
      </c>
      <c r="H65" s="38">
        <f t="shared" si="11"/>
        <v>128</v>
      </c>
      <c r="I65" s="38">
        <f t="shared" si="12"/>
        <v>4</v>
      </c>
      <c r="J65" s="61"/>
      <c r="K65" s="130">
        <v>43667</v>
      </c>
      <c r="L65" s="119" t="s">
        <v>2354</v>
      </c>
      <c r="M65" s="120">
        <v>43664</v>
      </c>
      <c r="N65" s="121" t="s">
        <v>2355</v>
      </c>
      <c r="O65" s="120">
        <v>43668</v>
      </c>
      <c r="P65" s="45"/>
      <c r="Q65" s="62" t="s">
        <v>89</v>
      </c>
      <c r="R65" s="125" t="s">
        <v>2356</v>
      </c>
      <c r="S65" s="46"/>
    </row>
    <row r="66" spans="2:19" s="147" customFormat="1" ht="33" customHeight="1">
      <c r="B66" s="103" t="s">
        <v>2352</v>
      </c>
      <c r="C66" s="104" t="s">
        <v>2357</v>
      </c>
      <c r="D66" s="105" t="s">
        <v>2358</v>
      </c>
      <c r="E66" s="106">
        <v>43602</v>
      </c>
      <c r="F66" s="107" t="s">
        <v>2353</v>
      </c>
      <c r="G66" s="108">
        <v>2560</v>
      </c>
      <c r="H66" s="107">
        <f t="shared" si="11"/>
        <v>128</v>
      </c>
      <c r="I66" s="107">
        <f t="shared" si="12"/>
        <v>4</v>
      </c>
      <c r="J66" s="148"/>
      <c r="K66" s="109">
        <v>43681</v>
      </c>
      <c r="L66" s="110"/>
      <c r="M66" s="111"/>
      <c r="N66" s="112"/>
      <c r="O66" s="111"/>
      <c r="P66" s="113"/>
      <c r="Q66" s="149" t="s">
        <v>89</v>
      </c>
      <c r="R66" s="114" t="s">
        <v>2359</v>
      </c>
      <c r="S66" s="103"/>
    </row>
    <row r="67" spans="2:19" s="147" customFormat="1" ht="33" customHeight="1">
      <c r="B67" s="103" t="s">
        <v>2352</v>
      </c>
      <c r="C67" s="104" t="s">
        <v>2360</v>
      </c>
      <c r="D67" s="105"/>
      <c r="E67" s="106">
        <v>43602</v>
      </c>
      <c r="F67" s="107" t="s">
        <v>2295</v>
      </c>
      <c r="G67" s="108">
        <v>2560</v>
      </c>
      <c r="H67" s="107">
        <f t="shared" si="11"/>
        <v>128</v>
      </c>
      <c r="I67" s="107">
        <f t="shared" si="12"/>
        <v>4</v>
      </c>
      <c r="J67" s="148"/>
      <c r="K67" s="109">
        <v>43702</v>
      </c>
      <c r="L67" s="110"/>
      <c r="M67" s="111"/>
      <c r="N67" s="112"/>
      <c r="O67" s="111"/>
      <c r="P67" s="113"/>
      <c r="Q67" s="149" t="s">
        <v>89</v>
      </c>
      <c r="R67" s="114" t="s">
        <v>2361</v>
      </c>
      <c r="S67" s="103"/>
    </row>
    <row r="68" spans="2:19" s="33" customFormat="1" ht="33" hidden="1" customHeight="1">
      <c r="B68" s="47" t="s">
        <v>38</v>
      </c>
      <c r="C68" s="48" t="s">
        <v>225</v>
      </c>
      <c r="D68" s="49" t="s">
        <v>587</v>
      </c>
      <c r="E68" s="50">
        <v>43519</v>
      </c>
      <c r="F68" s="52" t="s">
        <v>2362</v>
      </c>
      <c r="G68" s="64">
        <v>640</v>
      </c>
      <c r="H68" s="52">
        <f>SUBTOTAL(9,G68)/20</f>
        <v>0</v>
      </c>
      <c r="I68" s="52">
        <f>H68/32</f>
        <v>0</v>
      </c>
      <c r="J68" s="52"/>
      <c r="K68" s="53">
        <v>43583</v>
      </c>
      <c r="L68" s="54" t="s">
        <v>565</v>
      </c>
      <c r="M68" s="55">
        <v>43578</v>
      </c>
      <c r="N68" s="56" t="s">
        <v>2363</v>
      </c>
      <c r="O68" s="55">
        <v>43583</v>
      </c>
      <c r="P68" s="58"/>
      <c r="Q68" s="52"/>
      <c r="R68" s="63" t="s">
        <v>2364</v>
      </c>
      <c r="S68" s="47"/>
    </row>
    <row r="69" spans="2:19" s="30" customFormat="1" ht="33" hidden="1" customHeight="1">
      <c r="B69" s="46" t="s">
        <v>38</v>
      </c>
      <c r="C69" s="35" t="s">
        <v>226</v>
      </c>
      <c r="D69" s="36" t="s">
        <v>1194</v>
      </c>
      <c r="E69" s="37">
        <v>43567</v>
      </c>
      <c r="F69" s="38" t="s">
        <v>2365</v>
      </c>
      <c r="G69" s="65">
        <v>640</v>
      </c>
      <c r="H69" s="38">
        <f>SUBTOTAL(9,G69)/20</f>
        <v>0</v>
      </c>
      <c r="I69" s="38">
        <f>H69/32</f>
        <v>0</v>
      </c>
      <c r="J69" s="38"/>
      <c r="K69" s="40">
        <v>43667</v>
      </c>
      <c r="L69" s="41" t="s">
        <v>2366</v>
      </c>
      <c r="M69" s="42">
        <v>43662</v>
      </c>
      <c r="N69" s="43" t="s">
        <v>2367</v>
      </c>
      <c r="O69" s="42">
        <v>43667</v>
      </c>
      <c r="P69" s="45"/>
      <c r="Q69" s="38"/>
      <c r="R69" s="66" t="s">
        <v>2368</v>
      </c>
      <c r="S69" s="46"/>
    </row>
    <row r="70" spans="2:19" s="33" customFormat="1" ht="33" hidden="1" customHeight="1">
      <c r="B70" s="47" t="s">
        <v>88</v>
      </c>
      <c r="C70" s="48" t="s">
        <v>431</v>
      </c>
      <c r="D70" s="49" t="s">
        <v>471</v>
      </c>
      <c r="E70" s="50">
        <v>43483</v>
      </c>
      <c r="F70" s="52" t="s">
        <v>2362</v>
      </c>
      <c r="G70" s="64">
        <v>760</v>
      </c>
      <c r="H70" s="52">
        <f t="shared" ref="H70:H75" si="13">SUBTOTAL(9,G70)/190</f>
        <v>0</v>
      </c>
      <c r="I70" s="52">
        <f t="shared" ref="I70:I75" si="14">H70/4</f>
        <v>0</v>
      </c>
      <c r="J70" s="52"/>
      <c r="K70" s="53">
        <v>43569</v>
      </c>
      <c r="L70" s="54" t="s">
        <v>417</v>
      </c>
      <c r="M70" s="55">
        <v>43564</v>
      </c>
      <c r="N70" s="56" t="s">
        <v>2369</v>
      </c>
      <c r="O70" s="55">
        <v>43569</v>
      </c>
      <c r="P70" s="58"/>
      <c r="Q70" s="52"/>
      <c r="R70" s="63" t="s">
        <v>2370</v>
      </c>
      <c r="S70" s="47"/>
    </row>
    <row r="71" spans="2:19" s="33" customFormat="1" ht="33" hidden="1" customHeight="1">
      <c r="B71" s="47" t="s">
        <v>88</v>
      </c>
      <c r="C71" s="48" t="s">
        <v>523</v>
      </c>
      <c r="D71" s="49" t="s">
        <v>588</v>
      </c>
      <c r="E71" s="50">
        <v>43511</v>
      </c>
      <c r="F71" s="52" t="s">
        <v>2365</v>
      </c>
      <c r="G71" s="64">
        <v>760</v>
      </c>
      <c r="H71" s="52">
        <f t="shared" si="13"/>
        <v>0</v>
      </c>
      <c r="I71" s="52">
        <f t="shared" si="14"/>
        <v>0</v>
      </c>
      <c r="J71" s="52"/>
      <c r="K71" s="53">
        <v>43583</v>
      </c>
      <c r="L71" s="54" t="s">
        <v>565</v>
      </c>
      <c r="M71" s="55">
        <v>43578</v>
      </c>
      <c r="N71" s="56" t="s">
        <v>2363</v>
      </c>
      <c r="O71" s="55">
        <v>43583</v>
      </c>
      <c r="P71" s="58"/>
      <c r="Q71" s="52"/>
      <c r="R71" s="63" t="s">
        <v>2371</v>
      </c>
      <c r="S71" s="47"/>
    </row>
    <row r="72" spans="2:19" s="30" customFormat="1" ht="33" hidden="1" customHeight="1">
      <c r="B72" s="46" t="s">
        <v>88</v>
      </c>
      <c r="C72" s="35" t="s">
        <v>589</v>
      </c>
      <c r="D72" s="36" t="s">
        <v>590</v>
      </c>
      <c r="E72" s="37">
        <v>43519</v>
      </c>
      <c r="F72" s="38" t="s">
        <v>2365</v>
      </c>
      <c r="G72" s="65">
        <v>760</v>
      </c>
      <c r="H72" s="38">
        <f t="shared" si="13"/>
        <v>0</v>
      </c>
      <c r="I72" s="38">
        <f t="shared" si="14"/>
        <v>0</v>
      </c>
      <c r="J72" s="38"/>
      <c r="K72" s="40">
        <v>43597</v>
      </c>
      <c r="L72" s="41" t="s">
        <v>2372</v>
      </c>
      <c r="M72" s="42">
        <v>43592</v>
      </c>
      <c r="N72" s="43" t="s">
        <v>2373</v>
      </c>
      <c r="O72" s="42">
        <v>43597</v>
      </c>
      <c r="P72" s="45"/>
      <c r="Q72" s="38"/>
      <c r="R72" s="66" t="s">
        <v>2374</v>
      </c>
      <c r="S72" s="46"/>
    </row>
    <row r="73" spans="2:19" s="30" customFormat="1" ht="33" hidden="1" customHeight="1">
      <c r="B73" s="46" t="s">
        <v>88</v>
      </c>
      <c r="C73" s="35" t="s">
        <v>2375</v>
      </c>
      <c r="D73" s="36" t="s">
        <v>1207</v>
      </c>
      <c r="E73" s="37">
        <v>43567</v>
      </c>
      <c r="F73" s="38" t="s">
        <v>2365</v>
      </c>
      <c r="G73" s="65">
        <v>760</v>
      </c>
      <c r="H73" s="38">
        <f t="shared" si="13"/>
        <v>0</v>
      </c>
      <c r="I73" s="38">
        <f t="shared" si="14"/>
        <v>0</v>
      </c>
      <c r="J73" s="38"/>
      <c r="K73" s="40">
        <v>43667</v>
      </c>
      <c r="L73" s="41" t="s">
        <v>2376</v>
      </c>
      <c r="M73" s="42">
        <v>43662</v>
      </c>
      <c r="N73" s="43" t="s">
        <v>2367</v>
      </c>
      <c r="O73" s="42">
        <v>43667</v>
      </c>
      <c r="P73" s="45"/>
      <c r="Q73" s="38"/>
      <c r="R73" s="66" t="s">
        <v>2377</v>
      </c>
      <c r="S73" s="46"/>
    </row>
    <row r="74" spans="2:19" s="147" customFormat="1" ht="33" hidden="1" customHeight="1">
      <c r="B74" s="103" t="s">
        <v>88</v>
      </c>
      <c r="C74" s="104" t="s">
        <v>2079</v>
      </c>
      <c r="D74" s="105"/>
      <c r="E74" s="106">
        <v>43602</v>
      </c>
      <c r="F74" s="107" t="s">
        <v>2365</v>
      </c>
      <c r="G74" s="151">
        <v>760</v>
      </c>
      <c r="H74" s="107">
        <f t="shared" si="13"/>
        <v>0</v>
      </c>
      <c r="I74" s="107">
        <f t="shared" si="14"/>
        <v>0</v>
      </c>
      <c r="J74" s="107"/>
      <c r="K74" s="109">
        <v>43667</v>
      </c>
      <c r="L74" s="110"/>
      <c r="M74" s="111"/>
      <c r="N74" s="112"/>
      <c r="O74" s="111"/>
      <c r="P74" s="113"/>
      <c r="Q74" s="107"/>
      <c r="R74" s="116" t="s">
        <v>2377</v>
      </c>
      <c r="S74" s="103"/>
    </row>
    <row r="75" spans="2:19" s="147" customFormat="1" ht="33" hidden="1" customHeight="1">
      <c r="B75" s="103" t="s">
        <v>88</v>
      </c>
      <c r="C75" s="104" t="s">
        <v>2378</v>
      </c>
      <c r="D75" s="105" t="s">
        <v>2379</v>
      </c>
      <c r="E75" s="106">
        <v>43602</v>
      </c>
      <c r="F75" s="107" t="s">
        <v>2365</v>
      </c>
      <c r="G75" s="151">
        <v>760</v>
      </c>
      <c r="H75" s="107">
        <f t="shared" si="13"/>
        <v>0</v>
      </c>
      <c r="I75" s="107">
        <f t="shared" si="14"/>
        <v>0</v>
      </c>
      <c r="J75" s="107"/>
      <c r="K75" s="109">
        <v>43702</v>
      </c>
      <c r="L75" s="110"/>
      <c r="M75" s="111"/>
      <c r="N75" s="112"/>
      <c r="O75" s="111"/>
      <c r="P75" s="113"/>
      <c r="Q75" s="107"/>
      <c r="R75" s="116" t="s">
        <v>2380</v>
      </c>
      <c r="S75" s="103"/>
    </row>
    <row r="76" spans="2:19" s="33" customFormat="1" ht="33" hidden="1" customHeight="1">
      <c r="B76" s="47" t="s">
        <v>83</v>
      </c>
      <c r="C76" s="48" t="s">
        <v>2381</v>
      </c>
      <c r="D76" s="49" t="s">
        <v>2382</v>
      </c>
      <c r="E76" s="50">
        <v>43462</v>
      </c>
      <c r="F76" s="52" t="s">
        <v>77</v>
      </c>
      <c r="G76" s="51">
        <v>960</v>
      </c>
      <c r="H76" s="52">
        <f t="shared" ref="H76:H83" si="15">SUM(G76/240)</f>
        <v>4</v>
      </c>
      <c r="I76" s="52">
        <f t="shared" ref="I76:I83" si="16">SUM(H76/4)</f>
        <v>1</v>
      </c>
      <c r="J76" s="52"/>
      <c r="K76" s="53">
        <v>43148</v>
      </c>
      <c r="L76" s="54" t="s">
        <v>2383</v>
      </c>
      <c r="M76" s="55">
        <v>43531</v>
      </c>
      <c r="N76" s="56" t="s">
        <v>568</v>
      </c>
      <c r="O76" s="55">
        <v>43535</v>
      </c>
      <c r="P76" s="58" t="s">
        <v>2384</v>
      </c>
      <c r="Q76" s="52"/>
      <c r="R76" s="118" t="s">
        <v>2385</v>
      </c>
      <c r="S76" s="47" t="s">
        <v>609</v>
      </c>
    </row>
    <row r="77" spans="2:19" s="33" customFormat="1" ht="33" hidden="1" customHeight="1">
      <c r="B77" s="47" t="s">
        <v>83</v>
      </c>
      <c r="C77" s="48" t="s">
        <v>2386</v>
      </c>
      <c r="D77" s="49" t="s">
        <v>2387</v>
      </c>
      <c r="E77" s="50">
        <v>43462</v>
      </c>
      <c r="F77" s="52" t="s">
        <v>77</v>
      </c>
      <c r="G77" s="51">
        <v>2880</v>
      </c>
      <c r="H77" s="52">
        <f t="shared" si="15"/>
        <v>12</v>
      </c>
      <c r="I77" s="52">
        <f t="shared" si="16"/>
        <v>3</v>
      </c>
      <c r="J77" s="52"/>
      <c r="K77" s="53">
        <v>43541</v>
      </c>
      <c r="L77" s="54" t="s">
        <v>2383</v>
      </c>
      <c r="M77" s="55">
        <v>43531</v>
      </c>
      <c r="N77" s="56" t="s">
        <v>568</v>
      </c>
      <c r="O77" s="55">
        <v>43535</v>
      </c>
      <c r="P77" s="58" t="s">
        <v>657</v>
      </c>
      <c r="Q77" s="52"/>
      <c r="R77" s="118" t="s">
        <v>486</v>
      </c>
      <c r="S77" s="47" t="s">
        <v>610</v>
      </c>
    </row>
    <row r="78" spans="2:19" s="33" customFormat="1" ht="33" hidden="1" customHeight="1">
      <c r="B78" s="47" t="s">
        <v>83</v>
      </c>
      <c r="C78" s="48" t="s">
        <v>232</v>
      </c>
      <c r="D78" s="49" t="s">
        <v>386</v>
      </c>
      <c r="E78" s="50">
        <v>43455</v>
      </c>
      <c r="F78" s="52" t="s">
        <v>77</v>
      </c>
      <c r="G78" s="51">
        <v>5760</v>
      </c>
      <c r="H78" s="52">
        <f t="shared" si="15"/>
        <v>24</v>
      </c>
      <c r="I78" s="52">
        <f t="shared" si="16"/>
        <v>6</v>
      </c>
      <c r="J78" s="52"/>
      <c r="K78" s="53">
        <v>43541</v>
      </c>
      <c r="L78" s="54" t="s">
        <v>2388</v>
      </c>
      <c r="M78" s="55">
        <v>43543</v>
      </c>
      <c r="N78" s="56" t="s">
        <v>2389</v>
      </c>
      <c r="O78" s="55">
        <v>43548</v>
      </c>
      <c r="P78" s="58" t="s">
        <v>2390</v>
      </c>
      <c r="Q78" s="52"/>
      <c r="R78" s="118" t="s">
        <v>2391</v>
      </c>
      <c r="S78" s="47"/>
    </row>
    <row r="79" spans="2:19" s="33" customFormat="1" ht="33" hidden="1" customHeight="1">
      <c r="B79" s="47" t="s">
        <v>83</v>
      </c>
      <c r="C79" s="48" t="s">
        <v>244</v>
      </c>
      <c r="D79" s="49" t="s">
        <v>722</v>
      </c>
      <c r="E79" s="50">
        <v>43483</v>
      </c>
      <c r="F79" s="52" t="s">
        <v>77</v>
      </c>
      <c r="G79" s="51">
        <v>6720</v>
      </c>
      <c r="H79" s="52">
        <f t="shared" si="15"/>
        <v>28</v>
      </c>
      <c r="I79" s="52">
        <f t="shared" si="16"/>
        <v>7</v>
      </c>
      <c r="J79" s="52"/>
      <c r="K79" s="53">
        <v>43569</v>
      </c>
      <c r="L79" s="54" t="s">
        <v>480</v>
      </c>
      <c r="M79" s="55">
        <v>43564</v>
      </c>
      <c r="N79" s="56" t="s">
        <v>646</v>
      </c>
      <c r="O79" s="55">
        <v>43569</v>
      </c>
      <c r="P79" s="58" t="s">
        <v>2392</v>
      </c>
      <c r="Q79" s="52"/>
      <c r="R79" s="118" t="s">
        <v>2393</v>
      </c>
      <c r="S79" s="47"/>
    </row>
    <row r="80" spans="2:19" s="33" customFormat="1" ht="33" hidden="1" customHeight="1">
      <c r="B80" s="47" t="s">
        <v>83</v>
      </c>
      <c r="C80" s="48" t="s">
        <v>2394</v>
      </c>
      <c r="D80" s="49" t="s">
        <v>472</v>
      </c>
      <c r="E80" s="50">
        <v>43483</v>
      </c>
      <c r="F80" s="52" t="s">
        <v>77</v>
      </c>
      <c r="G80" s="51">
        <v>5760</v>
      </c>
      <c r="H80" s="52">
        <f>SUM(G80/240)</f>
        <v>24</v>
      </c>
      <c r="I80" s="52">
        <f>SUM(H80/4)</f>
        <v>6</v>
      </c>
      <c r="J80" s="52"/>
      <c r="K80" s="53">
        <v>43583</v>
      </c>
      <c r="L80" s="54" t="s">
        <v>448</v>
      </c>
      <c r="M80" s="55">
        <v>43578</v>
      </c>
      <c r="N80" s="56" t="s">
        <v>2363</v>
      </c>
      <c r="O80" s="55">
        <v>43583</v>
      </c>
      <c r="P80" s="58" t="s">
        <v>2395</v>
      </c>
      <c r="Q80" s="52"/>
      <c r="R80" s="118" t="s">
        <v>2393</v>
      </c>
      <c r="S80" s="47"/>
    </row>
    <row r="81" spans="2:19" s="30" customFormat="1" ht="33" hidden="1" customHeight="1">
      <c r="B81" s="46" t="s">
        <v>83</v>
      </c>
      <c r="C81" s="35" t="s">
        <v>258</v>
      </c>
      <c r="D81" s="36" t="s">
        <v>591</v>
      </c>
      <c r="E81" s="37">
        <v>43519</v>
      </c>
      <c r="F81" s="38" t="s">
        <v>77</v>
      </c>
      <c r="G81" s="39">
        <v>5760</v>
      </c>
      <c r="H81" s="38">
        <f t="shared" si="15"/>
        <v>24</v>
      </c>
      <c r="I81" s="38">
        <f t="shared" si="16"/>
        <v>6</v>
      </c>
      <c r="J81" s="38"/>
      <c r="K81" s="40">
        <v>43605</v>
      </c>
      <c r="L81" s="41" t="s">
        <v>2396</v>
      </c>
      <c r="M81" s="42">
        <v>43601</v>
      </c>
      <c r="N81" s="43" t="s">
        <v>2397</v>
      </c>
      <c r="O81" s="42">
        <v>43605</v>
      </c>
      <c r="P81" s="45" t="s">
        <v>2398</v>
      </c>
      <c r="Q81" s="38"/>
      <c r="R81" s="115" t="s">
        <v>2399</v>
      </c>
      <c r="S81" s="46"/>
    </row>
    <row r="82" spans="2:19" s="30" customFormat="1" ht="33" hidden="1" customHeight="1">
      <c r="B82" s="46" t="s">
        <v>83</v>
      </c>
      <c r="C82" s="35" t="s">
        <v>321</v>
      </c>
      <c r="D82" s="36" t="s">
        <v>727</v>
      </c>
      <c r="E82" s="37">
        <v>43532</v>
      </c>
      <c r="F82" s="38" t="s">
        <v>77</v>
      </c>
      <c r="G82" s="39">
        <v>6720</v>
      </c>
      <c r="H82" s="38">
        <f t="shared" si="15"/>
        <v>28</v>
      </c>
      <c r="I82" s="38">
        <f t="shared" si="16"/>
        <v>7</v>
      </c>
      <c r="J82" s="38"/>
      <c r="K82" s="130">
        <v>43633</v>
      </c>
      <c r="L82" s="119" t="s">
        <v>807</v>
      </c>
      <c r="M82" s="120">
        <v>43627</v>
      </c>
      <c r="N82" s="121" t="s">
        <v>808</v>
      </c>
      <c r="O82" s="120">
        <v>43632</v>
      </c>
      <c r="P82" s="45"/>
      <c r="Q82" s="38"/>
      <c r="R82" s="115" t="s">
        <v>2400</v>
      </c>
      <c r="S82" s="46"/>
    </row>
    <row r="83" spans="2:19" s="30" customFormat="1" ht="33" hidden="1" customHeight="1">
      <c r="B83" s="46" t="s">
        <v>83</v>
      </c>
      <c r="C83" s="35" t="s">
        <v>324</v>
      </c>
      <c r="D83" s="36" t="s">
        <v>1234</v>
      </c>
      <c r="E83" s="37">
        <v>43567</v>
      </c>
      <c r="F83" s="38" t="s">
        <v>77</v>
      </c>
      <c r="G83" s="39">
        <v>5760</v>
      </c>
      <c r="H83" s="38">
        <f t="shared" si="15"/>
        <v>24</v>
      </c>
      <c r="I83" s="38">
        <f t="shared" si="16"/>
        <v>6</v>
      </c>
      <c r="J83" s="38"/>
      <c r="K83" s="130">
        <v>43674</v>
      </c>
      <c r="L83" s="119" t="s">
        <v>2401</v>
      </c>
      <c r="M83" s="120">
        <v>43669</v>
      </c>
      <c r="N83" s="121" t="s">
        <v>2402</v>
      </c>
      <c r="O83" s="120">
        <v>43674</v>
      </c>
      <c r="P83" s="45"/>
      <c r="Q83" s="38"/>
      <c r="R83" s="133" t="s">
        <v>2403</v>
      </c>
      <c r="S83" s="46"/>
    </row>
    <row r="84" spans="2:19" s="34" customFormat="1" ht="33" hidden="1" customHeight="1">
      <c r="B84" s="47" t="s">
        <v>210</v>
      </c>
      <c r="C84" s="48" t="s">
        <v>226</v>
      </c>
      <c r="D84" s="49" t="s">
        <v>593</v>
      </c>
      <c r="E84" s="50">
        <v>43483</v>
      </c>
      <c r="F84" s="52" t="s">
        <v>218</v>
      </c>
      <c r="G84" s="51">
        <v>640</v>
      </c>
      <c r="H84" s="52">
        <f t="shared" ref="H84:H106" si="17">SUM(G84/20)</f>
        <v>32</v>
      </c>
      <c r="I84" s="52">
        <f t="shared" ref="I84:I106" si="18">SUM(H84/32)</f>
        <v>1</v>
      </c>
      <c r="J84" s="52"/>
      <c r="K84" s="53">
        <v>43534</v>
      </c>
      <c r="L84" s="54" t="s">
        <v>2404</v>
      </c>
      <c r="M84" s="55"/>
      <c r="N84" s="56"/>
      <c r="O84" s="55">
        <v>43520</v>
      </c>
      <c r="P84" s="58" t="s">
        <v>651</v>
      </c>
      <c r="Q84" s="52"/>
      <c r="R84" s="63" t="s">
        <v>211</v>
      </c>
      <c r="S84" s="52"/>
    </row>
    <row r="85" spans="2:19" s="34" customFormat="1" ht="33" hidden="1" customHeight="1">
      <c r="B85" s="47" t="s">
        <v>210</v>
      </c>
      <c r="C85" s="48" t="s">
        <v>226</v>
      </c>
      <c r="D85" s="49" t="s">
        <v>434</v>
      </c>
      <c r="E85" s="50">
        <v>43483</v>
      </c>
      <c r="F85" s="52" t="s">
        <v>218</v>
      </c>
      <c r="G85" s="51">
        <v>1280</v>
      </c>
      <c r="H85" s="52">
        <f t="shared" si="17"/>
        <v>64</v>
      </c>
      <c r="I85" s="52">
        <f t="shared" si="18"/>
        <v>2</v>
      </c>
      <c r="J85" s="52"/>
      <c r="K85" s="53">
        <v>43534</v>
      </c>
      <c r="L85" s="54" t="s">
        <v>2383</v>
      </c>
      <c r="M85" s="55">
        <v>43531</v>
      </c>
      <c r="N85" s="56" t="s">
        <v>568</v>
      </c>
      <c r="O85" s="55">
        <v>43535</v>
      </c>
      <c r="P85" s="58" t="s">
        <v>2405</v>
      </c>
      <c r="Q85" s="52" t="s">
        <v>614</v>
      </c>
      <c r="R85" s="63" t="s">
        <v>211</v>
      </c>
      <c r="S85" s="52" t="s">
        <v>2406</v>
      </c>
    </row>
    <row r="86" spans="2:19" s="34" customFormat="1" ht="33" hidden="1" customHeight="1">
      <c r="B86" s="47" t="s">
        <v>210</v>
      </c>
      <c r="C86" s="48" t="s">
        <v>233</v>
      </c>
      <c r="D86" s="49" t="s">
        <v>525</v>
      </c>
      <c r="E86" s="50">
        <v>43507</v>
      </c>
      <c r="F86" s="52" t="s">
        <v>218</v>
      </c>
      <c r="G86" s="51">
        <v>1920</v>
      </c>
      <c r="H86" s="52">
        <f t="shared" si="17"/>
        <v>96</v>
      </c>
      <c r="I86" s="52">
        <f t="shared" si="18"/>
        <v>3</v>
      </c>
      <c r="J86" s="52"/>
      <c r="K86" s="53">
        <v>43541</v>
      </c>
      <c r="L86" s="54" t="s">
        <v>2407</v>
      </c>
      <c r="M86" s="55">
        <v>43536</v>
      </c>
      <c r="N86" s="56" t="s">
        <v>2408</v>
      </c>
      <c r="O86" s="55">
        <v>43541</v>
      </c>
      <c r="P86" s="58" t="s">
        <v>2409</v>
      </c>
      <c r="Q86" s="52" t="s">
        <v>612</v>
      </c>
      <c r="R86" s="63" t="s">
        <v>211</v>
      </c>
      <c r="S86" s="52"/>
    </row>
    <row r="87" spans="2:19" s="34" customFormat="1" ht="33" hidden="1" customHeight="1">
      <c r="B87" s="47" t="s">
        <v>210</v>
      </c>
      <c r="C87" s="48" t="s">
        <v>2410</v>
      </c>
      <c r="D87" s="49" t="s">
        <v>525</v>
      </c>
      <c r="E87" s="50">
        <v>43519</v>
      </c>
      <c r="F87" s="52" t="s">
        <v>218</v>
      </c>
      <c r="G87" s="51">
        <v>1920</v>
      </c>
      <c r="H87" s="52">
        <f t="shared" si="17"/>
        <v>96</v>
      </c>
      <c r="I87" s="52">
        <f t="shared" si="18"/>
        <v>3</v>
      </c>
      <c r="J87" s="52"/>
      <c r="K87" s="53">
        <v>43555</v>
      </c>
      <c r="L87" s="54" t="s">
        <v>2411</v>
      </c>
      <c r="M87" s="55">
        <v>43550</v>
      </c>
      <c r="N87" s="56" t="s">
        <v>2412</v>
      </c>
      <c r="O87" s="55">
        <v>43555</v>
      </c>
      <c r="P87" s="58"/>
      <c r="Q87" s="52" t="s">
        <v>613</v>
      </c>
      <c r="R87" s="63" t="s">
        <v>211</v>
      </c>
      <c r="S87" s="52"/>
    </row>
    <row r="88" spans="2:19" s="34" customFormat="1" ht="33" hidden="1" customHeight="1">
      <c r="B88" s="47" t="s">
        <v>210</v>
      </c>
      <c r="C88" s="48" t="s">
        <v>285</v>
      </c>
      <c r="D88" s="49" t="s">
        <v>526</v>
      </c>
      <c r="E88" s="50">
        <v>43507</v>
      </c>
      <c r="F88" s="52" t="s">
        <v>218</v>
      </c>
      <c r="G88" s="51">
        <v>3200</v>
      </c>
      <c r="H88" s="52">
        <f t="shared" si="17"/>
        <v>160</v>
      </c>
      <c r="I88" s="52">
        <f t="shared" si="18"/>
        <v>5</v>
      </c>
      <c r="J88" s="52"/>
      <c r="K88" s="53">
        <v>43576</v>
      </c>
      <c r="L88" s="54" t="s">
        <v>503</v>
      </c>
      <c r="M88" s="55">
        <v>43571</v>
      </c>
      <c r="N88" s="56" t="s">
        <v>2413</v>
      </c>
      <c r="O88" s="55">
        <v>43576</v>
      </c>
      <c r="P88" s="58"/>
      <c r="Q88" s="52" t="s">
        <v>643</v>
      </c>
      <c r="R88" s="63" t="s">
        <v>211</v>
      </c>
      <c r="S88" s="52"/>
    </row>
    <row r="89" spans="2:19" s="34" customFormat="1" ht="33" hidden="1" customHeight="1">
      <c r="B89" s="47" t="s">
        <v>210</v>
      </c>
      <c r="C89" s="48" t="s">
        <v>2414</v>
      </c>
      <c r="D89" s="49" t="s">
        <v>526</v>
      </c>
      <c r="E89" s="50">
        <v>43507</v>
      </c>
      <c r="F89" s="52" t="s">
        <v>218</v>
      </c>
      <c r="G89" s="51">
        <v>640</v>
      </c>
      <c r="H89" s="52">
        <f>SUM(G89/20)</f>
        <v>32</v>
      </c>
      <c r="I89" s="52">
        <f>SUM(H89/32)</f>
        <v>1</v>
      </c>
      <c r="J89" s="52"/>
      <c r="K89" s="53">
        <v>43576</v>
      </c>
      <c r="L89" s="54" t="s">
        <v>448</v>
      </c>
      <c r="M89" s="55">
        <v>43578</v>
      </c>
      <c r="N89" s="56" t="s">
        <v>2363</v>
      </c>
      <c r="O89" s="55">
        <v>43583</v>
      </c>
      <c r="P89" s="58"/>
      <c r="Q89" s="52" t="s">
        <v>643</v>
      </c>
      <c r="R89" s="63" t="s">
        <v>211</v>
      </c>
      <c r="S89" s="52"/>
    </row>
    <row r="90" spans="2:19" s="34" customFormat="1" ht="33" hidden="1" customHeight="1">
      <c r="B90" s="47" t="s">
        <v>210</v>
      </c>
      <c r="C90" s="48" t="s">
        <v>331</v>
      </c>
      <c r="D90" s="49" t="s">
        <v>2415</v>
      </c>
      <c r="E90" s="50">
        <v>43519</v>
      </c>
      <c r="F90" s="52" t="s">
        <v>218</v>
      </c>
      <c r="G90" s="51">
        <v>3200</v>
      </c>
      <c r="H90" s="52">
        <f t="shared" si="17"/>
        <v>160</v>
      </c>
      <c r="I90" s="52">
        <f t="shared" si="18"/>
        <v>5</v>
      </c>
      <c r="J90" s="52"/>
      <c r="K90" s="53">
        <v>43562</v>
      </c>
      <c r="L90" s="54" t="s">
        <v>608</v>
      </c>
      <c r="M90" s="55">
        <v>43557</v>
      </c>
      <c r="N90" s="56" t="s">
        <v>2416</v>
      </c>
      <c r="O90" s="55">
        <v>43562</v>
      </c>
      <c r="P90" s="58"/>
      <c r="Q90" s="52" t="s">
        <v>642</v>
      </c>
      <c r="R90" s="63" t="s">
        <v>211</v>
      </c>
      <c r="S90" s="52"/>
    </row>
    <row r="91" spans="2:19" s="34" customFormat="1" ht="33" hidden="1" customHeight="1">
      <c r="B91" s="47" t="s">
        <v>210</v>
      </c>
      <c r="C91" s="48" t="s">
        <v>2417</v>
      </c>
      <c r="D91" s="49" t="s">
        <v>2415</v>
      </c>
      <c r="E91" s="50">
        <v>43519</v>
      </c>
      <c r="F91" s="52" t="s">
        <v>218</v>
      </c>
      <c r="G91" s="51">
        <v>640</v>
      </c>
      <c r="H91" s="52">
        <f>SUM(G91/20)</f>
        <v>32</v>
      </c>
      <c r="I91" s="52">
        <f>SUM(H91/32)</f>
        <v>1</v>
      </c>
      <c r="J91" s="52"/>
      <c r="K91" s="53">
        <v>43562</v>
      </c>
      <c r="L91" s="54" t="s">
        <v>480</v>
      </c>
      <c r="M91" s="55">
        <v>43564</v>
      </c>
      <c r="N91" s="56" t="s">
        <v>646</v>
      </c>
      <c r="O91" s="55">
        <v>43569</v>
      </c>
      <c r="P91" s="58"/>
      <c r="Q91" s="52" t="s">
        <v>642</v>
      </c>
      <c r="R91" s="63" t="s">
        <v>211</v>
      </c>
      <c r="S91" s="52"/>
    </row>
    <row r="92" spans="2:19" s="32" customFormat="1" ht="33" hidden="1" customHeight="1">
      <c r="B92" s="46" t="s">
        <v>210</v>
      </c>
      <c r="C92" s="35" t="s">
        <v>431</v>
      </c>
      <c r="D92" s="36" t="s">
        <v>2418</v>
      </c>
      <c r="E92" s="37">
        <v>43523</v>
      </c>
      <c r="F92" s="38" t="s">
        <v>218</v>
      </c>
      <c r="G92" s="39">
        <v>3200</v>
      </c>
      <c r="H92" s="38">
        <f t="shared" si="17"/>
        <v>160</v>
      </c>
      <c r="I92" s="38">
        <f t="shared" si="18"/>
        <v>5</v>
      </c>
      <c r="J92" s="38"/>
      <c r="K92" s="40">
        <v>43597</v>
      </c>
      <c r="L92" s="41" t="s">
        <v>605</v>
      </c>
      <c r="M92" s="42">
        <v>43594</v>
      </c>
      <c r="N92" s="43" t="s">
        <v>2419</v>
      </c>
      <c r="O92" s="42">
        <v>43598</v>
      </c>
      <c r="P92" s="45"/>
      <c r="Q92" s="38" t="s">
        <v>641</v>
      </c>
      <c r="R92" s="66" t="s">
        <v>211</v>
      </c>
      <c r="S92" s="38"/>
    </row>
    <row r="93" spans="2:19" s="32" customFormat="1" ht="33" hidden="1" customHeight="1">
      <c r="B93" s="46" t="s">
        <v>210</v>
      </c>
      <c r="C93" s="35" t="s">
        <v>2420</v>
      </c>
      <c r="D93" s="36" t="s">
        <v>2418</v>
      </c>
      <c r="E93" s="37">
        <v>43523</v>
      </c>
      <c r="F93" s="38" t="s">
        <v>218</v>
      </c>
      <c r="G93" s="39">
        <v>640</v>
      </c>
      <c r="H93" s="38">
        <f>SUM(G93/20)</f>
        <v>32</v>
      </c>
      <c r="I93" s="38">
        <f>SUM(H93/32)</f>
        <v>1</v>
      </c>
      <c r="J93" s="38"/>
      <c r="K93" s="40">
        <v>43618</v>
      </c>
      <c r="L93" s="41" t="s">
        <v>2421</v>
      </c>
      <c r="M93" s="42">
        <v>43613</v>
      </c>
      <c r="N93" s="43" t="s">
        <v>2422</v>
      </c>
      <c r="O93" s="42">
        <v>43618</v>
      </c>
      <c r="P93" s="45"/>
      <c r="Q93" s="38" t="s">
        <v>641</v>
      </c>
      <c r="R93" s="66" t="s">
        <v>211</v>
      </c>
      <c r="S93" s="38"/>
    </row>
    <row r="94" spans="2:19" s="32" customFormat="1" ht="33" hidden="1" customHeight="1">
      <c r="B94" s="46" t="s">
        <v>210</v>
      </c>
      <c r="C94" s="35" t="s">
        <v>2423</v>
      </c>
      <c r="D94" s="36" t="s">
        <v>739</v>
      </c>
      <c r="E94" s="37">
        <v>43532</v>
      </c>
      <c r="F94" s="38" t="s">
        <v>218</v>
      </c>
      <c r="G94" s="39">
        <v>2560</v>
      </c>
      <c r="H94" s="38">
        <f t="shared" ref="H94" si="19">SUM(G94/20)</f>
        <v>128</v>
      </c>
      <c r="I94" s="38">
        <f t="shared" ref="I94" si="20">SUM(H94/32)</f>
        <v>4</v>
      </c>
      <c r="J94" s="38"/>
      <c r="K94" s="40">
        <v>43618</v>
      </c>
      <c r="L94" s="41" t="s">
        <v>2421</v>
      </c>
      <c r="M94" s="42">
        <v>43613</v>
      </c>
      <c r="N94" s="43" t="s">
        <v>2422</v>
      </c>
      <c r="O94" s="42">
        <v>43618</v>
      </c>
      <c r="P94" s="45"/>
      <c r="Q94" s="38" t="s">
        <v>970</v>
      </c>
      <c r="R94" s="66" t="s">
        <v>211</v>
      </c>
      <c r="S94" s="38"/>
    </row>
    <row r="95" spans="2:19" s="32" customFormat="1" ht="33" hidden="1" customHeight="1">
      <c r="B95" s="46" t="s">
        <v>210</v>
      </c>
      <c r="C95" s="35" t="s">
        <v>589</v>
      </c>
      <c r="D95" s="36" t="s">
        <v>1260</v>
      </c>
      <c r="E95" s="37">
        <v>43558</v>
      </c>
      <c r="F95" s="38" t="s">
        <v>218</v>
      </c>
      <c r="G95" s="39">
        <v>3200</v>
      </c>
      <c r="H95" s="38">
        <f>SUM(G95/20)</f>
        <v>160</v>
      </c>
      <c r="I95" s="38">
        <f>SUM(H95/32)</f>
        <v>5</v>
      </c>
      <c r="J95" s="38"/>
      <c r="K95" s="40">
        <v>43639</v>
      </c>
      <c r="L95" s="41" t="s">
        <v>2424</v>
      </c>
      <c r="M95" s="42">
        <v>43634</v>
      </c>
      <c r="N95" s="43" t="s">
        <v>2425</v>
      </c>
      <c r="O95" s="42">
        <v>43639</v>
      </c>
      <c r="P95" s="45"/>
      <c r="Q95" s="38" t="s">
        <v>973</v>
      </c>
      <c r="R95" s="66" t="s">
        <v>211</v>
      </c>
      <c r="S95" s="38"/>
    </row>
    <row r="96" spans="2:19" s="32" customFormat="1" ht="33" hidden="1" customHeight="1">
      <c r="B96" s="122" t="s">
        <v>210</v>
      </c>
      <c r="C96" s="126" t="s">
        <v>2078</v>
      </c>
      <c r="D96" s="127" t="s">
        <v>2426</v>
      </c>
      <c r="E96" s="106">
        <v>43602</v>
      </c>
      <c r="F96" s="124" t="s">
        <v>218</v>
      </c>
      <c r="G96" s="129">
        <v>3200</v>
      </c>
      <c r="H96" s="124">
        <f t="shared" ref="H96:H97" si="21">SUM(G96/20)</f>
        <v>160</v>
      </c>
      <c r="I96" s="124">
        <f t="shared" ref="I96:I97" si="22">SUM(H96/32)</f>
        <v>5</v>
      </c>
      <c r="J96" s="124"/>
      <c r="K96" s="130">
        <v>43653</v>
      </c>
      <c r="L96" s="119" t="s">
        <v>1326</v>
      </c>
      <c r="M96" s="120">
        <v>43648</v>
      </c>
      <c r="N96" s="121" t="s">
        <v>2427</v>
      </c>
      <c r="O96" s="120">
        <v>43653</v>
      </c>
      <c r="P96" s="123"/>
      <c r="Q96" s="124" t="s">
        <v>2148</v>
      </c>
      <c r="R96" s="134" t="s">
        <v>211</v>
      </c>
      <c r="S96" s="124"/>
    </row>
    <row r="97" spans="2:19" s="32" customFormat="1" ht="33" hidden="1" customHeight="1">
      <c r="B97" s="122" t="s">
        <v>210</v>
      </c>
      <c r="C97" s="126" t="s">
        <v>2079</v>
      </c>
      <c r="D97" s="127" t="s">
        <v>2428</v>
      </c>
      <c r="E97" s="106">
        <v>43602</v>
      </c>
      <c r="F97" s="124" t="s">
        <v>218</v>
      </c>
      <c r="G97" s="129">
        <v>3200</v>
      </c>
      <c r="H97" s="124">
        <f t="shared" si="21"/>
        <v>160</v>
      </c>
      <c r="I97" s="124">
        <f t="shared" si="22"/>
        <v>5</v>
      </c>
      <c r="J97" s="124"/>
      <c r="K97" s="130">
        <v>43667</v>
      </c>
      <c r="L97" s="119" t="s">
        <v>2149</v>
      </c>
      <c r="M97" s="120">
        <v>43664</v>
      </c>
      <c r="N97" s="121" t="s">
        <v>2355</v>
      </c>
      <c r="O97" s="120">
        <v>43668</v>
      </c>
      <c r="P97" s="123"/>
      <c r="Q97" s="124" t="s">
        <v>2150</v>
      </c>
      <c r="R97" s="134" t="s">
        <v>211</v>
      </c>
      <c r="S97" s="124"/>
    </row>
    <row r="98" spans="2:19" s="153" customFormat="1" ht="33" hidden="1" customHeight="1">
      <c r="B98" s="103" t="s">
        <v>210</v>
      </c>
      <c r="C98" s="104" t="s">
        <v>2378</v>
      </c>
      <c r="D98" s="105" t="s">
        <v>2429</v>
      </c>
      <c r="E98" s="106">
        <v>43602</v>
      </c>
      <c r="F98" s="107"/>
      <c r="G98" s="108">
        <v>3200</v>
      </c>
      <c r="H98" s="107"/>
      <c r="I98" s="107"/>
      <c r="J98" s="107"/>
      <c r="K98" s="109">
        <v>43688</v>
      </c>
      <c r="L98" s="110"/>
      <c r="M98" s="111"/>
      <c r="N98" s="112"/>
      <c r="O98" s="111"/>
      <c r="P98" s="113"/>
      <c r="Q98" s="107"/>
      <c r="R98" s="116" t="s">
        <v>211</v>
      </c>
      <c r="S98" s="107"/>
    </row>
    <row r="99" spans="2:19" s="153" customFormat="1" ht="33" hidden="1" customHeight="1">
      <c r="B99" s="103" t="s">
        <v>210</v>
      </c>
      <c r="C99" s="104" t="s">
        <v>2430</v>
      </c>
      <c r="D99" s="105" t="s">
        <v>2431</v>
      </c>
      <c r="E99" s="106">
        <v>43602</v>
      </c>
      <c r="F99" s="107"/>
      <c r="G99" s="108">
        <v>3200</v>
      </c>
      <c r="H99" s="107"/>
      <c r="I99" s="107"/>
      <c r="J99" s="107"/>
      <c r="K99" s="109">
        <v>43702</v>
      </c>
      <c r="L99" s="110"/>
      <c r="M99" s="111"/>
      <c r="N99" s="112"/>
      <c r="O99" s="111"/>
      <c r="P99" s="113"/>
      <c r="Q99" s="107"/>
      <c r="R99" s="116" t="s">
        <v>211</v>
      </c>
      <c r="S99" s="107"/>
    </row>
    <row r="100" spans="2:19" s="34" customFormat="1" ht="33" hidden="1" customHeight="1">
      <c r="B100" s="47" t="s">
        <v>2432</v>
      </c>
      <c r="C100" s="48" t="s">
        <v>234</v>
      </c>
      <c r="D100" s="49" t="s">
        <v>2433</v>
      </c>
      <c r="E100" s="50">
        <v>43519</v>
      </c>
      <c r="F100" s="52" t="s">
        <v>2434</v>
      </c>
      <c r="G100" s="51">
        <v>1280</v>
      </c>
      <c r="H100" s="52">
        <f t="shared" si="17"/>
        <v>64</v>
      </c>
      <c r="I100" s="52">
        <f t="shared" si="18"/>
        <v>2</v>
      </c>
      <c r="J100" s="52"/>
      <c r="K100" s="53">
        <v>43576</v>
      </c>
      <c r="L100" s="54" t="s">
        <v>2411</v>
      </c>
      <c r="M100" s="55">
        <v>43550</v>
      </c>
      <c r="N100" s="56" t="s">
        <v>2412</v>
      </c>
      <c r="O100" s="55">
        <v>43555</v>
      </c>
      <c r="P100" s="58" t="s">
        <v>655</v>
      </c>
      <c r="Q100" s="52" t="s">
        <v>613</v>
      </c>
      <c r="R100" s="63" t="s">
        <v>211</v>
      </c>
      <c r="S100" s="52"/>
    </row>
    <row r="101" spans="2:19" s="32" customFormat="1" ht="33" hidden="1" customHeight="1">
      <c r="B101" s="46" t="s">
        <v>2435</v>
      </c>
      <c r="C101" s="35" t="s">
        <v>235</v>
      </c>
      <c r="D101" s="36" t="s">
        <v>744</v>
      </c>
      <c r="E101" s="37">
        <v>43532</v>
      </c>
      <c r="F101" s="38" t="s">
        <v>2436</v>
      </c>
      <c r="G101" s="39">
        <v>1280</v>
      </c>
      <c r="H101" s="38">
        <f t="shared" si="17"/>
        <v>64</v>
      </c>
      <c r="I101" s="38">
        <f t="shared" si="18"/>
        <v>2</v>
      </c>
      <c r="J101" s="38"/>
      <c r="K101" s="40">
        <v>43597</v>
      </c>
      <c r="L101" s="41" t="s">
        <v>605</v>
      </c>
      <c r="M101" s="42">
        <v>43594</v>
      </c>
      <c r="N101" s="43" t="s">
        <v>772</v>
      </c>
      <c r="O101" s="42">
        <v>43598</v>
      </c>
      <c r="P101" s="45"/>
      <c r="Q101" s="38" t="s">
        <v>641</v>
      </c>
      <c r="R101" s="66" t="s">
        <v>211</v>
      </c>
      <c r="S101" s="38"/>
    </row>
    <row r="102" spans="2:19" s="32" customFormat="1" ht="33" hidden="1" customHeight="1">
      <c r="B102" s="46" t="s">
        <v>2435</v>
      </c>
      <c r="C102" s="35" t="s">
        <v>1569</v>
      </c>
      <c r="D102" s="36" t="s">
        <v>2437</v>
      </c>
      <c r="E102" s="37">
        <v>43581</v>
      </c>
      <c r="F102" s="38" t="s">
        <v>2436</v>
      </c>
      <c r="G102" s="39">
        <v>1280</v>
      </c>
      <c r="H102" s="38">
        <f t="shared" si="17"/>
        <v>64</v>
      </c>
      <c r="I102" s="38">
        <f t="shared" si="18"/>
        <v>2</v>
      </c>
      <c r="J102" s="38"/>
      <c r="K102" s="40">
        <v>43632</v>
      </c>
      <c r="L102" s="41" t="s">
        <v>807</v>
      </c>
      <c r="M102" s="42">
        <v>43627</v>
      </c>
      <c r="N102" s="43" t="s">
        <v>2438</v>
      </c>
      <c r="O102" s="42">
        <v>43632</v>
      </c>
      <c r="P102" s="45"/>
      <c r="Q102" s="38" t="s">
        <v>1810</v>
      </c>
      <c r="R102" s="66" t="s">
        <v>211</v>
      </c>
      <c r="S102" s="38"/>
    </row>
    <row r="103" spans="2:19" s="32" customFormat="1" ht="33" hidden="1" customHeight="1">
      <c r="B103" s="122" t="s">
        <v>2435</v>
      </c>
      <c r="C103" s="126" t="s">
        <v>90</v>
      </c>
      <c r="D103" s="127" t="s">
        <v>2439</v>
      </c>
      <c r="E103" s="128">
        <v>43595</v>
      </c>
      <c r="F103" s="124" t="s">
        <v>2436</v>
      </c>
      <c r="G103" s="129">
        <v>1280</v>
      </c>
      <c r="H103" s="124">
        <f t="shared" si="17"/>
        <v>64</v>
      </c>
      <c r="I103" s="124">
        <f t="shared" si="18"/>
        <v>2</v>
      </c>
      <c r="J103" s="124"/>
      <c r="K103" s="130">
        <v>43646</v>
      </c>
      <c r="L103" s="119" t="s">
        <v>2152</v>
      </c>
      <c r="M103" s="120">
        <v>43641</v>
      </c>
      <c r="N103" s="121" t="s">
        <v>2440</v>
      </c>
      <c r="O103" s="120">
        <v>43646</v>
      </c>
      <c r="P103" s="123"/>
      <c r="Q103" s="124" t="s">
        <v>2153</v>
      </c>
      <c r="R103" s="134" t="s">
        <v>211</v>
      </c>
      <c r="S103" s="124"/>
    </row>
    <row r="104" spans="2:19" s="32" customFormat="1" ht="33" hidden="1" customHeight="1">
      <c r="B104" s="122" t="s">
        <v>2435</v>
      </c>
      <c r="C104" s="126" t="s">
        <v>2088</v>
      </c>
      <c r="D104" s="127" t="s">
        <v>2441</v>
      </c>
      <c r="E104" s="128">
        <v>43595</v>
      </c>
      <c r="F104" s="124" t="s">
        <v>2436</v>
      </c>
      <c r="G104" s="129">
        <v>1280</v>
      </c>
      <c r="H104" s="124">
        <f t="shared" si="17"/>
        <v>64</v>
      </c>
      <c r="I104" s="124">
        <f t="shared" si="18"/>
        <v>2</v>
      </c>
      <c r="J104" s="124"/>
      <c r="K104" s="130">
        <v>43674</v>
      </c>
      <c r="L104" s="119" t="s">
        <v>2146</v>
      </c>
      <c r="M104" s="120">
        <v>43669</v>
      </c>
      <c r="N104" s="121" t="s">
        <v>2442</v>
      </c>
      <c r="O104" s="120">
        <v>43674</v>
      </c>
      <c r="P104" s="123"/>
      <c r="Q104" s="124" t="s">
        <v>2154</v>
      </c>
      <c r="R104" s="134" t="s">
        <v>211</v>
      </c>
      <c r="S104" s="124"/>
    </row>
    <row r="105" spans="2:19" s="153" customFormat="1" ht="33" hidden="1" customHeight="1">
      <c r="B105" s="103" t="s">
        <v>2435</v>
      </c>
      <c r="C105" s="104" t="s">
        <v>208</v>
      </c>
      <c r="D105" s="105" t="s">
        <v>2443</v>
      </c>
      <c r="E105" s="106">
        <v>43602</v>
      </c>
      <c r="F105" s="107" t="s">
        <v>2436</v>
      </c>
      <c r="G105" s="108">
        <v>1280</v>
      </c>
      <c r="H105" s="107">
        <f t="shared" si="17"/>
        <v>64</v>
      </c>
      <c r="I105" s="107">
        <f t="shared" si="18"/>
        <v>2</v>
      </c>
      <c r="J105" s="107"/>
      <c r="K105" s="109">
        <v>43695</v>
      </c>
      <c r="L105" s="110"/>
      <c r="M105" s="111"/>
      <c r="N105" s="112"/>
      <c r="O105" s="111"/>
      <c r="P105" s="113"/>
      <c r="Q105" s="107"/>
      <c r="R105" s="116" t="s">
        <v>211</v>
      </c>
      <c r="S105" s="107"/>
    </row>
    <row r="106" spans="2:19" s="153" customFormat="1" ht="33" hidden="1" customHeight="1">
      <c r="B106" s="103" t="s">
        <v>2435</v>
      </c>
      <c r="C106" s="104" t="s">
        <v>212</v>
      </c>
      <c r="D106" s="105" t="s">
        <v>2444</v>
      </c>
      <c r="E106" s="106">
        <v>43602</v>
      </c>
      <c r="F106" s="107" t="s">
        <v>2436</v>
      </c>
      <c r="G106" s="108">
        <v>1280</v>
      </c>
      <c r="H106" s="107">
        <f t="shared" si="17"/>
        <v>64</v>
      </c>
      <c r="I106" s="107">
        <f t="shared" si="18"/>
        <v>2</v>
      </c>
      <c r="J106" s="107"/>
      <c r="K106" s="109">
        <v>43709</v>
      </c>
      <c r="L106" s="110"/>
      <c r="M106" s="111"/>
      <c r="N106" s="112"/>
      <c r="O106" s="111"/>
      <c r="P106" s="113"/>
      <c r="Q106" s="107"/>
      <c r="R106" s="116" t="s">
        <v>211</v>
      </c>
      <c r="S106" s="107"/>
    </row>
    <row r="107" spans="2:19" s="33" customFormat="1" ht="33" hidden="1" customHeight="1">
      <c r="B107" s="47" t="s">
        <v>2445</v>
      </c>
      <c r="C107" s="48" t="s">
        <v>225</v>
      </c>
      <c r="D107" s="49" t="s">
        <v>487</v>
      </c>
      <c r="E107" s="50">
        <v>43490</v>
      </c>
      <c r="F107" s="52" t="s">
        <v>2446</v>
      </c>
      <c r="G107" s="51">
        <v>1520</v>
      </c>
      <c r="H107" s="52">
        <f>SUM(G107/190)</f>
        <v>8</v>
      </c>
      <c r="I107" s="52">
        <f>SUM(H107/4)</f>
        <v>2</v>
      </c>
      <c r="J107" s="52"/>
      <c r="K107" s="53">
        <v>43569</v>
      </c>
      <c r="L107" s="54" t="s">
        <v>417</v>
      </c>
      <c r="M107" s="55">
        <v>43564</v>
      </c>
      <c r="N107" s="56" t="s">
        <v>2447</v>
      </c>
      <c r="O107" s="55">
        <v>43569</v>
      </c>
      <c r="P107" s="58"/>
      <c r="Q107" s="52"/>
      <c r="R107" s="63" t="s">
        <v>2448</v>
      </c>
      <c r="S107" s="47"/>
    </row>
    <row r="108" spans="2:19" s="30" customFormat="1" ht="33" hidden="1" customHeight="1">
      <c r="B108" s="46" t="s">
        <v>2445</v>
      </c>
      <c r="C108" s="35" t="s">
        <v>226</v>
      </c>
      <c r="D108" s="36" t="s">
        <v>833</v>
      </c>
      <c r="E108" s="37">
        <v>43546</v>
      </c>
      <c r="F108" s="38" t="s">
        <v>2446</v>
      </c>
      <c r="G108" s="39">
        <v>1520</v>
      </c>
      <c r="H108" s="38">
        <f>SUM(G108/190)</f>
        <v>8</v>
      </c>
      <c r="I108" s="38">
        <f>SUM(H108/4)</f>
        <v>2</v>
      </c>
      <c r="J108" s="38"/>
      <c r="K108" s="40">
        <v>43632</v>
      </c>
      <c r="L108" s="41" t="s">
        <v>2449</v>
      </c>
      <c r="M108" s="42">
        <v>43627</v>
      </c>
      <c r="N108" s="43" t="s">
        <v>2438</v>
      </c>
      <c r="O108" s="42">
        <v>43632</v>
      </c>
      <c r="P108" s="45"/>
      <c r="Q108" s="38"/>
      <c r="R108" s="66" t="s">
        <v>2450</v>
      </c>
      <c r="S108" s="46"/>
    </row>
    <row r="109" spans="2:19" s="33" customFormat="1" ht="33" hidden="1" customHeight="1">
      <c r="B109" s="47" t="s">
        <v>2451</v>
      </c>
      <c r="C109" s="48" t="s">
        <v>2452</v>
      </c>
      <c r="D109" s="49" t="s">
        <v>2453</v>
      </c>
      <c r="E109" s="50"/>
      <c r="F109" s="47" t="s">
        <v>236</v>
      </c>
      <c r="G109" s="51">
        <v>2400</v>
      </c>
      <c r="H109" s="52">
        <f t="shared" ref="H109:H120" si="23">SUM(G109/200)</f>
        <v>12</v>
      </c>
      <c r="I109" s="52">
        <f t="shared" ref="I109:I120" si="24">SUM(H109/4)</f>
        <v>3</v>
      </c>
      <c r="J109" s="52"/>
      <c r="K109" s="53">
        <v>43527</v>
      </c>
      <c r="L109" s="54" t="s">
        <v>2454</v>
      </c>
      <c r="M109" s="55">
        <v>43531</v>
      </c>
      <c r="N109" s="56" t="s">
        <v>568</v>
      </c>
      <c r="O109" s="55">
        <v>43535</v>
      </c>
      <c r="P109" s="58"/>
      <c r="Q109" s="52"/>
      <c r="R109" s="63"/>
      <c r="S109" s="47" t="s">
        <v>2455</v>
      </c>
    </row>
    <row r="110" spans="2:19" s="33" customFormat="1" ht="33" hidden="1" customHeight="1">
      <c r="B110" s="47" t="s">
        <v>238</v>
      </c>
      <c r="C110" s="48" t="s">
        <v>2456</v>
      </c>
      <c r="D110" s="49" t="s">
        <v>435</v>
      </c>
      <c r="E110" s="50"/>
      <c r="F110" s="52" t="s">
        <v>236</v>
      </c>
      <c r="G110" s="51">
        <v>2400</v>
      </c>
      <c r="H110" s="52">
        <f t="shared" si="23"/>
        <v>12</v>
      </c>
      <c r="I110" s="52">
        <f t="shared" si="24"/>
        <v>3</v>
      </c>
      <c r="J110" s="52"/>
      <c r="K110" s="53">
        <v>43548</v>
      </c>
      <c r="L110" s="54" t="s">
        <v>2457</v>
      </c>
      <c r="M110" s="55">
        <v>43543</v>
      </c>
      <c r="N110" s="56" t="s">
        <v>2458</v>
      </c>
      <c r="O110" s="55">
        <v>43548</v>
      </c>
      <c r="P110" s="58"/>
      <c r="Q110" s="52"/>
      <c r="R110" s="63"/>
      <c r="S110" s="47"/>
    </row>
    <row r="111" spans="2:19" s="33" customFormat="1" ht="33" hidden="1" customHeight="1">
      <c r="B111" s="47" t="s">
        <v>238</v>
      </c>
      <c r="C111" s="48" t="s">
        <v>2459</v>
      </c>
      <c r="D111" s="49" t="s">
        <v>474</v>
      </c>
      <c r="E111" s="50"/>
      <c r="F111" s="52" t="s">
        <v>236</v>
      </c>
      <c r="G111" s="51">
        <v>3200</v>
      </c>
      <c r="H111" s="52">
        <f t="shared" si="23"/>
        <v>16</v>
      </c>
      <c r="I111" s="52">
        <f t="shared" si="24"/>
        <v>4</v>
      </c>
      <c r="J111" s="52"/>
      <c r="K111" s="53">
        <v>43562</v>
      </c>
      <c r="L111" s="54" t="s">
        <v>2460</v>
      </c>
      <c r="M111" s="55">
        <v>43557</v>
      </c>
      <c r="N111" s="56" t="s">
        <v>2461</v>
      </c>
      <c r="O111" s="55">
        <v>43562</v>
      </c>
      <c r="P111" s="58"/>
      <c r="Q111" s="52"/>
      <c r="R111" s="63"/>
      <c r="S111" s="47"/>
    </row>
    <row r="112" spans="2:19" s="33" customFormat="1" ht="33" hidden="1" customHeight="1">
      <c r="B112" s="47" t="s">
        <v>238</v>
      </c>
      <c r="C112" s="48" t="s">
        <v>2462</v>
      </c>
      <c r="D112" s="49" t="s">
        <v>475</v>
      </c>
      <c r="E112" s="50"/>
      <c r="F112" s="52" t="s">
        <v>236</v>
      </c>
      <c r="G112" s="51">
        <v>1600</v>
      </c>
      <c r="H112" s="52">
        <f t="shared" si="23"/>
        <v>8</v>
      </c>
      <c r="I112" s="52">
        <f t="shared" si="24"/>
        <v>2</v>
      </c>
      <c r="J112" s="52"/>
      <c r="K112" s="53">
        <v>43562</v>
      </c>
      <c r="L112" s="54" t="s">
        <v>2463</v>
      </c>
      <c r="M112" s="55">
        <v>43564</v>
      </c>
      <c r="N112" s="56" t="s">
        <v>2447</v>
      </c>
      <c r="O112" s="55">
        <v>43569</v>
      </c>
      <c r="P112" s="58"/>
      <c r="Q112" s="52"/>
      <c r="R112" s="63"/>
      <c r="S112" s="47"/>
    </row>
    <row r="113" spans="2:19" s="33" customFormat="1" ht="33" hidden="1" customHeight="1">
      <c r="B113" s="47" t="s">
        <v>238</v>
      </c>
      <c r="C113" s="48" t="s">
        <v>2464</v>
      </c>
      <c r="D113" s="49" t="s">
        <v>488</v>
      </c>
      <c r="E113" s="50">
        <v>43495</v>
      </c>
      <c r="F113" s="52" t="s">
        <v>236</v>
      </c>
      <c r="G113" s="51">
        <v>1600</v>
      </c>
      <c r="H113" s="52">
        <f t="shared" si="23"/>
        <v>8</v>
      </c>
      <c r="I113" s="52">
        <f t="shared" si="24"/>
        <v>2</v>
      </c>
      <c r="J113" s="52"/>
      <c r="K113" s="53">
        <v>43583</v>
      </c>
      <c r="L113" s="54" t="s">
        <v>2465</v>
      </c>
      <c r="M113" s="55">
        <v>43578</v>
      </c>
      <c r="N113" s="56" t="s">
        <v>2466</v>
      </c>
      <c r="O113" s="55">
        <v>43583</v>
      </c>
      <c r="P113" s="58"/>
      <c r="Q113" s="52"/>
      <c r="R113" s="63"/>
      <c r="S113" s="47"/>
    </row>
    <row r="114" spans="2:19" s="30" customFormat="1" ht="33" hidden="1" customHeight="1">
      <c r="B114" s="46" t="s">
        <v>238</v>
      </c>
      <c r="C114" s="35" t="s">
        <v>2467</v>
      </c>
      <c r="D114" s="36" t="s">
        <v>598</v>
      </c>
      <c r="E114" s="37">
        <v>43519</v>
      </c>
      <c r="F114" s="38" t="s">
        <v>236</v>
      </c>
      <c r="G114" s="39">
        <v>1600</v>
      </c>
      <c r="H114" s="38">
        <f t="shared" si="23"/>
        <v>8</v>
      </c>
      <c r="I114" s="38">
        <f t="shared" si="24"/>
        <v>2</v>
      </c>
      <c r="J114" s="38"/>
      <c r="K114" s="40">
        <v>43597</v>
      </c>
      <c r="L114" s="41" t="s">
        <v>2468</v>
      </c>
      <c r="M114" s="42">
        <v>43592</v>
      </c>
      <c r="N114" s="43" t="s">
        <v>2469</v>
      </c>
      <c r="O114" s="42">
        <v>43597</v>
      </c>
      <c r="P114" s="45"/>
      <c r="Q114" s="38"/>
      <c r="R114" s="66"/>
      <c r="S114" s="46"/>
    </row>
    <row r="115" spans="2:19" s="30" customFormat="1" ht="33" hidden="1" customHeight="1">
      <c r="B115" s="46" t="s">
        <v>238</v>
      </c>
      <c r="C115" s="35" t="s">
        <v>2470</v>
      </c>
      <c r="D115" s="36" t="s">
        <v>598</v>
      </c>
      <c r="E115" s="37">
        <v>43519</v>
      </c>
      <c r="F115" s="38" t="s">
        <v>236</v>
      </c>
      <c r="G115" s="39">
        <v>1600</v>
      </c>
      <c r="H115" s="38">
        <f t="shared" si="23"/>
        <v>8</v>
      </c>
      <c r="I115" s="38">
        <f t="shared" si="24"/>
        <v>2</v>
      </c>
      <c r="J115" s="38"/>
      <c r="K115" s="40">
        <v>43597</v>
      </c>
      <c r="L115" s="41" t="s">
        <v>2471</v>
      </c>
      <c r="M115" s="42">
        <v>43606</v>
      </c>
      <c r="N115" s="43" t="s">
        <v>2472</v>
      </c>
      <c r="O115" s="42">
        <v>43613</v>
      </c>
      <c r="P115" s="45"/>
      <c r="Q115" s="38"/>
      <c r="R115" s="66"/>
      <c r="S115" s="46"/>
    </row>
    <row r="116" spans="2:19" s="30" customFormat="1" ht="33" hidden="1" customHeight="1">
      <c r="B116" s="46" t="s">
        <v>238</v>
      </c>
      <c r="C116" s="35" t="s">
        <v>226</v>
      </c>
      <c r="D116" s="36" t="s">
        <v>749</v>
      </c>
      <c r="E116" s="37">
        <v>43532</v>
      </c>
      <c r="F116" s="38" t="s">
        <v>236</v>
      </c>
      <c r="G116" s="39">
        <v>3200</v>
      </c>
      <c r="H116" s="38">
        <f t="shared" si="23"/>
        <v>16</v>
      </c>
      <c r="I116" s="38">
        <f t="shared" si="24"/>
        <v>4</v>
      </c>
      <c r="J116" s="38"/>
      <c r="K116" s="40">
        <v>43625</v>
      </c>
      <c r="L116" s="41" t="s">
        <v>2473</v>
      </c>
      <c r="M116" s="42">
        <v>43620</v>
      </c>
      <c r="N116" s="43" t="s">
        <v>2474</v>
      </c>
      <c r="O116" s="42" t="s">
        <v>2475</v>
      </c>
      <c r="P116" s="45"/>
      <c r="Q116" s="38"/>
      <c r="R116" s="66"/>
      <c r="S116" s="46"/>
    </row>
    <row r="117" spans="2:19" s="30" customFormat="1" ht="33" hidden="1" customHeight="1">
      <c r="B117" s="46" t="s">
        <v>238</v>
      </c>
      <c r="C117" s="35" t="s">
        <v>233</v>
      </c>
      <c r="D117" s="36" t="s">
        <v>750</v>
      </c>
      <c r="E117" s="37">
        <v>43532</v>
      </c>
      <c r="F117" s="38" t="s">
        <v>236</v>
      </c>
      <c r="G117" s="39">
        <v>3200</v>
      </c>
      <c r="H117" s="38">
        <f t="shared" si="23"/>
        <v>16</v>
      </c>
      <c r="I117" s="38">
        <f t="shared" si="24"/>
        <v>4</v>
      </c>
      <c r="J117" s="38"/>
      <c r="K117" s="40">
        <v>43646</v>
      </c>
      <c r="L117" s="41" t="s">
        <v>2476</v>
      </c>
      <c r="M117" s="42">
        <v>43641</v>
      </c>
      <c r="N117" s="43" t="s">
        <v>2440</v>
      </c>
      <c r="O117" s="42">
        <v>43646</v>
      </c>
      <c r="P117" s="45"/>
      <c r="Q117" s="38"/>
      <c r="R117" s="66"/>
      <c r="S117" s="46"/>
    </row>
    <row r="118" spans="2:19" s="30" customFormat="1" ht="33" hidden="1" customHeight="1">
      <c r="B118" s="46" t="s">
        <v>238</v>
      </c>
      <c r="C118" s="35" t="s">
        <v>285</v>
      </c>
      <c r="D118" s="36" t="s">
        <v>1305</v>
      </c>
      <c r="E118" s="37">
        <v>43567</v>
      </c>
      <c r="F118" s="38" t="s">
        <v>236</v>
      </c>
      <c r="G118" s="39">
        <v>3200</v>
      </c>
      <c r="H118" s="38">
        <f t="shared" si="23"/>
        <v>16</v>
      </c>
      <c r="I118" s="38">
        <f t="shared" si="24"/>
        <v>4</v>
      </c>
      <c r="J118" s="38"/>
      <c r="K118" s="40">
        <v>43660</v>
      </c>
      <c r="L118" s="41" t="s">
        <v>2477</v>
      </c>
      <c r="M118" s="42">
        <v>43655</v>
      </c>
      <c r="N118" s="43" t="s">
        <v>2478</v>
      </c>
      <c r="O118" s="42">
        <v>43660</v>
      </c>
      <c r="P118" s="45"/>
      <c r="Q118" s="38"/>
      <c r="R118" s="66"/>
      <c r="S118" s="46"/>
    </row>
    <row r="119" spans="2:19" s="30" customFormat="1" ht="33" hidden="1" customHeight="1">
      <c r="B119" s="46" t="s">
        <v>238</v>
      </c>
      <c r="C119" s="35" t="s">
        <v>331</v>
      </c>
      <c r="D119" s="36" t="s">
        <v>1306</v>
      </c>
      <c r="E119" s="37">
        <v>43567</v>
      </c>
      <c r="F119" s="38" t="s">
        <v>236</v>
      </c>
      <c r="G119" s="39">
        <v>3200</v>
      </c>
      <c r="H119" s="38">
        <f t="shared" si="23"/>
        <v>16</v>
      </c>
      <c r="I119" s="38">
        <f t="shared" si="24"/>
        <v>4</v>
      </c>
      <c r="J119" s="38"/>
      <c r="K119" s="40">
        <v>43674</v>
      </c>
      <c r="L119" s="41" t="s">
        <v>2479</v>
      </c>
      <c r="M119" s="42">
        <v>43669</v>
      </c>
      <c r="N119" s="43" t="s">
        <v>2442</v>
      </c>
      <c r="O119" s="42">
        <v>43674</v>
      </c>
      <c r="P119" s="45"/>
      <c r="Q119" s="38"/>
      <c r="R119" s="66"/>
      <c r="S119" s="46"/>
    </row>
    <row r="120" spans="2:19" s="147" customFormat="1" ht="33" hidden="1" customHeight="1">
      <c r="B120" s="103" t="s">
        <v>238</v>
      </c>
      <c r="C120" s="104" t="s">
        <v>431</v>
      </c>
      <c r="D120" s="105" t="s">
        <v>2480</v>
      </c>
      <c r="E120" s="106">
        <v>43602</v>
      </c>
      <c r="F120" s="107" t="s">
        <v>236</v>
      </c>
      <c r="G120" s="108">
        <v>1520</v>
      </c>
      <c r="H120" s="107">
        <f t="shared" si="23"/>
        <v>7.6</v>
      </c>
      <c r="I120" s="107">
        <f t="shared" si="24"/>
        <v>1.9</v>
      </c>
      <c r="J120" s="107"/>
      <c r="K120" s="109">
        <v>43702</v>
      </c>
      <c r="L120" s="110"/>
      <c r="M120" s="111"/>
      <c r="N120" s="112"/>
      <c r="O120" s="111"/>
      <c r="P120" s="113"/>
      <c r="Q120" s="107"/>
      <c r="R120" s="116"/>
      <c r="S120" s="103"/>
    </row>
    <row r="121" spans="2:19" s="19" customFormat="1">
      <c r="B121"/>
      <c r="C121" s="15"/>
      <c r="D121" s="1"/>
      <c r="E121" s="174"/>
      <c r="F121"/>
      <c r="G121" s="11"/>
      <c r="H121"/>
      <c r="I121"/>
      <c r="J121"/>
      <c r="K121" s="13"/>
      <c r="L121"/>
      <c r="N121" s="28"/>
      <c r="P121"/>
      <c r="Q121"/>
      <c r="R121" s="17"/>
      <c r="S121"/>
    </row>
    <row r="122" spans="2:19" s="19" customFormat="1" ht="26.4" hidden="1">
      <c r="B122"/>
      <c r="C122" s="15"/>
      <c r="D122" s="1"/>
      <c r="F122" s="177"/>
      <c r="L122" s="176" t="s">
        <v>1821</v>
      </c>
      <c r="M122" s="177"/>
      <c r="N122" s="177"/>
      <c r="O122"/>
      <c r="P122" s="13"/>
      <c r="Q122"/>
      <c r="S122" s="28"/>
    </row>
    <row r="123" spans="2:19" ht="26.4" hidden="1">
      <c r="F123" s="177"/>
      <c r="L123" s="176" t="s">
        <v>1822</v>
      </c>
      <c r="M123" s="177"/>
      <c r="N123" s="177"/>
      <c r="O123"/>
      <c r="P123" s="13"/>
      <c r="R123" s="19"/>
      <c r="S123" s="28"/>
    </row>
    <row r="124" spans="2:19" ht="26.4" hidden="1">
      <c r="F124" s="177"/>
      <c r="L124" s="176" t="s">
        <v>1823</v>
      </c>
      <c r="M124" s="177"/>
      <c r="N124" s="177"/>
      <c r="O124"/>
      <c r="P124" s="13"/>
      <c r="R124" s="19"/>
      <c r="S124" s="28"/>
    </row>
    <row r="125" spans="2:19" hidden="1">
      <c r="E125" s="175"/>
      <c r="L125" s="11"/>
      <c r="M125"/>
      <c r="N125"/>
      <c r="O125"/>
      <c r="P125" s="13"/>
      <c r="R125" s="19"/>
      <c r="S125" s="28"/>
    </row>
    <row r="126" spans="2:19" s="19" customFormat="1" hidden="1">
      <c r="B126"/>
      <c r="C126" s="15"/>
      <c r="D126" s="1"/>
      <c r="L126" s="178" t="s">
        <v>1825</v>
      </c>
      <c r="M126" s="178" t="s">
        <v>1826</v>
      </c>
      <c r="N126" s="178" t="s">
        <v>1827</v>
      </c>
      <c r="O126" s="178" t="s">
        <v>1828</v>
      </c>
      <c r="P126" s="179" t="s">
        <v>2481</v>
      </c>
      <c r="Q126" s="179" t="s">
        <v>2482</v>
      </c>
      <c r="R126" s="179" t="s">
        <v>1831</v>
      </c>
      <c r="S126" s="179"/>
    </row>
    <row r="127" spans="2:19" s="19" customFormat="1" hidden="1">
      <c r="B127"/>
      <c r="C127" s="15"/>
      <c r="D127" s="1"/>
      <c r="L127" s="180" t="s">
        <v>2483</v>
      </c>
      <c r="M127" s="181" t="s">
        <v>1833</v>
      </c>
      <c r="N127" s="181" t="s">
        <v>1834</v>
      </c>
      <c r="O127" s="182" t="s">
        <v>1835</v>
      </c>
      <c r="P127" s="183">
        <v>1000</v>
      </c>
      <c r="Q127" s="183">
        <v>4</v>
      </c>
      <c r="R127" s="184">
        <v>43598</v>
      </c>
      <c r="S127" s="181" t="s">
        <v>99</v>
      </c>
    </row>
    <row r="128" spans="2:19" s="19" customFormat="1" hidden="1">
      <c r="B128"/>
      <c r="C128" s="15"/>
      <c r="D128" s="1"/>
      <c r="L128" s="180" t="s">
        <v>2483</v>
      </c>
      <c r="M128" s="181" t="s">
        <v>1836</v>
      </c>
      <c r="N128" s="181" t="s">
        <v>1834</v>
      </c>
      <c r="O128" s="182" t="s">
        <v>1835</v>
      </c>
      <c r="P128" s="183">
        <v>6000</v>
      </c>
      <c r="Q128" s="183">
        <v>24</v>
      </c>
      <c r="R128" s="184">
        <v>43598</v>
      </c>
      <c r="S128" s="181" t="s">
        <v>99</v>
      </c>
    </row>
    <row r="129" spans="2:19" s="19" customFormat="1" hidden="1">
      <c r="B129"/>
      <c r="C129" s="15"/>
      <c r="D129" s="1"/>
      <c r="L129" s="180" t="s">
        <v>2483</v>
      </c>
      <c r="M129" s="181" t="s">
        <v>1837</v>
      </c>
      <c r="N129" s="181" t="s">
        <v>1834</v>
      </c>
      <c r="O129" s="182" t="s">
        <v>1835</v>
      </c>
      <c r="P129" s="183">
        <v>5000</v>
      </c>
      <c r="Q129" s="183">
        <v>20</v>
      </c>
      <c r="R129" s="185" t="s">
        <v>2484</v>
      </c>
      <c r="S129" s="180" t="s">
        <v>2485</v>
      </c>
    </row>
    <row r="130" spans="2:19" s="19" customFormat="1" hidden="1">
      <c r="B130"/>
      <c r="C130" s="15"/>
      <c r="D130" s="1"/>
      <c r="L130" s="180" t="s">
        <v>2483</v>
      </c>
      <c r="M130" s="181" t="s">
        <v>1840</v>
      </c>
      <c r="N130" s="181" t="s">
        <v>1834</v>
      </c>
      <c r="O130" s="182" t="s">
        <v>1835</v>
      </c>
      <c r="P130" s="183">
        <v>5000</v>
      </c>
      <c r="Q130" s="183">
        <v>20</v>
      </c>
      <c r="R130" s="184">
        <v>43605</v>
      </c>
      <c r="S130" s="181" t="s">
        <v>99</v>
      </c>
    </row>
    <row r="131" spans="2:19" s="19" customFormat="1" hidden="1">
      <c r="B131"/>
      <c r="C131" s="15"/>
      <c r="D131" s="1"/>
      <c r="L131" s="180" t="s">
        <v>2483</v>
      </c>
      <c r="M131" s="181" t="s">
        <v>1841</v>
      </c>
      <c r="N131" s="181" t="s">
        <v>1834</v>
      </c>
      <c r="O131" s="182" t="s">
        <v>1835</v>
      </c>
      <c r="P131" s="183">
        <v>7000</v>
      </c>
      <c r="Q131" s="183">
        <v>28</v>
      </c>
      <c r="R131" s="184">
        <v>43605</v>
      </c>
      <c r="S131" s="181" t="s">
        <v>99</v>
      </c>
    </row>
    <row r="132" spans="2:19" hidden="1">
      <c r="L132" s="180" t="s">
        <v>2486</v>
      </c>
      <c r="M132" s="181" t="s">
        <v>1843</v>
      </c>
      <c r="N132" s="181" t="s">
        <v>1844</v>
      </c>
      <c r="O132" s="182" t="s">
        <v>1835</v>
      </c>
      <c r="P132" s="183">
        <v>2000</v>
      </c>
      <c r="Q132" s="183">
        <v>8</v>
      </c>
      <c r="R132" s="184">
        <v>43598</v>
      </c>
      <c r="S132" s="181" t="s">
        <v>99</v>
      </c>
    </row>
    <row r="133" spans="2:19" hidden="1">
      <c r="L133" s="180" t="s">
        <v>2486</v>
      </c>
      <c r="M133" s="181" t="s">
        <v>1845</v>
      </c>
      <c r="N133" s="181" t="s">
        <v>1844</v>
      </c>
      <c r="O133" s="182" t="s">
        <v>1835</v>
      </c>
      <c r="P133" s="183">
        <v>2000</v>
      </c>
      <c r="Q133" s="183">
        <v>8</v>
      </c>
      <c r="R133" s="184">
        <v>43598</v>
      </c>
      <c r="S133" s="181" t="s">
        <v>99</v>
      </c>
    </row>
    <row r="134" spans="2:19" hidden="1">
      <c r="L134" s="180" t="s">
        <v>2486</v>
      </c>
      <c r="M134" s="181" t="s">
        <v>1846</v>
      </c>
      <c r="N134" s="181" t="s">
        <v>1844</v>
      </c>
      <c r="O134" s="182" t="s">
        <v>1835</v>
      </c>
      <c r="P134" s="183">
        <v>10000</v>
      </c>
      <c r="Q134" s="183">
        <v>40</v>
      </c>
      <c r="R134" s="184">
        <v>43598</v>
      </c>
      <c r="S134" s="181" t="s">
        <v>99</v>
      </c>
    </row>
    <row r="135" spans="2:19" hidden="1">
      <c r="L135" s="180" t="s">
        <v>2486</v>
      </c>
      <c r="M135" s="181" t="s">
        <v>1847</v>
      </c>
      <c r="N135" s="181" t="s">
        <v>1844</v>
      </c>
      <c r="O135" s="182" t="s">
        <v>1835</v>
      </c>
      <c r="P135" s="183">
        <v>8000</v>
      </c>
      <c r="Q135" s="183">
        <v>32</v>
      </c>
      <c r="R135" s="184">
        <v>43598</v>
      </c>
      <c r="S135" s="180"/>
    </row>
    <row r="136" spans="2:19" hidden="1">
      <c r="L136" s="180" t="s">
        <v>2486</v>
      </c>
      <c r="M136" s="181" t="s">
        <v>1848</v>
      </c>
      <c r="N136" s="181" t="s">
        <v>1844</v>
      </c>
      <c r="O136" s="182" t="s">
        <v>1835</v>
      </c>
      <c r="P136" s="183">
        <v>10000</v>
      </c>
      <c r="Q136" s="183">
        <v>40</v>
      </c>
      <c r="R136" s="185" t="s">
        <v>2487</v>
      </c>
      <c r="S136" s="180" t="s">
        <v>2485</v>
      </c>
    </row>
    <row r="137" spans="2:19" hidden="1">
      <c r="L137" s="182" t="s">
        <v>2488</v>
      </c>
      <c r="M137" s="181" t="s">
        <v>1851</v>
      </c>
      <c r="N137" s="181" t="s">
        <v>1834</v>
      </c>
      <c r="O137" s="182" t="s">
        <v>1852</v>
      </c>
      <c r="P137" s="183">
        <v>5000</v>
      </c>
      <c r="Q137" s="183">
        <v>20</v>
      </c>
      <c r="R137" s="184">
        <v>43605</v>
      </c>
      <c r="S137" s="181" t="s">
        <v>99</v>
      </c>
    </row>
    <row r="138" spans="2:19" hidden="1">
      <c r="L138" s="180" t="s">
        <v>2489</v>
      </c>
      <c r="M138" s="181" t="s">
        <v>1851</v>
      </c>
      <c r="N138" s="181" t="s">
        <v>1844</v>
      </c>
      <c r="O138" s="182" t="s">
        <v>1835</v>
      </c>
      <c r="P138" s="183">
        <v>2000</v>
      </c>
      <c r="Q138" s="183">
        <v>8</v>
      </c>
      <c r="R138" s="184">
        <v>43605</v>
      </c>
      <c r="S138" s="181" t="s">
        <v>99</v>
      </c>
    </row>
    <row r="139" spans="2:19" hidden="1">
      <c r="L139" s="182" t="s">
        <v>2490</v>
      </c>
      <c r="M139" s="181" t="s">
        <v>1855</v>
      </c>
      <c r="N139" s="181" t="s">
        <v>1834</v>
      </c>
      <c r="O139" s="182" t="s">
        <v>1852</v>
      </c>
      <c r="P139" s="183">
        <v>6000</v>
      </c>
      <c r="Q139" s="183">
        <v>24</v>
      </c>
      <c r="R139" s="184">
        <v>43605</v>
      </c>
      <c r="S139" s="181" t="s">
        <v>99</v>
      </c>
    </row>
    <row r="140" spans="2:19" hidden="1">
      <c r="L140" s="182" t="s">
        <v>2490</v>
      </c>
      <c r="M140" s="181" t="s">
        <v>1856</v>
      </c>
      <c r="N140" s="181" t="s">
        <v>1834</v>
      </c>
      <c r="O140" s="182" t="s">
        <v>1852</v>
      </c>
      <c r="P140" s="183">
        <v>6000</v>
      </c>
      <c r="Q140" s="183">
        <v>24</v>
      </c>
      <c r="R140" s="185">
        <v>43605</v>
      </c>
      <c r="S140" s="180"/>
    </row>
    <row r="141" spans="2:19" hidden="1">
      <c r="L141" s="182" t="s">
        <v>2490</v>
      </c>
      <c r="M141" s="181" t="s">
        <v>1857</v>
      </c>
      <c r="N141" s="181" t="s">
        <v>1834</v>
      </c>
      <c r="O141" s="182" t="s">
        <v>1852</v>
      </c>
      <c r="P141" s="183">
        <v>6000</v>
      </c>
      <c r="Q141" s="183">
        <v>24</v>
      </c>
      <c r="R141" s="184" t="s">
        <v>2491</v>
      </c>
      <c r="S141" s="181" t="s">
        <v>2492</v>
      </c>
    </row>
    <row r="144" spans="2:19" ht="16.2">
      <c r="L144" s="186"/>
    </row>
    <row r="145" spans="12:12" ht="16.2">
      <c r="L145" s="186"/>
    </row>
    <row r="146" spans="12:12" ht="16.2">
      <c r="L146" s="186"/>
    </row>
  </sheetData>
  <autoFilter ref="B2:R120" xr:uid="{00000000-0009-0000-0000-00001A000000}">
    <filterColumn colId="0">
      <filters>
        <filter val="[Hydrochloric Acid for KINIK *20kg Packing*]"/>
      </filters>
    </filterColumn>
  </autoFilter>
  <phoneticPr fontId="1"/>
  <pageMargins left="0.23622047244094491" right="0.23622047244094491" top="0.35433070866141736" bottom="0.35433070866141736" header="0.31496062992125984" footer="0.31496062992125984"/>
  <pageSetup paperSize="9" scale="77" fitToHeight="0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55">
    <pageSetUpPr fitToPage="1"/>
  </sheetPr>
  <dimension ref="B1:S130"/>
  <sheetViews>
    <sheetView zoomScale="77" zoomScaleNormal="77" workbookViewId="0">
      <pane xSplit="3" ySplit="2" topLeftCell="D90" activePane="bottomRight" state="frozen"/>
      <selection activeCell="B70" sqref="B70"/>
      <selection pane="topRight" activeCell="B70" sqref="B70"/>
      <selection pane="bottomLeft" activeCell="B70" sqref="B70"/>
      <selection pane="bottomRight" activeCell="I6" sqref="I6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15.87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C2" s="14" t="s">
        <v>1865</v>
      </c>
      <c r="D2" s="5" t="s">
        <v>0</v>
      </c>
      <c r="E2" s="6" t="s">
        <v>294</v>
      </c>
      <c r="F2" s="6" t="s">
        <v>1866</v>
      </c>
      <c r="G2" s="10" t="s">
        <v>1</v>
      </c>
      <c r="H2" s="6" t="s">
        <v>15</v>
      </c>
      <c r="I2" s="6" t="s">
        <v>16</v>
      </c>
      <c r="J2" s="6" t="s">
        <v>1867</v>
      </c>
      <c r="K2" s="12" t="s">
        <v>1868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1869</v>
      </c>
      <c r="Q2" s="6" t="s">
        <v>1870</v>
      </c>
      <c r="R2" s="16" t="s">
        <v>6</v>
      </c>
      <c r="S2" s="16" t="s">
        <v>1871</v>
      </c>
    </row>
    <row r="3" spans="2:19" s="33" customFormat="1" ht="33" customHeight="1">
      <c r="B3" s="47" t="s">
        <v>220</v>
      </c>
      <c r="C3" s="48" t="s">
        <v>309</v>
      </c>
      <c r="D3" s="49" t="s">
        <v>310</v>
      </c>
      <c r="E3" s="50">
        <v>43420</v>
      </c>
      <c r="F3" s="49" t="s">
        <v>79</v>
      </c>
      <c r="G3" s="51">
        <v>7000</v>
      </c>
      <c r="H3" s="52">
        <f t="shared" ref="H3:H23" si="0">SUM(G3/250)</f>
        <v>28</v>
      </c>
      <c r="I3" s="52">
        <f t="shared" ref="I3:I40" si="1">SUM(H3/4)</f>
        <v>7</v>
      </c>
      <c r="J3" s="49"/>
      <c r="K3" s="53">
        <v>43541</v>
      </c>
      <c r="L3" s="54" t="s">
        <v>1872</v>
      </c>
      <c r="M3" s="55">
        <v>43542</v>
      </c>
      <c r="N3" s="56" t="s">
        <v>649</v>
      </c>
      <c r="O3" s="55">
        <v>43183</v>
      </c>
      <c r="P3" s="54" t="s">
        <v>1873</v>
      </c>
      <c r="Q3" s="49"/>
      <c r="R3" s="57" t="s">
        <v>1874</v>
      </c>
      <c r="S3" s="47"/>
    </row>
    <row r="4" spans="2:19" s="33" customFormat="1" ht="33" customHeight="1">
      <c r="B4" s="47" t="s">
        <v>78</v>
      </c>
      <c r="C4" s="48" t="s">
        <v>311</v>
      </c>
      <c r="D4" s="49" t="s">
        <v>312</v>
      </c>
      <c r="E4" s="50">
        <v>43420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43169</v>
      </c>
      <c r="L4" s="54" t="s">
        <v>1875</v>
      </c>
      <c r="M4" s="55">
        <v>43528</v>
      </c>
      <c r="N4" s="56" t="s">
        <v>1876</v>
      </c>
      <c r="O4" s="55">
        <v>43534</v>
      </c>
      <c r="P4" s="54"/>
      <c r="Q4" s="49" t="s">
        <v>82</v>
      </c>
      <c r="R4" s="57" t="s">
        <v>1877</v>
      </c>
      <c r="S4" s="47"/>
    </row>
    <row r="5" spans="2:19" s="33" customFormat="1" ht="33" customHeight="1">
      <c r="B5" s="47" t="s">
        <v>78</v>
      </c>
      <c r="C5" s="48" t="s">
        <v>374</v>
      </c>
      <c r="D5" s="49" t="s">
        <v>375</v>
      </c>
      <c r="E5" s="50">
        <v>43455</v>
      </c>
      <c r="F5" s="49" t="s">
        <v>79</v>
      </c>
      <c r="G5" s="51">
        <v>21000</v>
      </c>
      <c r="H5" s="52">
        <f t="shared" si="0"/>
        <v>84</v>
      </c>
      <c r="I5" s="52">
        <f t="shared" si="1"/>
        <v>21</v>
      </c>
      <c r="J5" s="49"/>
      <c r="K5" s="53">
        <v>43541</v>
      </c>
      <c r="L5" s="54" t="s">
        <v>1872</v>
      </c>
      <c r="M5" s="55">
        <v>43542</v>
      </c>
      <c r="N5" s="56" t="s">
        <v>649</v>
      </c>
      <c r="O5" s="55">
        <v>43183</v>
      </c>
      <c r="P5" s="54" t="s">
        <v>1878</v>
      </c>
      <c r="Q5" s="49" t="s">
        <v>82</v>
      </c>
      <c r="R5" s="57" t="s">
        <v>810</v>
      </c>
      <c r="S5" s="47"/>
    </row>
    <row r="6" spans="2:19" s="33" customFormat="1" ht="33" customHeight="1">
      <c r="B6" s="47" t="s">
        <v>220</v>
      </c>
      <c r="C6" s="48" t="s">
        <v>377</v>
      </c>
      <c r="D6" s="49" t="s">
        <v>378</v>
      </c>
      <c r="E6" s="50">
        <v>43455</v>
      </c>
      <c r="F6" s="49" t="s">
        <v>1880</v>
      </c>
      <c r="G6" s="51">
        <v>14000</v>
      </c>
      <c r="H6" s="52">
        <f t="shared" si="0"/>
        <v>56</v>
      </c>
      <c r="I6" s="52">
        <f t="shared" si="1"/>
        <v>14</v>
      </c>
      <c r="J6" s="49"/>
      <c r="K6" s="53">
        <v>43548</v>
      </c>
      <c r="L6" s="54" t="s">
        <v>1881</v>
      </c>
      <c r="M6" s="55">
        <v>43563</v>
      </c>
      <c r="N6" s="56" t="s">
        <v>835</v>
      </c>
      <c r="O6" s="55">
        <v>43569</v>
      </c>
      <c r="P6" s="54" t="s">
        <v>839</v>
      </c>
      <c r="Q6" s="49"/>
      <c r="R6" s="57" t="s">
        <v>811</v>
      </c>
      <c r="S6" s="47"/>
    </row>
    <row r="7" spans="2:19" s="33" customFormat="1" ht="33" customHeight="1">
      <c r="B7" s="47" t="s">
        <v>78</v>
      </c>
      <c r="C7" s="48" t="s">
        <v>380</v>
      </c>
      <c r="D7" s="49" t="s">
        <v>381</v>
      </c>
      <c r="E7" s="50">
        <v>43455</v>
      </c>
      <c r="F7" s="49" t="s">
        <v>1885</v>
      </c>
      <c r="G7" s="51">
        <v>40000</v>
      </c>
      <c r="H7" s="52">
        <f t="shared" si="0"/>
        <v>160</v>
      </c>
      <c r="I7" s="52">
        <f t="shared" si="1"/>
        <v>40</v>
      </c>
      <c r="J7" s="49"/>
      <c r="K7" s="53">
        <v>43555</v>
      </c>
      <c r="L7" s="54" t="s">
        <v>1886</v>
      </c>
      <c r="M7" s="55">
        <v>43549</v>
      </c>
      <c r="N7" s="56" t="s">
        <v>1887</v>
      </c>
      <c r="O7" s="55">
        <v>43555</v>
      </c>
      <c r="P7" s="54" t="s">
        <v>1888</v>
      </c>
      <c r="Q7" s="49" t="s">
        <v>82</v>
      </c>
      <c r="R7" s="57" t="s">
        <v>1889</v>
      </c>
      <c r="S7" s="47"/>
    </row>
    <row r="8" spans="2:19" s="33" customFormat="1" ht="33" customHeight="1">
      <c r="B8" s="47" t="s">
        <v>220</v>
      </c>
      <c r="C8" s="48" t="s">
        <v>421</v>
      </c>
      <c r="D8" s="49" t="s">
        <v>453</v>
      </c>
      <c r="E8" s="50">
        <v>43483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43576</v>
      </c>
      <c r="L8" s="54" t="s">
        <v>1890</v>
      </c>
      <c r="M8" s="55">
        <v>43570</v>
      </c>
      <c r="N8" s="56" t="s">
        <v>1891</v>
      </c>
      <c r="O8" s="55">
        <v>43576</v>
      </c>
      <c r="P8" s="54" t="s">
        <v>1892</v>
      </c>
      <c r="Q8" s="49"/>
      <c r="R8" s="57" t="s">
        <v>1893</v>
      </c>
      <c r="S8" s="47"/>
    </row>
    <row r="9" spans="2:19" s="30" customFormat="1" ht="33" customHeight="1">
      <c r="B9" s="46" t="s">
        <v>78</v>
      </c>
      <c r="C9" s="35" t="s">
        <v>422</v>
      </c>
      <c r="D9" s="36" t="s">
        <v>455</v>
      </c>
      <c r="E9" s="37">
        <v>43483</v>
      </c>
      <c r="F9" s="36" t="s">
        <v>1880</v>
      </c>
      <c r="G9" s="39">
        <v>10000</v>
      </c>
      <c r="H9" s="38">
        <f>SUM(G9/250)</f>
        <v>40</v>
      </c>
      <c r="I9" s="38">
        <f t="shared" si="1"/>
        <v>10</v>
      </c>
      <c r="J9" s="36"/>
      <c r="K9" s="40">
        <v>43618</v>
      </c>
      <c r="L9" s="41" t="s">
        <v>1894</v>
      </c>
      <c r="M9" s="42">
        <v>43612</v>
      </c>
      <c r="N9" s="43" t="s">
        <v>1895</v>
      </c>
      <c r="O9" s="42">
        <v>43618</v>
      </c>
      <c r="P9" s="119" t="s">
        <v>2155</v>
      </c>
      <c r="Q9" s="36" t="s">
        <v>82</v>
      </c>
      <c r="R9" s="44" t="s">
        <v>1897</v>
      </c>
      <c r="S9" s="46"/>
    </row>
    <row r="10" spans="2:19" s="30" customFormat="1" ht="33" customHeight="1">
      <c r="B10" s="46" t="s">
        <v>78</v>
      </c>
      <c r="C10" s="35" t="s">
        <v>1899</v>
      </c>
      <c r="D10" s="36" t="s">
        <v>455</v>
      </c>
      <c r="E10" s="37">
        <v>43523</v>
      </c>
      <c r="F10" s="36" t="s">
        <v>1900</v>
      </c>
      <c r="G10" s="39">
        <v>10000</v>
      </c>
      <c r="H10" s="38">
        <f>SUM(G10/250)</f>
        <v>40</v>
      </c>
      <c r="I10" s="38">
        <f>SUM(H10/4)</f>
        <v>10</v>
      </c>
      <c r="J10" s="36"/>
      <c r="K10" s="40">
        <v>43618</v>
      </c>
      <c r="L10" s="41" t="s">
        <v>638</v>
      </c>
      <c r="M10" s="42">
        <v>43612</v>
      </c>
      <c r="N10" s="43" t="s">
        <v>636</v>
      </c>
      <c r="O10" s="42">
        <v>43618</v>
      </c>
      <c r="P10" s="119" t="s">
        <v>2156</v>
      </c>
      <c r="Q10" s="36" t="s">
        <v>82</v>
      </c>
      <c r="R10" s="44" t="s">
        <v>1901</v>
      </c>
      <c r="S10" s="46"/>
    </row>
    <row r="11" spans="2:19" s="30" customFormat="1" ht="33" customHeight="1">
      <c r="B11" s="46" t="s">
        <v>78</v>
      </c>
      <c r="C11" s="35" t="s">
        <v>1898</v>
      </c>
      <c r="D11" s="36" t="s">
        <v>1337</v>
      </c>
      <c r="E11" s="37">
        <v>43483</v>
      </c>
      <c r="F11" s="36" t="s">
        <v>1880</v>
      </c>
      <c r="G11" s="39">
        <v>20000</v>
      </c>
      <c r="H11" s="38">
        <f>SUM(G11/250)</f>
        <v>80</v>
      </c>
      <c r="I11" s="38">
        <f t="shared" si="1"/>
        <v>20</v>
      </c>
      <c r="J11" s="36"/>
      <c r="K11" s="40">
        <v>43618</v>
      </c>
      <c r="L11" s="41" t="s">
        <v>1894</v>
      </c>
      <c r="M11" s="42">
        <v>43612</v>
      </c>
      <c r="N11" s="43" t="s">
        <v>1895</v>
      </c>
      <c r="O11" s="42">
        <v>43618</v>
      </c>
      <c r="P11" s="119" t="s">
        <v>2157</v>
      </c>
      <c r="Q11" s="36" t="s">
        <v>82</v>
      </c>
      <c r="R11" s="44" t="s">
        <v>1897</v>
      </c>
      <c r="S11" s="46" t="s">
        <v>479</v>
      </c>
    </row>
    <row r="12" spans="2:19" s="33" customFormat="1" ht="33" customHeight="1">
      <c r="B12" s="47" t="s">
        <v>78</v>
      </c>
      <c r="C12" s="48" t="s">
        <v>423</v>
      </c>
      <c r="D12" s="49" t="s">
        <v>457</v>
      </c>
      <c r="E12" s="50">
        <v>43483</v>
      </c>
      <c r="F12" s="49" t="s">
        <v>79</v>
      </c>
      <c r="G12" s="51">
        <v>20000</v>
      </c>
      <c r="H12" s="52">
        <f t="shared" si="0"/>
        <v>80</v>
      </c>
      <c r="I12" s="52">
        <f t="shared" si="1"/>
        <v>20</v>
      </c>
      <c r="J12" s="49"/>
      <c r="K12" s="53">
        <v>43576</v>
      </c>
      <c r="L12" s="54" t="s">
        <v>812</v>
      </c>
      <c r="M12" s="55">
        <v>43570</v>
      </c>
      <c r="N12" s="56" t="s">
        <v>813</v>
      </c>
      <c r="O12" s="55">
        <v>43576</v>
      </c>
      <c r="P12" s="54" t="s">
        <v>982</v>
      </c>
      <c r="Q12" s="49" t="s">
        <v>82</v>
      </c>
      <c r="R12" s="57" t="s">
        <v>1905</v>
      </c>
      <c r="S12" s="47"/>
    </row>
    <row r="13" spans="2:19" s="33" customFormat="1" ht="33" customHeight="1">
      <c r="B13" s="47" t="s">
        <v>220</v>
      </c>
      <c r="C13" s="48" t="s">
        <v>425</v>
      </c>
      <c r="D13" s="49" t="s">
        <v>459</v>
      </c>
      <c r="E13" s="50">
        <v>43483</v>
      </c>
      <c r="F13" s="49" t="s">
        <v>79</v>
      </c>
      <c r="G13" s="51">
        <v>20000</v>
      </c>
      <c r="H13" s="52">
        <f t="shared" si="0"/>
        <v>80</v>
      </c>
      <c r="I13" s="52">
        <f t="shared" si="1"/>
        <v>20</v>
      </c>
      <c r="J13" s="49"/>
      <c r="K13" s="53">
        <v>43583</v>
      </c>
      <c r="L13" s="54" t="s">
        <v>815</v>
      </c>
      <c r="M13" s="55">
        <v>43577</v>
      </c>
      <c r="N13" s="56" t="s">
        <v>1907</v>
      </c>
      <c r="O13" s="55">
        <v>43583</v>
      </c>
      <c r="P13" s="54" t="s">
        <v>1568</v>
      </c>
      <c r="Q13" s="49"/>
      <c r="R13" s="57" t="s">
        <v>1909</v>
      </c>
      <c r="S13" s="47"/>
    </row>
    <row r="14" spans="2:19" s="33" customFormat="1" ht="33" customHeight="1">
      <c r="B14" s="47" t="s">
        <v>78</v>
      </c>
      <c r="C14" s="48" t="s">
        <v>462</v>
      </c>
      <c r="D14" s="49" t="s">
        <v>483</v>
      </c>
      <c r="E14" s="50">
        <v>43490</v>
      </c>
      <c r="F14" s="49" t="s">
        <v>79</v>
      </c>
      <c r="G14" s="51">
        <v>20000</v>
      </c>
      <c r="H14" s="52">
        <f t="shared" si="0"/>
        <v>80</v>
      </c>
      <c r="I14" s="52">
        <f t="shared" si="1"/>
        <v>20</v>
      </c>
      <c r="J14" s="49"/>
      <c r="K14" s="53">
        <v>43583</v>
      </c>
      <c r="L14" s="54" t="s">
        <v>815</v>
      </c>
      <c r="M14" s="55">
        <v>43577</v>
      </c>
      <c r="N14" s="56" t="s">
        <v>1907</v>
      </c>
      <c r="O14" s="55">
        <v>43583</v>
      </c>
      <c r="P14" s="54" t="s">
        <v>1910</v>
      </c>
      <c r="Q14" s="49" t="s">
        <v>82</v>
      </c>
      <c r="R14" s="57" t="s">
        <v>816</v>
      </c>
      <c r="S14" s="47"/>
    </row>
    <row r="15" spans="2:19" s="33" customFormat="1" ht="33" customHeight="1">
      <c r="B15" s="47" t="s">
        <v>78</v>
      </c>
      <c r="C15" s="48" t="s">
        <v>570</v>
      </c>
      <c r="D15" s="49" t="s">
        <v>571</v>
      </c>
      <c r="E15" s="50">
        <v>43519</v>
      </c>
      <c r="F15" s="49" t="s">
        <v>79</v>
      </c>
      <c r="G15" s="51">
        <v>20000</v>
      </c>
      <c r="H15" s="52">
        <f t="shared" si="0"/>
        <v>80</v>
      </c>
      <c r="I15" s="52">
        <f t="shared" si="1"/>
        <v>20</v>
      </c>
      <c r="J15" s="49"/>
      <c r="K15" s="53">
        <v>43590</v>
      </c>
      <c r="L15" s="54" t="s">
        <v>602</v>
      </c>
      <c r="M15" s="55">
        <v>43577</v>
      </c>
      <c r="N15" s="56" t="s">
        <v>1907</v>
      </c>
      <c r="O15" s="55">
        <v>43583</v>
      </c>
      <c r="P15" s="54" t="s">
        <v>1912</v>
      </c>
      <c r="Q15" s="49" t="s">
        <v>82</v>
      </c>
      <c r="R15" s="57" t="s">
        <v>572</v>
      </c>
      <c r="S15" s="47"/>
    </row>
    <row r="16" spans="2:19" s="30" customFormat="1" ht="33" customHeight="1">
      <c r="B16" s="46" t="s">
        <v>78</v>
      </c>
      <c r="C16" s="35" t="s">
        <v>573</v>
      </c>
      <c r="D16" s="36" t="s">
        <v>574</v>
      </c>
      <c r="E16" s="37">
        <v>43519</v>
      </c>
      <c r="F16" s="36" t="s">
        <v>79</v>
      </c>
      <c r="G16" s="39">
        <v>20000</v>
      </c>
      <c r="H16" s="38">
        <f>SUM(G16/250)</f>
        <v>80</v>
      </c>
      <c r="I16" s="38">
        <f>SUM(H16/4)</f>
        <v>20</v>
      </c>
      <c r="J16" s="36"/>
      <c r="K16" s="40">
        <v>43604</v>
      </c>
      <c r="L16" s="41" t="s">
        <v>757</v>
      </c>
      <c r="M16" s="42">
        <v>43598</v>
      </c>
      <c r="N16" s="43" t="s">
        <v>756</v>
      </c>
      <c r="O16" s="42">
        <v>43604</v>
      </c>
      <c r="P16" s="41" t="s">
        <v>1916</v>
      </c>
      <c r="Q16" s="36" t="s">
        <v>82</v>
      </c>
      <c r="R16" s="44" t="s">
        <v>1917</v>
      </c>
      <c r="S16" s="46"/>
    </row>
    <row r="17" spans="2:19" s="30" customFormat="1" ht="33" customHeight="1">
      <c r="B17" s="46" t="s">
        <v>78</v>
      </c>
      <c r="C17" s="35" t="s">
        <v>1918</v>
      </c>
      <c r="D17" s="36" t="s">
        <v>577</v>
      </c>
      <c r="E17" s="37">
        <v>43519</v>
      </c>
      <c r="F17" s="36" t="s">
        <v>1900</v>
      </c>
      <c r="G17" s="39">
        <v>10000</v>
      </c>
      <c r="H17" s="38">
        <f>SUM(G17/250)</f>
        <v>40</v>
      </c>
      <c r="I17" s="38">
        <f>SUM(H17/4)</f>
        <v>10</v>
      </c>
      <c r="J17" s="36"/>
      <c r="K17" s="40">
        <v>43598</v>
      </c>
      <c r="L17" s="41" t="s">
        <v>803</v>
      </c>
      <c r="M17" s="42">
        <v>43598</v>
      </c>
      <c r="N17" s="43" t="s">
        <v>804</v>
      </c>
      <c r="O17" s="42">
        <v>43604</v>
      </c>
      <c r="P17" s="41" t="s">
        <v>1919</v>
      </c>
      <c r="Q17" s="36" t="s">
        <v>82</v>
      </c>
      <c r="R17" s="44" t="s">
        <v>820</v>
      </c>
      <c r="S17" s="46"/>
    </row>
    <row r="18" spans="2:19" s="30" customFormat="1" ht="33" customHeight="1">
      <c r="B18" s="46" t="s">
        <v>220</v>
      </c>
      <c r="C18" s="35" t="s">
        <v>579</v>
      </c>
      <c r="D18" s="36" t="s">
        <v>580</v>
      </c>
      <c r="E18" s="37">
        <v>43519</v>
      </c>
      <c r="F18" s="36" t="s">
        <v>79</v>
      </c>
      <c r="G18" s="39">
        <v>10000</v>
      </c>
      <c r="H18" s="38">
        <f>SUM(G18/250)</f>
        <v>40</v>
      </c>
      <c r="I18" s="38">
        <f>SUM(H18/4)</f>
        <v>10</v>
      </c>
      <c r="J18" s="36"/>
      <c r="K18" s="40">
        <v>43598</v>
      </c>
      <c r="L18" s="41" t="s">
        <v>803</v>
      </c>
      <c r="M18" s="42">
        <v>43598</v>
      </c>
      <c r="N18" s="43" t="s">
        <v>804</v>
      </c>
      <c r="O18" s="42">
        <v>43604</v>
      </c>
      <c r="P18" s="41" t="s">
        <v>1813</v>
      </c>
      <c r="Q18" s="36"/>
      <c r="R18" s="44" t="s">
        <v>1922</v>
      </c>
      <c r="S18" s="46"/>
    </row>
    <row r="19" spans="2:19" s="30" customFormat="1" ht="33" customHeight="1">
      <c r="B19" s="46" t="s">
        <v>78</v>
      </c>
      <c r="C19" s="35" t="s">
        <v>576</v>
      </c>
      <c r="D19" s="36" t="s">
        <v>577</v>
      </c>
      <c r="E19" s="37">
        <v>43519</v>
      </c>
      <c r="F19" s="36" t="s">
        <v>79</v>
      </c>
      <c r="G19" s="39">
        <v>20000</v>
      </c>
      <c r="H19" s="38">
        <f>SUM(G19/250)</f>
        <v>80</v>
      </c>
      <c r="I19" s="38">
        <f>SUM(H19/4)</f>
        <v>20</v>
      </c>
      <c r="J19" s="36"/>
      <c r="K19" s="40">
        <v>43611</v>
      </c>
      <c r="L19" s="41" t="s">
        <v>817</v>
      </c>
      <c r="M19" s="42">
        <v>43605</v>
      </c>
      <c r="N19" s="43" t="s">
        <v>818</v>
      </c>
      <c r="O19" s="42">
        <v>43611</v>
      </c>
      <c r="P19" s="41" t="s">
        <v>1925</v>
      </c>
      <c r="Q19" s="36" t="s">
        <v>82</v>
      </c>
      <c r="R19" s="44" t="s">
        <v>578</v>
      </c>
      <c r="S19" s="46"/>
    </row>
    <row r="20" spans="2:19" s="30" customFormat="1" ht="33" customHeight="1">
      <c r="B20" s="46" t="s">
        <v>78</v>
      </c>
      <c r="C20" s="35" t="s">
        <v>685</v>
      </c>
      <c r="D20" s="36" t="s">
        <v>686</v>
      </c>
      <c r="E20" s="37">
        <v>43532</v>
      </c>
      <c r="F20" s="36" t="s">
        <v>79</v>
      </c>
      <c r="G20" s="39">
        <v>20000</v>
      </c>
      <c r="H20" s="38">
        <f>SUM(G20/250)</f>
        <v>80</v>
      </c>
      <c r="I20" s="38">
        <f>SUM(H20/4)</f>
        <v>20</v>
      </c>
      <c r="J20" s="36"/>
      <c r="K20" s="40">
        <v>43625</v>
      </c>
      <c r="L20" s="41" t="s">
        <v>1927</v>
      </c>
      <c r="M20" s="42">
        <v>43619</v>
      </c>
      <c r="N20" s="43" t="s">
        <v>822</v>
      </c>
      <c r="O20" s="42">
        <v>43625</v>
      </c>
      <c r="P20" s="41"/>
      <c r="Q20" s="36" t="s">
        <v>82</v>
      </c>
      <c r="R20" s="44" t="s">
        <v>1929</v>
      </c>
      <c r="S20" s="46"/>
    </row>
    <row r="21" spans="2:19" s="30" customFormat="1" ht="33" customHeight="1">
      <c r="B21" s="46" t="s">
        <v>78</v>
      </c>
      <c r="C21" s="35" t="s">
        <v>1332</v>
      </c>
      <c r="D21" s="36" t="s">
        <v>1366</v>
      </c>
      <c r="E21" s="37">
        <v>43532</v>
      </c>
      <c r="F21" s="36" t="s">
        <v>79</v>
      </c>
      <c r="G21" s="39">
        <v>20000</v>
      </c>
      <c r="H21" s="38">
        <f t="shared" ref="H21" si="2">SUM(G21/250)</f>
        <v>80</v>
      </c>
      <c r="I21" s="38">
        <f t="shared" si="1"/>
        <v>20</v>
      </c>
      <c r="J21" s="36"/>
      <c r="K21" s="40">
        <v>43625</v>
      </c>
      <c r="L21" s="41" t="s">
        <v>1927</v>
      </c>
      <c r="M21" s="42">
        <v>43619</v>
      </c>
      <c r="N21" s="43" t="s">
        <v>822</v>
      </c>
      <c r="O21" s="42">
        <v>43625</v>
      </c>
      <c r="P21" s="41"/>
      <c r="Q21" s="36" t="s">
        <v>82</v>
      </c>
      <c r="R21" s="44" t="s">
        <v>1929</v>
      </c>
      <c r="S21" s="46" t="s">
        <v>479</v>
      </c>
    </row>
    <row r="22" spans="2:19" s="30" customFormat="1" ht="33" customHeight="1">
      <c r="B22" s="46" t="s">
        <v>220</v>
      </c>
      <c r="C22" s="35" t="s">
        <v>688</v>
      </c>
      <c r="D22" s="36" t="s">
        <v>689</v>
      </c>
      <c r="E22" s="37">
        <v>43532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43632</v>
      </c>
      <c r="L22" s="41" t="s">
        <v>1931</v>
      </c>
      <c r="M22" s="42">
        <v>43626</v>
      </c>
      <c r="N22" s="43" t="s">
        <v>759</v>
      </c>
      <c r="O22" s="42">
        <v>43632</v>
      </c>
      <c r="P22" s="41" t="s">
        <v>1933</v>
      </c>
      <c r="Q22" s="36"/>
      <c r="R22" s="44" t="s">
        <v>1934</v>
      </c>
      <c r="S22" s="46"/>
    </row>
    <row r="23" spans="2:19" s="30" customFormat="1" ht="33" customHeight="1">
      <c r="B23" s="46" t="s">
        <v>78</v>
      </c>
      <c r="C23" s="35" t="s">
        <v>691</v>
      </c>
      <c r="D23" s="36" t="s">
        <v>692</v>
      </c>
      <c r="E23" s="37">
        <v>43532</v>
      </c>
      <c r="F23" s="36" t="s">
        <v>79</v>
      </c>
      <c r="G23" s="39">
        <v>20000</v>
      </c>
      <c r="H23" s="38">
        <f t="shared" si="0"/>
        <v>80</v>
      </c>
      <c r="I23" s="38">
        <f t="shared" si="1"/>
        <v>20</v>
      </c>
      <c r="J23" s="36"/>
      <c r="K23" s="40">
        <v>43639</v>
      </c>
      <c r="L23" s="41" t="s">
        <v>1935</v>
      </c>
      <c r="M23" s="42">
        <v>43633</v>
      </c>
      <c r="N23" s="43" t="s">
        <v>1936</v>
      </c>
      <c r="O23" s="42">
        <v>43639</v>
      </c>
      <c r="P23" s="41"/>
      <c r="Q23" s="36" t="s">
        <v>82</v>
      </c>
      <c r="R23" s="44" t="s">
        <v>824</v>
      </c>
      <c r="S23" s="46"/>
    </row>
    <row r="24" spans="2:19" s="30" customFormat="1" ht="33" customHeight="1">
      <c r="B24" s="46" t="s">
        <v>78</v>
      </c>
      <c r="C24" s="35" t="s">
        <v>1938</v>
      </c>
      <c r="D24" s="36" t="s">
        <v>1156</v>
      </c>
      <c r="E24" s="37">
        <v>43566</v>
      </c>
      <c r="F24" s="36" t="s">
        <v>79</v>
      </c>
      <c r="G24" s="39">
        <v>6000</v>
      </c>
      <c r="H24" s="38">
        <f>SUM(G24/250)</f>
        <v>24</v>
      </c>
      <c r="I24" s="38">
        <f>SUM(H24/4)</f>
        <v>6</v>
      </c>
      <c r="J24" s="36"/>
      <c r="K24" s="40">
        <v>43611</v>
      </c>
      <c r="L24" s="41" t="s">
        <v>603</v>
      </c>
      <c r="M24" s="42">
        <v>43605</v>
      </c>
      <c r="N24" s="43" t="s">
        <v>1080</v>
      </c>
      <c r="O24" s="42">
        <v>43611</v>
      </c>
      <c r="P24" s="41" t="s">
        <v>1940</v>
      </c>
      <c r="Q24" s="36" t="s">
        <v>82</v>
      </c>
      <c r="R24" s="44" t="s">
        <v>1941</v>
      </c>
      <c r="S24" s="46"/>
    </row>
    <row r="25" spans="2:19" s="30" customFormat="1" ht="33" customHeight="1">
      <c r="B25" s="46" t="s">
        <v>1942</v>
      </c>
      <c r="C25" s="35" t="s">
        <v>986</v>
      </c>
      <c r="D25" s="36" t="s">
        <v>1156</v>
      </c>
      <c r="E25" s="37">
        <v>43566</v>
      </c>
      <c r="F25" s="36" t="s">
        <v>79</v>
      </c>
      <c r="G25" s="39">
        <v>14000</v>
      </c>
      <c r="H25" s="38">
        <f>SUM(G25/250)</f>
        <v>56</v>
      </c>
      <c r="I25" s="38">
        <f>SUM(H25/4)</f>
        <v>14</v>
      </c>
      <c r="J25" s="36"/>
      <c r="K25" s="40">
        <v>43611</v>
      </c>
      <c r="L25" s="41" t="s">
        <v>603</v>
      </c>
      <c r="M25" s="42">
        <v>43605</v>
      </c>
      <c r="N25" s="43" t="s">
        <v>1080</v>
      </c>
      <c r="O25" s="42">
        <v>43611</v>
      </c>
      <c r="P25" s="41" t="s">
        <v>1943</v>
      </c>
      <c r="Q25" s="36"/>
      <c r="R25" s="44" t="s">
        <v>1941</v>
      </c>
      <c r="S25" s="46"/>
    </row>
    <row r="26" spans="2:19" s="30" customFormat="1" ht="33" customHeight="1">
      <c r="B26" s="46" t="s">
        <v>78</v>
      </c>
      <c r="C26" s="35" t="s">
        <v>988</v>
      </c>
      <c r="D26" s="36" t="s">
        <v>1944</v>
      </c>
      <c r="E26" s="37">
        <v>43566</v>
      </c>
      <c r="F26" s="36" t="s">
        <v>79</v>
      </c>
      <c r="G26" s="39">
        <v>20000</v>
      </c>
      <c r="H26" s="38">
        <f t="shared" ref="H26:H34" si="3">SUM(G26/250)</f>
        <v>80</v>
      </c>
      <c r="I26" s="38">
        <f t="shared" si="1"/>
        <v>20</v>
      </c>
      <c r="J26" s="36"/>
      <c r="K26" s="40">
        <v>43632</v>
      </c>
      <c r="L26" s="41" t="s">
        <v>1081</v>
      </c>
      <c r="M26" s="42">
        <v>43626</v>
      </c>
      <c r="N26" s="43" t="s">
        <v>1082</v>
      </c>
      <c r="O26" s="42">
        <v>43632</v>
      </c>
      <c r="P26" s="41"/>
      <c r="Q26" s="36" t="s">
        <v>82</v>
      </c>
      <c r="R26" s="44" t="s">
        <v>989</v>
      </c>
      <c r="S26" s="46"/>
    </row>
    <row r="27" spans="2:19" s="30" customFormat="1" ht="33" customHeight="1">
      <c r="B27" s="46" t="s">
        <v>78</v>
      </c>
      <c r="C27" s="35" t="s">
        <v>1160</v>
      </c>
      <c r="D27" s="36" t="s">
        <v>1161</v>
      </c>
      <c r="E27" s="37">
        <v>43567</v>
      </c>
      <c r="F27" s="36" t="s">
        <v>809</v>
      </c>
      <c r="G27" s="39">
        <v>40000</v>
      </c>
      <c r="H27" s="38">
        <f t="shared" si="3"/>
        <v>160</v>
      </c>
      <c r="I27" s="38">
        <f t="shared" si="1"/>
        <v>40</v>
      </c>
      <c r="J27" s="36"/>
      <c r="K27" s="40">
        <v>43646</v>
      </c>
      <c r="L27" s="41" t="s">
        <v>1316</v>
      </c>
      <c r="M27" s="42">
        <v>43640</v>
      </c>
      <c r="N27" s="43" t="s">
        <v>1948</v>
      </c>
      <c r="O27" s="42">
        <v>43646</v>
      </c>
      <c r="P27" s="41"/>
      <c r="Q27" s="36" t="s">
        <v>82</v>
      </c>
      <c r="R27" s="125" t="s">
        <v>2141</v>
      </c>
      <c r="S27" s="122" t="s">
        <v>2140</v>
      </c>
    </row>
    <row r="28" spans="2:19" s="30" customFormat="1" ht="33" customHeight="1">
      <c r="B28" s="46" t="s">
        <v>220</v>
      </c>
      <c r="C28" s="35" t="s">
        <v>1163</v>
      </c>
      <c r="D28" s="36" t="s">
        <v>1164</v>
      </c>
      <c r="E28" s="37">
        <v>43567</v>
      </c>
      <c r="F28" s="36" t="s">
        <v>79</v>
      </c>
      <c r="G28" s="39">
        <v>20000</v>
      </c>
      <c r="H28" s="38">
        <f t="shared" si="3"/>
        <v>80</v>
      </c>
      <c r="I28" s="38">
        <f t="shared" si="1"/>
        <v>20</v>
      </c>
      <c r="J28" s="36"/>
      <c r="K28" s="40">
        <v>43646</v>
      </c>
      <c r="L28" s="41" t="s">
        <v>1316</v>
      </c>
      <c r="M28" s="42">
        <v>43640</v>
      </c>
      <c r="N28" s="43" t="s">
        <v>1948</v>
      </c>
      <c r="O28" s="42">
        <v>43646</v>
      </c>
      <c r="P28" s="41"/>
      <c r="Q28" s="36"/>
      <c r="R28" s="125" t="s">
        <v>2139</v>
      </c>
      <c r="S28" s="122" t="s">
        <v>2140</v>
      </c>
    </row>
    <row r="29" spans="2:19" s="30" customFormat="1" ht="33" customHeight="1">
      <c r="B29" s="46" t="s">
        <v>78</v>
      </c>
      <c r="C29" s="35" t="s">
        <v>1166</v>
      </c>
      <c r="D29" s="36" t="s">
        <v>1167</v>
      </c>
      <c r="E29" s="37">
        <v>43567</v>
      </c>
      <c r="F29" s="36" t="s">
        <v>79</v>
      </c>
      <c r="G29" s="39">
        <v>20000</v>
      </c>
      <c r="H29" s="38">
        <f t="shared" si="3"/>
        <v>80</v>
      </c>
      <c r="I29" s="38">
        <f t="shared" si="1"/>
        <v>20</v>
      </c>
      <c r="J29" s="36"/>
      <c r="K29" s="40">
        <v>43653</v>
      </c>
      <c r="L29" s="41" t="s">
        <v>1949</v>
      </c>
      <c r="M29" s="42">
        <v>43647</v>
      </c>
      <c r="N29" s="43" t="s">
        <v>1950</v>
      </c>
      <c r="O29" s="42">
        <v>43653</v>
      </c>
      <c r="P29" s="41"/>
      <c r="Q29" s="36" t="s">
        <v>82</v>
      </c>
      <c r="R29" s="125" t="s">
        <v>2142</v>
      </c>
      <c r="S29" s="122" t="s">
        <v>2140</v>
      </c>
    </row>
    <row r="30" spans="2:19" s="30" customFormat="1" ht="33" customHeight="1">
      <c r="B30" s="46" t="s">
        <v>78</v>
      </c>
      <c r="C30" s="35" t="s">
        <v>1169</v>
      </c>
      <c r="D30" s="36" t="s">
        <v>1170</v>
      </c>
      <c r="E30" s="37">
        <v>43567</v>
      </c>
      <c r="F30" s="36" t="s">
        <v>79</v>
      </c>
      <c r="G30" s="39">
        <v>20000</v>
      </c>
      <c r="H30" s="38">
        <f t="shared" si="3"/>
        <v>80</v>
      </c>
      <c r="I30" s="38">
        <f t="shared" si="1"/>
        <v>20</v>
      </c>
      <c r="J30" s="36"/>
      <c r="K30" s="40">
        <v>43660</v>
      </c>
      <c r="L30" s="41" t="s">
        <v>1951</v>
      </c>
      <c r="M30" s="42">
        <v>43654</v>
      </c>
      <c r="N30" s="43" t="s">
        <v>1952</v>
      </c>
      <c r="O30" s="42">
        <v>43660</v>
      </c>
      <c r="P30" s="41"/>
      <c r="Q30" s="36" t="s">
        <v>82</v>
      </c>
      <c r="R30" s="44" t="s">
        <v>1171</v>
      </c>
      <c r="S30" s="46"/>
    </row>
    <row r="31" spans="2:19" s="30" customFormat="1" ht="33" customHeight="1">
      <c r="B31" s="46" t="s">
        <v>78</v>
      </c>
      <c r="C31" s="35" t="s">
        <v>1172</v>
      </c>
      <c r="D31" s="36" t="s">
        <v>1173</v>
      </c>
      <c r="E31" s="37">
        <v>43567</v>
      </c>
      <c r="F31" s="36" t="s">
        <v>79</v>
      </c>
      <c r="G31" s="39">
        <v>20000</v>
      </c>
      <c r="H31" s="38">
        <f t="shared" si="3"/>
        <v>80</v>
      </c>
      <c r="I31" s="38">
        <f t="shared" si="1"/>
        <v>20</v>
      </c>
      <c r="J31" s="36"/>
      <c r="K31" s="40">
        <v>43667</v>
      </c>
      <c r="L31" s="41" t="s">
        <v>1320</v>
      </c>
      <c r="M31" s="42">
        <v>43658</v>
      </c>
      <c r="N31" s="43" t="s">
        <v>1955</v>
      </c>
      <c r="O31" s="42">
        <v>43667</v>
      </c>
      <c r="P31" s="41"/>
      <c r="Q31" s="36" t="s">
        <v>82</v>
      </c>
      <c r="R31" s="44" t="s">
        <v>1621</v>
      </c>
      <c r="S31" s="46"/>
    </row>
    <row r="32" spans="2:19" s="30" customFormat="1" ht="33" customHeight="1">
      <c r="B32" s="46" t="s">
        <v>220</v>
      </c>
      <c r="C32" s="35" t="s">
        <v>1175</v>
      </c>
      <c r="D32" s="36" t="s">
        <v>1176</v>
      </c>
      <c r="E32" s="37">
        <v>43567</v>
      </c>
      <c r="F32" s="36" t="s">
        <v>79</v>
      </c>
      <c r="G32" s="39">
        <v>20000</v>
      </c>
      <c r="H32" s="38">
        <f t="shared" si="3"/>
        <v>80</v>
      </c>
      <c r="I32" s="38">
        <f t="shared" si="1"/>
        <v>20</v>
      </c>
      <c r="J32" s="36"/>
      <c r="K32" s="40">
        <v>43667</v>
      </c>
      <c r="L32" s="41" t="s">
        <v>1319</v>
      </c>
      <c r="M32" s="42">
        <v>43658</v>
      </c>
      <c r="N32" s="43" t="s">
        <v>1955</v>
      </c>
      <c r="O32" s="42">
        <v>43667</v>
      </c>
      <c r="P32" s="41"/>
      <c r="Q32" s="36"/>
      <c r="R32" s="44" t="s">
        <v>1177</v>
      </c>
      <c r="S32" s="46"/>
    </row>
    <row r="33" spans="2:19" s="30" customFormat="1" ht="33" customHeight="1">
      <c r="B33" s="46" t="s">
        <v>78</v>
      </c>
      <c r="C33" s="35" t="s">
        <v>1178</v>
      </c>
      <c r="D33" s="36" t="s">
        <v>1179</v>
      </c>
      <c r="E33" s="37">
        <v>43567</v>
      </c>
      <c r="F33" s="36" t="s">
        <v>1900</v>
      </c>
      <c r="G33" s="39">
        <v>10000</v>
      </c>
      <c r="H33" s="38">
        <f t="shared" si="3"/>
        <v>40</v>
      </c>
      <c r="I33" s="38">
        <f t="shared" si="1"/>
        <v>10</v>
      </c>
      <c r="J33" s="36"/>
      <c r="K33" s="40">
        <v>43674</v>
      </c>
      <c r="L33" s="41" t="s">
        <v>1958</v>
      </c>
      <c r="M33" s="42">
        <v>43668</v>
      </c>
      <c r="N33" s="43" t="s">
        <v>1959</v>
      </c>
      <c r="O33" s="42">
        <v>43674</v>
      </c>
      <c r="P33" s="41"/>
      <c r="Q33" s="36" t="s">
        <v>82</v>
      </c>
      <c r="R33" s="44" t="s">
        <v>1180</v>
      </c>
      <c r="S33" s="46"/>
    </row>
    <row r="34" spans="2:19" s="30" customFormat="1" ht="33" customHeight="1">
      <c r="B34" s="46" t="s">
        <v>220</v>
      </c>
      <c r="C34" s="35" t="s">
        <v>1181</v>
      </c>
      <c r="D34" s="36" t="s">
        <v>1182</v>
      </c>
      <c r="E34" s="37">
        <v>43567</v>
      </c>
      <c r="F34" s="36" t="s">
        <v>1900</v>
      </c>
      <c r="G34" s="39">
        <v>10000</v>
      </c>
      <c r="H34" s="38">
        <f t="shared" si="3"/>
        <v>40</v>
      </c>
      <c r="I34" s="38">
        <f t="shared" si="1"/>
        <v>10</v>
      </c>
      <c r="J34" s="36"/>
      <c r="K34" s="40">
        <v>43674</v>
      </c>
      <c r="L34" s="41" t="s">
        <v>1321</v>
      </c>
      <c r="M34" s="42">
        <v>43668</v>
      </c>
      <c r="N34" s="43" t="s">
        <v>1959</v>
      </c>
      <c r="O34" s="42">
        <v>43674</v>
      </c>
      <c r="P34" s="41"/>
      <c r="Q34" s="36"/>
      <c r="R34" s="44" t="s">
        <v>1961</v>
      </c>
      <c r="S34" s="46"/>
    </row>
    <row r="35" spans="2:19" s="96" customFormat="1" ht="33" customHeight="1">
      <c r="B35" s="47" t="s">
        <v>17</v>
      </c>
      <c r="C35" s="48" t="s">
        <v>361</v>
      </c>
      <c r="D35" s="49" t="s">
        <v>384</v>
      </c>
      <c r="E35" s="50">
        <v>43441</v>
      </c>
      <c r="F35" s="52" t="s">
        <v>84</v>
      </c>
      <c r="G35" s="51">
        <v>9200</v>
      </c>
      <c r="H35" s="52">
        <f t="shared" ref="H35:H40" si="4">SUM(G35/230)</f>
        <v>40</v>
      </c>
      <c r="I35" s="52">
        <f t="shared" si="1"/>
        <v>10</v>
      </c>
      <c r="J35" s="49"/>
      <c r="K35" s="53">
        <v>43548</v>
      </c>
      <c r="L35" s="54" t="s">
        <v>1962</v>
      </c>
      <c r="M35" s="55">
        <v>43543</v>
      </c>
      <c r="N35" s="56" t="s">
        <v>1963</v>
      </c>
      <c r="O35" s="55">
        <v>43548</v>
      </c>
      <c r="P35" s="58"/>
      <c r="Q35" s="52" t="s">
        <v>82</v>
      </c>
      <c r="R35" s="57" t="s">
        <v>1964</v>
      </c>
      <c r="S35" s="47"/>
    </row>
    <row r="36" spans="2:19" s="96" customFormat="1" ht="33" customHeight="1">
      <c r="B36" s="47" t="s">
        <v>17</v>
      </c>
      <c r="C36" s="48" t="s">
        <v>427</v>
      </c>
      <c r="D36" s="49" t="s">
        <v>1965</v>
      </c>
      <c r="E36" s="50">
        <v>43483</v>
      </c>
      <c r="F36" s="52" t="s">
        <v>84</v>
      </c>
      <c r="G36" s="51">
        <v>9200</v>
      </c>
      <c r="H36" s="52">
        <f t="shared" si="4"/>
        <v>40</v>
      </c>
      <c r="I36" s="52">
        <f t="shared" si="1"/>
        <v>10</v>
      </c>
      <c r="J36" s="49"/>
      <c r="K36" s="53">
        <v>43576</v>
      </c>
      <c r="L36" s="54" t="s">
        <v>1966</v>
      </c>
      <c r="M36" s="55">
        <v>43571</v>
      </c>
      <c r="N36" s="56" t="s">
        <v>1967</v>
      </c>
      <c r="O36" s="55">
        <v>43576</v>
      </c>
      <c r="P36" s="58"/>
      <c r="Q36" s="52" t="s">
        <v>82</v>
      </c>
      <c r="R36" s="57" t="s">
        <v>1968</v>
      </c>
      <c r="S36" s="47"/>
    </row>
    <row r="37" spans="2:19" s="67" customFormat="1" ht="33" customHeight="1">
      <c r="B37" s="46" t="s">
        <v>17</v>
      </c>
      <c r="C37" s="35" t="s">
        <v>581</v>
      </c>
      <c r="D37" s="36" t="s">
        <v>582</v>
      </c>
      <c r="E37" s="37">
        <v>43519</v>
      </c>
      <c r="F37" s="38" t="s">
        <v>84</v>
      </c>
      <c r="G37" s="39">
        <v>9200</v>
      </c>
      <c r="H37" s="38">
        <f t="shared" si="4"/>
        <v>40</v>
      </c>
      <c r="I37" s="38">
        <f t="shared" si="1"/>
        <v>10</v>
      </c>
      <c r="J37" s="36"/>
      <c r="K37" s="40">
        <v>43632</v>
      </c>
      <c r="L37" s="119" t="s">
        <v>2161</v>
      </c>
      <c r="M37" s="120">
        <v>43620</v>
      </c>
      <c r="N37" s="121" t="s">
        <v>2159</v>
      </c>
      <c r="O37" s="120">
        <v>43625</v>
      </c>
      <c r="P37" s="45"/>
      <c r="Q37" s="38" t="s">
        <v>82</v>
      </c>
      <c r="R37" s="44" t="s">
        <v>1970</v>
      </c>
      <c r="S37" s="46"/>
    </row>
    <row r="38" spans="2:19" s="67" customFormat="1" ht="33" customHeight="1">
      <c r="B38" s="46" t="s">
        <v>17</v>
      </c>
      <c r="C38" s="35" t="s">
        <v>694</v>
      </c>
      <c r="D38" s="36" t="s">
        <v>695</v>
      </c>
      <c r="E38" s="37">
        <v>43532</v>
      </c>
      <c r="F38" s="38" t="s">
        <v>1971</v>
      </c>
      <c r="G38" s="39">
        <v>9200</v>
      </c>
      <c r="H38" s="38">
        <f t="shared" si="4"/>
        <v>40</v>
      </c>
      <c r="I38" s="38">
        <f t="shared" si="1"/>
        <v>10</v>
      </c>
      <c r="J38" s="36"/>
      <c r="K38" s="40">
        <v>43660</v>
      </c>
      <c r="L38" s="41" t="s">
        <v>1972</v>
      </c>
      <c r="M38" s="42">
        <v>43655</v>
      </c>
      <c r="N38" s="43" t="s">
        <v>1973</v>
      </c>
      <c r="O38" s="42">
        <v>43660</v>
      </c>
      <c r="P38" s="45"/>
      <c r="Q38" s="38" t="s">
        <v>82</v>
      </c>
      <c r="R38" s="44" t="s">
        <v>1974</v>
      </c>
      <c r="S38" s="46"/>
    </row>
    <row r="39" spans="2:19" s="67" customFormat="1" ht="33" customHeight="1">
      <c r="B39" s="46" t="s">
        <v>81</v>
      </c>
      <c r="C39" s="35" t="s">
        <v>279</v>
      </c>
      <c r="D39" s="36" t="s">
        <v>288</v>
      </c>
      <c r="E39" s="37">
        <v>43392</v>
      </c>
      <c r="F39" s="38" t="s">
        <v>84</v>
      </c>
      <c r="G39" s="39">
        <v>11960</v>
      </c>
      <c r="H39" s="38">
        <f t="shared" si="4"/>
        <v>52</v>
      </c>
      <c r="I39" s="38">
        <f t="shared" si="1"/>
        <v>13</v>
      </c>
      <c r="J39" s="38"/>
      <c r="K39" s="40">
        <v>43597</v>
      </c>
      <c r="L39" s="41" t="s">
        <v>1976</v>
      </c>
      <c r="M39" s="42">
        <v>43594</v>
      </c>
      <c r="N39" s="43" t="s">
        <v>1977</v>
      </c>
      <c r="O39" s="42">
        <v>43598</v>
      </c>
      <c r="P39" s="45" t="s">
        <v>1978</v>
      </c>
      <c r="Q39" s="46"/>
      <c r="R39" s="44" t="s">
        <v>1979</v>
      </c>
      <c r="S39" s="46"/>
    </row>
    <row r="40" spans="2:19" s="67" customFormat="1" ht="33" customHeight="1">
      <c r="B40" s="46" t="s">
        <v>81</v>
      </c>
      <c r="C40" s="35" t="s">
        <v>1980</v>
      </c>
      <c r="D40" s="36" t="s">
        <v>288</v>
      </c>
      <c r="E40" s="37">
        <v>43392</v>
      </c>
      <c r="F40" s="38" t="s">
        <v>84</v>
      </c>
      <c r="G40" s="39">
        <v>1840</v>
      </c>
      <c r="H40" s="38">
        <f t="shared" si="4"/>
        <v>8</v>
      </c>
      <c r="I40" s="38">
        <f t="shared" si="1"/>
        <v>2</v>
      </c>
      <c r="J40" s="38"/>
      <c r="K40" s="40">
        <v>43597</v>
      </c>
      <c r="L40" s="41" t="s">
        <v>773</v>
      </c>
      <c r="M40" s="42">
        <v>43601</v>
      </c>
      <c r="N40" s="43" t="s">
        <v>1981</v>
      </c>
      <c r="O40" s="42">
        <v>43605</v>
      </c>
      <c r="P40" s="45" t="s">
        <v>1978</v>
      </c>
      <c r="Q40" s="46"/>
      <c r="R40" s="44" t="s">
        <v>1979</v>
      </c>
      <c r="S40" s="46" t="s">
        <v>1329</v>
      </c>
    </row>
    <row r="41" spans="2:19" s="96" customFormat="1" ht="33" customHeight="1">
      <c r="B41" s="47" t="s">
        <v>81</v>
      </c>
      <c r="C41" s="48" t="s">
        <v>318</v>
      </c>
      <c r="D41" s="49" t="s">
        <v>319</v>
      </c>
      <c r="E41" s="50">
        <v>43420</v>
      </c>
      <c r="F41" s="52" t="s">
        <v>1971</v>
      </c>
      <c r="G41" s="51">
        <v>17940</v>
      </c>
      <c r="H41" s="52">
        <f>SUM(G41/230)</f>
        <v>78</v>
      </c>
      <c r="I41" s="52">
        <f>SUM(H41/4)</f>
        <v>19.5</v>
      </c>
      <c r="J41" s="52"/>
      <c r="K41" s="53">
        <v>43576</v>
      </c>
      <c r="L41" s="54" t="s">
        <v>480</v>
      </c>
      <c r="M41" s="55">
        <v>43564</v>
      </c>
      <c r="N41" s="56" t="s">
        <v>1982</v>
      </c>
      <c r="O41" s="55">
        <v>43569</v>
      </c>
      <c r="P41" s="58"/>
      <c r="Q41" s="47"/>
      <c r="R41" s="57" t="s">
        <v>1983</v>
      </c>
      <c r="S41" s="47" t="s">
        <v>1984</v>
      </c>
    </row>
    <row r="42" spans="2:19" s="67" customFormat="1" ht="33" customHeight="1">
      <c r="B42" s="46" t="s">
        <v>81</v>
      </c>
      <c r="C42" s="35" t="s">
        <v>1985</v>
      </c>
      <c r="D42" s="36" t="s">
        <v>701</v>
      </c>
      <c r="E42" s="37">
        <v>43532</v>
      </c>
      <c r="F42" s="38" t="s">
        <v>1971</v>
      </c>
      <c r="G42" s="39">
        <v>13800</v>
      </c>
      <c r="H42" s="38">
        <f t="shared" ref="H42:H47" si="5">SUM(G42/230)</f>
        <v>60</v>
      </c>
      <c r="I42" s="38">
        <f t="shared" ref="I42:I47" si="6">SUM(H42/4)</f>
        <v>15</v>
      </c>
      <c r="J42" s="38"/>
      <c r="K42" s="130">
        <v>43615</v>
      </c>
      <c r="L42" s="119" t="s">
        <v>977</v>
      </c>
      <c r="M42" s="120">
        <v>43613</v>
      </c>
      <c r="N42" s="121" t="s">
        <v>2074</v>
      </c>
      <c r="O42" s="120">
        <v>43618</v>
      </c>
      <c r="P42" s="45"/>
      <c r="Q42" s="46"/>
      <c r="R42" s="44" t="s">
        <v>1986</v>
      </c>
      <c r="S42" s="46"/>
    </row>
    <row r="43" spans="2:19" s="67" customFormat="1" ht="33" customHeight="1">
      <c r="B43" s="122" t="s">
        <v>81</v>
      </c>
      <c r="C43" s="126" t="s">
        <v>2158</v>
      </c>
      <c r="D43" s="127" t="s">
        <v>701</v>
      </c>
      <c r="E43" s="128">
        <v>43532</v>
      </c>
      <c r="F43" s="124" t="s">
        <v>1971</v>
      </c>
      <c r="G43" s="129">
        <v>4600</v>
      </c>
      <c r="H43" s="124">
        <f t="shared" ref="H43" si="7">SUM(G43/230)</f>
        <v>20</v>
      </c>
      <c r="I43" s="124">
        <f t="shared" ref="I43" si="8">SUM(H43/4)</f>
        <v>5</v>
      </c>
      <c r="J43" s="124"/>
      <c r="K43" s="130">
        <v>43615</v>
      </c>
      <c r="L43" s="119" t="s">
        <v>2161</v>
      </c>
      <c r="M43" s="120">
        <v>43620</v>
      </c>
      <c r="N43" s="121" t="s">
        <v>2159</v>
      </c>
      <c r="O43" s="120">
        <v>43625</v>
      </c>
      <c r="P43" s="123"/>
      <c r="Q43" s="122"/>
      <c r="R43" s="125" t="s">
        <v>1986</v>
      </c>
      <c r="S43" s="122"/>
    </row>
    <row r="44" spans="2:19" s="67" customFormat="1" ht="33" customHeight="1">
      <c r="B44" s="46" t="s">
        <v>81</v>
      </c>
      <c r="C44" s="35" t="s">
        <v>702</v>
      </c>
      <c r="D44" s="36" t="s">
        <v>703</v>
      </c>
      <c r="E44" s="37">
        <v>43532</v>
      </c>
      <c r="F44" s="38" t="s">
        <v>1971</v>
      </c>
      <c r="G44" s="39">
        <v>9200</v>
      </c>
      <c r="H44" s="38">
        <f t="shared" si="5"/>
        <v>40</v>
      </c>
      <c r="I44" s="38">
        <f t="shared" si="6"/>
        <v>10</v>
      </c>
      <c r="J44" s="38"/>
      <c r="K44" s="130">
        <v>43632</v>
      </c>
      <c r="L44" s="119" t="s">
        <v>807</v>
      </c>
      <c r="M44" s="120">
        <v>43627</v>
      </c>
      <c r="N44" s="121" t="s">
        <v>808</v>
      </c>
      <c r="O44" s="120">
        <v>43632</v>
      </c>
      <c r="P44" s="45"/>
      <c r="Q44" s="46"/>
      <c r="R44" s="125" t="s">
        <v>2160</v>
      </c>
      <c r="S44" s="46"/>
    </row>
    <row r="45" spans="2:19" s="67" customFormat="1" ht="33" customHeight="1">
      <c r="B45" s="46" t="s">
        <v>81</v>
      </c>
      <c r="C45" s="35" t="s">
        <v>852</v>
      </c>
      <c r="D45" s="36" t="s">
        <v>1990</v>
      </c>
      <c r="E45" s="37">
        <v>43558</v>
      </c>
      <c r="F45" s="38" t="s">
        <v>1971</v>
      </c>
      <c r="G45" s="39">
        <v>9200</v>
      </c>
      <c r="H45" s="38">
        <f t="shared" si="5"/>
        <v>40</v>
      </c>
      <c r="I45" s="38">
        <f t="shared" si="6"/>
        <v>10</v>
      </c>
      <c r="J45" s="38"/>
      <c r="K45" s="130">
        <v>43639</v>
      </c>
      <c r="L45" s="119" t="s">
        <v>1083</v>
      </c>
      <c r="M45" s="120">
        <v>43634</v>
      </c>
      <c r="N45" s="121" t="s">
        <v>1084</v>
      </c>
      <c r="O45" s="120">
        <v>43639</v>
      </c>
      <c r="P45" s="45"/>
      <c r="Q45" s="46"/>
      <c r="R45" s="125" t="s">
        <v>2160</v>
      </c>
      <c r="S45" s="46"/>
    </row>
    <row r="46" spans="2:19" s="67" customFormat="1" ht="33" customHeight="1">
      <c r="B46" s="46" t="s">
        <v>81</v>
      </c>
      <c r="C46" s="35" t="s">
        <v>1435</v>
      </c>
      <c r="D46" s="36" t="s">
        <v>1436</v>
      </c>
      <c r="E46" s="37">
        <v>43574</v>
      </c>
      <c r="F46" s="38" t="s">
        <v>1971</v>
      </c>
      <c r="G46" s="39">
        <v>18400</v>
      </c>
      <c r="H46" s="38">
        <f t="shared" si="5"/>
        <v>80</v>
      </c>
      <c r="I46" s="38">
        <f t="shared" si="6"/>
        <v>20</v>
      </c>
      <c r="J46" s="38"/>
      <c r="K46" s="130">
        <v>43653</v>
      </c>
      <c r="L46" s="119" t="s">
        <v>1326</v>
      </c>
      <c r="M46" s="120">
        <v>43648</v>
      </c>
      <c r="N46" s="121" t="s">
        <v>2143</v>
      </c>
      <c r="O46" s="120">
        <v>43653</v>
      </c>
      <c r="P46" s="45"/>
      <c r="Q46" s="46"/>
      <c r="R46" s="125" t="s">
        <v>1993</v>
      </c>
      <c r="S46" s="46"/>
    </row>
    <row r="47" spans="2:19" s="67" customFormat="1" ht="33" customHeight="1">
      <c r="B47" s="46" t="s">
        <v>1994</v>
      </c>
      <c r="C47" s="35" t="s">
        <v>1995</v>
      </c>
      <c r="D47" s="36" t="s">
        <v>705</v>
      </c>
      <c r="E47" s="37">
        <v>43532</v>
      </c>
      <c r="F47" s="38" t="s">
        <v>1971</v>
      </c>
      <c r="G47" s="39">
        <v>920</v>
      </c>
      <c r="H47" s="38">
        <f t="shared" si="5"/>
        <v>4</v>
      </c>
      <c r="I47" s="38">
        <f t="shared" si="6"/>
        <v>1</v>
      </c>
      <c r="J47" s="38"/>
      <c r="K47" s="40">
        <v>43609</v>
      </c>
      <c r="L47" s="41" t="s">
        <v>773</v>
      </c>
      <c r="M47" s="42">
        <v>43601</v>
      </c>
      <c r="N47" s="43" t="s">
        <v>774</v>
      </c>
      <c r="O47" s="42">
        <v>43605</v>
      </c>
      <c r="P47" s="45"/>
      <c r="Q47" s="46"/>
      <c r="R47" s="44"/>
      <c r="S47" s="46" t="s">
        <v>1996</v>
      </c>
    </row>
    <row r="48" spans="2:19" s="96" customFormat="1" ht="33" customHeight="1">
      <c r="B48" s="47" t="s">
        <v>1997</v>
      </c>
      <c r="C48" s="48" t="s">
        <v>1995</v>
      </c>
      <c r="D48" s="49" t="s">
        <v>1998</v>
      </c>
      <c r="E48" s="50">
        <v>43511</v>
      </c>
      <c r="F48" s="52" t="s">
        <v>1971</v>
      </c>
      <c r="G48" s="51">
        <v>460</v>
      </c>
      <c r="H48" s="52">
        <f>SUM(G48/230)</f>
        <v>2</v>
      </c>
      <c r="I48" s="52">
        <f>SUM(H48/4)</f>
        <v>0.5</v>
      </c>
      <c r="J48" s="52"/>
      <c r="K48" s="53">
        <v>43576</v>
      </c>
      <c r="L48" s="54" t="s">
        <v>480</v>
      </c>
      <c r="M48" s="55">
        <v>43564</v>
      </c>
      <c r="N48" s="56" t="s">
        <v>646</v>
      </c>
      <c r="O48" s="55">
        <v>43569</v>
      </c>
      <c r="P48" s="58"/>
      <c r="Q48" s="47"/>
      <c r="R48" s="57" t="s">
        <v>1983</v>
      </c>
      <c r="S48" s="47"/>
    </row>
    <row r="49" spans="2:19" s="33" customFormat="1" ht="33" customHeight="1">
      <c r="B49" s="47" t="s">
        <v>1999</v>
      </c>
      <c r="C49" s="48" t="s">
        <v>324</v>
      </c>
      <c r="D49" s="49" t="s">
        <v>325</v>
      </c>
      <c r="E49" s="50">
        <v>43420</v>
      </c>
      <c r="F49" s="52" t="s">
        <v>1971</v>
      </c>
      <c r="G49" s="51">
        <v>1920</v>
      </c>
      <c r="H49" s="52">
        <f t="shared" ref="H49:H57" si="9">SUM(G49/20)</f>
        <v>96</v>
      </c>
      <c r="I49" s="52">
        <f t="shared" ref="I49:I57" si="10">SUM(H49/32)</f>
        <v>3</v>
      </c>
      <c r="J49" s="59"/>
      <c r="K49" s="53">
        <v>43541</v>
      </c>
      <c r="L49" s="54" t="s">
        <v>2000</v>
      </c>
      <c r="M49" s="55">
        <v>43531</v>
      </c>
      <c r="N49" s="56" t="s">
        <v>2001</v>
      </c>
      <c r="O49" s="55">
        <v>43535</v>
      </c>
      <c r="P49" s="58"/>
      <c r="Q49" s="60" t="s">
        <v>89</v>
      </c>
      <c r="R49" s="57" t="s">
        <v>2002</v>
      </c>
      <c r="S49" s="47" t="s">
        <v>645</v>
      </c>
    </row>
    <row r="50" spans="2:19" s="33" customFormat="1" ht="33" customHeight="1">
      <c r="B50" s="47" t="s">
        <v>1999</v>
      </c>
      <c r="C50" s="48" t="s">
        <v>557</v>
      </c>
      <c r="D50" s="49" t="s">
        <v>325</v>
      </c>
      <c r="E50" s="50">
        <v>43420</v>
      </c>
      <c r="F50" s="52" t="s">
        <v>1971</v>
      </c>
      <c r="G50" s="51">
        <v>1280</v>
      </c>
      <c r="H50" s="52">
        <f t="shared" si="9"/>
        <v>64</v>
      </c>
      <c r="I50" s="52">
        <f t="shared" si="10"/>
        <v>2</v>
      </c>
      <c r="J50" s="59"/>
      <c r="K50" s="53">
        <v>43541</v>
      </c>
      <c r="L50" s="54" t="s">
        <v>563</v>
      </c>
      <c r="M50" s="55">
        <v>43536</v>
      </c>
      <c r="N50" s="56" t="s">
        <v>558</v>
      </c>
      <c r="O50" s="55">
        <v>43541</v>
      </c>
      <c r="P50" s="58"/>
      <c r="Q50" s="60" t="s">
        <v>89</v>
      </c>
      <c r="R50" s="57" t="s">
        <v>2002</v>
      </c>
      <c r="S50" s="47" t="s">
        <v>395</v>
      </c>
    </row>
    <row r="51" spans="2:19" s="33" customFormat="1" ht="33" customHeight="1">
      <c r="B51" s="47" t="s">
        <v>1999</v>
      </c>
      <c r="C51" s="48" t="s">
        <v>430</v>
      </c>
      <c r="D51" s="49" t="s">
        <v>470</v>
      </c>
      <c r="E51" s="50">
        <v>43473</v>
      </c>
      <c r="F51" s="52" t="s">
        <v>1971</v>
      </c>
      <c r="G51" s="51">
        <v>1920</v>
      </c>
      <c r="H51" s="52">
        <f t="shared" si="9"/>
        <v>96</v>
      </c>
      <c r="I51" s="52">
        <f t="shared" si="10"/>
        <v>3</v>
      </c>
      <c r="J51" s="59"/>
      <c r="K51" s="53">
        <v>43555</v>
      </c>
      <c r="L51" s="54" t="s">
        <v>2005</v>
      </c>
      <c r="M51" s="55">
        <v>43550</v>
      </c>
      <c r="N51" s="56" t="s">
        <v>2006</v>
      </c>
      <c r="O51" s="55">
        <v>43555</v>
      </c>
      <c r="P51" s="58"/>
      <c r="Q51" s="60" t="s">
        <v>89</v>
      </c>
      <c r="R51" s="57" t="s">
        <v>2007</v>
      </c>
      <c r="S51" s="47"/>
    </row>
    <row r="52" spans="2:19" s="33" customFormat="1" ht="33" customHeight="1">
      <c r="B52" s="47" t="s">
        <v>1999</v>
      </c>
      <c r="C52" s="48" t="s">
        <v>430</v>
      </c>
      <c r="D52" s="49" t="s">
        <v>470</v>
      </c>
      <c r="E52" s="50">
        <v>43473</v>
      </c>
      <c r="F52" s="52" t="s">
        <v>1971</v>
      </c>
      <c r="G52" s="51">
        <v>1920</v>
      </c>
      <c r="H52" s="52">
        <f t="shared" si="9"/>
        <v>96</v>
      </c>
      <c r="I52" s="52">
        <f t="shared" si="10"/>
        <v>3</v>
      </c>
      <c r="J52" s="59"/>
      <c r="K52" s="53">
        <v>43555</v>
      </c>
      <c r="L52" s="54" t="s">
        <v>2008</v>
      </c>
      <c r="M52" s="55">
        <v>43564</v>
      </c>
      <c r="N52" s="56" t="s">
        <v>1982</v>
      </c>
      <c r="O52" s="55">
        <v>43569</v>
      </c>
      <c r="P52" s="58"/>
      <c r="Q52" s="60" t="s">
        <v>89</v>
      </c>
      <c r="R52" s="57" t="s">
        <v>2007</v>
      </c>
      <c r="S52" s="47"/>
    </row>
    <row r="53" spans="2:19" s="33" customFormat="1" ht="33" customHeight="1">
      <c r="B53" s="47" t="s">
        <v>1999</v>
      </c>
      <c r="C53" s="48" t="s">
        <v>519</v>
      </c>
      <c r="D53" s="49" t="s">
        <v>710</v>
      </c>
      <c r="E53" s="50">
        <v>43511</v>
      </c>
      <c r="F53" s="52" t="s">
        <v>1971</v>
      </c>
      <c r="G53" s="51">
        <v>640</v>
      </c>
      <c r="H53" s="52">
        <f t="shared" si="9"/>
        <v>32</v>
      </c>
      <c r="I53" s="52">
        <f t="shared" si="10"/>
        <v>1</v>
      </c>
      <c r="J53" s="59"/>
      <c r="K53" s="53">
        <v>43555</v>
      </c>
      <c r="L53" s="54" t="s">
        <v>2009</v>
      </c>
      <c r="M53" s="55">
        <v>43557</v>
      </c>
      <c r="N53" s="56" t="s">
        <v>798</v>
      </c>
      <c r="O53" s="55">
        <v>43562</v>
      </c>
      <c r="P53" s="58"/>
      <c r="Q53" s="60" t="s">
        <v>89</v>
      </c>
      <c r="R53" s="57" t="s">
        <v>2007</v>
      </c>
      <c r="S53" s="47"/>
    </row>
    <row r="54" spans="2:19" s="33" customFormat="1" ht="33" customHeight="1">
      <c r="B54" s="47" t="s">
        <v>1999</v>
      </c>
      <c r="C54" s="48" t="s">
        <v>520</v>
      </c>
      <c r="D54" s="49" t="s">
        <v>584</v>
      </c>
      <c r="E54" s="50">
        <v>43511</v>
      </c>
      <c r="F54" s="52" t="s">
        <v>1971</v>
      </c>
      <c r="G54" s="51">
        <v>1920</v>
      </c>
      <c r="H54" s="52">
        <f t="shared" si="9"/>
        <v>96</v>
      </c>
      <c r="I54" s="52">
        <f t="shared" si="10"/>
        <v>3</v>
      </c>
      <c r="J54" s="59"/>
      <c r="K54" s="53">
        <v>43576</v>
      </c>
      <c r="L54" s="54" t="s">
        <v>503</v>
      </c>
      <c r="M54" s="55">
        <v>43571</v>
      </c>
      <c r="N54" s="56" t="s">
        <v>1967</v>
      </c>
      <c r="O54" s="55">
        <v>43576</v>
      </c>
      <c r="P54" s="58"/>
      <c r="Q54" s="60" t="s">
        <v>89</v>
      </c>
      <c r="R54" s="57" t="s">
        <v>585</v>
      </c>
      <c r="S54" s="47"/>
    </row>
    <row r="55" spans="2:19" s="30" customFormat="1" ht="33" customHeight="1">
      <c r="B55" s="46" t="s">
        <v>1999</v>
      </c>
      <c r="C55" s="35" t="s">
        <v>586</v>
      </c>
      <c r="D55" s="36" t="s">
        <v>640</v>
      </c>
      <c r="E55" s="37">
        <v>43519</v>
      </c>
      <c r="F55" s="38" t="s">
        <v>1971</v>
      </c>
      <c r="G55" s="129">
        <v>2560</v>
      </c>
      <c r="H55" s="124">
        <f t="shared" si="9"/>
        <v>128</v>
      </c>
      <c r="I55" s="124">
        <f t="shared" si="10"/>
        <v>4</v>
      </c>
      <c r="J55" s="61"/>
      <c r="K55" s="40">
        <v>43611</v>
      </c>
      <c r="L55" s="41" t="s">
        <v>724</v>
      </c>
      <c r="M55" s="42">
        <v>43601</v>
      </c>
      <c r="N55" s="43" t="s">
        <v>1981</v>
      </c>
      <c r="O55" s="42">
        <v>43605</v>
      </c>
      <c r="P55" s="45"/>
      <c r="Q55" s="62" t="s">
        <v>89</v>
      </c>
      <c r="R55" s="44" t="s">
        <v>830</v>
      </c>
      <c r="S55" s="46" t="s">
        <v>980</v>
      </c>
    </row>
    <row r="56" spans="2:19" s="30" customFormat="1" ht="33" customHeight="1">
      <c r="B56" s="46" t="s">
        <v>1999</v>
      </c>
      <c r="C56" s="35" t="s">
        <v>713</v>
      </c>
      <c r="D56" s="36" t="s">
        <v>714</v>
      </c>
      <c r="E56" s="37">
        <v>43532</v>
      </c>
      <c r="F56" s="38" t="s">
        <v>1971</v>
      </c>
      <c r="G56" s="129">
        <v>1920</v>
      </c>
      <c r="H56" s="124">
        <f t="shared" si="9"/>
        <v>96</v>
      </c>
      <c r="I56" s="124">
        <f t="shared" si="10"/>
        <v>3</v>
      </c>
      <c r="J56" s="61"/>
      <c r="K56" s="40">
        <v>43639</v>
      </c>
      <c r="L56" s="41" t="s">
        <v>1083</v>
      </c>
      <c r="M56" s="42">
        <v>43634</v>
      </c>
      <c r="N56" s="43" t="s">
        <v>1084</v>
      </c>
      <c r="O56" s="42">
        <v>43639</v>
      </c>
      <c r="P56" s="45"/>
      <c r="Q56" s="62" t="s">
        <v>89</v>
      </c>
      <c r="R56" s="44" t="s">
        <v>1459</v>
      </c>
      <c r="S56" s="46"/>
    </row>
    <row r="57" spans="2:19" s="30" customFormat="1" ht="33" customHeight="1">
      <c r="B57" s="46" t="s">
        <v>1999</v>
      </c>
      <c r="C57" s="35" t="s">
        <v>1184</v>
      </c>
      <c r="D57" s="36" t="s">
        <v>1185</v>
      </c>
      <c r="E57" s="37">
        <v>43567</v>
      </c>
      <c r="F57" s="38" t="s">
        <v>1971</v>
      </c>
      <c r="G57" s="39">
        <v>2560</v>
      </c>
      <c r="H57" s="38">
        <f t="shared" si="9"/>
        <v>128</v>
      </c>
      <c r="I57" s="38">
        <f t="shared" si="10"/>
        <v>4</v>
      </c>
      <c r="J57" s="61"/>
      <c r="K57" s="130">
        <v>43667</v>
      </c>
      <c r="L57" s="119" t="s">
        <v>2015</v>
      </c>
      <c r="M57" s="120">
        <v>43664</v>
      </c>
      <c r="N57" s="121" t="s">
        <v>2145</v>
      </c>
      <c r="O57" s="120">
        <v>43668</v>
      </c>
      <c r="P57" s="45"/>
      <c r="Q57" s="62" t="s">
        <v>89</v>
      </c>
      <c r="R57" s="125" t="s">
        <v>2017</v>
      </c>
      <c r="S57" s="46"/>
    </row>
    <row r="58" spans="2:19" s="33" customFormat="1" ht="33" customHeight="1">
      <c r="B58" s="47" t="s">
        <v>38</v>
      </c>
      <c r="C58" s="48" t="s">
        <v>225</v>
      </c>
      <c r="D58" s="49" t="s">
        <v>587</v>
      </c>
      <c r="E58" s="50">
        <v>43519</v>
      </c>
      <c r="F58" s="52" t="s">
        <v>2018</v>
      </c>
      <c r="G58" s="64">
        <v>640</v>
      </c>
      <c r="H58" s="52">
        <f>SUBTOTAL(9,G58)/20</f>
        <v>32</v>
      </c>
      <c r="I58" s="52">
        <f>H58/32</f>
        <v>1</v>
      </c>
      <c r="J58" s="52"/>
      <c r="K58" s="53">
        <v>43583</v>
      </c>
      <c r="L58" s="54" t="s">
        <v>565</v>
      </c>
      <c r="M58" s="55">
        <v>43578</v>
      </c>
      <c r="N58" s="56" t="s">
        <v>2019</v>
      </c>
      <c r="O58" s="55">
        <v>43583</v>
      </c>
      <c r="P58" s="58"/>
      <c r="Q58" s="52"/>
      <c r="R58" s="63" t="s">
        <v>1979</v>
      </c>
      <c r="S58" s="47"/>
    </row>
    <row r="59" spans="2:19" s="30" customFormat="1" ht="33" customHeight="1">
      <c r="B59" s="46" t="s">
        <v>38</v>
      </c>
      <c r="C59" s="35" t="s">
        <v>226</v>
      </c>
      <c r="D59" s="36" t="s">
        <v>1194</v>
      </c>
      <c r="E59" s="37">
        <v>43567</v>
      </c>
      <c r="F59" s="38" t="s">
        <v>2018</v>
      </c>
      <c r="G59" s="65">
        <v>640</v>
      </c>
      <c r="H59" s="38">
        <f>SUBTOTAL(9,G59)/20</f>
        <v>32</v>
      </c>
      <c r="I59" s="38">
        <f>H59/32</f>
        <v>1</v>
      </c>
      <c r="J59" s="38"/>
      <c r="K59" s="40">
        <v>43667</v>
      </c>
      <c r="L59" s="41" t="s">
        <v>1325</v>
      </c>
      <c r="M59" s="42">
        <v>43662</v>
      </c>
      <c r="N59" s="43" t="s">
        <v>2021</v>
      </c>
      <c r="O59" s="42">
        <v>43667</v>
      </c>
      <c r="P59" s="45"/>
      <c r="Q59" s="38"/>
      <c r="R59" s="66" t="s">
        <v>1196</v>
      </c>
      <c r="S59" s="46"/>
    </row>
    <row r="60" spans="2:19" s="33" customFormat="1" ht="33" customHeight="1">
      <c r="B60" s="47" t="s">
        <v>88</v>
      </c>
      <c r="C60" s="48" t="s">
        <v>431</v>
      </c>
      <c r="D60" s="49" t="s">
        <v>471</v>
      </c>
      <c r="E60" s="50">
        <v>43483</v>
      </c>
      <c r="F60" s="52" t="s">
        <v>2023</v>
      </c>
      <c r="G60" s="64">
        <v>760</v>
      </c>
      <c r="H60" s="52">
        <f>SUBTOTAL(9,G60)/190</f>
        <v>4</v>
      </c>
      <c r="I60" s="52">
        <f>H60/4</f>
        <v>1</v>
      </c>
      <c r="J60" s="52"/>
      <c r="K60" s="53">
        <v>43569</v>
      </c>
      <c r="L60" s="54" t="s">
        <v>417</v>
      </c>
      <c r="M60" s="55">
        <v>43564</v>
      </c>
      <c r="N60" s="56" t="s">
        <v>550</v>
      </c>
      <c r="O60" s="55">
        <v>43569</v>
      </c>
      <c r="P60" s="58"/>
      <c r="Q60" s="52"/>
      <c r="R60" s="63" t="s">
        <v>2025</v>
      </c>
      <c r="S60" s="47"/>
    </row>
    <row r="61" spans="2:19" s="33" customFormat="1" ht="33" customHeight="1">
      <c r="B61" s="47" t="s">
        <v>88</v>
      </c>
      <c r="C61" s="48" t="s">
        <v>523</v>
      </c>
      <c r="D61" s="49" t="s">
        <v>588</v>
      </c>
      <c r="E61" s="50">
        <v>43511</v>
      </c>
      <c r="F61" s="52" t="s">
        <v>2023</v>
      </c>
      <c r="G61" s="64">
        <v>760</v>
      </c>
      <c r="H61" s="52">
        <f>SUBTOTAL(9,G61)/190</f>
        <v>4</v>
      </c>
      <c r="I61" s="52">
        <f>H61/4</f>
        <v>1</v>
      </c>
      <c r="J61" s="52"/>
      <c r="K61" s="53">
        <v>43583</v>
      </c>
      <c r="L61" s="54" t="s">
        <v>565</v>
      </c>
      <c r="M61" s="55">
        <v>43578</v>
      </c>
      <c r="N61" s="56" t="s">
        <v>715</v>
      </c>
      <c r="O61" s="55">
        <v>43583</v>
      </c>
      <c r="P61" s="58"/>
      <c r="Q61" s="52"/>
      <c r="R61" s="63" t="s">
        <v>320</v>
      </c>
      <c r="S61" s="47"/>
    </row>
    <row r="62" spans="2:19" s="30" customFormat="1" ht="33" customHeight="1">
      <c r="B62" s="46" t="s">
        <v>88</v>
      </c>
      <c r="C62" s="35" t="s">
        <v>589</v>
      </c>
      <c r="D62" s="36" t="s">
        <v>590</v>
      </c>
      <c r="E62" s="37">
        <v>43519</v>
      </c>
      <c r="F62" s="38" t="s">
        <v>2023</v>
      </c>
      <c r="G62" s="65">
        <v>760</v>
      </c>
      <c r="H62" s="38">
        <f>SUBTOTAL(9,G62)/190</f>
        <v>4</v>
      </c>
      <c r="I62" s="38">
        <f>H62/4</f>
        <v>1</v>
      </c>
      <c r="J62" s="38"/>
      <c r="K62" s="40">
        <v>43597</v>
      </c>
      <c r="L62" s="41" t="s">
        <v>716</v>
      </c>
      <c r="M62" s="42">
        <v>43592</v>
      </c>
      <c r="N62" s="43" t="s">
        <v>717</v>
      </c>
      <c r="O62" s="42">
        <v>43597</v>
      </c>
      <c r="P62" s="45"/>
      <c r="Q62" s="38"/>
      <c r="R62" s="66" t="s">
        <v>859</v>
      </c>
      <c r="S62" s="46"/>
    </row>
    <row r="63" spans="2:19" s="30" customFormat="1" ht="33" customHeight="1">
      <c r="B63" s="46" t="s">
        <v>88</v>
      </c>
      <c r="C63" s="35" t="s">
        <v>2031</v>
      </c>
      <c r="D63" s="36" t="s">
        <v>1207</v>
      </c>
      <c r="E63" s="37">
        <v>43567</v>
      </c>
      <c r="F63" s="38" t="s">
        <v>2023</v>
      </c>
      <c r="G63" s="65">
        <v>760</v>
      </c>
      <c r="H63" s="38">
        <f>SUBTOTAL(9,G63)/190</f>
        <v>4</v>
      </c>
      <c r="I63" s="38">
        <f>H63/4</f>
        <v>1</v>
      </c>
      <c r="J63" s="38"/>
      <c r="K63" s="40">
        <v>43667</v>
      </c>
      <c r="L63" s="41" t="s">
        <v>1325</v>
      </c>
      <c r="M63" s="42">
        <v>43662</v>
      </c>
      <c r="N63" s="43" t="s">
        <v>2021</v>
      </c>
      <c r="O63" s="42">
        <v>43667</v>
      </c>
      <c r="P63" s="45"/>
      <c r="Q63" s="38"/>
      <c r="R63" s="66" t="s">
        <v>2032</v>
      </c>
      <c r="S63" s="46"/>
    </row>
    <row r="64" spans="2:19" s="33" customFormat="1" ht="33" customHeight="1">
      <c r="B64" s="47" t="s">
        <v>83</v>
      </c>
      <c r="C64" s="48" t="s">
        <v>794</v>
      </c>
      <c r="D64" s="49" t="s">
        <v>719</v>
      </c>
      <c r="E64" s="50">
        <v>43462</v>
      </c>
      <c r="F64" s="52" t="s">
        <v>77</v>
      </c>
      <c r="G64" s="51">
        <v>960</v>
      </c>
      <c r="H64" s="52">
        <f t="shared" ref="H64:H71" si="11">SUM(G64/240)</f>
        <v>4</v>
      </c>
      <c r="I64" s="52">
        <f t="shared" ref="I64:I71" si="12">SUM(H64/4)</f>
        <v>1</v>
      </c>
      <c r="J64" s="52"/>
      <c r="K64" s="53">
        <v>43148</v>
      </c>
      <c r="L64" s="54" t="s">
        <v>1713</v>
      </c>
      <c r="M64" s="55">
        <v>43531</v>
      </c>
      <c r="N64" s="56" t="s">
        <v>568</v>
      </c>
      <c r="O64" s="55">
        <v>43535</v>
      </c>
      <c r="P64" s="58" t="s">
        <v>1714</v>
      </c>
      <c r="Q64" s="52"/>
      <c r="R64" s="118" t="s">
        <v>1211</v>
      </c>
      <c r="S64" s="47" t="s">
        <v>609</v>
      </c>
    </row>
    <row r="65" spans="2:19" s="33" customFormat="1" ht="33" customHeight="1">
      <c r="B65" s="47" t="s">
        <v>83</v>
      </c>
      <c r="C65" s="48" t="s">
        <v>871</v>
      </c>
      <c r="D65" s="49" t="s">
        <v>2039</v>
      </c>
      <c r="E65" s="50">
        <v>43462</v>
      </c>
      <c r="F65" s="52" t="s">
        <v>77</v>
      </c>
      <c r="G65" s="51">
        <v>2880</v>
      </c>
      <c r="H65" s="52">
        <f t="shared" si="11"/>
        <v>12</v>
      </c>
      <c r="I65" s="52">
        <f t="shared" si="12"/>
        <v>3</v>
      </c>
      <c r="J65" s="52"/>
      <c r="K65" s="53">
        <v>43541</v>
      </c>
      <c r="L65" s="54" t="s">
        <v>1713</v>
      </c>
      <c r="M65" s="55">
        <v>43531</v>
      </c>
      <c r="N65" s="56" t="s">
        <v>568</v>
      </c>
      <c r="O65" s="55">
        <v>43535</v>
      </c>
      <c r="P65" s="58" t="s">
        <v>657</v>
      </c>
      <c r="Q65" s="52"/>
      <c r="R65" s="118" t="s">
        <v>486</v>
      </c>
      <c r="S65" s="47" t="s">
        <v>610</v>
      </c>
    </row>
    <row r="66" spans="2:19" s="33" customFormat="1" ht="33" customHeight="1">
      <c r="B66" s="47" t="s">
        <v>83</v>
      </c>
      <c r="C66" s="48" t="s">
        <v>232</v>
      </c>
      <c r="D66" s="49" t="s">
        <v>386</v>
      </c>
      <c r="E66" s="50">
        <v>43455</v>
      </c>
      <c r="F66" s="52" t="s">
        <v>77</v>
      </c>
      <c r="G66" s="51">
        <v>5760</v>
      </c>
      <c r="H66" s="52">
        <f t="shared" si="11"/>
        <v>24</v>
      </c>
      <c r="I66" s="52">
        <f t="shared" si="12"/>
        <v>6</v>
      </c>
      <c r="J66" s="52"/>
      <c r="K66" s="53">
        <v>43541</v>
      </c>
      <c r="L66" s="54" t="s">
        <v>2040</v>
      </c>
      <c r="M66" s="55">
        <v>43543</v>
      </c>
      <c r="N66" s="56" t="s">
        <v>2041</v>
      </c>
      <c r="O66" s="55">
        <v>43548</v>
      </c>
      <c r="P66" s="58" t="s">
        <v>2042</v>
      </c>
      <c r="Q66" s="52"/>
      <c r="R66" s="118" t="s">
        <v>721</v>
      </c>
      <c r="S66" s="47"/>
    </row>
    <row r="67" spans="2:19" s="33" customFormat="1" ht="33" customHeight="1">
      <c r="B67" s="47" t="s">
        <v>83</v>
      </c>
      <c r="C67" s="48" t="s">
        <v>244</v>
      </c>
      <c r="D67" s="49" t="s">
        <v>722</v>
      </c>
      <c r="E67" s="50">
        <v>43483</v>
      </c>
      <c r="F67" s="52" t="s">
        <v>77</v>
      </c>
      <c r="G67" s="51">
        <v>6720</v>
      </c>
      <c r="H67" s="52">
        <f t="shared" si="11"/>
        <v>28</v>
      </c>
      <c r="I67" s="52">
        <f t="shared" si="12"/>
        <v>7</v>
      </c>
      <c r="J67" s="52"/>
      <c r="K67" s="53">
        <v>43569</v>
      </c>
      <c r="L67" s="54" t="s">
        <v>480</v>
      </c>
      <c r="M67" s="55">
        <v>43564</v>
      </c>
      <c r="N67" s="56" t="s">
        <v>646</v>
      </c>
      <c r="O67" s="55">
        <v>43569</v>
      </c>
      <c r="P67" s="58" t="s">
        <v>877</v>
      </c>
      <c r="Q67" s="52"/>
      <c r="R67" s="118" t="s">
        <v>2045</v>
      </c>
      <c r="S67" s="47"/>
    </row>
    <row r="68" spans="2:19" s="33" customFormat="1" ht="33" customHeight="1">
      <c r="B68" s="47" t="s">
        <v>83</v>
      </c>
      <c r="C68" s="48" t="s">
        <v>879</v>
      </c>
      <c r="D68" s="49" t="s">
        <v>472</v>
      </c>
      <c r="E68" s="50">
        <v>43483</v>
      </c>
      <c r="F68" s="52" t="s">
        <v>77</v>
      </c>
      <c r="G68" s="51">
        <v>5760</v>
      </c>
      <c r="H68" s="52">
        <f>SUM(G68/240)</f>
        <v>24</v>
      </c>
      <c r="I68" s="52">
        <f>SUM(H68/4)</f>
        <v>6</v>
      </c>
      <c r="J68" s="52"/>
      <c r="K68" s="53">
        <v>43583</v>
      </c>
      <c r="L68" s="54" t="s">
        <v>448</v>
      </c>
      <c r="M68" s="55">
        <v>43578</v>
      </c>
      <c r="N68" s="56" t="s">
        <v>715</v>
      </c>
      <c r="O68" s="55">
        <v>43583</v>
      </c>
      <c r="P68" s="58" t="s">
        <v>2047</v>
      </c>
      <c r="Q68" s="52"/>
      <c r="R68" s="118" t="s">
        <v>2045</v>
      </c>
      <c r="S68" s="47"/>
    </row>
    <row r="69" spans="2:19" s="30" customFormat="1" ht="33" customHeight="1">
      <c r="B69" s="46" t="s">
        <v>83</v>
      </c>
      <c r="C69" s="35" t="s">
        <v>258</v>
      </c>
      <c r="D69" s="36" t="s">
        <v>591</v>
      </c>
      <c r="E69" s="37">
        <v>43519</v>
      </c>
      <c r="F69" s="38" t="s">
        <v>77</v>
      </c>
      <c r="G69" s="39">
        <v>5760</v>
      </c>
      <c r="H69" s="38">
        <f t="shared" si="11"/>
        <v>24</v>
      </c>
      <c r="I69" s="38">
        <f t="shared" si="12"/>
        <v>6</v>
      </c>
      <c r="J69" s="38"/>
      <c r="K69" s="40">
        <v>43605</v>
      </c>
      <c r="L69" s="41" t="s">
        <v>882</v>
      </c>
      <c r="M69" s="42">
        <v>43601</v>
      </c>
      <c r="N69" s="43" t="s">
        <v>883</v>
      </c>
      <c r="O69" s="42">
        <v>43605</v>
      </c>
      <c r="P69" s="45" t="s">
        <v>884</v>
      </c>
      <c r="Q69" s="38"/>
      <c r="R69" s="115" t="s">
        <v>2051</v>
      </c>
      <c r="S69" s="46"/>
    </row>
    <row r="70" spans="2:19" s="30" customFormat="1" ht="33" customHeight="1">
      <c r="B70" s="46" t="s">
        <v>83</v>
      </c>
      <c r="C70" s="35" t="s">
        <v>321</v>
      </c>
      <c r="D70" s="36" t="s">
        <v>727</v>
      </c>
      <c r="E70" s="37">
        <v>43532</v>
      </c>
      <c r="F70" s="38" t="s">
        <v>77</v>
      </c>
      <c r="G70" s="39">
        <v>6720</v>
      </c>
      <c r="H70" s="38">
        <f t="shared" si="11"/>
        <v>28</v>
      </c>
      <c r="I70" s="38">
        <f t="shared" si="12"/>
        <v>7</v>
      </c>
      <c r="J70" s="38"/>
      <c r="K70" s="130">
        <v>43633</v>
      </c>
      <c r="L70" s="119" t="s">
        <v>807</v>
      </c>
      <c r="M70" s="120">
        <v>43627</v>
      </c>
      <c r="N70" s="121" t="s">
        <v>808</v>
      </c>
      <c r="O70" s="120">
        <v>43632</v>
      </c>
      <c r="P70" s="45"/>
      <c r="Q70" s="38"/>
      <c r="R70" s="115" t="s">
        <v>2054</v>
      </c>
      <c r="S70" s="46"/>
    </row>
    <row r="71" spans="2:19" s="30" customFormat="1" ht="33" customHeight="1">
      <c r="B71" s="46" t="s">
        <v>83</v>
      </c>
      <c r="C71" s="35" t="s">
        <v>324</v>
      </c>
      <c r="D71" s="36" t="s">
        <v>1234</v>
      </c>
      <c r="E71" s="37">
        <v>43567</v>
      </c>
      <c r="F71" s="38" t="s">
        <v>77</v>
      </c>
      <c r="G71" s="39">
        <v>5760</v>
      </c>
      <c r="H71" s="38">
        <f t="shared" si="11"/>
        <v>24</v>
      </c>
      <c r="I71" s="38">
        <f t="shared" si="12"/>
        <v>6</v>
      </c>
      <c r="J71" s="38"/>
      <c r="K71" s="130">
        <v>43674</v>
      </c>
      <c r="L71" s="119" t="s">
        <v>2147</v>
      </c>
      <c r="M71" s="120">
        <v>43669</v>
      </c>
      <c r="N71" s="121" t="s">
        <v>2144</v>
      </c>
      <c r="O71" s="120">
        <v>43674</v>
      </c>
      <c r="P71" s="45"/>
      <c r="Q71" s="38"/>
      <c r="R71" s="133" t="s">
        <v>2055</v>
      </c>
      <c r="S71" s="46"/>
    </row>
    <row r="72" spans="2:19" s="34" customFormat="1" ht="33" customHeight="1">
      <c r="B72" s="47" t="s">
        <v>210</v>
      </c>
      <c r="C72" s="48" t="s">
        <v>226</v>
      </c>
      <c r="D72" s="49" t="s">
        <v>593</v>
      </c>
      <c r="E72" s="50">
        <v>43483</v>
      </c>
      <c r="F72" s="52" t="s">
        <v>218</v>
      </c>
      <c r="G72" s="51">
        <v>640</v>
      </c>
      <c r="H72" s="52">
        <f t="shared" ref="H72:H90" si="13">SUM(G72/20)</f>
        <v>32</v>
      </c>
      <c r="I72" s="52">
        <f t="shared" ref="I72:I90" si="14">SUM(H72/32)</f>
        <v>1</v>
      </c>
      <c r="J72" s="52"/>
      <c r="K72" s="53">
        <v>43534</v>
      </c>
      <c r="L72" s="54" t="s">
        <v>566</v>
      </c>
      <c r="M72" s="55"/>
      <c r="N72" s="56"/>
      <c r="O72" s="55">
        <v>43520</v>
      </c>
      <c r="P72" s="58" t="s">
        <v>651</v>
      </c>
      <c r="Q72" s="52"/>
      <c r="R72" s="63" t="s">
        <v>211</v>
      </c>
      <c r="S72" s="52"/>
    </row>
    <row r="73" spans="2:19" s="34" customFormat="1" ht="33" customHeight="1">
      <c r="B73" s="47" t="s">
        <v>210</v>
      </c>
      <c r="C73" s="48" t="s">
        <v>226</v>
      </c>
      <c r="D73" s="49" t="s">
        <v>434</v>
      </c>
      <c r="E73" s="50">
        <v>43483</v>
      </c>
      <c r="F73" s="52" t="s">
        <v>218</v>
      </c>
      <c r="G73" s="51">
        <v>1280</v>
      </c>
      <c r="H73" s="52">
        <f t="shared" si="13"/>
        <v>64</v>
      </c>
      <c r="I73" s="52">
        <f t="shared" si="14"/>
        <v>2</v>
      </c>
      <c r="J73" s="52"/>
      <c r="K73" s="53">
        <v>43534</v>
      </c>
      <c r="L73" s="54" t="s">
        <v>1713</v>
      </c>
      <c r="M73" s="55">
        <v>43531</v>
      </c>
      <c r="N73" s="56" t="s">
        <v>568</v>
      </c>
      <c r="O73" s="55">
        <v>43535</v>
      </c>
      <c r="P73" s="58" t="s">
        <v>731</v>
      </c>
      <c r="Q73" s="52" t="s">
        <v>614</v>
      </c>
      <c r="R73" s="63" t="s">
        <v>211</v>
      </c>
      <c r="S73" s="52" t="s">
        <v>732</v>
      </c>
    </row>
    <row r="74" spans="2:19" s="34" customFormat="1" ht="33" customHeight="1">
      <c r="B74" s="47" t="s">
        <v>210</v>
      </c>
      <c r="C74" s="48" t="s">
        <v>233</v>
      </c>
      <c r="D74" s="49" t="s">
        <v>525</v>
      </c>
      <c r="E74" s="50">
        <v>43507</v>
      </c>
      <c r="F74" s="52" t="s">
        <v>218</v>
      </c>
      <c r="G74" s="51">
        <v>1920</v>
      </c>
      <c r="H74" s="52">
        <f t="shared" si="13"/>
        <v>96</v>
      </c>
      <c r="I74" s="52">
        <f t="shared" si="14"/>
        <v>3</v>
      </c>
      <c r="J74" s="52"/>
      <c r="K74" s="53">
        <v>43541</v>
      </c>
      <c r="L74" s="54" t="s">
        <v>2059</v>
      </c>
      <c r="M74" s="55">
        <v>43536</v>
      </c>
      <c r="N74" s="56" t="s">
        <v>558</v>
      </c>
      <c r="O74" s="55">
        <v>43541</v>
      </c>
      <c r="P74" s="58" t="s">
        <v>2061</v>
      </c>
      <c r="Q74" s="52" t="s">
        <v>612</v>
      </c>
      <c r="R74" s="63" t="s">
        <v>211</v>
      </c>
      <c r="S74" s="52"/>
    </row>
    <row r="75" spans="2:19" s="34" customFormat="1" ht="33" customHeight="1">
      <c r="B75" s="47" t="s">
        <v>210</v>
      </c>
      <c r="C75" s="48" t="s">
        <v>2062</v>
      </c>
      <c r="D75" s="49" t="s">
        <v>525</v>
      </c>
      <c r="E75" s="50">
        <v>43519</v>
      </c>
      <c r="F75" s="52" t="s">
        <v>218</v>
      </c>
      <c r="G75" s="51">
        <v>1920</v>
      </c>
      <c r="H75" s="52">
        <f t="shared" si="13"/>
        <v>96</v>
      </c>
      <c r="I75" s="52">
        <f t="shared" si="14"/>
        <v>3</v>
      </c>
      <c r="J75" s="52"/>
      <c r="K75" s="53">
        <v>43555</v>
      </c>
      <c r="L75" s="54" t="s">
        <v>2005</v>
      </c>
      <c r="M75" s="55">
        <v>43550</v>
      </c>
      <c r="N75" s="56" t="s">
        <v>2064</v>
      </c>
      <c r="O75" s="55">
        <v>43555</v>
      </c>
      <c r="P75" s="58"/>
      <c r="Q75" s="52" t="s">
        <v>613</v>
      </c>
      <c r="R75" s="63" t="s">
        <v>211</v>
      </c>
      <c r="S75" s="52"/>
    </row>
    <row r="76" spans="2:19" s="34" customFormat="1" ht="33" customHeight="1">
      <c r="B76" s="47" t="s">
        <v>210</v>
      </c>
      <c r="C76" s="48" t="s">
        <v>285</v>
      </c>
      <c r="D76" s="49" t="s">
        <v>526</v>
      </c>
      <c r="E76" s="50">
        <v>43507</v>
      </c>
      <c r="F76" s="52" t="s">
        <v>218</v>
      </c>
      <c r="G76" s="51">
        <v>3200</v>
      </c>
      <c r="H76" s="52">
        <f t="shared" si="13"/>
        <v>160</v>
      </c>
      <c r="I76" s="52">
        <f t="shared" si="14"/>
        <v>5</v>
      </c>
      <c r="J76" s="52"/>
      <c r="K76" s="53">
        <v>43576</v>
      </c>
      <c r="L76" s="54" t="s">
        <v>503</v>
      </c>
      <c r="M76" s="55">
        <v>43571</v>
      </c>
      <c r="N76" s="56" t="s">
        <v>903</v>
      </c>
      <c r="O76" s="55">
        <v>43576</v>
      </c>
      <c r="P76" s="58"/>
      <c r="Q76" s="52" t="s">
        <v>643</v>
      </c>
      <c r="R76" s="63" t="s">
        <v>211</v>
      </c>
      <c r="S76" s="52"/>
    </row>
    <row r="77" spans="2:19" s="34" customFormat="1" ht="33" customHeight="1">
      <c r="B77" s="47" t="s">
        <v>210</v>
      </c>
      <c r="C77" s="48" t="s">
        <v>2066</v>
      </c>
      <c r="D77" s="49" t="s">
        <v>526</v>
      </c>
      <c r="E77" s="50">
        <v>43507</v>
      </c>
      <c r="F77" s="52" t="s">
        <v>218</v>
      </c>
      <c r="G77" s="51">
        <v>640</v>
      </c>
      <c r="H77" s="52">
        <f>SUM(G77/20)</f>
        <v>32</v>
      </c>
      <c r="I77" s="52">
        <f>SUM(H77/32)</f>
        <v>1</v>
      </c>
      <c r="J77" s="52"/>
      <c r="K77" s="53">
        <v>43576</v>
      </c>
      <c r="L77" s="54" t="s">
        <v>448</v>
      </c>
      <c r="M77" s="55">
        <v>43578</v>
      </c>
      <c r="N77" s="56" t="s">
        <v>715</v>
      </c>
      <c r="O77" s="55">
        <v>43583</v>
      </c>
      <c r="P77" s="58"/>
      <c r="Q77" s="52" t="s">
        <v>643</v>
      </c>
      <c r="R77" s="63" t="s">
        <v>211</v>
      </c>
      <c r="S77" s="52"/>
    </row>
    <row r="78" spans="2:19" s="34" customFormat="1" ht="33" customHeight="1">
      <c r="B78" s="47" t="s">
        <v>210</v>
      </c>
      <c r="C78" s="48" t="s">
        <v>331</v>
      </c>
      <c r="D78" s="49" t="s">
        <v>2067</v>
      </c>
      <c r="E78" s="50">
        <v>43519</v>
      </c>
      <c r="F78" s="52" t="s">
        <v>218</v>
      </c>
      <c r="G78" s="51">
        <v>3200</v>
      </c>
      <c r="H78" s="52">
        <f t="shared" si="13"/>
        <v>160</v>
      </c>
      <c r="I78" s="52">
        <f t="shared" si="14"/>
        <v>5</v>
      </c>
      <c r="J78" s="52"/>
      <c r="K78" s="53">
        <v>43562</v>
      </c>
      <c r="L78" s="54" t="s">
        <v>608</v>
      </c>
      <c r="M78" s="55">
        <v>43557</v>
      </c>
      <c r="N78" s="56" t="s">
        <v>2068</v>
      </c>
      <c r="O78" s="55">
        <v>43562</v>
      </c>
      <c r="P78" s="58"/>
      <c r="Q78" s="52" t="s">
        <v>642</v>
      </c>
      <c r="R78" s="63" t="s">
        <v>211</v>
      </c>
      <c r="S78" s="52"/>
    </row>
    <row r="79" spans="2:19" s="34" customFormat="1" ht="33" customHeight="1">
      <c r="B79" s="47" t="s">
        <v>210</v>
      </c>
      <c r="C79" s="48" t="s">
        <v>2069</v>
      </c>
      <c r="D79" s="49" t="s">
        <v>2067</v>
      </c>
      <c r="E79" s="50">
        <v>43519</v>
      </c>
      <c r="F79" s="52" t="s">
        <v>218</v>
      </c>
      <c r="G79" s="51">
        <v>640</v>
      </c>
      <c r="H79" s="52">
        <f>SUM(G79/20)</f>
        <v>32</v>
      </c>
      <c r="I79" s="52">
        <f>SUM(H79/32)</f>
        <v>1</v>
      </c>
      <c r="J79" s="52"/>
      <c r="K79" s="53">
        <v>43562</v>
      </c>
      <c r="L79" s="54" t="s">
        <v>480</v>
      </c>
      <c r="M79" s="55">
        <v>43564</v>
      </c>
      <c r="N79" s="56" t="s">
        <v>646</v>
      </c>
      <c r="O79" s="55">
        <v>43569</v>
      </c>
      <c r="P79" s="58"/>
      <c r="Q79" s="52" t="s">
        <v>642</v>
      </c>
      <c r="R79" s="63" t="s">
        <v>211</v>
      </c>
      <c r="S79" s="52"/>
    </row>
    <row r="80" spans="2:19" s="32" customFormat="1" ht="33" customHeight="1">
      <c r="B80" s="46" t="s">
        <v>210</v>
      </c>
      <c r="C80" s="35" t="s">
        <v>431</v>
      </c>
      <c r="D80" s="36" t="s">
        <v>2070</v>
      </c>
      <c r="E80" s="37">
        <v>43523</v>
      </c>
      <c r="F80" s="38" t="s">
        <v>218</v>
      </c>
      <c r="G80" s="39">
        <v>3200</v>
      </c>
      <c r="H80" s="38">
        <f t="shared" si="13"/>
        <v>160</v>
      </c>
      <c r="I80" s="38">
        <f t="shared" si="14"/>
        <v>5</v>
      </c>
      <c r="J80" s="38"/>
      <c r="K80" s="40">
        <v>43597</v>
      </c>
      <c r="L80" s="41" t="s">
        <v>605</v>
      </c>
      <c r="M80" s="42">
        <v>43594</v>
      </c>
      <c r="N80" s="43" t="s">
        <v>2071</v>
      </c>
      <c r="O80" s="42">
        <v>43598</v>
      </c>
      <c r="P80" s="45"/>
      <c r="Q80" s="38" t="s">
        <v>641</v>
      </c>
      <c r="R80" s="66" t="s">
        <v>211</v>
      </c>
      <c r="S80" s="38"/>
    </row>
    <row r="81" spans="2:19" s="32" customFormat="1" ht="33" customHeight="1">
      <c r="B81" s="46" t="s">
        <v>210</v>
      </c>
      <c r="C81" s="35" t="s">
        <v>737</v>
      </c>
      <c r="D81" s="36" t="s">
        <v>2070</v>
      </c>
      <c r="E81" s="37">
        <v>43523</v>
      </c>
      <c r="F81" s="38" t="s">
        <v>218</v>
      </c>
      <c r="G81" s="39">
        <v>640</v>
      </c>
      <c r="H81" s="38">
        <f>SUM(G81/20)</f>
        <v>32</v>
      </c>
      <c r="I81" s="38">
        <f>SUM(H81/32)</f>
        <v>1</v>
      </c>
      <c r="J81" s="38"/>
      <c r="K81" s="40">
        <v>43618</v>
      </c>
      <c r="L81" s="41" t="s">
        <v>977</v>
      </c>
      <c r="M81" s="42">
        <v>43613</v>
      </c>
      <c r="N81" s="43" t="s">
        <v>2074</v>
      </c>
      <c r="O81" s="42">
        <v>43618</v>
      </c>
      <c r="P81" s="45"/>
      <c r="Q81" s="38" t="s">
        <v>641</v>
      </c>
      <c r="R81" s="66" t="s">
        <v>211</v>
      </c>
      <c r="S81" s="38"/>
    </row>
    <row r="82" spans="2:19" s="32" customFormat="1" ht="33" customHeight="1">
      <c r="B82" s="46" t="s">
        <v>210</v>
      </c>
      <c r="C82" s="35" t="s">
        <v>2075</v>
      </c>
      <c r="D82" s="36" t="s">
        <v>739</v>
      </c>
      <c r="E82" s="37">
        <v>43532</v>
      </c>
      <c r="F82" s="38" t="s">
        <v>218</v>
      </c>
      <c r="G82" s="39">
        <v>2560</v>
      </c>
      <c r="H82" s="38">
        <f t="shared" ref="H82" si="15">SUM(G82/20)</f>
        <v>128</v>
      </c>
      <c r="I82" s="38">
        <f t="shared" ref="I82" si="16">SUM(H82/32)</f>
        <v>4</v>
      </c>
      <c r="J82" s="38"/>
      <c r="K82" s="40">
        <v>43618</v>
      </c>
      <c r="L82" s="41" t="s">
        <v>977</v>
      </c>
      <c r="M82" s="42">
        <v>43613</v>
      </c>
      <c r="N82" s="43" t="s">
        <v>2074</v>
      </c>
      <c r="O82" s="42">
        <v>43618</v>
      </c>
      <c r="P82" s="45"/>
      <c r="Q82" s="38" t="s">
        <v>970</v>
      </c>
      <c r="R82" s="66" t="s">
        <v>211</v>
      </c>
      <c r="S82" s="38"/>
    </row>
    <row r="83" spans="2:19" s="32" customFormat="1" ht="33" customHeight="1">
      <c r="B83" s="46" t="s">
        <v>210</v>
      </c>
      <c r="C83" s="35" t="s">
        <v>589</v>
      </c>
      <c r="D83" s="36" t="s">
        <v>1260</v>
      </c>
      <c r="E83" s="37">
        <v>43558</v>
      </c>
      <c r="F83" s="38" t="s">
        <v>218</v>
      </c>
      <c r="G83" s="39">
        <v>3200</v>
      </c>
      <c r="H83" s="38">
        <f>SUM(G83/20)</f>
        <v>160</v>
      </c>
      <c r="I83" s="38">
        <f>SUM(H83/32)</f>
        <v>5</v>
      </c>
      <c r="J83" s="38"/>
      <c r="K83" s="40">
        <v>43639</v>
      </c>
      <c r="L83" s="41" t="s">
        <v>2076</v>
      </c>
      <c r="M83" s="42">
        <v>43634</v>
      </c>
      <c r="N83" s="43" t="s">
        <v>2077</v>
      </c>
      <c r="O83" s="42">
        <v>43639</v>
      </c>
      <c r="P83" s="45"/>
      <c r="Q83" s="38" t="s">
        <v>973</v>
      </c>
      <c r="R83" s="66" t="s">
        <v>211</v>
      </c>
      <c r="S83" s="38"/>
    </row>
    <row r="84" spans="2:19" s="32" customFormat="1" ht="33" customHeight="1">
      <c r="B84" s="122" t="s">
        <v>210</v>
      </c>
      <c r="C84" s="126" t="s">
        <v>2078</v>
      </c>
      <c r="D84" s="127"/>
      <c r="E84" s="128">
        <v>43595</v>
      </c>
      <c r="F84" s="124" t="s">
        <v>218</v>
      </c>
      <c r="G84" s="129">
        <v>3200</v>
      </c>
      <c r="H84" s="124">
        <f t="shared" ref="H84:H85" si="17">SUM(G84/20)</f>
        <v>160</v>
      </c>
      <c r="I84" s="124">
        <f t="shared" ref="I84:I85" si="18">SUM(H84/32)</f>
        <v>5</v>
      </c>
      <c r="J84" s="124"/>
      <c r="K84" s="130">
        <v>43653</v>
      </c>
      <c r="L84" s="119" t="s">
        <v>1326</v>
      </c>
      <c r="M84" s="120">
        <v>43648</v>
      </c>
      <c r="N84" s="121" t="s">
        <v>2143</v>
      </c>
      <c r="O84" s="120">
        <v>43653</v>
      </c>
      <c r="P84" s="123"/>
      <c r="Q84" s="124" t="s">
        <v>2148</v>
      </c>
      <c r="R84" s="134" t="s">
        <v>211</v>
      </c>
      <c r="S84" s="124"/>
    </row>
    <row r="85" spans="2:19" s="32" customFormat="1" ht="33" customHeight="1">
      <c r="B85" s="122" t="s">
        <v>210</v>
      </c>
      <c r="C85" s="126" t="s">
        <v>2079</v>
      </c>
      <c r="D85" s="127"/>
      <c r="E85" s="128">
        <v>43595</v>
      </c>
      <c r="F85" s="124" t="s">
        <v>218</v>
      </c>
      <c r="G85" s="129">
        <v>3200</v>
      </c>
      <c r="H85" s="124">
        <f t="shared" si="17"/>
        <v>160</v>
      </c>
      <c r="I85" s="124">
        <f t="shared" si="18"/>
        <v>5</v>
      </c>
      <c r="J85" s="124"/>
      <c r="K85" s="130">
        <v>43667</v>
      </c>
      <c r="L85" s="119" t="s">
        <v>2149</v>
      </c>
      <c r="M85" s="120">
        <v>43664</v>
      </c>
      <c r="N85" s="121" t="s">
        <v>2145</v>
      </c>
      <c r="O85" s="120">
        <v>43668</v>
      </c>
      <c r="P85" s="123"/>
      <c r="Q85" s="124" t="s">
        <v>2150</v>
      </c>
      <c r="R85" s="134" t="s">
        <v>211</v>
      </c>
      <c r="S85" s="124"/>
    </row>
    <row r="86" spans="2:19" s="34" customFormat="1" ht="33" customHeight="1">
      <c r="B86" s="47" t="s">
        <v>743</v>
      </c>
      <c r="C86" s="48" t="s">
        <v>234</v>
      </c>
      <c r="D86" s="49" t="s">
        <v>2081</v>
      </c>
      <c r="E86" s="50">
        <v>43519</v>
      </c>
      <c r="F86" s="52" t="s">
        <v>741</v>
      </c>
      <c r="G86" s="51">
        <v>1280</v>
      </c>
      <c r="H86" s="52">
        <f t="shared" si="13"/>
        <v>64</v>
      </c>
      <c r="I86" s="52">
        <f t="shared" si="14"/>
        <v>2</v>
      </c>
      <c r="J86" s="52"/>
      <c r="K86" s="53">
        <v>43576</v>
      </c>
      <c r="L86" s="54" t="s">
        <v>2005</v>
      </c>
      <c r="M86" s="55">
        <v>43550</v>
      </c>
      <c r="N86" s="56" t="s">
        <v>2064</v>
      </c>
      <c r="O86" s="55">
        <v>43555</v>
      </c>
      <c r="P86" s="58" t="s">
        <v>655</v>
      </c>
      <c r="Q86" s="52" t="s">
        <v>613</v>
      </c>
      <c r="R86" s="63" t="s">
        <v>211</v>
      </c>
      <c r="S86" s="52"/>
    </row>
    <row r="87" spans="2:19" s="32" customFormat="1" ht="33" customHeight="1">
      <c r="B87" s="46" t="s">
        <v>743</v>
      </c>
      <c r="C87" s="35" t="s">
        <v>235</v>
      </c>
      <c r="D87" s="36" t="s">
        <v>744</v>
      </c>
      <c r="E87" s="37">
        <v>43532</v>
      </c>
      <c r="F87" s="38" t="s">
        <v>741</v>
      </c>
      <c r="G87" s="39">
        <v>1280</v>
      </c>
      <c r="H87" s="38">
        <f t="shared" si="13"/>
        <v>64</v>
      </c>
      <c r="I87" s="38">
        <f t="shared" si="14"/>
        <v>2</v>
      </c>
      <c r="J87" s="38"/>
      <c r="K87" s="40">
        <v>43597</v>
      </c>
      <c r="L87" s="41" t="s">
        <v>605</v>
      </c>
      <c r="M87" s="42">
        <v>43594</v>
      </c>
      <c r="N87" s="43" t="s">
        <v>772</v>
      </c>
      <c r="O87" s="42">
        <v>43598</v>
      </c>
      <c r="P87" s="45"/>
      <c r="Q87" s="38" t="s">
        <v>641</v>
      </c>
      <c r="R87" s="66" t="s">
        <v>211</v>
      </c>
      <c r="S87" s="38"/>
    </row>
    <row r="88" spans="2:19" s="32" customFormat="1" ht="33" customHeight="1">
      <c r="B88" s="46" t="s">
        <v>743</v>
      </c>
      <c r="C88" s="35" t="s">
        <v>1569</v>
      </c>
      <c r="D88" s="36" t="s">
        <v>2085</v>
      </c>
      <c r="E88" s="37">
        <v>43581</v>
      </c>
      <c r="F88" s="38" t="s">
        <v>741</v>
      </c>
      <c r="G88" s="39">
        <v>1280</v>
      </c>
      <c r="H88" s="38">
        <f t="shared" si="13"/>
        <v>64</v>
      </c>
      <c r="I88" s="38">
        <f t="shared" si="14"/>
        <v>2</v>
      </c>
      <c r="J88" s="38"/>
      <c r="K88" s="40">
        <v>43632</v>
      </c>
      <c r="L88" s="41" t="s">
        <v>807</v>
      </c>
      <c r="M88" s="42">
        <v>43627</v>
      </c>
      <c r="N88" s="43" t="s">
        <v>796</v>
      </c>
      <c r="O88" s="42">
        <v>43632</v>
      </c>
      <c r="P88" s="45"/>
      <c r="Q88" s="38" t="s">
        <v>1810</v>
      </c>
      <c r="R88" s="66" t="s">
        <v>211</v>
      </c>
      <c r="S88" s="38"/>
    </row>
    <row r="89" spans="2:19" s="32" customFormat="1" ht="33" customHeight="1">
      <c r="B89" s="122" t="s">
        <v>743</v>
      </c>
      <c r="C89" s="126" t="s">
        <v>90</v>
      </c>
      <c r="D89" s="127" t="s">
        <v>2087</v>
      </c>
      <c r="E89" s="128">
        <v>43595</v>
      </c>
      <c r="F89" s="124" t="s">
        <v>741</v>
      </c>
      <c r="G89" s="129">
        <v>1280</v>
      </c>
      <c r="H89" s="124">
        <f t="shared" si="13"/>
        <v>64</v>
      </c>
      <c r="I89" s="124">
        <f t="shared" si="14"/>
        <v>2</v>
      </c>
      <c r="J89" s="124"/>
      <c r="K89" s="130">
        <v>43646</v>
      </c>
      <c r="L89" s="119" t="s">
        <v>2152</v>
      </c>
      <c r="M89" s="120">
        <v>43641</v>
      </c>
      <c r="N89" s="121" t="s">
        <v>2151</v>
      </c>
      <c r="O89" s="120">
        <v>43646</v>
      </c>
      <c r="P89" s="123"/>
      <c r="Q89" s="124" t="s">
        <v>2153</v>
      </c>
      <c r="R89" s="134" t="s">
        <v>211</v>
      </c>
      <c r="S89" s="124"/>
    </row>
    <row r="90" spans="2:19" s="32" customFormat="1" ht="33" customHeight="1">
      <c r="B90" s="122" t="s">
        <v>2162</v>
      </c>
      <c r="C90" s="126" t="s">
        <v>2088</v>
      </c>
      <c r="D90" s="127" t="s">
        <v>2089</v>
      </c>
      <c r="E90" s="128">
        <v>43595</v>
      </c>
      <c r="F90" s="124" t="s">
        <v>741</v>
      </c>
      <c r="G90" s="129">
        <v>1280</v>
      </c>
      <c r="H90" s="124">
        <f t="shared" si="13"/>
        <v>64</v>
      </c>
      <c r="I90" s="124">
        <f t="shared" si="14"/>
        <v>2</v>
      </c>
      <c r="J90" s="124"/>
      <c r="K90" s="130">
        <v>43674</v>
      </c>
      <c r="L90" s="119" t="s">
        <v>2146</v>
      </c>
      <c r="M90" s="120">
        <v>43669</v>
      </c>
      <c r="N90" s="121" t="s">
        <v>2144</v>
      </c>
      <c r="O90" s="120">
        <v>43674</v>
      </c>
      <c r="P90" s="123"/>
      <c r="Q90" s="124" t="s">
        <v>2154</v>
      </c>
      <c r="R90" s="134" t="s">
        <v>211</v>
      </c>
      <c r="S90" s="124"/>
    </row>
    <row r="91" spans="2:19" s="33" customFormat="1" ht="33" customHeight="1">
      <c r="B91" s="47" t="s">
        <v>2090</v>
      </c>
      <c r="C91" s="48" t="s">
        <v>225</v>
      </c>
      <c r="D91" s="49" t="s">
        <v>487</v>
      </c>
      <c r="E91" s="50">
        <v>43490</v>
      </c>
      <c r="F91" s="52" t="s">
        <v>920</v>
      </c>
      <c r="G91" s="51">
        <v>1520</v>
      </c>
      <c r="H91" s="52">
        <f>SUM(G91/190)</f>
        <v>8</v>
      </c>
      <c r="I91" s="52">
        <f>SUM(H91/4)</f>
        <v>2</v>
      </c>
      <c r="J91" s="52"/>
      <c r="K91" s="53">
        <v>43569</v>
      </c>
      <c r="L91" s="54" t="s">
        <v>417</v>
      </c>
      <c r="M91" s="55">
        <v>43564</v>
      </c>
      <c r="N91" s="56" t="s">
        <v>550</v>
      </c>
      <c r="O91" s="55">
        <v>43569</v>
      </c>
      <c r="P91" s="58"/>
      <c r="Q91" s="52"/>
      <c r="R91" s="63" t="s">
        <v>832</v>
      </c>
      <c r="S91" s="47"/>
    </row>
    <row r="92" spans="2:19" s="30" customFormat="1" ht="33" customHeight="1">
      <c r="B92" s="46" t="s">
        <v>2090</v>
      </c>
      <c r="C92" s="35" t="s">
        <v>226</v>
      </c>
      <c r="D92" s="36" t="s">
        <v>833</v>
      </c>
      <c r="E92" s="37">
        <v>43546</v>
      </c>
      <c r="F92" s="38" t="s">
        <v>920</v>
      </c>
      <c r="G92" s="39">
        <v>1520</v>
      </c>
      <c r="H92" s="38">
        <f>SUM(G92/190)</f>
        <v>8</v>
      </c>
      <c r="I92" s="38">
        <f>SUM(H92/4)</f>
        <v>2</v>
      </c>
      <c r="J92" s="38"/>
      <c r="K92" s="40">
        <v>43632</v>
      </c>
      <c r="L92" s="41" t="s">
        <v>2094</v>
      </c>
      <c r="M92" s="42">
        <v>43627</v>
      </c>
      <c r="N92" s="43" t="s">
        <v>796</v>
      </c>
      <c r="O92" s="42">
        <v>43632</v>
      </c>
      <c r="P92" s="45"/>
      <c r="Q92" s="38"/>
      <c r="R92" s="66" t="s">
        <v>928</v>
      </c>
      <c r="S92" s="46"/>
    </row>
    <row r="93" spans="2:19" s="33" customFormat="1" ht="33" customHeight="1">
      <c r="B93" s="47" t="s">
        <v>745</v>
      </c>
      <c r="C93" s="48" t="s">
        <v>2097</v>
      </c>
      <c r="D93" s="49" t="s">
        <v>747</v>
      </c>
      <c r="E93" s="50"/>
      <c r="F93" s="47" t="s">
        <v>236</v>
      </c>
      <c r="G93" s="51">
        <v>2400</v>
      </c>
      <c r="H93" s="52">
        <f t="shared" ref="H93:H103" si="19">SUM(G93/200)</f>
        <v>12</v>
      </c>
      <c r="I93" s="52">
        <f t="shared" ref="I93:I103" si="20">SUM(H93/4)</f>
        <v>3</v>
      </c>
      <c r="J93" s="52"/>
      <c r="K93" s="53">
        <v>43527</v>
      </c>
      <c r="L93" s="54" t="s">
        <v>2099</v>
      </c>
      <c r="M93" s="55">
        <v>43531</v>
      </c>
      <c r="N93" s="56" t="s">
        <v>568</v>
      </c>
      <c r="O93" s="55">
        <v>43535</v>
      </c>
      <c r="P93" s="58"/>
      <c r="Q93" s="52"/>
      <c r="R93" s="63"/>
      <c r="S93" s="47" t="s">
        <v>2100</v>
      </c>
    </row>
    <row r="94" spans="2:19" s="33" customFormat="1" ht="33" customHeight="1">
      <c r="B94" s="47" t="s">
        <v>238</v>
      </c>
      <c r="C94" s="48" t="s">
        <v>2101</v>
      </c>
      <c r="D94" s="49" t="s">
        <v>435</v>
      </c>
      <c r="E94" s="50"/>
      <c r="F94" s="52" t="s">
        <v>236</v>
      </c>
      <c r="G94" s="51">
        <v>2400</v>
      </c>
      <c r="H94" s="52">
        <f t="shared" si="19"/>
        <v>12</v>
      </c>
      <c r="I94" s="52">
        <f t="shared" si="20"/>
        <v>3</v>
      </c>
      <c r="J94" s="52"/>
      <c r="K94" s="53">
        <v>43548</v>
      </c>
      <c r="L94" s="54" t="s">
        <v>748</v>
      </c>
      <c r="M94" s="55">
        <v>43543</v>
      </c>
      <c r="N94" s="56" t="s">
        <v>797</v>
      </c>
      <c r="O94" s="55">
        <v>43548</v>
      </c>
      <c r="P94" s="58"/>
      <c r="Q94" s="52"/>
      <c r="R94" s="63"/>
      <c r="S94" s="47"/>
    </row>
    <row r="95" spans="2:19" s="33" customFormat="1" ht="33" customHeight="1">
      <c r="B95" s="47" t="s">
        <v>238</v>
      </c>
      <c r="C95" s="48" t="s">
        <v>2104</v>
      </c>
      <c r="D95" s="49" t="s">
        <v>474</v>
      </c>
      <c r="E95" s="50"/>
      <c r="F95" s="52" t="s">
        <v>236</v>
      </c>
      <c r="G95" s="51">
        <v>3200</v>
      </c>
      <c r="H95" s="52">
        <f t="shared" si="19"/>
        <v>16</v>
      </c>
      <c r="I95" s="52">
        <f t="shared" si="20"/>
        <v>4</v>
      </c>
      <c r="J95" s="52"/>
      <c r="K95" s="53">
        <v>43562</v>
      </c>
      <c r="L95" s="54" t="s">
        <v>2105</v>
      </c>
      <c r="M95" s="55">
        <v>43557</v>
      </c>
      <c r="N95" s="56" t="s">
        <v>798</v>
      </c>
      <c r="O95" s="55">
        <v>43562</v>
      </c>
      <c r="P95" s="58"/>
      <c r="Q95" s="52"/>
      <c r="R95" s="63"/>
      <c r="S95" s="47"/>
    </row>
    <row r="96" spans="2:19" s="33" customFormat="1" ht="33" customHeight="1">
      <c r="B96" s="47" t="s">
        <v>238</v>
      </c>
      <c r="C96" s="48" t="s">
        <v>799</v>
      </c>
      <c r="D96" s="49" t="s">
        <v>475</v>
      </c>
      <c r="E96" s="50"/>
      <c r="F96" s="52" t="s">
        <v>236</v>
      </c>
      <c r="G96" s="51">
        <v>1600</v>
      </c>
      <c r="H96" s="52">
        <f t="shared" si="19"/>
        <v>8</v>
      </c>
      <c r="I96" s="52">
        <f t="shared" si="20"/>
        <v>2</v>
      </c>
      <c r="J96" s="52"/>
      <c r="K96" s="53">
        <v>43562</v>
      </c>
      <c r="L96" s="54" t="s">
        <v>2108</v>
      </c>
      <c r="M96" s="55">
        <v>43564</v>
      </c>
      <c r="N96" s="56" t="s">
        <v>550</v>
      </c>
      <c r="O96" s="55">
        <v>43569</v>
      </c>
      <c r="P96" s="58"/>
      <c r="Q96" s="52"/>
      <c r="R96" s="63"/>
      <c r="S96" s="47"/>
    </row>
    <row r="97" spans="2:19" s="33" customFormat="1" ht="33" customHeight="1">
      <c r="B97" s="47" t="s">
        <v>238</v>
      </c>
      <c r="C97" s="48" t="s">
        <v>2109</v>
      </c>
      <c r="D97" s="49" t="s">
        <v>488</v>
      </c>
      <c r="E97" s="50">
        <v>43495</v>
      </c>
      <c r="F97" s="52" t="s">
        <v>236</v>
      </c>
      <c r="G97" s="51">
        <v>1600</v>
      </c>
      <c r="H97" s="52">
        <f t="shared" si="19"/>
        <v>8</v>
      </c>
      <c r="I97" s="52">
        <f t="shared" si="20"/>
        <v>2</v>
      </c>
      <c r="J97" s="52"/>
      <c r="K97" s="53">
        <v>43583</v>
      </c>
      <c r="L97" s="54" t="s">
        <v>2110</v>
      </c>
      <c r="M97" s="55">
        <v>43578</v>
      </c>
      <c r="N97" s="56" t="s">
        <v>2111</v>
      </c>
      <c r="O97" s="55">
        <v>43583</v>
      </c>
      <c r="P97" s="58"/>
      <c r="Q97" s="52"/>
      <c r="R97" s="63"/>
      <c r="S97" s="47"/>
    </row>
    <row r="98" spans="2:19" s="30" customFormat="1" ht="33" customHeight="1">
      <c r="B98" s="46" t="s">
        <v>238</v>
      </c>
      <c r="C98" s="35" t="s">
        <v>2112</v>
      </c>
      <c r="D98" s="36" t="s">
        <v>598</v>
      </c>
      <c r="E98" s="37">
        <v>43519</v>
      </c>
      <c r="F98" s="38" t="s">
        <v>236</v>
      </c>
      <c r="G98" s="39">
        <v>1600</v>
      </c>
      <c r="H98" s="38">
        <f t="shared" si="19"/>
        <v>8</v>
      </c>
      <c r="I98" s="38">
        <f t="shared" si="20"/>
        <v>2</v>
      </c>
      <c r="J98" s="38"/>
      <c r="K98" s="40">
        <v>43597</v>
      </c>
      <c r="L98" s="41" t="s">
        <v>800</v>
      </c>
      <c r="M98" s="42">
        <v>43592</v>
      </c>
      <c r="N98" s="43" t="s">
        <v>2114</v>
      </c>
      <c r="O98" s="42">
        <v>43597</v>
      </c>
      <c r="P98" s="45"/>
      <c r="Q98" s="38"/>
      <c r="R98" s="66"/>
      <c r="S98" s="46"/>
    </row>
    <row r="99" spans="2:19" s="30" customFormat="1" ht="33" customHeight="1">
      <c r="B99" s="46" t="s">
        <v>238</v>
      </c>
      <c r="C99" s="35" t="s">
        <v>2115</v>
      </c>
      <c r="D99" s="36" t="s">
        <v>598</v>
      </c>
      <c r="E99" s="37">
        <v>43519</v>
      </c>
      <c r="F99" s="38" t="s">
        <v>236</v>
      </c>
      <c r="G99" s="39">
        <v>1600</v>
      </c>
      <c r="H99" s="38">
        <f t="shared" si="19"/>
        <v>8</v>
      </c>
      <c r="I99" s="38">
        <f t="shared" si="20"/>
        <v>2</v>
      </c>
      <c r="J99" s="38"/>
      <c r="K99" s="40">
        <v>43597</v>
      </c>
      <c r="L99" s="41" t="s">
        <v>1086</v>
      </c>
      <c r="M99" s="42">
        <v>43606</v>
      </c>
      <c r="N99" s="43" t="s">
        <v>788</v>
      </c>
      <c r="O99" s="42">
        <v>43613</v>
      </c>
      <c r="P99" s="45"/>
      <c r="Q99" s="38"/>
      <c r="R99" s="66"/>
      <c r="S99" s="46"/>
    </row>
    <row r="100" spans="2:19" s="30" customFormat="1" ht="33" customHeight="1">
      <c r="B100" s="46" t="s">
        <v>238</v>
      </c>
      <c r="C100" s="35" t="s">
        <v>226</v>
      </c>
      <c r="D100" s="36" t="s">
        <v>749</v>
      </c>
      <c r="E100" s="37">
        <v>43532</v>
      </c>
      <c r="F100" s="38" t="s">
        <v>236</v>
      </c>
      <c r="G100" s="39">
        <v>3200</v>
      </c>
      <c r="H100" s="38">
        <f t="shared" si="19"/>
        <v>16</v>
      </c>
      <c r="I100" s="38">
        <f t="shared" si="20"/>
        <v>4</v>
      </c>
      <c r="J100" s="38"/>
      <c r="K100" s="40">
        <v>43625</v>
      </c>
      <c r="L100" s="41" t="s">
        <v>2118</v>
      </c>
      <c r="M100" s="42">
        <v>43620</v>
      </c>
      <c r="N100" s="43" t="s">
        <v>2119</v>
      </c>
      <c r="O100" s="42" t="s">
        <v>2120</v>
      </c>
      <c r="P100" s="45"/>
      <c r="Q100" s="38"/>
      <c r="R100" s="66"/>
      <c r="S100" s="46"/>
    </row>
    <row r="101" spans="2:19" s="30" customFormat="1" ht="33" customHeight="1">
      <c r="B101" s="46" t="s">
        <v>238</v>
      </c>
      <c r="C101" s="35" t="s">
        <v>233</v>
      </c>
      <c r="D101" s="36" t="s">
        <v>750</v>
      </c>
      <c r="E101" s="37">
        <v>43532</v>
      </c>
      <c r="F101" s="38" t="s">
        <v>236</v>
      </c>
      <c r="G101" s="39">
        <v>3200</v>
      </c>
      <c r="H101" s="38">
        <f t="shared" si="19"/>
        <v>16</v>
      </c>
      <c r="I101" s="38">
        <f t="shared" si="20"/>
        <v>4</v>
      </c>
      <c r="J101" s="38"/>
      <c r="K101" s="40">
        <v>43646</v>
      </c>
      <c r="L101" s="41" t="s">
        <v>2121</v>
      </c>
      <c r="M101" s="42">
        <v>43641</v>
      </c>
      <c r="N101" s="43" t="s">
        <v>2122</v>
      </c>
      <c r="O101" s="42">
        <v>43646</v>
      </c>
      <c r="P101" s="45"/>
      <c r="Q101" s="38"/>
      <c r="R101" s="66"/>
      <c r="S101" s="46"/>
    </row>
    <row r="102" spans="2:19" s="30" customFormat="1" ht="33" customHeight="1">
      <c r="B102" s="46" t="s">
        <v>238</v>
      </c>
      <c r="C102" s="35" t="s">
        <v>285</v>
      </c>
      <c r="D102" s="36" t="s">
        <v>1305</v>
      </c>
      <c r="E102" s="37">
        <v>43567</v>
      </c>
      <c r="F102" s="38" t="s">
        <v>236</v>
      </c>
      <c r="G102" s="39">
        <v>3200</v>
      </c>
      <c r="H102" s="38">
        <f t="shared" si="19"/>
        <v>16</v>
      </c>
      <c r="I102" s="38">
        <f t="shared" si="20"/>
        <v>4</v>
      </c>
      <c r="J102" s="38"/>
      <c r="K102" s="40">
        <v>43660</v>
      </c>
      <c r="L102" s="41" t="s">
        <v>1805</v>
      </c>
      <c r="M102" s="42">
        <v>43655</v>
      </c>
      <c r="N102" s="43" t="s">
        <v>2124</v>
      </c>
      <c r="O102" s="42">
        <v>43660</v>
      </c>
      <c r="P102" s="45"/>
      <c r="Q102" s="38"/>
      <c r="R102" s="66"/>
      <c r="S102" s="46"/>
    </row>
    <row r="103" spans="2:19" s="30" customFormat="1" ht="33" customHeight="1">
      <c r="B103" s="46" t="s">
        <v>238</v>
      </c>
      <c r="C103" s="35" t="s">
        <v>331</v>
      </c>
      <c r="D103" s="36" t="s">
        <v>1306</v>
      </c>
      <c r="E103" s="37">
        <v>43567</v>
      </c>
      <c r="F103" s="38" t="s">
        <v>236</v>
      </c>
      <c r="G103" s="39">
        <v>3200</v>
      </c>
      <c r="H103" s="38">
        <f t="shared" si="19"/>
        <v>16</v>
      </c>
      <c r="I103" s="38">
        <f t="shared" si="20"/>
        <v>4</v>
      </c>
      <c r="J103" s="38"/>
      <c r="K103" s="40">
        <v>43674</v>
      </c>
      <c r="L103" s="41" t="s">
        <v>2125</v>
      </c>
      <c r="M103" s="42">
        <v>43669</v>
      </c>
      <c r="N103" s="43" t="s">
        <v>2126</v>
      </c>
      <c r="O103" s="42">
        <v>43674</v>
      </c>
      <c r="P103" s="45"/>
      <c r="Q103" s="38"/>
      <c r="R103" s="66"/>
      <c r="S103" s="46"/>
    </row>
    <row r="104" spans="2:19" s="30" customFormat="1">
      <c r="C104" s="22"/>
      <c r="D104" s="23"/>
      <c r="G104" s="24"/>
      <c r="K104" s="25"/>
      <c r="M104" s="26"/>
      <c r="N104" s="28"/>
      <c r="O104" s="26"/>
      <c r="R104" s="27"/>
    </row>
    <row r="105" spans="2:19" s="19" customFormat="1">
      <c r="B105"/>
      <c r="C105" s="15"/>
      <c r="D105" s="1"/>
      <c r="E105" s="174"/>
      <c r="F105"/>
      <c r="G105" s="11"/>
      <c r="H105"/>
      <c r="I105"/>
      <c r="J105"/>
      <c r="K105" s="13"/>
      <c r="L105"/>
      <c r="N105" s="28"/>
      <c r="P105"/>
      <c r="Q105"/>
      <c r="R105" s="17"/>
      <c r="S105"/>
    </row>
    <row r="106" spans="2:19" s="19" customFormat="1" ht="26.4" hidden="1">
      <c r="B106"/>
      <c r="C106" s="15"/>
      <c r="D106" s="1"/>
      <c r="F106" s="177"/>
      <c r="L106" s="176" t="s">
        <v>1821</v>
      </c>
      <c r="M106" s="177"/>
      <c r="N106" s="177"/>
      <c r="O106"/>
      <c r="P106" s="13"/>
      <c r="Q106"/>
      <c r="S106" s="28"/>
    </row>
    <row r="107" spans="2:19" ht="26.4" hidden="1">
      <c r="F107" s="177"/>
      <c r="L107" s="176" t="s">
        <v>1822</v>
      </c>
      <c r="M107" s="177"/>
      <c r="N107" s="177"/>
      <c r="O107"/>
      <c r="P107" s="13"/>
      <c r="R107" s="19"/>
      <c r="S107" s="28"/>
    </row>
    <row r="108" spans="2:19" ht="26.4" hidden="1">
      <c r="F108" s="177"/>
      <c r="L108" s="176" t="s">
        <v>1823</v>
      </c>
      <c r="M108" s="177"/>
      <c r="N108" s="177"/>
      <c r="O108"/>
      <c r="P108" s="13"/>
      <c r="R108" s="19"/>
      <c r="S108" s="28"/>
    </row>
    <row r="109" spans="2:19" hidden="1">
      <c r="E109" s="175"/>
      <c r="L109" s="11"/>
      <c r="M109"/>
      <c r="N109"/>
      <c r="O109"/>
      <c r="P109" s="13"/>
      <c r="R109" s="19"/>
      <c r="S109" s="28"/>
    </row>
    <row r="110" spans="2:19" s="19" customFormat="1" hidden="1">
      <c r="B110"/>
      <c r="C110" s="15"/>
      <c r="D110" s="1"/>
      <c r="L110" s="178" t="s">
        <v>1825</v>
      </c>
      <c r="M110" s="178" t="s">
        <v>1826</v>
      </c>
      <c r="N110" s="178" t="s">
        <v>1827</v>
      </c>
      <c r="O110" s="178" t="s">
        <v>1828</v>
      </c>
      <c r="P110" s="179" t="s">
        <v>2127</v>
      </c>
      <c r="Q110" s="179" t="s">
        <v>2128</v>
      </c>
      <c r="R110" s="179" t="s">
        <v>1831</v>
      </c>
      <c r="S110" s="179"/>
    </row>
    <row r="111" spans="2:19" s="19" customFormat="1" hidden="1">
      <c r="B111"/>
      <c r="C111" s="15"/>
      <c r="D111" s="1"/>
      <c r="L111" s="180" t="s">
        <v>2129</v>
      </c>
      <c r="M111" s="181" t="s">
        <v>1833</v>
      </c>
      <c r="N111" s="181" t="s">
        <v>1834</v>
      </c>
      <c r="O111" s="182" t="s">
        <v>1835</v>
      </c>
      <c r="P111" s="183">
        <v>1000</v>
      </c>
      <c r="Q111" s="183">
        <v>4</v>
      </c>
      <c r="R111" s="184">
        <v>43598</v>
      </c>
      <c r="S111" s="181" t="s">
        <v>99</v>
      </c>
    </row>
    <row r="112" spans="2:19" s="19" customFormat="1" hidden="1">
      <c r="B112"/>
      <c r="C112" s="15"/>
      <c r="D112" s="1"/>
      <c r="L112" s="180" t="s">
        <v>2129</v>
      </c>
      <c r="M112" s="181" t="s">
        <v>1836</v>
      </c>
      <c r="N112" s="181" t="s">
        <v>1834</v>
      </c>
      <c r="O112" s="182" t="s">
        <v>1835</v>
      </c>
      <c r="P112" s="183">
        <v>6000</v>
      </c>
      <c r="Q112" s="183">
        <v>24</v>
      </c>
      <c r="R112" s="184">
        <v>43598</v>
      </c>
      <c r="S112" s="181" t="s">
        <v>99</v>
      </c>
    </row>
    <row r="113" spans="2:19" s="19" customFormat="1" hidden="1">
      <c r="B113"/>
      <c r="C113" s="15"/>
      <c r="D113" s="1"/>
      <c r="L113" s="180" t="s">
        <v>2129</v>
      </c>
      <c r="M113" s="181" t="s">
        <v>1837</v>
      </c>
      <c r="N113" s="181" t="s">
        <v>1834</v>
      </c>
      <c r="O113" s="182" t="s">
        <v>1835</v>
      </c>
      <c r="P113" s="183">
        <v>5000</v>
      </c>
      <c r="Q113" s="183">
        <v>20</v>
      </c>
      <c r="R113" s="185" t="s">
        <v>2130</v>
      </c>
      <c r="S113" s="180" t="s">
        <v>2131</v>
      </c>
    </row>
    <row r="114" spans="2:19" s="19" customFormat="1" hidden="1">
      <c r="B114"/>
      <c r="C114" s="15"/>
      <c r="D114" s="1"/>
      <c r="L114" s="180" t="s">
        <v>2129</v>
      </c>
      <c r="M114" s="181" t="s">
        <v>1840</v>
      </c>
      <c r="N114" s="181" t="s">
        <v>1834</v>
      </c>
      <c r="O114" s="182" t="s">
        <v>1835</v>
      </c>
      <c r="P114" s="183">
        <v>5000</v>
      </c>
      <c r="Q114" s="183">
        <v>20</v>
      </c>
      <c r="R114" s="184">
        <v>43605</v>
      </c>
      <c r="S114" s="181" t="s">
        <v>99</v>
      </c>
    </row>
    <row r="115" spans="2:19" s="19" customFormat="1" hidden="1">
      <c r="B115"/>
      <c r="C115" s="15"/>
      <c r="D115" s="1"/>
      <c r="L115" s="180" t="s">
        <v>2129</v>
      </c>
      <c r="M115" s="181" t="s">
        <v>1841</v>
      </c>
      <c r="N115" s="181" t="s">
        <v>1834</v>
      </c>
      <c r="O115" s="182" t="s">
        <v>1835</v>
      </c>
      <c r="P115" s="183">
        <v>7000</v>
      </c>
      <c r="Q115" s="183">
        <v>28</v>
      </c>
      <c r="R115" s="184">
        <v>43605</v>
      </c>
      <c r="S115" s="181" t="s">
        <v>99</v>
      </c>
    </row>
    <row r="116" spans="2:19" hidden="1">
      <c r="L116" s="180" t="s">
        <v>2132</v>
      </c>
      <c r="M116" s="181" t="s">
        <v>1843</v>
      </c>
      <c r="N116" s="181" t="s">
        <v>1844</v>
      </c>
      <c r="O116" s="182" t="s">
        <v>1835</v>
      </c>
      <c r="P116" s="183">
        <v>2000</v>
      </c>
      <c r="Q116" s="183">
        <v>8</v>
      </c>
      <c r="R116" s="184">
        <v>43598</v>
      </c>
      <c r="S116" s="181" t="s">
        <v>99</v>
      </c>
    </row>
    <row r="117" spans="2:19" hidden="1">
      <c r="L117" s="180" t="s">
        <v>2132</v>
      </c>
      <c r="M117" s="181" t="s">
        <v>1845</v>
      </c>
      <c r="N117" s="181" t="s">
        <v>1844</v>
      </c>
      <c r="O117" s="182" t="s">
        <v>1835</v>
      </c>
      <c r="P117" s="183">
        <v>2000</v>
      </c>
      <c r="Q117" s="183">
        <v>8</v>
      </c>
      <c r="R117" s="184">
        <v>43598</v>
      </c>
      <c r="S117" s="181" t="s">
        <v>99</v>
      </c>
    </row>
    <row r="118" spans="2:19" hidden="1">
      <c r="L118" s="180" t="s">
        <v>2132</v>
      </c>
      <c r="M118" s="181" t="s">
        <v>1846</v>
      </c>
      <c r="N118" s="181" t="s">
        <v>1844</v>
      </c>
      <c r="O118" s="182" t="s">
        <v>1835</v>
      </c>
      <c r="P118" s="183">
        <v>10000</v>
      </c>
      <c r="Q118" s="183">
        <v>40</v>
      </c>
      <c r="R118" s="184">
        <v>43598</v>
      </c>
      <c r="S118" s="181" t="s">
        <v>99</v>
      </c>
    </row>
    <row r="119" spans="2:19" hidden="1">
      <c r="L119" s="180" t="s">
        <v>2132</v>
      </c>
      <c r="M119" s="181" t="s">
        <v>1847</v>
      </c>
      <c r="N119" s="181" t="s">
        <v>1844</v>
      </c>
      <c r="O119" s="182" t="s">
        <v>1835</v>
      </c>
      <c r="P119" s="183">
        <v>8000</v>
      </c>
      <c r="Q119" s="183">
        <v>32</v>
      </c>
      <c r="R119" s="184">
        <v>43598</v>
      </c>
      <c r="S119" s="180"/>
    </row>
    <row r="120" spans="2:19" hidden="1">
      <c r="L120" s="180" t="s">
        <v>2132</v>
      </c>
      <c r="M120" s="181" t="s">
        <v>1848</v>
      </c>
      <c r="N120" s="181" t="s">
        <v>1844</v>
      </c>
      <c r="O120" s="182" t="s">
        <v>1835</v>
      </c>
      <c r="P120" s="183">
        <v>10000</v>
      </c>
      <c r="Q120" s="183">
        <v>40</v>
      </c>
      <c r="R120" s="185" t="s">
        <v>2133</v>
      </c>
      <c r="S120" s="180" t="s">
        <v>2131</v>
      </c>
    </row>
    <row r="121" spans="2:19" hidden="1">
      <c r="L121" s="182" t="s">
        <v>2134</v>
      </c>
      <c r="M121" s="181" t="s">
        <v>1851</v>
      </c>
      <c r="N121" s="181" t="s">
        <v>1834</v>
      </c>
      <c r="O121" s="182" t="s">
        <v>1852</v>
      </c>
      <c r="P121" s="183">
        <v>5000</v>
      </c>
      <c r="Q121" s="183">
        <v>20</v>
      </c>
      <c r="R121" s="184">
        <v>43605</v>
      </c>
      <c r="S121" s="181" t="s">
        <v>99</v>
      </c>
    </row>
    <row r="122" spans="2:19" hidden="1">
      <c r="L122" s="180" t="s">
        <v>2132</v>
      </c>
      <c r="M122" s="181" t="s">
        <v>1851</v>
      </c>
      <c r="N122" s="181" t="s">
        <v>1844</v>
      </c>
      <c r="O122" s="182" t="s">
        <v>1835</v>
      </c>
      <c r="P122" s="183">
        <v>2000</v>
      </c>
      <c r="Q122" s="183">
        <v>8</v>
      </c>
      <c r="R122" s="184">
        <v>43605</v>
      </c>
      <c r="S122" s="181" t="s">
        <v>99</v>
      </c>
    </row>
    <row r="123" spans="2:19" hidden="1">
      <c r="L123" s="182" t="s">
        <v>2136</v>
      </c>
      <c r="M123" s="181" t="s">
        <v>1855</v>
      </c>
      <c r="N123" s="181" t="s">
        <v>1834</v>
      </c>
      <c r="O123" s="182" t="s">
        <v>1852</v>
      </c>
      <c r="P123" s="183">
        <v>6000</v>
      </c>
      <c r="Q123" s="183">
        <v>24</v>
      </c>
      <c r="R123" s="184">
        <v>43605</v>
      </c>
      <c r="S123" s="181" t="s">
        <v>99</v>
      </c>
    </row>
    <row r="124" spans="2:19" hidden="1">
      <c r="L124" s="182" t="s">
        <v>2136</v>
      </c>
      <c r="M124" s="181" t="s">
        <v>1856</v>
      </c>
      <c r="N124" s="181" t="s">
        <v>1834</v>
      </c>
      <c r="O124" s="182" t="s">
        <v>1852</v>
      </c>
      <c r="P124" s="183">
        <v>6000</v>
      </c>
      <c r="Q124" s="183">
        <v>24</v>
      </c>
      <c r="R124" s="185">
        <v>43605</v>
      </c>
      <c r="S124" s="180"/>
    </row>
    <row r="125" spans="2:19" hidden="1">
      <c r="L125" s="182" t="s">
        <v>2136</v>
      </c>
      <c r="M125" s="181" t="s">
        <v>1857</v>
      </c>
      <c r="N125" s="181" t="s">
        <v>1834</v>
      </c>
      <c r="O125" s="182" t="s">
        <v>1852</v>
      </c>
      <c r="P125" s="183">
        <v>6000</v>
      </c>
      <c r="Q125" s="183">
        <v>24</v>
      </c>
      <c r="R125" s="184" t="s">
        <v>2137</v>
      </c>
      <c r="S125" s="181" t="s">
        <v>2138</v>
      </c>
    </row>
    <row r="128" spans="2:19" ht="16.2">
      <c r="L128" s="186"/>
    </row>
    <row r="129" spans="12:12" ht="16.2">
      <c r="L129" s="186"/>
    </row>
    <row r="130" spans="12:12" ht="16.2">
      <c r="L130" s="186"/>
    </row>
  </sheetData>
  <autoFilter ref="B2:R103" xr:uid="{00000000-0009-0000-0000-00001B000000}"/>
  <phoneticPr fontId="1"/>
  <pageMargins left="0.23622047244094491" right="0.23622047244094491" top="0.35433070866141736" bottom="0.35433070866141736" header="0.31496062992125984" footer="0.31496062992125984"/>
  <pageSetup paperSize="9" scale="77" fitToHeight="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54">
    <pageSetUpPr fitToPage="1"/>
  </sheetPr>
  <dimension ref="B1:S124"/>
  <sheetViews>
    <sheetView zoomScale="77" zoomScaleNormal="77" workbookViewId="0">
      <pane xSplit="3" ySplit="2" topLeftCell="D57" activePane="bottomRight" state="frozen"/>
      <selection activeCell="B70" sqref="B70"/>
      <selection pane="topRight" activeCell="B70" sqref="B70"/>
      <selection pane="bottomLeft" activeCell="B70" sqref="B70"/>
      <selection pane="bottomRight" activeCell="R27" sqref="R27:R29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15.87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C2" s="14" t="s">
        <v>1865</v>
      </c>
      <c r="D2" s="5" t="s">
        <v>0</v>
      </c>
      <c r="E2" s="6" t="s">
        <v>294</v>
      </c>
      <c r="F2" s="6" t="s">
        <v>1866</v>
      </c>
      <c r="G2" s="10" t="s">
        <v>1</v>
      </c>
      <c r="H2" s="6" t="s">
        <v>15</v>
      </c>
      <c r="I2" s="6" t="s">
        <v>16</v>
      </c>
      <c r="J2" s="6" t="s">
        <v>1867</v>
      </c>
      <c r="K2" s="12" t="s">
        <v>1868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1869</v>
      </c>
      <c r="Q2" s="6" t="s">
        <v>1870</v>
      </c>
      <c r="R2" s="16" t="s">
        <v>6</v>
      </c>
      <c r="S2" s="16" t="s">
        <v>1871</v>
      </c>
    </row>
    <row r="3" spans="2:19" s="33" customFormat="1" ht="33" customHeight="1">
      <c r="B3" s="47" t="s">
        <v>220</v>
      </c>
      <c r="C3" s="48" t="s">
        <v>309</v>
      </c>
      <c r="D3" s="49" t="s">
        <v>310</v>
      </c>
      <c r="E3" s="50">
        <v>43420</v>
      </c>
      <c r="F3" s="49" t="s">
        <v>79</v>
      </c>
      <c r="G3" s="51">
        <v>7000</v>
      </c>
      <c r="H3" s="52">
        <f t="shared" ref="H3:H23" si="0">SUM(G3/250)</f>
        <v>28</v>
      </c>
      <c r="I3" s="52">
        <f t="shared" ref="I3:I40" si="1">SUM(H3/4)</f>
        <v>7</v>
      </c>
      <c r="J3" s="49"/>
      <c r="K3" s="53">
        <v>43541</v>
      </c>
      <c r="L3" s="54" t="s">
        <v>1872</v>
      </c>
      <c r="M3" s="55">
        <v>43542</v>
      </c>
      <c r="N3" s="56" t="s">
        <v>649</v>
      </c>
      <c r="O3" s="55">
        <v>43183</v>
      </c>
      <c r="P3" s="54" t="s">
        <v>1873</v>
      </c>
      <c r="Q3" s="49"/>
      <c r="R3" s="57" t="s">
        <v>1874</v>
      </c>
      <c r="S3" s="47"/>
    </row>
    <row r="4" spans="2:19" s="33" customFormat="1" ht="33" customHeight="1">
      <c r="B4" s="47" t="s">
        <v>78</v>
      </c>
      <c r="C4" s="48" t="s">
        <v>311</v>
      </c>
      <c r="D4" s="49" t="s">
        <v>312</v>
      </c>
      <c r="E4" s="50">
        <v>43420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43169</v>
      </c>
      <c r="L4" s="54" t="s">
        <v>1875</v>
      </c>
      <c r="M4" s="55">
        <v>43528</v>
      </c>
      <c r="N4" s="56" t="s">
        <v>1876</v>
      </c>
      <c r="O4" s="55">
        <v>43534</v>
      </c>
      <c r="P4" s="54"/>
      <c r="Q4" s="49" t="s">
        <v>82</v>
      </c>
      <c r="R4" s="57" t="s">
        <v>1877</v>
      </c>
      <c r="S4" s="47"/>
    </row>
    <row r="5" spans="2:19" s="33" customFormat="1" ht="33" customHeight="1">
      <c r="B5" s="47" t="s">
        <v>78</v>
      </c>
      <c r="C5" s="48" t="s">
        <v>374</v>
      </c>
      <c r="D5" s="49" t="s">
        <v>375</v>
      </c>
      <c r="E5" s="50">
        <v>43455</v>
      </c>
      <c r="F5" s="49" t="s">
        <v>79</v>
      </c>
      <c r="G5" s="51">
        <v>21000</v>
      </c>
      <c r="H5" s="52">
        <f t="shared" si="0"/>
        <v>84</v>
      </c>
      <c r="I5" s="52">
        <f t="shared" si="1"/>
        <v>21</v>
      </c>
      <c r="J5" s="49"/>
      <c r="K5" s="53">
        <v>43541</v>
      </c>
      <c r="L5" s="54" t="s">
        <v>1872</v>
      </c>
      <c r="M5" s="55">
        <v>43542</v>
      </c>
      <c r="N5" s="56" t="s">
        <v>649</v>
      </c>
      <c r="O5" s="55">
        <v>43183</v>
      </c>
      <c r="P5" s="54" t="s">
        <v>1878</v>
      </c>
      <c r="Q5" s="49" t="s">
        <v>82</v>
      </c>
      <c r="R5" s="57" t="s">
        <v>1879</v>
      </c>
      <c r="S5" s="47"/>
    </row>
    <row r="6" spans="2:19" s="33" customFormat="1" ht="33" customHeight="1">
      <c r="B6" s="47" t="s">
        <v>220</v>
      </c>
      <c r="C6" s="48" t="s">
        <v>377</v>
      </c>
      <c r="D6" s="49" t="s">
        <v>378</v>
      </c>
      <c r="E6" s="50">
        <v>43455</v>
      </c>
      <c r="F6" s="49" t="s">
        <v>1880</v>
      </c>
      <c r="G6" s="51">
        <v>14000</v>
      </c>
      <c r="H6" s="52">
        <f t="shared" si="0"/>
        <v>56</v>
      </c>
      <c r="I6" s="52">
        <f t="shared" si="1"/>
        <v>14</v>
      </c>
      <c r="J6" s="49"/>
      <c r="K6" s="53">
        <v>43548</v>
      </c>
      <c r="L6" s="54" t="s">
        <v>1881</v>
      </c>
      <c r="M6" s="55">
        <v>43563</v>
      </c>
      <c r="N6" s="56" t="s">
        <v>1882</v>
      </c>
      <c r="O6" s="55">
        <v>43569</v>
      </c>
      <c r="P6" s="54" t="s">
        <v>1883</v>
      </c>
      <c r="Q6" s="49"/>
      <c r="R6" s="57" t="s">
        <v>1884</v>
      </c>
      <c r="S6" s="47"/>
    </row>
    <row r="7" spans="2:19" s="33" customFormat="1" ht="33" customHeight="1">
      <c r="B7" s="47" t="s">
        <v>78</v>
      </c>
      <c r="C7" s="48" t="s">
        <v>380</v>
      </c>
      <c r="D7" s="49" t="s">
        <v>381</v>
      </c>
      <c r="E7" s="50">
        <v>43455</v>
      </c>
      <c r="F7" s="49" t="s">
        <v>1885</v>
      </c>
      <c r="G7" s="51">
        <v>40000</v>
      </c>
      <c r="H7" s="52">
        <f t="shared" si="0"/>
        <v>160</v>
      </c>
      <c r="I7" s="52">
        <f t="shared" si="1"/>
        <v>40</v>
      </c>
      <c r="J7" s="49"/>
      <c r="K7" s="53">
        <v>43555</v>
      </c>
      <c r="L7" s="54" t="s">
        <v>1886</v>
      </c>
      <c r="M7" s="55">
        <v>43549</v>
      </c>
      <c r="N7" s="56" t="s">
        <v>1887</v>
      </c>
      <c r="O7" s="55">
        <v>43555</v>
      </c>
      <c r="P7" s="54" t="s">
        <v>1888</v>
      </c>
      <c r="Q7" s="49" t="s">
        <v>82</v>
      </c>
      <c r="R7" s="57" t="s">
        <v>1889</v>
      </c>
      <c r="S7" s="47"/>
    </row>
    <row r="8" spans="2:19" s="33" customFormat="1" ht="33" customHeight="1">
      <c r="B8" s="47" t="s">
        <v>220</v>
      </c>
      <c r="C8" s="48" t="s">
        <v>421</v>
      </c>
      <c r="D8" s="49" t="s">
        <v>453</v>
      </c>
      <c r="E8" s="50">
        <v>43483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43576</v>
      </c>
      <c r="L8" s="54" t="s">
        <v>1890</v>
      </c>
      <c r="M8" s="55">
        <v>43570</v>
      </c>
      <c r="N8" s="56" t="s">
        <v>1891</v>
      </c>
      <c r="O8" s="55">
        <v>43576</v>
      </c>
      <c r="P8" s="54" t="s">
        <v>1892</v>
      </c>
      <c r="Q8" s="49"/>
      <c r="R8" s="57" t="s">
        <v>1893</v>
      </c>
      <c r="S8" s="47"/>
    </row>
    <row r="9" spans="2:19" s="30" customFormat="1" ht="33" customHeight="1">
      <c r="B9" s="46" t="s">
        <v>78</v>
      </c>
      <c r="C9" s="35" t="s">
        <v>422</v>
      </c>
      <c r="D9" s="36" t="s">
        <v>455</v>
      </c>
      <c r="E9" s="37">
        <v>43483</v>
      </c>
      <c r="F9" s="36" t="s">
        <v>1880</v>
      </c>
      <c r="G9" s="39">
        <v>10000</v>
      </c>
      <c r="H9" s="38">
        <f>SUM(G9/250)</f>
        <v>40</v>
      </c>
      <c r="I9" s="38">
        <f t="shared" si="1"/>
        <v>10</v>
      </c>
      <c r="J9" s="36"/>
      <c r="K9" s="40">
        <v>43618</v>
      </c>
      <c r="L9" s="41" t="s">
        <v>1894</v>
      </c>
      <c r="M9" s="42">
        <v>43612</v>
      </c>
      <c r="N9" s="43" t="s">
        <v>1895</v>
      </c>
      <c r="O9" s="42">
        <v>43618</v>
      </c>
      <c r="P9" s="41" t="s">
        <v>1896</v>
      </c>
      <c r="Q9" s="36" t="s">
        <v>82</v>
      </c>
      <c r="R9" s="44" t="s">
        <v>1897</v>
      </c>
      <c r="S9" s="46"/>
    </row>
    <row r="10" spans="2:19" s="30" customFormat="1" ht="33" customHeight="1">
      <c r="B10" s="46" t="s">
        <v>78</v>
      </c>
      <c r="C10" s="35" t="s">
        <v>1898</v>
      </c>
      <c r="D10" s="36" t="s">
        <v>1337</v>
      </c>
      <c r="E10" s="37">
        <v>43483</v>
      </c>
      <c r="F10" s="36" t="s">
        <v>1880</v>
      </c>
      <c r="G10" s="39">
        <v>20000</v>
      </c>
      <c r="H10" s="38">
        <f>SUM(G10/250)</f>
        <v>80</v>
      </c>
      <c r="I10" s="38">
        <f t="shared" si="1"/>
        <v>20</v>
      </c>
      <c r="J10" s="36"/>
      <c r="K10" s="40">
        <v>43618</v>
      </c>
      <c r="L10" s="41" t="s">
        <v>1894</v>
      </c>
      <c r="M10" s="42">
        <v>43612</v>
      </c>
      <c r="N10" s="43" t="s">
        <v>1895</v>
      </c>
      <c r="O10" s="42">
        <v>43618</v>
      </c>
      <c r="P10" s="41"/>
      <c r="Q10" s="36" t="s">
        <v>82</v>
      </c>
      <c r="R10" s="44" t="s">
        <v>1897</v>
      </c>
      <c r="S10" s="46" t="s">
        <v>479</v>
      </c>
    </row>
    <row r="11" spans="2:19" s="30" customFormat="1" ht="33" customHeight="1">
      <c r="B11" s="122" t="s">
        <v>78</v>
      </c>
      <c r="C11" s="35" t="s">
        <v>1899</v>
      </c>
      <c r="D11" s="36" t="s">
        <v>455</v>
      </c>
      <c r="E11" s="37">
        <v>43523</v>
      </c>
      <c r="F11" s="36" t="s">
        <v>1900</v>
      </c>
      <c r="G11" s="39">
        <v>10000</v>
      </c>
      <c r="H11" s="38">
        <f>SUM(G11/250)</f>
        <v>40</v>
      </c>
      <c r="I11" s="38">
        <f t="shared" si="1"/>
        <v>10</v>
      </c>
      <c r="J11" s="36"/>
      <c r="K11" s="40">
        <v>43618</v>
      </c>
      <c r="L11" s="41" t="s">
        <v>638</v>
      </c>
      <c r="M11" s="42">
        <v>43612</v>
      </c>
      <c r="N11" s="43" t="s">
        <v>636</v>
      </c>
      <c r="O11" s="42">
        <v>43618</v>
      </c>
      <c r="P11" s="41"/>
      <c r="Q11" s="36" t="s">
        <v>82</v>
      </c>
      <c r="R11" s="44" t="s">
        <v>1901</v>
      </c>
      <c r="S11" s="46"/>
    </row>
    <row r="12" spans="2:19" s="33" customFormat="1" ht="33" customHeight="1">
      <c r="B12" s="47" t="s">
        <v>78</v>
      </c>
      <c r="C12" s="48" t="s">
        <v>423</v>
      </c>
      <c r="D12" s="49" t="s">
        <v>457</v>
      </c>
      <c r="E12" s="50">
        <v>43483</v>
      </c>
      <c r="F12" s="49" t="s">
        <v>79</v>
      </c>
      <c r="G12" s="51">
        <v>20000</v>
      </c>
      <c r="H12" s="52">
        <f t="shared" si="0"/>
        <v>80</v>
      </c>
      <c r="I12" s="52">
        <f t="shared" si="1"/>
        <v>20</v>
      </c>
      <c r="J12" s="49"/>
      <c r="K12" s="53">
        <v>43576</v>
      </c>
      <c r="L12" s="54" t="s">
        <v>1902</v>
      </c>
      <c r="M12" s="55">
        <v>43570</v>
      </c>
      <c r="N12" s="56" t="s">
        <v>1903</v>
      </c>
      <c r="O12" s="55">
        <v>43576</v>
      </c>
      <c r="P12" s="54" t="s">
        <v>1904</v>
      </c>
      <c r="Q12" s="49" t="s">
        <v>82</v>
      </c>
      <c r="R12" s="57" t="s">
        <v>1905</v>
      </c>
      <c r="S12" s="47"/>
    </row>
    <row r="13" spans="2:19" s="33" customFormat="1" ht="33" customHeight="1">
      <c r="B13" s="47" t="s">
        <v>220</v>
      </c>
      <c r="C13" s="48" t="s">
        <v>425</v>
      </c>
      <c r="D13" s="49" t="s">
        <v>459</v>
      </c>
      <c r="E13" s="50">
        <v>43483</v>
      </c>
      <c r="F13" s="49" t="s">
        <v>79</v>
      </c>
      <c r="G13" s="51">
        <v>20000</v>
      </c>
      <c r="H13" s="52">
        <f t="shared" si="0"/>
        <v>80</v>
      </c>
      <c r="I13" s="52">
        <f t="shared" si="1"/>
        <v>20</v>
      </c>
      <c r="J13" s="49"/>
      <c r="K13" s="53">
        <v>43583</v>
      </c>
      <c r="L13" s="54" t="s">
        <v>1906</v>
      </c>
      <c r="M13" s="55">
        <v>43577</v>
      </c>
      <c r="N13" s="56" t="s">
        <v>1907</v>
      </c>
      <c r="O13" s="55">
        <v>43583</v>
      </c>
      <c r="P13" s="54" t="s">
        <v>1908</v>
      </c>
      <c r="Q13" s="49"/>
      <c r="R13" s="57" t="s">
        <v>1909</v>
      </c>
      <c r="S13" s="47"/>
    </row>
    <row r="14" spans="2:19" s="33" customFormat="1" ht="33" customHeight="1">
      <c r="B14" s="47" t="s">
        <v>78</v>
      </c>
      <c r="C14" s="48" t="s">
        <v>462</v>
      </c>
      <c r="D14" s="49" t="s">
        <v>483</v>
      </c>
      <c r="E14" s="50">
        <v>43490</v>
      </c>
      <c r="F14" s="49" t="s">
        <v>79</v>
      </c>
      <c r="G14" s="51">
        <v>20000</v>
      </c>
      <c r="H14" s="52">
        <f t="shared" si="0"/>
        <v>80</v>
      </c>
      <c r="I14" s="52">
        <f t="shared" si="1"/>
        <v>20</v>
      </c>
      <c r="J14" s="49"/>
      <c r="K14" s="53">
        <v>43583</v>
      </c>
      <c r="L14" s="54" t="s">
        <v>1906</v>
      </c>
      <c r="M14" s="55">
        <v>43577</v>
      </c>
      <c r="N14" s="56" t="s">
        <v>1907</v>
      </c>
      <c r="O14" s="55">
        <v>43583</v>
      </c>
      <c r="P14" s="54" t="s">
        <v>1910</v>
      </c>
      <c r="Q14" s="49" t="s">
        <v>82</v>
      </c>
      <c r="R14" s="57" t="s">
        <v>1911</v>
      </c>
      <c r="S14" s="47"/>
    </row>
    <row r="15" spans="2:19" s="33" customFormat="1" ht="33" customHeight="1">
      <c r="B15" s="47" t="s">
        <v>78</v>
      </c>
      <c r="C15" s="48" t="s">
        <v>570</v>
      </c>
      <c r="D15" s="49" t="s">
        <v>571</v>
      </c>
      <c r="E15" s="50">
        <v>43519</v>
      </c>
      <c r="F15" s="49" t="s">
        <v>79</v>
      </c>
      <c r="G15" s="51">
        <v>20000</v>
      </c>
      <c r="H15" s="52">
        <f t="shared" si="0"/>
        <v>80</v>
      </c>
      <c r="I15" s="52">
        <f t="shared" si="1"/>
        <v>20</v>
      </c>
      <c r="J15" s="49"/>
      <c r="K15" s="53">
        <v>43590</v>
      </c>
      <c r="L15" s="54" t="s">
        <v>602</v>
      </c>
      <c r="M15" s="55">
        <v>43577</v>
      </c>
      <c r="N15" s="56" t="s">
        <v>1907</v>
      </c>
      <c r="O15" s="55">
        <v>43583</v>
      </c>
      <c r="P15" s="54" t="s">
        <v>1912</v>
      </c>
      <c r="Q15" s="49" t="s">
        <v>82</v>
      </c>
      <c r="R15" s="57" t="s">
        <v>1913</v>
      </c>
      <c r="S15" s="47"/>
    </row>
    <row r="16" spans="2:19" s="30" customFormat="1" ht="33" customHeight="1">
      <c r="B16" s="46" t="s">
        <v>78</v>
      </c>
      <c r="C16" s="35" t="s">
        <v>573</v>
      </c>
      <c r="D16" s="36" t="s">
        <v>574</v>
      </c>
      <c r="E16" s="37">
        <v>43519</v>
      </c>
      <c r="F16" s="36" t="s">
        <v>79</v>
      </c>
      <c r="G16" s="39">
        <v>20000</v>
      </c>
      <c r="H16" s="38">
        <f>SUM(G16/250)</f>
        <v>80</v>
      </c>
      <c r="I16" s="38">
        <f>SUM(H16/4)</f>
        <v>20</v>
      </c>
      <c r="J16" s="36"/>
      <c r="K16" s="40">
        <v>43604</v>
      </c>
      <c r="L16" s="41" t="s">
        <v>1914</v>
      </c>
      <c r="M16" s="42">
        <v>43598</v>
      </c>
      <c r="N16" s="43" t="s">
        <v>1915</v>
      </c>
      <c r="O16" s="42">
        <v>43604</v>
      </c>
      <c r="P16" s="41" t="s">
        <v>1916</v>
      </c>
      <c r="Q16" s="36" t="s">
        <v>82</v>
      </c>
      <c r="R16" s="44" t="s">
        <v>1917</v>
      </c>
      <c r="S16" s="46"/>
    </row>
    <row r="17" spans="2:19" s="30" customFormat="1" ht="33" customHeight="1">
      <c r="B17" s="46" t="s">
        <v>78</v>
      </c>
      <c r="C17" s="35" t="s">
        <v>1918</v>
      </c>
      <c r="D17" s="36" t="s">
        <v>577</v>
      </c>
      <c r="E17" s="37">
        <v>43519</v>
      </c>
      <c r="F17" s="36" t="s">
        <v>1900</v>
      </c>
      <c r="G17" s="39">
        <v>10000</v>
      </c>
      <c r="H17" s="38">
        <f>SUM(G17/250)</f>
        <v>40</v>
      </c>
      <c r="I17" s="38">
        <f>SUM(H17/4)</f>
        <v>10</v>
      </c>
      <c r="J17" s="36"/>
      <c r="K17" s="40">
        <v>43598</v>
      </c>
      <c r="L17" s="41" t="s">
        <v>803</v>
      </c>
      <c r="M17" s="42">
        <v>43598</v>
      </c>
      <c r="N17" s="43" t="s">
        <v>804</v>
      </c>
      <c r="O17" s="42">
        <v>43604</v>
      </c>
      <c r="P17" s="41" t="s">
        <v>1919</v>
      </c>
      <c r="Q17" s="36" t="s">
        <v>82</v>
      </c>
      <c r="R17" s="44" t="s">
        <v>1920</v>
      </c>
      <c r="S17" s="46"/>
    </row>
    <row r="18" spans="2:19" s="30" customFormat="1" ht="33" customHeight="1">
      <c r="B18" s="46" t="s">
        <v>220</v>
      </c>
      <c r="C18" s="35" t="s">
        <v>579</v>
      </c>
      <c r="D18" s="36" t="s">
        <v>580</v>
      </c>
      <c r="E18" s="37">
        <v>43519</v>
      </c>
      <c r="F18" s="36" t="s">
        <v>79</v>
      </c>
      <c r="G18" s="39">
        <v>10000</v>
      </c>
      <c r="H18" s="38">
        <f>SUM(G18/250)</f>
        <v>40</v>
      </c>
      <c r="I18" s="38">
        <f>SUM(H18/4)</f>
        <v>10</v>
      </c>
      <c r="J18" s="36"/>
      <c r="K18" s="40">
        <v>43598</v>
      </c>
      <c r="L18" s="41" t="s">
        <v>803</v>
      </c>
      <c r="M18" s="42">
        <v>43598</v>
      </c>
      <c r="N18" s="43" t="s">
        <v>804</v>
      </c>
      <c r="O18" s="42">
        <v>43604</v>
      </c>
      <c r="P18" s="41" t="s">
        <v>1921</v>
      </c>
      <c r="Q18" s="36"/>
      <c r="R18" s="44" t="s">
        <v>1922</v>
      </c>
      <c r="S18" s="46"/>
    </row>
    <row r="19" spans="2:19" s="30" customFormat="1" ht="33" customHeight="1">
      <c r="B19" s="46" t="s">
        <v>78</v>
      </c>
      <c r="C19" s="35" t="s">
        <v>576</v>
      </c>
      <c r="D19" s="36" t="s">
        <v>577</v>
      </c>
      <c r="E19" s="37">
        <v>43519</v>
      </c>
      <c r="F19" s="36" t="s">
        <v>79</v>
      </c>
      <c r="G19" s="39">
        <v>20000</v>
      </c>
      <c r="H19" s="38">
        <f>SUM(G19/250)</f>
        <v>80</v>
      </c>
      <c r="I19" s="38">
        <f>SUM(H19/4)</f>
        <v>20</v>
      </c>
      <c r="J19" s="36"/>
      <c r="K19" s="40">
        <v>43611</v>
      </c>
      <c r="L19" s="41" t="s">
        <v>1923</v>
      </c>
      <c r="M19" s="42">
        <v>43605</v>
      </c>
      <c r="N19" s="43" t="s">
        <v>1924</v>
      </c>
      <c r="O19" s="42">
        <v>43611</v>
      </c>
      <c r="P19" s="41" t="s">
        <v>1925</v>
      </c>
      <c r="Q19" s="36" t="s">
        <v>82</v>
      </c>
      <c r="R19" s="44" t="s">
        <v>1926</v>
      </c>
      <c r="S19" s="46"/>
    </row>
    <row r="20" spans="2:19" s="30" customFormat="1" ht="33" customHeight="1">
      <c r="B20" s="46" t="s">
        <v>78</v>
      </c>
      <c r="C20" s="35" t="s">
        <v>685</v>
      </c>
      <c r="D20" s="36" t="s">
        <v>686</v>
      </c>
      <c r="E20" s="37">
        <v>43532</v>
      </c>
      <c r="F20" s="36" t="s">
        <v>79</v>
      </c>
      <c r="G20" s="39">
        <v>20000</v>
      </c>
      <c r="H20" s="38">
        <f>SUM(G20/250)</f>
        <v>80</v>
      </c>
      <c r="I20" s="38">
        <f>SUM(H20/4)</f>
        <v>20</v>
      </c>
      <c r="J20" s="36"/>
      <c r="K20" s="40">
        <v>43625</v>
      </c>
      <c r="L20" s="41" t="s">
        <v>1927</v>
      </c>
      <c r="M20" s="42">
        <v>43619</v>
      </c>
      <c r="N20" s="43" t="s">
        <v>1928</v>
      </c>
      <c r="O20" s="42">
        <v>43625</v>
      </c>
      <c r="P20" s="41"/>
      <c r="Q20" s="36" t="s">
        <v>82</v>
      </c>
      <c r="R20" s="44" t="s">
        <v>1929</v>
      </c>
      <c r="S20" s="46"/>
    </row>
    <row r="21" spans="2:19" s="30" customFormat="1" ht="33" customHeight="1">
      <c r="B21" s="46" t="s">
        <v>78</v>
      </c>
      <c r="C21" s="35" t="s">
        <v>1930</v>
      </c>
      <c r="D21" s="36" t="s">
        <v>1366</v>
      </c>
      <c r="E21" s="37">
        <v>43532</v>
      </c>
      <c r="F21" s="36" t="s">
        <v>79</v>
      </c>
      <c r="G21" s="39">
        <v>20000</v>
      </c>
      <c r="H21" s="38">
        <f t="shared" ref="H21" si="2">SUM(G21/250)</f>
        <v>80</v>
      </c>
      <c r="I21" s="38">
        <f t="shared" si="1"/>
        <v>20</v>
      </c>
      <c r="J21" s="36"/>
      <c r="K21" s="40">
        <v>43625</v>
      </c>
      <c r="L21" s="41" t="s">
        <v>1927</v>
      </c>
      <c r="M21" s="42">
        <v>43619</v>
      </c>
      <c r="N21" s="43" t="s">
        <v>1928</v>
      </c>
      <c r="O21" s="42">
        <v>43625</v>
      </c>
      <c r="P21" s="41"/>
      <c r="Q21" s="36" t="s">
        <v>82</v>
      </c>
      <c r="R21" s="44" t="s">
        <v>1929</v>
      </c>
      <c r="S21" s="46" t="s">
        <v>479</v>
      </c>
    </row>
    <row r="22" spans="2:19" s="30" customFormat="1" ht="33" customHeight="1">
      <c r="B22" s="46" t="s">
        <v>220</v>
      </c>
      <c r="C22" s="35" t="s">
        <v>688</v>
      </c>
      <c r="D22" s="36" t="s">
        <v>689</v>
      </c>
      <c r="E22" s="37">
        <v>43532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43632</v>
      </c>
      <c r="L22" s="41" t="s">
        <v>1931</v>
      </c>
      <c r="M22" s="42">
        <v>43626</v>
      </c>
      <c r="N22" s="43" t="s">
        <v>1932</v>
      </c>
      <c r="O22" s="42">
        <v>43632</v>
      </c>
      <c r="P22" s="41" t="s">
        <v>1933</v>
      </c>
      <c r="Q22" s="36"/>
      <c r="R22" s="44" t="s">
        <v>1934</v>
      </c>
      <c r="S22" s="46"/>
    </row>
    <row r="23" spans="2:19" s="30" customFormat="1" ht="33" customHeight="1">
      <c r="B23" s="46" t="s">
        <v>78</v>
      </c>
      <c r="C23" s="35" t="s">
        <v>691</v>
      </c>
      <c r="D23" s="36" t="s">
        <v>692</v>
      </c>
      <c r="E23" s="37">
        <v>43532</v>
      </c>
      <c r="F23" s="36" t="s">
        <v>79</v>
      </c>
      <c r="G23" s="39">
        <v>20000</v>
      </c>
      <c r="H23" s="38">
        <f t="shared" si="0"/>
        <v>80</v>
      </c>
      <c r="I23" s="38">
        <f t="shared" si="1"/>
        <v>20</v>
      </c>
      <c r="J23" s="36"/>
      <c r="K23" s="40">
        <v>43639</v>
      </c>
      <c r="L23" s="41" t="s">
        <v>1935</v>
      </c>
      <c r="M23" s="42">
        <v>43633</v>
      </c>
      <c r="N23" s="43" t="s">
        <v>1936</v>
      </c>
      <c r="O23" s="42">
        <v>43639</v>
      </c>
      <c r="P23" s="41"/>
      <c r="Q23" s="36" t="s">
        <v>82</v>
      </c>
      <c r="R23" s="44" t="s">
        <v>1937</v>
      </c>
      <c r="S23" s="46"/>
    </row>
    <row r="24" spans="2:19" s="30" customFormat="1" ht="33" customHeight="1">
      <c r="B24" s="122" t="s">
        <v>78</v>
      </c>
      <c r="C24" s="35" t="s">
        <v>1938</v>
      </c>
      <c r="D24" s="36" t="s">
        <v>1939</v>
      </c>
      <c r="E24" s="37">
        <v>43566</v>
      </c>
      <c r="F24" s="36" t="s">
        <v>79</v>
      </c>
      <c r="G24" s="129">
        <v>6000</v>
      </c>
      <c r="H24" s="124">
        <f>SUM(G24/250)</f>
        <v>24</v>
      </c>
      <c r="I24" s="124">
        <f>SUM(H24/4)</f>
        <v>6</v>
      </c>
      <c r="J24" s="36"/>
      <c r="K24" s="40">
        <v>43611</v>
      </c>
      <c r="L24" s="41" t="s">
        <v>603</v>
      </c>
      <c r="M24" s="42">
        <v>43605</v>
      </c>
      <c r="N24" s="43" t="s">
        <v>1080</v>
      </c>
      <c r="O24" s="42">
        <v>43611</v>
      </c>
      <c r="P24" s="41" t="s">
        <v>1940</v>
      </c>
      <c r="Q24" s="36" t="s">
        <v>82</v>
      </c>
      <c r="R24" s="154" t="s">
        <v>1941</v>
      </c>
      <c r="S24" s="46"/>
    </row>
    <row r="25" spans="2:19" s="30" customFormat="1" ht="33" customHeight="1">
      <c r="B25" s="122" t="s">
        <v>1942</v>
      </c>
      <c r="C25" s="35" t="s">
        <v>986</v>
      </c>
      <c r="D25" s="36" t="s">
        <v>1939</v>
      </c>
      <c r="E25" s="37">
        <v>43566</v>
      </c>
      <c r="F25" s="36" t="s">
        <v>79</v>
      </c>
      <c r="G25" s="129">
        <v>14000</v>
      </c>
      <c r="H25" s="124">
        <f>SUM(G25/250)</f>
        <v>56</v>
      </c>
      <c r="I25" s="124">
        <f>SUM(H25/4)</f>
        <v>14</v>
      </c>
      <c r="J25" s="36"/>
      <c r="K25" s="40">
        <v>43611</v>
      </c>
      <c r="L25" s="41" t="s">
        <v>603</v>
      </c>
      <c r="M25" s="42">
        <v>43605</v>
      </c>
      <c r="N25" s="43" t="s">
        <v>1080</v>
      </c>
      <c r="O25" s="42">
        <v>43611</v>
      </c>
      <c r="P25" s="41" t="s">
        <v>1943</v>
      </c>
      <c r="Q25" s="36"/>
      <c r="R25" s="154" t="s">
        <v>1941</v>
      </c>
      <c r="S25" s="46"/>
    </row>
    <row r="26" spans="2:19" s="30" customFormat="1" ht="33" customHeight="1">
      <c r="B26" s="46" t="s">
        <v>78</v>
      </c>
      <c r="C26" s="35" t="s">
        <v>988</v>
      </c>
      <c r="D26" s="36" t="s">
        <v>1944</v>
      </c>
      <c r="E26" s="37">
        <v>43566</v>
      </c>
      <c r="F26" s="36" t="s">
        <v>79</v>
      </c>
      <c r="G26" s="39">
        <v>20000</v>
      </c>
      <c r="H26" s="38">
        <f t="shared" ref="H26:H34" si="3">SUM(G26/250)</f>
        <v>80</v>
      </c>
      <c r="I26" s="38">
        <f t="shared" si="1"/>
        <v>20</v>
      </c>
      <c r="J26" s="36"/>
      <c r="K26" s="40">
        <v>43632</v>
      </c>
      <c r="L26" s="41" t="s">
        <v>1081</v>
      </c>
      <c r="M26" s="42">
        <v>43626</v>
      </c>
      <c r="N26" s="43" t="s">
        <v>1082</v>
      </c>
      <c r="O26" s="42">
        <v>43632</v>
      </c>
      <c r="P26" s="41"/>
      <c r="Q26" s="36" t="s">
        <v>82</v>
      </c>
      <c r="R26" s="44" t="s">
        <v>1945</v>
      </c>
      <c r="S26" s="46"/>
    </row>
    <row r="27" spans="2:19" s="30" customFormat="1" ht="33" customHeight="1">
      <c r="B27" s="46" t="s">
        <v>78</v>
      </c>
      <c r="C27" s="35" t="s">
        <v>1160</v>
      </c>
      <c r="D27" s="36" t="s">
        <v>1161</v>
      </c>
      <c r="E27" s="37">
        <v>43567</v>
      </c>
      <c r="F27" s="36" t="s">
        <v>1946</v>
      </c>
      <c r="G27" s="39">
        <v>40000</v>
      </c>
      <c r="H27" s="38">
        <f t="shared" si="3"/>
        <v>160</v>
      </c>
      <c r="I27" s="38">
        <f t="shared" si="1"/>
        <v>40</v>
      </c>
      <c r="J27" s="36"/>
      <c r="K27" s="40">
        <v>43646</v>
      </c>
      <c r="L27" s="41" t="s">
        <v>1947</v>
      </c>
      <c r="M27" s="42">
        <v>43640</v>
      </c>
      <c r="N27" s="43" t="s">
        <v>1948</v>
      </c>
      <c r="O27" s="42">
        <v>43646</v>
      </c>
      <c r="P27" s="41"/>
      <c r="Q27" s="36" t="s">
        <v>82</v>
      </c>
      <c r="R27" s="154" t="s">
        <v>2141</v>
      </c>
      <c r="S27" s="155" t="s">
        <v>2140</v>
      </c>
    </row>
    <row r="28" spans="2:19" s="30" customFormat="1" ht="33" customHeight="1">
      <c r="B28" s="46" t="s">
        <v>220</v>
      </c>
      <c r="C28" s="35" t="s">
        <v>1163</v>
      </c>
      <c r="D28" s="36" t="s">
        <v>1164</v>
      </c>
      <c r="E28" s="37">
        <v>43567</v>
      </c>
      <c r="F28" s="36" t="s">
        <v>79</v>
      </c>
      <c r="G28" s="39">
        <v>20000</v>
      </c>
      <c r="H28" s="38">
        <f t="shared" si="3"/>
        <v>80</v>
      </c>
      <c r="I28" s="38">
        <f t="shared" si="1"/>
        <v>20</v>
      </c>
      <c r="J28" s="36"/>
      <c r="K28" s="40">
        <v>43646</v>
      </c>
      <c r="L28" s="41" t="s">
        <v>1947</v>
      </c>
      <c r="M28" s="42">
        <v>43640</v>
      </c>
      <c r="N28" s="43" t="s">
        <v>1948</v>
      </c>
      <c r="O28" s="42">
        <v>43646</v>
      </c>
      <c r="P28" s="41"/>
      <c r="Q28" s="36"/>
      <c r="R28" s="154" t="s">
        <v>2139</v>
      </c>
      <c r="S28" s="155" t="s">
        <v>2140</v>
      </c>
    </row>
    <row r="29" spans="2:19" s="30" customFormat="1" ht="33" customHeight="1">
      <c r="B29" s="46" t="s">
        <v>78</v>
      </c>
      <c r="C29" s="35" t="s">
        <v>1166</v>
      </c>
      <c r="D29" s="36" t="s">
        <v>1167</v>
      </c>
      <c r="E29" s="37">
        <v>43567</v>
      </c>
      <c r="F29" s="36" t="s">
        <v>79</v>
      </c>
      <c r="G29" s="39">
        <v>20000</v>
      </c>
      <c r="H29" s="38">
        <f t="shared" si="3"/>
        <v>80</v>
      </c>
      <c r="I29" s="38">
        <f t="shared" si="1"/>
        <v>20</v>
      </c>
      <c r="J29" s="36"/>
      <c r="K29" s="40">
        <v>43653</v>
      </c>
      <c r="L29" s="41" t="s">
        <v>1949</v>
      </c>
      <c r="M29" s="42">
        <v>43647</v>
      </c>
      <c r="N29" s="43" t="s">
        <v>1950</v>
      </c>
      <c r="O29" s="42">
        <v>43653</v>
      </c>
      <c r="P29" s="41"/>
      <c r="Q29" s="36" t="s">
        <v>82</v>
      </c>
      <c r="R29" s="154" t="s">
        <v>2142</v>
      </c>
      <c r="S29" s="155" t="s">
        <v>2140</v>
      </c>
    </row>
    <row r="30" spans="2:19" s="30" customFormat="1" ht="33" customHeight="1">
      <c r="B30" s="46" t="s">
        <v>78</v>
      </c>
      <c r="C30" s="35" t="s">
        <v>1169</v>
      </c>
      <c r="D30" s="36" t="s">
        <v>1170</v>
      </c>
      <c r="E30" s="37">
        <v>43567</v>
      </c>
      <c r="F30" s="36" t="s">
        <v>79</v>
      </c>
      <c r="G30" s="39">
        <v>20000</v>
      </c>
      <c r="H30" s="38">
        <f t="shared" si="3"/>
        <v>80</v>
      </c>
      <c r="I30" s="38">
        <f t="shared" si="1"/>
        <v>20</v>
      </c>
      <c r="J30" s="36"/>
      <c r="K30" s="40">
        <v>43660</v>
      </c>
      <c r="L30" s="41" t="s">
        <v>1951</v>
      </c>
      <c r="M30" s="42">
        <v>43654</v>
      </c>
      <c r="N30" s="43" t="s">
        <v>1952</v>
      </c>
      <c r="O30" s="42">
        <v>43660</v>
      </c>
      <c r="P30" s="41"/>
      <c r="Q30" s="36" t="s">
        <v>82</v>
      </c>
      <c r="R30" s="44" t="s">
        <v>1953</v>
      </c>
      <c r="S30" s="46"/>
    </row>
    <row r="31" spans="2:19" s="30" customFormat="1" ht="33" customHeight="1">
      <c r="B31" s="46" t="s">
        <v>78</v>
      </c>
      <c r="C31" s="35" t="s">
        <v>1172</v>
      </c>
      <c r="D31" s="36" t="s">
        <v>1173</v>
      </c>
      <c r="E31" s="37">
        <v>43567</v>
      </c>
      <c r="F31" s="36" t="s">
        <v>79</v>
      </c>
      <c r="G31" s="39">
        <v>20000</v>
      </c>
      <c r="H31" s="38">
        <f t="shared" si="3"/>
        <v>80</v>
      </c>
      <c r="I31" s="38">
        <f t="shared" si="1"/>
        <v>20</v>
      </c>
      <c r="J31" s="36"/>
      <c r="K31" s="40">
        <v>43667</v>
      </c>
      <c r="L31" s="41" t="s">
        <v>1954</v>
      </c>
      <c r="M31" s="42">
        <v>43658</v>
      </c>
      <c r="N31" s="43" t="s">
        <v>1955</v>
      </c>
      <c r="O31" s="42">
        <v>43667</v>
      </c>
      <c r="P31" s="41"/>
      <c r="Q31" s="36" t="s">
        <v>82</v>
      </c>
      <c r="R31" s="44" t="s">
        <v>1956</v>
      </c>
      <c r="S31" s="46"/>
    </row>
    <row r="32" spans="2:19" s="30" customFormat="1" ht="33" customHeight="1">
      <c r="B32" s="46" t="s">
        <v>220</v>
      </c>
      <c r="C32" s="35" t="s">
        <v>1175</v>
      </c>
      <c r="D32" s="36" t="s">
        <v>1176</v>
      </c>
      <c r="E32" s="37">
        <v>43567</v>
      </c>
      <c r="F32" s="36" t="s">
        <v>79</v>
      </c>
      <c r="G32" s="39">
        <v>20000</v>
      </c>
      <c r="H32" s="38">
        <f t="shared" si="3"/>
        <v>80</v>
      </c>
      <c r="I32" s="38">
        <f t="shared" si="1"/>
        <v>20</v>
      </c>
      <c r="J32" s="36"/>
      <c r="K32" s="40">
        <v>43667</v>
      </c>
      <c r="L32" s="41" t="s">
        <v>1319</v>
      </c>
      <c r="M32" s="42">
        <v>43658</v>
      </c>
      <c r="N32" s="43" t="s">
        <v>1955</v>
      </c>
      <c r="O32" s="42">
        <v>43667</v>
      </c>
      <c r="P32" s="41"/>
      <c r="Q32" s="36"/>
      <c r="R32" s="44" t="s">
        <v>1957</v>
      </c>
      <c r="S32" s="46"/>
    </row>
    <row r="33" spans="2:19" s="30" customFormat="1" ht="33" customHeight="1">
      <c r="B33" s="46" t="s">
        <v>78</v>
      </c>
      <c r="C33" s="35" t="s">
        <v>1178</v>
      </c>
      <c r="D33" s="36" t="s">
        <v>1179</v>
      </c>
      <c r="E33" s="37">
        <v>43567</v>
      </c>
      <c r="F33" s="36" t="s">
        <v>1900</v>
      </c>
      <c r="G33" s="39">
        <v>10000</v>
      </c>
      <c r="H33" s="38">
        <f t="shared" si="3"/>
        <v>40</v>
      </c>
      <c r="I33" s="38">
        <f t="shared" si="1"/>
        <v>10</v>
      </c>
      <c r="J33" s="36"/>
      <c r="K33" s="40">
        <v>43674</v>
      </c>
      <c r="L33" s="41" t="s">
        <v>1958</v>
      </c>
      <c r="M33" s="42">
        <v>43668</v>
      </c>
      <c r="N33" s="43" t="s">
        <v>1959</v>
      </c>
      <c r="O33" s="42">
        <v>43674</v>
      </c>
      <c r="P33" s="41"/>
      <c r="Q33" s="36" t="s">
        <v>82</v>
      </c>
      <c r="R33" s="44" t="s">
        <v>1960</v>
      </c>
      <c r="S33" s="46"/>
    </row>
    <row r="34" spans="2:19" s="30" customFormat="1" ht="33" customHeight="1">
      <c r="B34" s="46" t="s">
        <v>220</v>
      </c>
      <c r="C34" s="35" t="s">
        <v>1181</v>
      </c>
      <c r="D34" s="36" t="s">
        <v>1182</v>
      </c>
      <c r="E34" s="37">
        <v>43567</v>
      </c>
      <c r="F34" s="36" t="s">
        <v>1900</v>
      </c>
      <c r="G34" s="39">
        <v>10000</v>
      </c>
      <c r="H34" s="38">
        <f t="shared" si="3"/>
        <v>40</v>
      </c>
      <c r="I34" s="38">
        <f t="shared" si="1"/>
        <v>10</v>
      </c>
      <c r="J34" s="36"/>
      <c r="K34" s="40">
        <v>43674</v>
      </c>
      <c r="L34" s="41" t="s">
        <v>1321</v>
      </c>
      <c r="M34" s="42">
        <v>43668</v>
      </c>
      <c r="N34" s="43" t="s">
        <v>1959</v>
      </c>
      <c r="O34" s="42">
        <v>43674</v>
      </c>
      <c r="P34" s="41"/>
      <c r="Q34" s="36"/>
      <c r="R34" s="44" t="s">
        <v>1961</v>
      </c>
      <c r="S34" s="46"/>
    </row>
    <row r="35" spans="2:19" s="96" customFormat="1" ht="33" customHeight="1">
      <c r="B35" s="47" t="s">
        <v>17</v>
      </c>
      <c r="C35" s="48" t="s">
        <v>361</v>
      </c>
      <c r="D35" s="49" t="s">
        <v>384</v>
      </c>
      <c r="E35" s="50">
        <v>43441</v>
      </c>
      <c r="F35" s="52" t="s">
        <v>84</v>
      </c>
      <c r="G35" s="51">
        <v>9200</v>
      </c>
      <c r="H35" s="52">
        <f t="shared" ref="H35:H40" si="4">SUM(G35/230)</f>
        <v>40</v>
      </c>
      <c r="I35" s="52">
        <f t="shared" si="1"/>
        <v>10</v>
      </c>
      <c r="J35" s="49"/>
      <c r="K35" s="53">
        <v>43548</v>
      </c>
      <c r="L35" s="54" t="s">
        <v>1962</v>
      </c>
      <c r="M35" s="55">
        <v>43543</v>
      </c>
      <c r="N35" s="56" t="s">
        <v>1963</v>
      </c>
      <c r="O35" s="55">
        <v>43548</v>
      </c>
      <c r="P35" s="58"/>
      <c r="Q35" s="52" t="s">
        <v>82</v>
      </c>
      <c r="R35" s="57" t="s">
        <v>1964</v>
      </c>
      <c r="S35" s="47"/>
    </row>
    <row r="36" spans="2:19" s="96" customFormat="1" ht="33" customHeight="1">
      <c r="B36" s="47" t="s">
        <v>17</v>
      </c>
      <c r="C36" s="48" t="s">
        <v>427</v>
      </c>
      <c r="D36" s="49" t="s">
        <v>1965</v>
      </c>
      <c r="E36" s="50">
        <v>43483</v>
      </c>
      <c r="F36" s="52" t="s">
        <v>84</v>
      </c>
      <c r="G36" s="51">
        <v>9200</v>
      </c>
      <c r="H36" s="52">
        <f t="shared" si="4"/>
        <v>40</v>
      </c>
      <c r="I36" s="52">
        <f t="shared" si="1"/>
        <v>10</v>
      </c>
      <c r="J36" s="49"/>
      <c r="K36" s="53">
        <v>43576</v>
      </c>
      <c r="L36" s="54" t="s">
        <v>1966</v>
      </c>
      <c r="M36" s="55">
        <v>43571</v>
      </c>
      <c r="N36" s="56" t="s">
        <v>1967</v>
      </c>
      <c r="O36" s="55">
        <v>43576</v>
      </c>
      <c r="P36" s="58"/>
      <c r="Q36" s="52" t="s">
        <v>82</v>
      </c>
      <c r="R36" s="57" t="s">
        <v>1968</v>
      </c>
      <c r="S36" s="47"/>
    </row>
    <row r="37" spans="2:19" s="67" customFormat="1" ht="33" customHeight="1">
      <c r="B37" s="46" t="s">
        <v>17</v>
      </c>
      <c r="C37" s="35" t="s">
        <v>581</v>
      </c>
      <c r="D37" s="36" t="s">
        <v>582</v>
      </c>
      <c r="E37" s="37">
        <v>43519</v>
      </c>
      <c r="F37" s="38" t="s">
        <v>84</v>
      </c>
      <c r="G37" s="39">
        <v>9200</v>
      </c>
      <c r="H37" s="38">
        <f t="shared" si="4"/>
        <v>40</v>
      </c>
      <c r="I37" s="38">
        <f t="shared" si="1"/>
        <v>10</v>
      </c>
      <c r="J37" s="36"/>
      <c r="K37" s="40">
        <v>43632</v>
      </c>
      <c r="L37" s="41" t="s">
        <v>807</v>
      </c>
      <c r="M37" s="42">
        <v>43627</v>
      </c>
      <c r="N37" s="43" t="s">
        <v>1969</v>
      </c>
      <c r="O37" s="42">
        <v>43632</v>
      </c>
      <c r="P37" s="45"/>
      <c r="Q37" s="38" t="s">
        <v>82</v>
      </c>
      <c r="R37" s="44" t="s">
        <v>1970</v>
      </c>
      <c r="S37" s="46"/>
    </row>
    <row r="38" spans="2:19" s="67" customFormat="1" ht="33" customHeight="1">
      <c r="B38" s="46" t="s">
        <v>17</v>
      </c>
      <c r="C38" s="35" t="s">
        <v>694</v>
      </c>
      <c r="D38" s="36" t="s">
        <v>695</v>
      </c>
      <c r="E38" s="37">
        <v>43532</v>
      </c>
      <c r="F38" s="38" t="s">
        <v>1971</v>
      </c>
      <c r="G38" s="39">
        <v>9200</v>
      </c>
      <c r="H38" s="38">
        <f t="shared" si="4"/>
        <v>40</v>
      </c>
      <c r="I38" s="38">
        <f t="shared" si="1"/>
        <v>10</v>
      </c>
      <c r="J38" s="36"/>
      <c r="K38" s="130">
        <v>43660</v>
      </c>
      <c r="L38" s="119" t="s">
        <v>1972</v>
      </c>
      <c r="M38" s="120">
        <v>43655</v>
      </c>
      <c r="N38" s="121" t="s">
        <v>1973</v>
      </c>
      <c r="O38" s="120">
        <v>43660</v>
      </c>
      <c r="P38" s="45"/>
      <c r="Q38" s="38" t="s">
        <v>82</v>
      </c>
      <c r="R38" s="114" t="s">
        <v>1974</v>
      </c>
      <c r="S38" s="46"/>
    </row>
    <row r="39" spans="2:19" s="67" customFormat="1" ht="33" customHeight="1">
      <c r="B39" s="46" t="s">
        <v>81</v>
      </c>
      <c r="C39" s="35" t="s">
        <v>279</v>
      </c>
      <c r="D39" s="36" t="s">
        <v>1975</v>
      </c>
      <c r="E39" s="37">
        <v>43392</v>
      </c>
      <c r="F39" s="38" t="s">
        <v>84</v>
      </c>
      <c r="G39" s="39">
        <v>11960</v>
      </c>
      <c r="H39" s="38">
        <f t="shared" si="4"/>
        <v>52</v>
      </c>
      <c r="I39" s="38">
        <f t="shared" si="1"/>
        <v>13</v>
      </c>
      <c r="J39" s="38"/>
      <c r="K39" s="40">
        <v>43597</v>
      </c>
      <c r="L39" s="41" t="s">
        <v>1976</v>
      </c>
      <c r="M39" s="42">
        <v>43594</v>
      </c>
      <c r="N39" s="43" t="s">
        <v>1977</v>
      </c>
      <c r="O39" s="42">
        <v>43598</v>
      </c>
      <c r="P39" s="45" t="s">
        <v>1978</v>
      </c>
      <c r="Q39" s="46"/>
      <c r="R39" s="44" t="s">
        <v>1979</v>
      </c>
      <c r="S39" s="46"/>
    </row>
    <row r="40" spans="2:19" s="67" customFormat="1" ht="33" customHeight="1">
      <c r="B40" s="46" t="s">
        <v>81</v>
      </c>
      <c r="C40" s="35" t="s">
        <v>1980</v>
      </c>
      <c r="D40" s="36" t="s">
        <v>1975</v>
      </c>
      <c r="E40" s="37">
        <v>43392</v>
      </c>
      <c r="F40" s="38" t="s">
        <v>84</v>
      </c>
      <c r="G40" s="39">
        <v>1840</v>
      </c>
      <c r="H40" s="38">
        <f t="shared" si="4"/>
        <v>8</v>
      </c>
      <c r="I40" s="38">
        <f t="shared" si="1"/>
        <v>2</v>
      </c>
      <c r="J40" s="38"/>
      <c r="K40" s="40">
        <v>43597</v>
      </c>
      <c r="L40" s="41" t="s">
        <v>773</v>
      </c>
      <c r="M40" s="42">
        <v>43601</v>
      </c>
      <c r="N40" s="43" t="s">
        <v>1981</v>
      </c>
      <c r="O40" s="42">
        <v>43605</v>
      </c>
      <c r="P40" s="45" t="s">
        <v>1978</v>
      </c>
      <c r="Q40" s="46"/>
      <c r="R40" s="44" t="s">
        <v>1979</v>
      </c>
      <c r="S40" s="46" t="s">
        <v>1329</v>
      </c>
    </row>
    <row r="41" spans="2:19" s="96" customFormat="1" ht="33" customHeight="1">
      <c r="B41" s="47" t="s">
        <v>81</v>
      </c>
      <c r="C41" s="48" t="s">
        <v>318</v>
      </c>
      <c r="D41" s="49" t="s">
        <v>319</v>
      </c>
      <c r="E41" s="50">
        <v>43420</v>
      </c>
      <c r="F41" s="52" t="s">
        <v>1971</v>
      </c>
      <c r="G41" s="51">
        <v>17940</v>
      </c>
      <c r="H41" s="52">
        <f>SUM(G41/230)</f>
        <v>78</v>
      </c>
      <c r="I41" s="52">
        <f>SUM(H41/4)</f>
        <v>19.5</v>
      </c>
      <c r="J41" s="52"/>
      <c r="K41" s="53">
        <v>43576</v>
      </c>
      <c r="L41" s="54" t="s">
        <v>480</v>
      </c>
      <c r="M41" s="55">
        <v>43564</v>
      </c>
      <c r="N41" s="56" t="s">
        <v>1982</v>
      </c>
      <c r="O41" s="55">
        <v>43569</v>
      </c>
      <c r="P41" s="58"/>
      <c r="Q41" s="47"/>
      <c r="R41" s="57" t="s">
        <v>1983</v>
      </c>
      <c r="S41" s="47" t="s">
        <v>1984</v>
      </c>
    </row>
    <row r="42" spans="2:19" s="67" customFormat="1" ht="33" customHeight="1">
      <c r="B42" s="46" t="s">
        <v>81</v>
      </c>
      <c r="C42" s="35" t="s">
        <v>1985</v>
      </c>
      <c r="D42" s="36" t="s">
        <v>701</v>
      </c>
      <c r="E42" s="37">
        <v>43532</v>
      </c>
      <c r="F42" s="38" t="s">
        <v>1971</v>
      </c>
      <c r="G42" s="39">
        <v>13800</v>
      </c>
      <c r="H42" s="38">
        <f t="shared" ref="H42:H46" si="5">SUM(G42/230)</f>
        <v>60</v>
      </c>
      <c r="I42" s="38">
        <f t="shared" ref="I42:I46" si="6">SUM(H42/4)</f>
        <v>15</v>
      </c>
      <c r="J42" s="38"/>
      <c r="K42" s="109">
        <v>43615</v>
      </c>
      <c r="L42" s="99" t="s">
        <v>2073</v>
      </c>
      <c r="M42" s="100">
        <v>43613</v>
      </c>
      <c r="N42" s="101" t="s">
        <v>2074</v>
      </c>
      <c r="O42" s="100">
        <v>43618</v>
      </c>
      <c r="P42" s="45"/>
      <c r="Q42" s="46"/>
      <c r="R42" s="44" t="s">
        <v>1986</v>
      </c>
      <c r="S42" s="46"/>
    </row>
    <row r="43" spans="2:19" s="67" customFormat="1" ht="33" customHeight="1">
      <c r="B43" s="46" t="s">
        <v>81</v>
      </c>
      <c r="C43" s="35" t="s">
        <v>702</v>
      </c>
      <c r="D43" s="36" t="s">
        <v>703</v>
      </c>
      <c r="E43" s="37">
        <v>43532</v>
      </c>
      <c r="F43" s="38" t="s">
        <v>1971</v>
      </c>
      <c r="G43" s="39">
        <v>9200</v>
      </c>
      <c r="H43" s="38">
        <f t="shared" si="5"/>
        <v>40</v>
      </c>
      <c r="I43" s="38">
        <f t="shared" si="6"/>
        <v>10</v>
      </c>
      <c r="J43" s="38"/>
      <c r="K43" s="109">
        <v>43639</v>
      </c>
      <c r="L43" s="41" t="s">
        <v>1987</v>
      </c>
      <c r="M43" s="42">
        <v>43641</v>
      </c>
      <c r="N43" s="43" t="s">
        <v>1988</v>
      </c>
      <c r="O43" s="42">
        <v>43646</v>
      </c>
      <c r="P43" s="45"/>
      <c r="Q43" s="46"/>
      <c r="R43" s="114" t="s">
        <v>1989</v>
      </c>
      <c r="S43" s="46"/>
    </row>
    <row r="44" spans="2:19" s="67" customFormat="1" ht="33" customHeight="1">
      <c r="B44" s="46" t="s">
        <v>81</v>
      </c>
      <c r="C44" s="35" t="s">
        <v>852</v>
      </c>
      <c r="D44" s="105" t="s">
        <v>1990</v>
      </c>
      <c r="E44" s="37">
        <v>43558</v>
      </c>
      <c r="F44" s="38" t="s">
        <v>1971</v>
      </c>
      <c r="G44" s="39">
        <v>9200</v>
      </c>
      <c r="H44" s="38">
        <f t="shared" si="5"/>
        <v>40</v>
      </c>
      <c r="I44" s="38">
        <f t="shared" si="6"/>
        <v>10</v>
      </c>
      <c r="J44" s="38"/>
      <c r="K44" s="40">
        <v>43646</v>
      </c>
      <c r="L44" s="41" t="s">
        <v>1987</v>
      </c>
      <c r="M44" s="42">
        <v>43641</v>
      </c>
      <c r="N44" s="43" t="s">
        <v>1988</v>
      </c>
      <c r="O44" s="42">
        <v>43646</v>
      </c>
      <c r="P44" s="45"/>
      <c r="Q44" s="46"/>
      <c r="R44" s="44" t="s">
        <v>1991</v>
      </c>
      <c r="S44" s="46"/>
    </row>
    <row r="45" spans="2:19" s="67" customFormat="1" ht="33" customHeight="1">
      <c r="B45" s="46" t="s">
        <v>81</v>
      </c>
      <c r="C45" s="35" t="s">
        <v>1435</v>
      </c>
      <c r="D45" s="36" t="s">
        <v>1436</v>
      </c>
      <c r="E45" s="37">
        <v>43574</v>
      </c>
      <c r="F45" s="38" t="s">
        <v>1971</v>
      </c>
      <c r="G45" s="39">
        <v>18400</v>
      </c>
      <c r="H45" s="38">
        <f t="shared" si="5"/>
        <v>80</v>
      </c>
      <c r="I45" s="38">
        <f t="shared" si="6"/>
        <v>20</v>
      </c>
      <c r="J45" s="38"/>
      <c r="K45" s="109">
        <v>43653</v>
      </c>
      <c r="L45" s="41" t="s">
        <v>1326</v>
      </c>
      <c r="M45" s="42">
        <v>43662</v>
      </c>
      <c r="N45" s="43" t="s">
        <v>1992</v>
      </c>
      <c r="O45" s="42">
        <v>43667</v>
      </c>
      <c r="P45" s="45"/>
      <c r="Q45" s="46"/>
      <c r="R45" s="114" t="s">
        <v>1993</v>
      </c>
      <c r="S45" s="46"/>
    </row>
    <row r="46" spans="2:19" s="67" customFormat="1" ht="33" customHeight="1">
      <c r="B46" s="46" t="s">
        <v>1994</v>
      </c>
      <c r="C46" s="35" t="s">
        <v>1995</v>
      </c>
      <c r="D46" s="36" t="s">
        <v>705</v>
      </c>
      <c r="E46" s="37">
        <v>43532</v>
      </c>
      <c r="F46" s="38" t="s">
        <v>1971</v>
      </c>
      <c r="G46" s="39">
        <v>920</v>
      </c>
      <c r="H46" s="38">
        <f t="shared" si="5"/>
        <v>4</v>
      </c>
      <c r="I46" s="38">
        <f t="shared" si="6"/>
        <v>1</v>
      </c>
      <c r="J46" s="38"/>
      <c r="K46" s="40">
        <v>43609</v>
      </c>
      <c r="L46" s="41" t="s">
        <v>773</v>
      </c>
      <c r="M46" s="42">
        <v>43601</v>
      </c>
      <c r="N46" s="43" t="s">
        <v>774</v>
      </c>
      <c r="O46" s="42">
        <v>43605</v>
      </c>
      <c r="P46" s="45"/>
      <c r="Q46" s="46"/>
      <c r="R46" s="44"/>
      <c r="S46" s="46" t="s">
        <v>1996</v>
      </c>
    </row>
    <row r="47" spans="2:19" s="96" customFormat="1" ht="33" customHeight="1">
      <c r="B47" s="47" t="s">
        <v>1997</v>
      </c>
      <c r="C47" s="48" t="s">
        <v>1995</v>
      </c>
      <c r="D47" s="49" t="s">
        <v>1998</v>
      </c>
      <c r="E47" s="50">
        <v>43511</v>
      </c>
      <c r="F47" s="52" t="s">
        <v>1971</v>
      </c>
      <c r="G47" s="51">
        <v>460</v>
      </c>
      <c r="H47" s="52">
        <f>SUM(G47/230)</f>
        <v>2</v>
      </c>
      <c r="I47" s="52">
        <f>SUM(H47/4)</f>
        <v>0.5</v>
      </c>
      <c r="J47" s="52"/>
      <c r="K47" s="53">
        <v>43576</v>
      </c>
      <c r="L47" s="54" t="s">
        <v>480</v>
      </c>
      <c r="M47" s="55">
        <v>43564</v>
      </c>
      <c r="N47" s="56" t="s">
        <v>646</v>
      </c>
      <c r="O47" s="55">
        <v>43569</v>
      </c>
      <c r="P47" s="58"/>
      <c r="Q47" s="47"/>
      <c r="R47" s="57" t="s">
        <v>1983</v>
      </c>
      <c r="S47" s="47"/>
    </row>
    <row r="48" spans="2:19" s="33" customFormat="1" ht="33" customHeight="1">
      <c r="B48" s="47" t="s">
        <v>1999</v>
      </c>
      <c r="C48" s="48" t="s">
        <v>324</v>
      </c>
      <c r="D48" s="49" t="s">
        <v>325</v>
      </c>
      <c r="E48" s="50">
        <v>43420</v>
      </c>
      <c r="F48" s="52" t="s">
        <v>1971</v>
      </c>
      <c r="G48" s="51">
        <v>1920</v>
      </c>
      <c r="H48" s="52">
        <f t="shared" ref="H48:H56" si="7">SUM(G48/20)</f>
        <v>96</v>
      </c>
      <c r="I48" s="52">
        <f t="shared" ref="I48:I56" si="8">SUM(H48/32)</f>
        <v>3</v>
      </c>
      <c r="J48" s="59"/>
      <c r="K48" s="53">
        <v>43541</v>
      </c>
      <c r="L48" s="54" t="s">
        <v>2000</v>
      </c>
      <c r="M48" s="55">
        <v>43531</v>
      </c>
      <c r="N48" s="56" t="s">
        <v>2001</v>
      </c>
      <c r="O48" s="55">
        <v>43535</v>
      </c>
      <c r="P48" s="58"/>
      <c r="Q48" s="60" t="s">
        <v>89</v>
      </c>
      <c r="R48" s="57" t="s">
        <v>2002</v>
      </c>
      <c r="S48" s="47" t="s">
        <v>645</v>
      </c>
    </row>
    <row r="49" spans="2:19" s="33" customFormat="1" ht="33" customHeight="1">
      <c r="B49" s="47" t="s">
        <v>1999</v>
      </c>
      <c r="C49" s="48" t="s">
        <v>2003</v>
      </c>
      <c r="D49" s="49" t="s">
        <v>325</v>
      </c>
      <c r="E49" s="50">
        <v>43420</v>
      </c>
      <c r="F49" s="52" t="s">
        <v>1971</v>
      </c>
      <c r="G49" s="51">
        <v>1280</v>
      </c>
      <c r="H49" s="52">
        <f t="shared" si="7"/>
        <v>64</v>
      </c>
      <c r="I49" s="52">
        <f t="shared" si="8"/>
        <v>2</v>
      </c>
      <c r="J49" s="59"/>
      <c r="K49" s="53">
        <v>43541</v>
      </c>
      <c r="L49" s="54" t="s">
        <v>563</v>
      </c>
      <c r="M49" s="55">
        <v>43536</v>
      </c>
      <c r="N49" s="56" t="s">
        <v>2004</v>
      </c>
      <c r="O49" s="55">
        <v>43541</v>
      </c>
      <c r="P49" s="58"/>
      <c r="Q49" s="60" t="s">
        <v>89</v>
      </c>
      <c r="R49" s="57" t="s">
        <v>2002</v>
      </c>
      <c r="S49" s="47" t="s">
        <v>395</v>
      </c>
    </row>
    <row r="50" spans="2:19" s="33" customFormat="1" ht="33" customHeight="1">
      <c r="B50" s="47" t="s">
        <v>1999</v>
      </c>
      <c r="C50" s="48" t="s">
        <v>430</v>
      </c>
      <c r="D50" s="49" t="s">
        <v>470</v>
      </c>
      <c r="E50" s="50">
        <v>43473</v>
      </c>
      <c r="F50" s="52" t="s">
        <v>1971</v>
      </c>
      <c r="G50" s="51">
        <v>1920</v>
      </c>
      <c r="H50" s="52">
        <f t="shared" si="7"/>
        <v>96</v>
      </c>
      <c r="I50" s="52">
        <f t="shared" si="8"/>
        <v>3</v>
      </c>
      <c r="J50" s="59"/>
      <c r="K50" s="53">
        <v>43555</v>
      </c>
      <c r="L50" s="54" t="s">
        <v>2005</v>
      </c>
      <c r="M50" s="55">
        <v>43550</v>
      </c>
      <c r="N50" s="56" t="s">
        <v>2006</v>
      </c>
      <c r="O50" s="55">
        <v>43555</v>
      </c>
      <c r="P50" s="58"/>
      <c r="Q50" s="60" t="s">
        <v>89</v>
      </c>
      <c r="R50" s="57" t="s">
        <v>2007</v>
      </c>
      <c r="S50" s="47"/>
    </row>
    <row r="51" spans="2:19" s="33" customFormat="1" ht="33" customHeight="1">
      <c r="B51" s="47" t="s">
        <v>1999</v>
      </c>
      <c r="C51" s="48" t="s">
        <v>430</v>
      </c>
      <c r="D51" s="49" t="s">
        <v>470</v>
      </c>
      <c r="E51" s="50">
        <v>43473</v>
      </c>
      <c r="F51" s="52" t="s">
        <v>1971</v>
      </c>
      <c r="G51" s="51">
        <v>1920</v>
      </c>
      <c r="H51" s="52">
        <f t="shared" si="7"/>
        <v>96</v>
      </c>
      <c r="I51" s="52">
        <f t="shared" si="8"/>
        <v>3</v>
      </c>
      <c r="J51" s="59"/>
      <c r="K51" s="53">
        <v>43555</v>
      </c>
      <c r="L51" s="54" t="s">
        <v>2008</v>
      </c>
      <c r="M51" s="55">
        <v>43564</v>
      </c>
      <c r="N51" s="56" t="s">
        <v>1982</v>
      </c>
      <c r="O51" s="55">
        <v>43569</v>
      </c>
      <c r="P51" s="58"/>
      <c r="Q51" s="60" t="s">
        <v>89</v>
      </c>
      <c r="R51" s="57" t="s">
        <v>2007</v>
      </c>
      <c r="S51" s="47"/>
    </row>
    <row r="52" spans="2:19" s="33" customFormat="1" ht="33" customHeight="1">
      <c r="B52" s="47" t="s">
        <v>1999</v>
      </c>
      <c r="C52" s="48" t="s">
        <v>519</v>
      </c>
      <c r="D52" s="49" t="s">
        <v>710</v>
      </c>
      <c r="E52" s="50">
        <v>43511</v>
      </c>
      <c r="F52" s="52" t="s">
        <v>1971</v>
      </c>
      <c r="G52" s="51">
        <v>640</v>
      </c>
      <c r="H52" s="52">
        <f t="shared" si="7"/>
        <v>32</v>
      </c>
      <c r="I52" s="52">
        <f t="shared" si="8"/>
        <v>1</v>
      </c>
      <c r="J52" s="59"/>
      <c r="K52" s="53">
        <v>43555</v>
      </c>
      <c r="L52" s="54" t="s">
        <v>2009</v>
      </c>
      <c r="M52" s="55">
        <v>43557</v>
      </c>
      <c r="N52" s="56" t="s">
        <v>2010</v>
      </c>
      <c r="O52" s="55">
        <v>43562</v>
      </c>
      <c r="P52" s="58"/>
      <c r="Q52" s="60" t="s">
        <v>89</v>
      </c>
      <c r="R52" s="57" t="s">
        <v>2007</v>
      </c>
      <c r="S52" s="47"/>
    </row>
    <row r="53" spans="2:19" s="33" customFormat="1" ht="33" customHeight="1">
      <c r="B53" s="47" t="s">
        <v>1999</v>
      </c>
      <c r="C53" s="48" t="s">
        <v>520</v>
      </c>
      <c r="D53" s="49" t="s">
        <v>584</v>
      </c>
      <c r="E53" s="50">
        <v>43511</v>
      </c>
      <c r="F53" s="52" t="s">
        <v>1971</v>
      </c>
      <c r="G53" s="51">
        <v>1920</v>
      </c>
      <c r="H53" s="52">
        <f t="shared" si="7"/>
        <v>96</v>
      </c>
      <c r="I53" s="52">
        <f t="shared" si="8"/>
        <v>3</v>
      </c>
      <c r="J53" s="59"/>
      <c r="K53" s="53">
        <v>43576</v>
      </c>
      <c r="L53" s="54" t="s">
        <v>503</v>
      </c>
      <c r="M53" s="55">
        <v>43571</v>
      </c>
      <c r="N53" s="56" t="s">
        <v>1967</v>
      </c>
      <c r="O53" s="55">
        <v>43576</v>
      </c>
      <c r="P53" s="58"/>
      <c r="Q53" s="60" t="s">
        <v>89</v>
      </c>
      <c r="R53" s="57" t="s">
        <v>2011</v>
      </c>
      <c r="S53" s="47"/>
    </row>
    <row r="54" spans="2:19" s="30" customFormat="1" ht="33" customHeight="1">
      <c r="B54" s="46" t="s">
        <v>1999</v>
      </c>
      <c r="C54" s="35" t="s">
        <v>586</v>
      </c>
      <c r="D54" s="36" t="s">
        <v>640</v>
      </c>
      <c r="E54" s="37">
        <v>43519</v>
      </c>
      <c r="F54" s="38" t="s">
        <v>1971</v>
      </c>
      <c r="G54" s="97">
        <v>2560</v>
      </c>
      <c r="H54" s="98">
        <f t="shared" si="7"/>
        <v>128</v>
      </c>
      <c r="I54" s="98">
        <f t="shared" si="8"/>
        <v>4</v>
      </c>
      <c r="J54" s="61"/>
      <c r="K54" s="40">
        <v>43611</v>
      </c>
      <c r="L54" s="41" t="s">
        <v>2012</v>
      </c>
      <c r="M54" s="42">
        <v>43601</v>
      </c>
      <c r="N54" s="43" t="s">
        <v>1981</v>
      </c>
      <c r="O54" s="42">
        <v>43605</v>
      </c>
      <c r="P54" s="45"/>
      <c r="Q54" s="62" t="s">
        <v>89</v>
      </c>
      <c r="R54" s="44" t="s">
        <v>2013</v>
      </c>
      <c r="S54" s="46" t="s">
        <v>980</v>
      </c>
    </row>
    <row r="55" spans="2:19" s="30" customFormat="1" ht="33" customHeight="1">
      <c r="B55" s="46" t="s">
        <v>1999</v>
      </c>
      <c r="C55" s="35" t="s">
        <v>713</v>
      </c>
      <c r="D55" s="36" t="s">
        <v>714</v>
      </c>
      <c r="E55" s="37">
        <v>43532</v>
      </c>
      <c r="F55" s="38" t="s">
        <v>1971</v>
      </c>
      <c r="G55" s="97">
        <v>1920</v>
      </c>
      <c r="H55" s="98">
        <f t="shared" si="7"/>
        <v>96</v>
      </c>
      <c r="I55" s="98">
        <f t="shared" si="8"/>
        <v>3</v>
      </c>
      <c r="J55" s="61"/>
      <c r="K55" s="40">
        <v>43639</v>
      </c>
      <c r="L55" s="41" t="s">
        <v>1083</v>
      </c>
      <c r="M55" s="42">
        <v>43634</v>
      </c>
      <c r="N55" s="43" t="s">
        <v>1084</v>
      </c>
      <c r="O55" s="42">
        <v>43639</v>
      </c>
      <c r="P55" s="45"/>
      <c r="Q55" s="62" t="s">
        <v>89</v>
      </c>
      <c r="R55" s="44" t="s">
        <v>2014</v>
      </c>
      <c r="S55" s="46"/>
    </row>
    <row r="56" spans="2:19" s="30" customFormat="1" ht="33" customHeight="1">
      <c r="B56" s="46" t="s">
        <v>1999</v>
      </c>
      <c r="C56" s="35" t="s">
        <v>1184</v>
      </c>
      <c r="D56" s="36" t="s">
        <v>1185</v>
      </c>
      <c r="E56" s="37">
        <v>43567</v>
      </c>
      <c r="F56" s="38" t="s">
        <v>1971</v>
      </c>
      <c r="G56" s="39">
        <v>2560</v>
      </c>
      <c r="H56" s="38">
        <f t="shared" si="7"/>
        <v>128</v>
      </c>
      <c r="I56" s="38">
        <f t="shared" si="8"/>
        <v>4</v>
      </c>
      <c r="J56" s="61"/>
      <c r="K56" s="109">
        <v>43667</v>
      </c>
      <c r="L56" s="41" t="s">
        <v>2015</v>
      </c>
      <c r="M56" s="42">
        <v>43669</v>
      </c>
      <c r="N56" s="43" t="s">
        <v>2016</v>
      </c>
      <c r="O56" s="42">
        <v>43674</v>
      </c>
      <c r="P56" s="45"/>
      <c r="Q56" s="62" t="s">
        <v>89</v>
      </c>
      <c r="R56" s="114" t="s">
        <v>2017</v>
      </c>
      <c r="S56" s="46"/>
    </row>
    <row r="57" spans="2:19" s="33" customFormat="1" ht="33" customHeight="1">
      <c r="B57" s="47" t="s">
        <v>38</v>
      </c>
      <c r="C57" s="48" t="s">
        <v>225</v>
      </c>
      <c r="D57" s="49" t="s">
        <v>587</v>
      </c>
      <c r="E57" s="50">
        <v>43519</v>
      </c>
      <c r="F57" s="52" t="s">
        <v>2018</v>
      </c>
      <c r="G57" s="64">
        <v>640</v>
      </c>
      <c r="H57" s="52">
        <f>SUBTOTAL(9,G57)/20</f>
        <v>32</v>
      </c>
      <c r="I57" s="52">
        <f>H57/32</f>
        <v>1</v>
      </c>
      <c r="J57" s="52"/>
      <c r="K57" s="53">
        <v>43583</v>
      </c>
      <c r="L57" s="54" t="s">
        <v>565</v>
      </c>
      <c r="M57" s="55">
        <v>43578</v>
      </c>
      <c r="N57" s="56" t="s">
        <v>2019</v>
      </c>
      <c r="O57" s="55">
        <v>43583</v>
      </c>
      <c r="P57" s="58"/>
      <c r="Q57" s="52"/>
      <c r="R57" s="63" t="s">
        <v>1979</v>
      </c>
      <c r="S57" s="47"/>
    </row>
    <row r="58" spans="2:19" s="30" customFormat="1" ht="33" customHeight="1">
      <c r="B58" s="46" t="s">
        <v>38</v>
      </c>
      <c r="C58" s="35" t="s">
        <v>226</v>
      </c>
      <c r="D58" s="36" t="s">
        <v>1194</v>
      </c>
      <c r="E58" s="37">
        <v>43567</v>
      </c>
      <c r="F58" s="38" t="s">
        <v>2018</v>
      </c>
      <c r="G58" s="65">
        <v>640</v>
      </c>
      <c r="H58" s="38">
        <f>SUBTOTAL(9,G58)/20</f>
        <v>32</v>
      </c>
      <c r="I58" s="38">
        <f>H58/32</f>
        <v>1</v>
      </c>
      <c r="J58" s="38"/>
      <c r="K58" s="40">
        <v>43667</v>
      </c>
      <c r="L58" s="41" t="s">
        <v>2020</v>
      </c>
      <c r="M58" s="42">
        <v>43662</v>
      </c>
      <c r="N58" s="43" t="s">
        <v>2021</v>
      </c>
      <c r="O58" s="42">
        <v>43667</v>
      </c>
      <c r="P58" s="45"/>
      <c r="Q58" s="38"/>
      <c r="R58" s="66" t="s">
        <v>2022</v>
      </c>
      <c r="S58" s="46"/>
    </row>
    <row r="59" spans="2:19" s="33" customFormat="1" ht="33" customHeight="1">
      <c r="B59" s="47" t="s">
        <v>88</v>
      </c>
      <c r="C59" s="48" t="s">
        <v>431</v>
      </c>
      <c r="D59" s="49" t="s">
        <v>471</v>
      </c>
      <c r="E59" s="50">
        <v>43483</v>
      </c>
      <c r="F59" s="52" t="s">
        <v>2023</v>
      </c>
      <c r="G59" s="64">
        <v>760</v>
      </c>
      <c r="H59" s="52">
        <f>SUBTOTAL(9,G59)/190</f>
        <v>4</v>
      </c>
      <c r="I59" s="52">
        <f>H59/4</f>
        <v>1</v>
      </c>
      <c r="J59" s="52"/>
      <c r="K59" s="53">
        <v>43569</v>
      </c>
      <c r="L59" s="54" t="s">
        <v>417</v>
      </c>
      <c r="M59" s="55">
        <v>43564</v>
      </c>
      <c r="N59" s="56" t="s">
        <v>2024</v>
      </c>
      <c r="O59" s="55">
        <v>43569</v>
      </c>
      <c r="P59" s="58"/>
      <c r="Q59" s="52"/>
      <c r="R59" s="63" t="s">
        <v>2025</v>
      </c>
      <c r="S59" s="47"/>
    </row>
    <row r="60" spans="2:19" s="33" customFormat="1" ht="33" customHeight="1">
      <c r="B60" s="47" t="s">
        <v>88</v>
      </c>
      <c r="C60" s="48" t="s">
        <v>523</v>
      </c>
      <c r="D60" s="49" t="s">
        <v>588</v>
      </c>
      <c r="E60" s="50">
        <v>43511</v>
      </c>
      <c r="F60" s="52" t="s">
        <v>2023</v>
      </c>
      <c r="G60" s="64">
        <v>760</v>
      </c>
      <c r="H60" s="52">
        <f>SUBTOTAL(9,G60)/190</f>
        <v>4</v>
      </c>
      <c r="I60" s="52">
        <f>H60/4</f>
        <v>1</v>
      </c>
      <c r="J60" s="52"/>
      <c r="K60" s="53">
        <v>43583</v>
      </c>
      <c r="L60" s="54" t="s">
        <v>565</v>
      </c>
      <c r="M60" s="55">
        <v>43578</v>
      </c>
      <c r="N60" s="56" t="s">
        <v>2026</v>
      </c>
      <c r="O60" s="55">
        <v>43583</v>
      </c>
      <c r="P60" s="58"/>
      <c r="Q60" s="52"/>
      <c r="R60" s="63" t="s">
        <v>2027</v>
      </c>
      <c r="S60" s="47"/>
    </row>
    <row r="61" spans="2:19" s="30" customFormat="1" ht="33" customHeight="1">
      <c r="B61" s="46" t="s">
        <v>88</v>
      </c>
      <c r="C61" s="35" t="s">
        <v>589</v>
      </c>
      <c r="D61" s="36" t="s">
        <v>590</v>
      </c>
      <c r="E61" s="37">
        <v>43519</v>
      </c>
      <c r="F61" s="38" t="s">
        <v>2023</v>
      </c>
      <c r="G61" s="65">
        <v>760</v>
      </c>
      <c r="H61" s="38">
        <f>SUBTOTAL(9,G61)/190</f>
        <v>4</v>
      </c>
      <c r="I61" s="38">
        <f>H61/4</f>
        <v>1</v>
      </c>
      <c r="J61" s="38"/>
      <c r="K61" s="40">
        <v>43597</v>
      </c>
      <c r="L61" s="41" t="s">
        <v>2028</v>
      </c>
      <c r="M61" s="42">
        <v>43592</v>
      </c>
      <c r="N61" s="43" t="s">
        <v>2029</v>
      </c>
      <c r="O61" s="42">
        <v>43597</v>
      </c>
      <c r="P61" s="45"/>
      <c r="Q61" s="38"/>
      <c r="R61" s="66" t="s">
        <v>2030</v>
      </c>
      <c r="S61" s="46"/>
    </row>
    <row r="62" spans="2:19" s="30" customFormat="1" ht="33" customHeight="1">
      <c r="B62" s="46" t="s">
        <v>88</v>
      </c>
      <c r="C62" s="35" t="s">
        <v>2031</v>
      </c>
      <c r="D62" s="36" t="s">
        <v>1207</v>
      </c>
      <c r="E62" s="37">
        <v>43567</v>
      </c>
      <c r="F62" s="38" t="s">
        <v>2023</v>
      </c>
      <c r="G62" s="65">
        <v>760</v>
      </c>
      <c r="H62" s="38">
        <f>SUBTOTAL(9,G62)/190</f>
        <v>4</v>
      </c>
      <c r="I62" s="38">
        <f>H62/4</f>
        <v>1</v>
      </c>
      <c r="J62" s="38"/>
      <c r="K62" s="40">
        <v>43667</v>
      </c>
      <c r="L62" s="41" t="s">
        <v>2020</v>
      </c>
      <c r="M62" s="42">
        <v>43662</v>
      </c>
      <c r="N62" s="43" t="s">
        <v>2021</v>
      </c>
      <c r="O62" s="42">
        <v>43667</v>
      </c>
      <c r="P62" s="45"/>
      <c r="Q62" s="38"/>
      <c r="R62" s="66" t="s">
        <v>2032</v>
      </c>
      <c r="S62" s="46"/>
    </row>
    <row r="63" spans="2:19" s="33" customFormat="1" ht="33" customHeight="1">
      <c r="B63" s="47" t="s">
        <v>83</v>
      </c>
      <c r="C63" s="48" t="s">
        <v>2033</v>
      </c>
      <c r="D63" s="49" t="s">
        <v>2034</v>
      </c>
      <c r="E63" s="50">
        <v>43462</v>
      </c>
      <c r="F63" s="52" t="s">
        <v>77</v>
      </c>
      <c r="G63" s="51">
        <v>960</v>
      </c>
      <c r="H63" s="52">
        <f t="shared" ref="H63:H70" si="9">SUM(G63/240)</f>
        <v>4</v>
      </c>
      <c r="I63" s="52">
        <f t="shared" ref="I63:I70" si="10">SUM(H63/4)</f>
        <v>1</v>
      </c>
      <c r="J63" s="52"/>
      <c r="K63" s="53">
        <v>43148</v>
      </c>
      <c r="L63" s="54" t="s">
        <v>2035</v>
      </c>
      <c r="M63" s="55">
        <v>43531</v>
      </c>
      <c r="N63" s="56" t="s">
        <v>568</v>
      </c>
      <c r="O63" s="55">
        <v>43535</v>
      </c>
      <c r="P63" s="58" t="s">
        <v>2036</v>
      </c>
      <c r="Q63" s="52"/>
      <c r="R63" s="118" t="s">
        <v>2037</v>
      </c>
      <c r="S63" s="47" t="s">
        <v>609</v>
      </c>
    </row>
    <row r="64" spans="2:19" s="33" customFormat="1" ht="33" customHeight="1">
      <c r="B64" s="47" t="s">
        <v>83</v>
      </c>
      <c r="C64" s="48" t="s">
        <v>2038</v>
      </c>
      <c r="D64" s="49" t="s">
        <v>2039</v>
      </c>
      <c r="E64" s="50">
        <v>43462</v>
      </c>
      <c r="F64" s="52" t="s">
        <v>77</v>
      </c>
      <c r="G64" s="51">
        <v>2880</v>
      </c>
      <c r="H64" s="52">
        <f t="shared" si="9"/>
        <v>12</v>
      </c>
      <c r="I64" s="52">
        <f t="shared" si="10"/>
        <v>3</v>
      </c>
      <c r="J64" s="52"/>
      <c r="K64" s="53">
        <v>43541</v>
      </c>
      <c r="L64" s="54" t="s">
        <v>2035</v>
      </c>
      <c r="M64" s="55">
        <v>43531</v>
      </c>
      <c r="N64" s="56" t="s">
        <v>568</v>
      </c>
      <c r="O64" s="55">
        <v>43535</v>
      </c>
      <c r="P64" s="58" t="s">
        <v>657</v>
      </c>
      <c r="Q64" s="52"/>
      <c r="R64" s="118" t="s">
        <v>486</v>
      </c>
      <c r="S64" s="47" t="s">
        <v>610</v>
      </c>
    </row>
    <row r="65" spans="2:19" s="33" customFormat="1" ht="33" customHeight="1">
      <c r="B65" s="47" t="s">
        <v>83</v>
      </c>
      <c r="C65" s="48" t="s">
        <v>232</v>
      </c>
      <c r="D65" s="49" t="s">
        <v>386</v>
      </c>
      <c r="E65" s="50">
        <v>43455</v>
      </c>
      <c r="F65" s="52" t="s">
        <v>77</v>
      </c>
      <c r="G65" s="51">
        <v>5760</v>
      </c>
      <c r="H65" s="52">
        <f t="shared" si="9"/>
        <v>24</v>
      </c>
      <c r="I65" s="52">
        <f t="shared" si="10"/>
        <v>6</v>
      </c>
      <c r="J65" s="52"/>
      <c r="K65" s="53">
        <v>43541</v>
      </c>
      <c r="L65" s="54" t="s">
        <v>2040</v>
      </c>
      <c r="M65" s="55">
        <v>43543</v>
      </c>
      <c r="N65" s="56" t="s">
        <v>2041</v>
      </c>
      <c r="O65" s="55">
        <v>43548</v>
      </c>
      <c r="P65" s="58" t="s">
        <v>2042</v>
      </c>
      <c r="Q65" s="52"/>
      <c r="R65" s="118" t="s">
        <v>2043</v>
      </c>
      <c r="S65" s="47"/>
    </row>
    <row r="66" spans="2:19" s="33" customFormat="1" ht="33" customHeight="1">
      <c r="B66" s="47" t="s">
        <v>83</v>
      </c>
      <c r="C66" s="48" t="s">
        <v>244</v>
      </c>
      <c r="D66" s="49" t="s">
        <v>722</v>
      </c>
      <c r="E66" s="50">
        <v>43483</v>
      </c>
      <c r="F66" s="52" t="s">
        <v>77</v>
      </c>
      <c r="G66" s="51">
        <v>6720</v>
      </c>
      <c r="H66" s="52">
        <f t="shared" si="9"/>
        <v>28</v>
      </c>
      <c r="I66" s="52">
        <f t="shared" si="10"/>
        <v>7</v>
      </c>
      <c r="J66" s="52"/>
      <c r="K66" s="53">
        <v>43569</v>
      </c>
      <c r="L66" s="54" t="s">
        <v>480</v>
      </c>
      <c r="M66" s="55">
        <v>43564</v>
      </c>
      <c r="N66" s="56" t="s">
        <v>646</v>
      </c>
      <c r="O66" s="55">
        <v>43569</v>
      </c>
      <c r="P66" s="58" t="s">
        <v>2044</v>
      </c>
      <c r="Q66" s="52"/>
      <c r="R66" s="118" t="s">
        <v>2045</v>
      </c>
      <c r="S66" s="47"/>
    </row>
    <row r="67" spans="2:19" s="33" customFormat="1" ht="33" customHeight="1">
      <c r="B67" s="47" t="s">
        <v>83</v>
      </c>
      <c r="C67" s="48" t="s">
        <v>2046</v>
      </c>
      <c r="D67" s="49" t="s">
        <v>472</v>
      </c>
      <c r="E67" s="50">
        <v>43483</v>
      </c>
      <c r="F67" s="52" t="s">
        <v>77</v>
      </c>
      <c r="G67" s="51">
        <v>5760</v>
      </c>
      <c r="H67" s="52">
        <f>SUM(G67/240)</f>
        <v>24</v>
      </c>
      <c r="I67" s="52">
        <f>SUM(H67/4)</f>
        <v>6</v>
      </c>
      <c r="J67" s="52"/>
      <c r="K67" s="53">
        <v>43583</v>
      </c>
      <c r="L67" s="54" t="s">
        <v>448</v>
      </c>
      <c r="M67" s="55">
        <v>43578</v>
      </c>
      <c r="N67" s="56" t="s">
        <v>2026</v>
      </c>
      <c r="O67" s="55">
        <v>43583</v>
      </c>
      <c r="P67" s="58" t="s">
        <v>2047</v>
      </c>
      <c r="Q67" s="52"/>
      <c r="R67" s="118" t="s">
        <v>2045</v>
      </c>
      <c r="S67" s="47"/>
    </row>
    <row r="68" spans="2:19" s="30" customFormat="1" ht="33" customHeight="1">
      <c r="B68" s="46" t="s">
        <v>83</v>
      </c>
      <c r="C68" s="35" t="s">
        <v>258</v>
      </c>
      <c r="D68" s="36" t="s">
        <v>591</v>
      </c>
      <c r="E68" s="37">
        <v>43519</v>
      </c>
      <c r="F68" s="38" t="s">
        <v>77</v>
      </c>
      <c r="G68" s="39">
        <v>5760</v>
      </c>
      <c r="H68" s="38">
        <f t="shared" si="9"/>
        <v>24</v>
      </c>
      <c r="I68" s="38">
        <f t="shared" si="10"/>
        <v>6</v>
      </c>
      <c r="J68" s="38"/>
      <c r="K68" s="40">
        <v>43605</v>
      </c>
      <c r="L68" s="41" t="s">
        <v>2048</v>
      </c>
      <c r="M68" s="42">
        <v>43601</v>
      </c>
      <c r="N68" s="43" t="s">
        <v>2049</v>
      </c>
      <c r="O68" s="42">
        <v>43605</v>
      </c>
      <c r="P68" s="45" t="s">
        <v>2050</v>
      </c>
      <c r="Q68" s="38"/>
      <c r="R68" s="115" t="s">
        <v>2051</v>
      </c>
      <c r="S68" s="46"/>
    </row>
    <row r="69" spans="2:19" s="30" customFormat="1" ht="33" customHeight="1">
      <c r="B69" s="46" t="s">
        <v>83</v>
      </c>
      <c r="C69" s="35" t="s">
        <v>321</v>
      </c>
      <c r="D69" s="36" t="s">
        <v>727</v>
      </c>
      <c r="E69" s="37">
        <v>43532</v>
      </c>
      <c r="F69" s="38" t="s">
        <v>77</v>
      </c>
      <c r="G69" s="39">
        <v>6720</v>
      </c>
      <c r="H69" s="38">
        <f t="shared" si="9"/>
        <v>28</v>
      </c>
      <c r="I69" s="38">
        <f t="shared" si="10"/>
        <v>7</v>
      </c>
      <c r="J69" s="38"/>
      <c r="K69" s="40">
        <v>43633</v>
      </c>
      <c r="L69" s="41" t="s">
        <v>2052</v>
      </c>
      <c r="M69" s="42">
        <v>43627</v>
      </c>
      <c r="N69" s="43" t="s">
        <v>2053</v>
      </c>
      <c r="O69" s="42">
        <v>43632</v>
      </c>
      <c r="P69" s="45"/>
      <c r="Q69" s="38"/>
      <c r="R69" s="115" t="s">
        <v>2054</v>
      </c>
      <c r="S69" s="46"/>
    </row>
    <row r="70" spans="2:19" s="30" customFormat="1" ht="33" customHeight="1">
      <c r="B70" s="46" t="s">
        <v>83</v>
      </c>
      <c r="C70" s="35" t="s">
        <v>324</v>
      </c>
      <c r="D70" s="36" t="s">
        <v>1234</v>
      </c>
      <c r="E70" s="37">
        <v>43567</v>
      </c>
      <c r="F70" s="38" t="s">
        <v>77</v>
      </c>
      <c r="G70" s="39">
        <v>5760</v>
      </c>
      <c r="H70" s="38">
        <f t="shared" si="9"/>
        <v>24</v>
      </c>
      <c r="I70" s="38">
        <f t="shared" si="10"/>
        <v>6</v>
      </c>
      <c r="J70" s="38"/>
      <c r="K70" s="109">
        <v>43674</v>
      </c>
      <c r="L70" s="41" t="s">
        <v>1326</v>
      </c>
      <c r="M70" s="42">
        <v>43662</v>
      </c>
      <c r="N70" s="43" t="s">
        <v>2021</v>
      </c>
      <c r="O70" s="42">
        <v>43667</v>
      </c>
      <c r="P70" s="45"/>
      <c r="Q70" s="38"/>
      <c r="R70" s="150" t="s">
        <v>2055</v>
      </c>
      <c r="S70" s="46"/>
    </row>
    <row r="71" spans="2:19" s="34" customFormat="1" ht="33" customHeight="1">
      <c r="B71" s="47" t="s">
        <v>210</v>
      </c>
      <c r="C71" s="48" t="s">
        <v>226</v>
      </c>
      <c r="D71" s="49" t="s">
        <v>593</v>
      </c>
      <c r="E71" s="50">
        <v>43483</v>
      </c>
      <c r="F71" s="52" t="s">
        <v>218</v>
      </c>
      <c r="G71" s="51">
        <v>640</v>
      </c>
      <c r="H71" s="52">
        <f t="shared" ref="H71:H89" si="11">SUM(G71/20)</f>
        <v>32</v>
      </c>
      <c r="I71" s="52">
        <f t="shared" ref="I71:I89" si="12">SUM(H71/32)</f>
        <v>1</v>
      </c>
      <c r="J71" s="52"/>
      <c r="K71" s="53">
        <v>43534</v>
      </c>
      <c r="L71" s="54" t="s">
        <v>2056</v>
      </c>
      <c r="M71" s="55"/>
      <c r="N71" s="56"/>
      <c r="O71" s="55">
        <v>43520</v>
      </c>
      <c r="P71" s="58" t="s">
        <v>651</v>
      </c>
      <c r="Q71" s="52"/>
      <c r="R71" s="63" t="s">
        <v>211</v>
      </c>
      <c r="S71" s="52"/>
    </row>
    <row r="72" spans="2:19" s="34" customFormat="1" ht="33" customHeight="1">
      <c r="B72" s="47" t="s">
        <v>210</v>
      </c>
      <c r="C72" s="48" t="s">
        <v>226</v>
      </c>
      <c r="D72" s="49" t="s">
        <v>434</v>
      </c>
      <c r="E72" s="50">
        <v>43483</v>
      </c>
      <c r="F72" s="52" t="s">
        <v>218</v>
      </c>
      <c r="G72" s="51">
        <v>1280</v>
      </c>
      <c r="H72" s="52">
        <f t="shared" si="11"/>
        <v>64</v>
      </c>
      <c r="I72" s="52">
        <f t="shared" si="12"/>
        <v>2</v>
      </c>
      <c r="J72" s="52"/>
      <c r="K72" s="53">
        <v>43534</v>
      </c>
      <c r="L72" s="54" t="s">
        <v>2035</v>
      </c>
      <c r="M72" s="55">
        <v>43531</v>
      </c>
      <c r="N72" s="56" t="s">
        <v>568</v>
      </c>
      <c r="O72" s="55">
        <v>43535</v>
      </c>
      <c r="P72" s="58" t="s">
        <v>2057</v>
      </c>
      <c r="Q72" s="52" t="s">
        <v>614</v>
      </c>
      <c r="R72" s="63" t="s">
        <v>211</v>
      </c>
      <c r="S72" s="52" t="s">
        <v>2058</v>
      </c>
    </row>
    <row r="73" spans="2:19" s="34" customFormat="1" ht="33" customHeight="1">
      <c r="B73" s="47" t="s">
        <v>210</v>
      </c>
      <c r="C73" s="48" t="s">
        <v>233</v>
      </c>
      <c r="D73" s="49" t="s">
        <v>525</v>
      </c>
      <c r="E73" s="50">
        <v>43507</v>
      </c>
      <c r="F73" s="52" t="s">
        <v>218</v>
      </c>
      <c r="G73" s="51">
        <v>1920</v>
      </c>
      <c r="H73" s="52">
        <f t="shared" si="11"/>
        <v>96</v>
      </c>
      <c r="I73" s="52">
        <f t="shared" si="12"/>
        <v>3</v>
      </c>
      <c r="J73" s="52"/>
      <c r="K73" s="53">
        <v>43541</v>
      </c>
      <c r="L73" s="54" t="s">
        <v>2059</v>
      </c>
      <c r="M73" s="55">
        <v>43536</v>
      </c>
      <c r="N73" s="56" t="s">
        <v>2060</v>
      </c>
      <c r="O73" s="55">
        <v>43541</v>
      </c>
      <c r="P73" s="58" t="s">
        <v>2061</v>
      </c>
      <c r="Q73" s="52" t="s">
        <v>612</v>
      </c>
      <c r="R73" s="63" t="s">
        <v>211</v>
      </c>
      <c r="S73" s="52"/>
    </row>
    <row r="74" spans="2:19" s="34" customFormat="1" ht="33" customHeight="1">
      <c r="B74" s="47" t="s">
        <v>210</v>
      </c>
      <c r="C74" s="48" t="s">
        <v>2062</v>
      </c>
      <c r="D74" s="49" t="s">
        <v>525</v>
      </c>
      <c r="E74" s="50">
        <v>43519</v>
      </c>
      <c r="F74" s="52" t="s">
        <v>218</v>
      </c>
      <c r="G74" s="51">
        <v>1920</v>
      </c>
      <c r="H74" s="52">
        <f t="shared" si="11"/>
        <v>96</v>
      </c>
      <c r="I74" s="52">
        <f t="shared" si="12"/>
        <v>3</v>
      </c>
      <c r="J74" s="52"/>
      <c r="K74" s="53">
        <v>43555</v>
      </c>
      <c r="L74" s="54" t="s">
        <v>2063</v>
      </c>
      <c r="M74" s="55">
        <v>43550</v>
      </c>
      <c r="N74" s="56" t="s">
        <v>2064</v>
      </c>
      <c r="O74" s="55">
        <v>43555</v>
      </c>
      <c r="P74" s="58"/>
      <c r="Q74" s="52" t="s">
        <v>613</v>
      </c>
      <c r="R74" s="63" t="s">
        <v>211</v>
      </c>
      <c r="S74" s="52"/>
    </row>
    <row r="75" spans="2:19" s="34" customFormat="1" ht="33" customHeight="1">
      <c r="B75" s="47" t="s">
        <v>210</v>
      </c>
      <c r="C75" s="48" t="s">
        <v>285</v>
      </c>
      <c r="D75" s="49" t="s">
        <v>526</v>
      </c>
      <c r="E75" s="50">
        <v>43507</v>
      </c>
      <c r="F75" s="52" t="s">
        <v>218</v>
      </c>
      <c r="G75" s="51">
        <v>3200</v>
      </c>
      <c r="H75" s="52">
        <f t="shared" si="11"/>
        <v>160</v>
      </c>
      <c r="I75" s="52">
        <f t="shared" si="12"/>
        <v>5</v>
      </c>
      <c r="J75" s="52"/>
      <c r="K75" s="53">
        <v>43576</v>
      </c>
      <c r="L75" s="54" t="s">
        <v>503</v>
      </c>
      <c r="M75" s="55">
        <v>43571</v>
      </c>
      <c r="N75" s="56" t="s">
        <v>2065</v>
      </c>
      <c r="O75" s="55">
        <v>43576</v>
      </c>
      <c r="P75" s="58"/>
      <c r="Q75" s="52" t="s">
        <v>643</v>
      </c>
      <c r="R75" s="63" t="s">
        <v>211</v>
      </c>
      <c r="S75" s="52"/>
    </row>
    <row r="76" spans="2:19" s="34" customFormat="1" ht="33" customHeight="1">
      <c r="B76" s="47" t="s">
        <v>210</v>
      </c>
      <c r="C76" s="48" t="s">
        <v>2066</v>
      </c>
      <c r="D76" s="49" t="s">
        <v>526</v>
      </c>
      <c r="E76" s="50">
        <v>43507</v>
      </c>
      <c r="F76" s="52" t="s">
        <v>218</v>
      </c>
      <c r="G76" s="51">
        <v>640</v>
      </c>
      <c r="H76" s="52">
        <f>SUM(G76/20)</f>
        <v>32</v>
      </c>
      <c r="I76" s="52">
        <f>SUM(H76/32)</f>
        <v>1</v>
      </c>
      <c r="J76" s="52"/>
      <c r="K76" s="53">
        <v>43576</v>
      </c>
      <c r="L76" s="54" t="s">
        <v>448</v>
      </c>
      <c r="M76" s="55">
        <v>43578</v>
      </c>
      <c r="N76" s="56" t="s">
        <v>2026</v>
      </c>
      <c r="O76" s="55">
        <v>43583</v>
      </c>
      <c r="P76" s="58"/>
      <c r="Q76" s="52" t="s">
        <v>643</v>
      </c>
      <c r="R76" s="63" t="s">
        <v>211</v>
      </c>
      <c r="S76" s="52"/>
    </row>
    <row r="77" spans="2:19" s="34" customFormat="1" ht="33" customHeight="1">
      <c r="B77" s="47" t="s">
        <v>210</v>
      </c>
      <c r="C77" s="48" t="s">
        <v>331</v>
      </c>
      <c r="D77" s="49" t="s">
        <v>2067</v>
      </c>
      <c r="E77" s="50">
        <v>43519</v>
      </c>
      <c r="F77" s="52" t="s">
        <v>218</v>
      </c>
      <c r="G77" s="51">
        <v>3200</v>
      </c>
      <c r="H77" s="52">
        <f t="shared" si="11"/>
        <v>160</v>
      </c>
      <c r="I77" s="52">
        <f t="shared" si="12"/>
        <v>5</v>
      </c>
      <c r="J77" s="52"/>
      <c r="K77" s="53">
        <v>43562</v>
      </c>
      <c r="L77" s="54" t="s">
        <v>608</v>
      </c>
      <c r="M77" s="55">
        <v>43557</v>
      </c>
      <c r="N77" s="56" t="s">
        <v>2068</v>
      </c>
      <c r="O77" s="55">
        <v>43562</v>
      </c>
      <c r="P77" s="58"/>
      <c r="Q77" s="52" t="s">
        <v>642</v>
      </c>
      <c r="R77" s="63" t="s">
        <v>211</v>
      </c>
      <c r="S77" s="52"/>
    </row>
    <row r="78" spans="2:19" s="34" customFormat="1" ht="33" customHeight="1">
      <c r="B78" s="47" t="s">
        <v>210</v>
      </c>
      <c r="C78" s="48" t="s">
        <v>2069</v>
      </c>
      <c r="D78" s="49" t="s">
        <v>2067</v>
      </c>
      <c r="E78" s="50">
        <v>43519</v>
      </c>
      <c r="F78" s="52" t="s">
        <v>218</v>
      </c>
      <c r="G78" s="51">
        <v>640</v>
      </c>
      <c r="H78" s="52">
        <f>SUM(G78/20)</f>
        <v>32</v>
      </c>
      <c r="I78" s="52">
        <f>SUM(H78/32)</f>
        <v>1</v>
      </c>
      <c r="J78" s="52"/>
      <c r="K78" s="53">
        <v>43562</v>
      </c>
      <c r="L78" s="54" t="s">
        <v>480</v>
      </c>
      <c r="M78" s="55">
        <v>43564</v>
      </c>
      <c r="N78" s="56" t="s">
        <v>646</v>
      </c>
      <c r="O78" s="55">
        <v>43569</v>
      </c>
      <c r="P78" s="58"/>
      <c r="Q78" s="52" t="s">
        <v>642</v>
      </c>
      <c r="R78" s="63" t="s">
        <v>211</v>
      </c>
      <c r="S78" s="52"/>
    </row>
    <row r="79" spans="2:19" s="32" customFormat="1" ht="33" customHeight="1">
      <c r="B79" s="46" t="s">
        <v>210</v>
      </c>
      <c r="C79" s="35" t="s">
        <v>431</v>
      </c>
      <c r="D79" s="36" t="s">
        <v>2070</v>
      </c>
      <c r="E79" s="37">
        <v>43523</v>
      </c>
      <c r="F79" s="38" t="s">
        <v>218</v>
      </c>
      <c r="G79" s="39">
        <v>3200</v>
      </c>
      <c r="H79" s="38">
        <f t="shared" si="11"/>
        <v>160</v>
      </c>
      <c r="I79" s="38">
        <f t="shared" si="12"/>
        <v>5</v>
      </c>
      <c r="J79" s="38"/>
      <c r="K79" s="40">
        <v>43597</v>
      </c>
      <c r="L79" s="41" t="s">
        <v>605</v>
      </c>
      <c r="M79" s="42">
        <v>43594</v>
      </c>
      <c r="N79" s="43" t="s">
        <v>2071</v>
      </c>
      <c r="O79" s="42">
        <v>43598</v>
      </c>
      <c r="P79" s="45"/>
      <c r="Q79" s="38" t="s">
        <v>641</v>
      </c>
      <c r="R79" s="66" t="s">
        <v>211</v>
      </c>
      <c r="S79" s="38"/>
    </row>
    <row r="80" spans="2:19" s="32" customFormat="1" ht="33" customHeight="1">
      <c r="B80" s="46" t="s">
        <v>210</v>
      </c>
      <c r="C80" s="35" t="s">
        <v>2072</v>
      </c>
      <c r="D80" s="36" t="s">
        <v>2070</v>
      </c>
      <c r="E80" s="37">
        <v>43523</v>
      </c>
      <c r="F80" s="38" t="s">
        <v>218</v>
      </c>
      <c r="G80" s="39">
        <v>640</v>
      </c>
      <c r="H80" s="38">
        <f>SUM(G80/20)</f>
        <v>32</v>
      </c>
      <c r="I80" s="38">
        <f>SUM(H80/32)</f>
        <v>1</v>
      </c>
      <c r="J80" s="38"/>
      <c r="K80" s="40">
        <v>43618</v>
      </c>
      <c r="L80" s="41" t="s">
        <v>2073</v>
      </c>
      <c r="M80" s="42">
        <v>43613</v>
      </c>
      <c r="N80" s="43" t="s">
        <v>2074</v>
      </c>
      <c r="O80" s="42">
        <v>43618</v>
      </c>
      <c r="P80" s="45"/>
      <c r="Q80" s="38" t="s">
        <v>641</v>
      </c>
      <c r="R80" s="66" t="s">
        <v>211</v>
      </c>
      <c r="S80" s="38"/>
    </row>
    <row r="81" spans="2:19" s="32" customFormat="1" ht="33" customHeight="1">
      <c r="B81" s="46" t="s">
        <v>210</v>
      </c>
      <c r="C81" s="35" t="s">
        <v>2075</v>
      </c>
      <c r="D81" s="36" t="s">
        <v>739</v>
      </c>
      <c r="E81" s="37">
        <v>43532</v>
      </c>
      <c r="F81" s="38" t="s">
        <v>218</v>
      </c>
      <c r="G81" s="39">
        <v>2560</v>
      </c>
      <c r="H81" s="38">
        <f t="shared" ref="H81" si="13">SUM(G81/20)</f>
        <v>128</v>
      </c>
      <c r="I81" s="38">
        <f t="shared" ref="I81" si="14">SUM(H81/32)</f>
        <v>4</v>
      </c>
      <c r="J81" s="38"/>
      <c r="K81" s="40">
        <v>43618</v>
      </c>
      <c r="L81" s="41" t="s">
        <v>2073</v>
      </c>
      <c r="M81" s="42">
        <v>43613</v>
      </c>
      <c r="N81" s="43" t="s">
        <v>2074</v>
      </c>
      <c r="O81" s="42">
        <v>43618</v>
      </c>
      <c r="P81" s="45"/>
      <c r="Q81" s="38" t="s">
        <v>970</v>
      </c>
      <c r="R81" s="66" t="s">
        <v>211</v>
      </c>
      <c r="S81" s="38"/>
    </row>
    <row r="82" spans="2:19" s="32" customFormat="1" ht="33" customHeight="1">
      <c r="B82" s="46" t="s">
        <v>210</v>
      </c>
      <c r="C82" s="35" t="s">
        <v>589</v>
      </c>
      <c r="D82" s="36" t="s">
        <v>1260</v>
      </c>
      <c r="E82" s="37">
        <v>43558</v>
      </c>
      <c r="F82" s="38" t="s">
        <v>218</v>
      </c>
      <c r="G82" s="39">
        <v>3200</v>
      </c>
      <c r="H82" s="38">
        <f>SUM(G82/20)</f>
        <v>160</v>
      </c>
      <c r="I82" s="38">
        <f>SUM(H82/32)</f>
        <v>5</v>
      </c>
      <c r="J82" s="38"/>
      <c r="K82" s="40">
        <v>43639</v>
      </c>
      <c r="L82" s="41" t="s">
        <v>2076</v>
      </c>
      <c r="M82" s="42">
        <v>43634</v>
      </c>
      <c r="N82" s="43" t="s">
        <v>2077</v>
      </c>
      <c r="O82" s="42">
        <v>43639</v>
      </c>
      <c r="P82" s="45"/>
      <c r="Q82" s="38" t="s">
        <v>973</v>
      </c>
      <c r="R82" s="66" t="s">
        <v>211</v>
      </c>
      <c r="S82" s="38"/>
    </row>
    <row r="83" spans="2:19" s="153" customFormat="1" ht="33" customHeight="1">
      <c r="B83" s="103" t="s">
        <v>210</v>
      </c>
      <c r="C83" s="104" t="s">
        <v>2078</v>
      </c>
      <c r="D83" s="105"/>
      <c r="E83" s="106">
        <v>43595</v>
      </c>
      <c r="F83" s="107" t="s">
        <v>218</v>
      </c>
      <c r="G83" s="108">
        <v>3200</v>
      </c>
      <c r="H83" s="107">
        <f t="shared" ref="H83:H84" si="15">SUM(G83/20)</f>
        <v>160</v>
      </c>
      <c r="I83" s="107">
        <f t="shared" ref="I83:I84" si="16">SUM(H83/32)</f>
        <v>5</v>
      </c>
      <c r="J83" s="107"/>
      <c r="K83" s="109">
        <v>43653</v>
      </c>
      <c r="L83" s="110"/>
      <c r="M83" s="111"/>
      <c r="N83" s="112"/>
      <c r="O83" s="111"/>
      <c r="P83" s="113"/>
      <c r="Q83" s="107"/>
      <c r="R83" s="116" t="s">
        <v>211</v>
      </c>
      <c r="S83" s="107"/>
    </row>
    <row r="84" spans="2:19" s="153" customFormat="1" ht="33" customHeight="1">
      <c r="B84" s="103" t="s">
        <v>210</v>
      </c>
      <c r="C84" s="104" t="s">
        <v>2079</v>
      </c>
      <c r="D84" s="105"/>
      <c r="E84" s="106">
        <v>43595</v>
      </c>
      <c r="F84" s="107" t="s">
        <v>218</v>
      </c>
      <c r="G84" s="108">
        <v>3200</v>
      </c>
      <c r="H84" s="107">
        <f t="shared" si="15"/>
        <v>160</v>
      </c>
      <c r="I84" s="107">
        <f t="shared" si="16"/>
        <v>5</v>
      </c>
      <c r="J84" s="107"/>
      <c r="K84" s="109">
        <v>43667</v>
      </c>
      <c r="L84" s="110"/>
      <c r="M84" s="111"/>
      <c r="N84" s="112"/>
      <c r="O84" s="111"/>
      <c r="P84" s="113"/>
      <c r="Q84" s="107"/>
      <c r="R84" s="116" t="s">
        <v>211</v>
      </c>
      <c r="S84" s="107"/>
    </row>
    <row r="85" spans="2:19" s="34" customFormat="1" ht="33" customHeight="1">
      <c r="B85" s="47" t="s">
        <v>2080</v>
      </c>
      <c r="C85" s="48" t="s">
        <v>234</v>
      </c>
      <c r="D85" s="49" t="s">
        <v>2081</v>
      </c>
      <c r="E85" s="50">
        <v>43519</v>
      </c>
      <c r="F85" s="52" t="s">
        <v>2082</v>
      </c>
      <c r="G85" s="51">
        <v>1280</v>
      </c>
      <c r="H85" s="52">
        <f t="shared" si="11"/>
        <v>64</v>
      </c>
      <c r="I85" s="52">
        <f t="shared" si="12"/>
        <v>2</v>
      </c>
      <c r="J85" s="52"/>
      <c r="K85" s="53">
        <v>43576</v>
      </c>
      <c r="L85" s="54" t="s">
        <v>2063</v>
      </c>
      <c r="M85" s="55">
        <v>43550</v>
      </c>
      <c r="N85" s="56" t="s">
        <v>2064</v>
      </c>
      <c r="O85" s="55">
        <v>43555</v>
      </c>
      <c r="P85" s="58" t="s">
        <v>655</v>
      </c>
      <c r="Q85" s="52" t="s">
        <v>613</v>
      </c>
      <c r="R85" s="63" t="s">
        <v>211</v>
      </c>
      <c r="S85" s="52"/>
    </row>
    <row r="86" spans="2:19" s="32" customFormat="1" ht="33" customHeight="1">
      <c r="B86" s="46" t="s">
        <v>2083</v>
      </c>
      <c r="C86" s="35" t="s">
        <v>235</v>
      </c>
      <c r="D86" s="36" t="s">
        <v>744</v>
      </c>
      <c r="E86" s="37">
        <v>43532</v>
      </c>
      <c r="F86" s="38" t="s">
        <v>2084</v>
      </c>
      <c r="G86" s="39">
        <v>1280</v>
      </c>
      <c r="H86" s="38">
        <f t="shared" si="11"/>
        <v>64</v>
      </c>
      <c r="I86" s="38">
        <f t="shared" si="12"/>
        <v>2</v>
      </c>
      <c r="J86" s="38"/>
      <c r="K86" s="40">
        <v>43597</v>
      </c>
      <c r="L86" s="41" t="s">
        <v>605</v>
      </c>
      <c r="M86" s="42">
        <v>43594</v>
      </c>
      <c r="N86" s="43" t="s">
        <v>772</v>
      </c>
      <c r="O86" s="42">
        <v>43598</v>
      </c>
      <c r="P86" s="45"/>
      <c r="Q86" s="38" t="s">
        <v>641</v>
      </c>
      <c r="R86" s="66" t="s">
        <v>211</v>
      </c>
      <c r="S86" s="38"/>
    </row>
    <row r="87" spans="2:19" s="32" customFormat="1" ht="33" customHeight="1">
      <c r="B87" s="122" t="s">
        <v>2083</v>
      </c>
      <c r="C87" s="126" t="s">
        <v>1569</v>
      </c>
      <c r="D87" s="105" t="s">
        <v>2085</v>
      </c>
      <c r="E87" s="128">
        <v>43581</v>
      </c>
      <c r="F87" s="124" t="s">
        <v>2084</v>
      </c>
      <c r="G87" s="129">
        <v>1280</v>
      </c>
      <c r="H87" s="124">
        <f t="shared" si="11"/>
        <v>64</v>
      </c>
      <c r="I87" s="124">
        <f t="shared" si="12"/>
        <v>2</v>
      </c>
      <c r="J87" s="124"/>
      <c r="K87" s="130">
        <v>43632</v>
      </c>
      <c r="L87" s="119" t="s">
        <v>807</v>
      </c>
      <c r="M87" s="120">
        <v>43627</v>
      </c>
      <c r="N87" s="121" t="s">
        <v>2086</v>
      </c>
      <c r="O87" s="120">
        <v>43632</v>
      </c>
      <c r="P87" s="123"/>
      <c r="Q87" s="124" t="s">
        <v>1810</v>
      </c>
      <c r="R87" s="134" t="s">
        <v>211</v>
      </c>
      <c r="S87" s="124"/>
    </row>
    <row r="88" spans="2:19" s="153" customFormat="1" ht="33" customHeight="1">
      <c r="B88" s="103" t="s">
        <v>2083</v>
      </c>
      <c r="C88" s="104" t="s">
        <v>90</v>
      </c>
      <c r="D88" s="105" t="s">
        <v>2087</v>
      </c>
      <c r="E88" s="106">
        <v>43595</v>
      </c>
      <c r="F88" s="107" t="s">
        <v>2084</v>
      </c>
      <c r="G88" s="108">
        <v>1280</v>
      </c>
      <c r="H88" s="107">
        <f t="shared" si="11"/>
        <v>64</v>
      </c>
      <c r="I88" s="107">
        <f t="shared" si="12"/>
        <v>2</v>
      </c>
      <c r="J88" s="107"/>
      <c r="K88" s="109">
        <v>43646</v>
      </c>
      <c r="L88" s="110"/>
      <c r="M88" s="111"/>
      <c r="N88" s="112"/>
      <c r="O88" s="111"/>
      <c r="P88" s="113"/>
      <c r="Q88" s="107"/>
      <c r="R88" s="116" t="s">
        <v>211</v>
      </c>
      <c r="S88" s="107"/>
    </row>
    <row r="89" spans="2:19" s="153" customFormat="1" ht="33" customHeight="1">
      <c r="B89" s="103" t="s">
        <v>2083</v>
      </c>
      <c r="C89" s="104" t="s">
        <v>2088</v>
      </c>
      <c r="D89" s="105" t="s">
        <v>2089</v>
      </c>
      <c r="E89" s="106">
        <v>43595</v>
      </c>
      <c r="F89" s="107" t="s">
        <v>2084</v>
      </c>
      <c r="G89" s="108">
        <v>1280</v>
      </c>
      <c r="H89" s="107">
        <f t="shared" si="11"/>
        <v>64</v>
      </c>
      <c r="I89" s="107">
        <f t="shared" si="12"/>
        <v>2</v>
      </c>
      <c r="J89" s="107"/>
      <c r="K89" s="109">
        <v>43674</v>
      </c>
      <c r="L89" s="110"/>
      <c r="M89" s="111"/>
      <c r="N89" s="112"/>
      <c r="O89" s="111"/>
      <c r="P89" s="113"/>
      <c r="Q89" s="107"/>
      <c r="R89" s="116" t="s">
        <v>211</v>
      </c>
      <c r="S89" s="107"/>
    </row>
    <row r="90" spans="2:19" s="33" customFormat="1" ht="33" customHeight="1">
      <c r="B90" s="47" t="s">
        <v>2090</v>
      </c>
      <c r="C90" s="48" t="s">
        <v>225</v>
      </c>
      <c r="D90" s="49" t="s">
        <v>487</v>
      </c>
      <c r="E90" s="50">
        <v>43490</v>
      </c>
      <c r="F90" s="52" t="s">
        <v>2091</v>
      </c>
      <c r="G90" s="51">
        <v>1520</v>
      </c>
      <c r="H90" s="52">
        <f>SUM(G90/190)</f>
        <v>8</v>
      </c>
      <c r="I90" s="52">
        <f>SUM(H90/4)</f>
        <v>2</v>
      </c>
      <c r="J90" s="52"/>
      <c r="K90" s="53">
        <v>43569</v>
      </c>
      <c r="L90" s="54" t="s">
        <v>417</v>
      </c>
      <c r="M90" s="55">
        <v>43564</v>
      </c>
      <c r="N90" s="56" t="s">
        <v>2092</v>
      </c>
      <c r="O90" s="55">
        <v>43569</v>
      </c>
      <c r="P90" s="58"/>
      <c r="Q90" s="52"/>
      <c r="R90" s="63" t="s">
        <v>2093</v>
      </c>
      <c r="S90" s="47"/>
    </row>
    <row r="91" spans="2:19" s="30" customFormat="1" ht="33" customHeight="1">
      <c r="B91" s="46" t="s">
        <v>2090</v>
      </c>
      <c r="C91" s="35" t="s">
        <v>226</v>
      </c>
      <c r="D91" s="36" t="s">
        <v>833</v>
      </c>
      <c r="E91" s="37">
        <v>43546</v>
      </c>
      <c r="F91" s="38" t="s">
        <v>2091</v>
      </c>
      <c r="G91" s="39">
        <v>1520</v>
      </c>
      <c r="H91" s="38">
        <f>SUM(G91/190)</f>
        <v>8</v>
      </c>
      <c r="I91" s="38">
        <f>SUM(H91/4)</f>
        <v>2</v>
      </c>
      <c r="J91" s="38"/>
      <c r="K91" s="40">
        <v>43632</v>
      </c>
      <c r="L91" s="41" t="s">
        <v>2094</v>
      </c>
      <c r="M91" s="42">
        <v>43627</v>
      </c>
      <c r="N91" s="43" t="s">
        <v>2086</v>
      </c>
      <c r="O91" s="42">
        <v>43632</v>
      </c>
      <c r="P91" s="45"/>
      <c r="Q91" s="38"/>
      <c r="R91" s="66" t="s">
        <v>2095</v>
      </c>
      <c r="S91" s="46"/>
    </row>
    <row r="92" spans="2:19" s="33" customFormat="1" ht="33" customHeight="1">
      <c r="B92" s="47" t="s">
        <v>2096</v>
      </c>
      <c r="C92" s="48" t="s">
        <v>2097</v>
      </c>
      <c r="D92" s="49" t="s">
        <v>2098</v>
      </c>
      <c r="E92" s="50"/>
      <c r="F92" s="47" t="s">
        <v>236</v>
      </c>
      <c r="G92" s="51">
        <v>2400</v>
      </c>
      <c r="H92" s="52">
        <f t="shared" ref="H92:H102" si="17">SUM(G92/200)</f>
        <v>12</v>
      </c>
      <c r="I92" s="52">
        <f t="shared" ref="I92:I102" si="18">SUM(H92/4)</f>
        <v>3</v>
      </c>
      <c r="J92" s="52"/>
      <c r="K92" s="53">
        <v>43527</v>
      </c>
      <c r="L92" s="54" t="s">
        <v>2099</v>
      </c>
      <c r="M92" s="55">
        <v>43531</v>
      </c>
      <c r="N92" s="56" t="s">
        <v>568</v>
      </c>
      <c r="O92" s="55">
        <v>43535</v>
      </c>
      <c r="P92" s="58"/>
      <c r="Q92" s="52"/>
      <c r="R92" s="63"/>
      <c r="S92" s="47" t="s">
        <v>2100</v>
      </c>
    </row>
    <row r="93" spans="2:19" s="33" customFormat="1" ht="33" customHeight="1">
      <c r="B93" s="47" t="s">
        <v>238</v>
      </c>
      <c r="C93" s="48" t="s">
        <v>2101</v>
      </c>
      <c r="D93" s="49" t="s">
        <v>435</v>
      </c>
      <c r="E93" s="50"/>
      <c r="F93" s="52" t="s">
        <v>236</v>
      </c>
      <c r="G93" s="51">
        <v>2400</v>
      </c>
      <c r="H93" s="52">
        <f t="shared" si="17"/>
        <v>12</v>
      </c>
      <c r="I93" s="52">
        <f t="shared" si="18"/>
        <v>3</v>
      </c>
      <c r="J93" s="52"/>
      <c r="K93" s="53">
        <v>43548</v>
      </c>
      <c r="L93" s="54" t="s">
        <v>2102</v>
      </c>
      <c r="M93" s="55">
        <v>43543</v>
      </c>
      <c r="N93" s="56" t="s">
        <v>2103</v>
      </c>
      <c r="O93" s="55">
        <v>43548</v>
      </c>
      <c r="P93" s="58"/>
      <c r="Q93" s="52"/>
      <c r="R93" s="63"/>
      <c r="S93" s="47"/>
    </row>
    <row r="94" spans="2:19" s="33" customFormat="1" ht="33" customHeight="1">
      <c r="B94" s="47" t="s">
        <v>238</v>
      </c>
      <c r="C94" s="48" t="s">
        <v>2104</v>
      </c>
      <c r="D94" s="49" t="s">
        <v>474</v>
      </c>
      <c r="E94" s="50"/>
      <c r="F94" s="52" t="s">
        <v>236</v>
      </c>
      <c r="G94" s="51">
        <v>3200</v>
      </c>
      <c r="H94" s="52">
        <f t="shared" si="17"/>
        <v>16</v>
      </c>
      <c r="I94" s="52">
        <f t="shared" si="18"/>
        <v>4</v>
      </c>
      <c r="J94" s="52"/>
      <c r="K94" s="53">
        <v>43562</v>
      </c>
      <c r="L94" s="54" t="s">
        <v>2105</v>
      </c>
      <c r="M94" s="55">
        <v>43557</v>
      </c>
      <c r="N94" s="56" t="s">
        <v>2106</v>
      </c>
      <c r="O94" s="55">
        <v>43562</v>
      </c>
      <c r="P94" s="58"/>
      <c r="Q94" s="52"/>
      <c r="R94" s="63"/>
      <c r="S94" s="47"/>
    </row>
    <row r="95" spans="2:19" s="33" customFormat="1" ht="33" customHeight="1">
      <c r="B95" s="47" t="s">
        <v>238</v>
      </c>
      <c r="C95" s="48" t="s">
        <v>2107</v>
      </c>
      <c r="D95" s="49" t="s">
        <v>475</v>
      </c>
      <c r="E95" s="50"/>
      <c r="F95" s="52" t="s">
        <v>236</v>
      </c>
      <c r="G95" s="51">
        <v>1600</v>
      </c>
      <c r="H95" s="52">
        <f t="shared" si="17"/>
        <v>8</v>
      </c>
      <c r="I95" s="52">
        <f t="shared" si="18"/>
        <v>2</v>
      </c>
      <c r="J95" s="52"/>
      <c r="K95" s="53">
        <v>43562</v>
      </c>
      <c r="L95" s="54" t="s">
        <v>2108</v>
      </c>
      <c r="M95" s="55">
        <v>43564</v>
      </c>
      <c r="N95" s="56" t="s">
        <v>2092</v>
      </c>
      <c r="O95" s="55">
        <v>43569</v>
      </c>
      <c r="P95" s="58"/>
      <c r="Q95" s="52"/>
      <c r="R95" s="63"/>
      <c r="S95" s="47"/>
    </row>
    <row r="96" spans="2:19" s="33" customFormat="1" ht="33" customHeight="1">
      <c r="B96" s="47" t="s">
        <v>238</v>
      </c>
      <c r="C96" s="48" t="s">
        <v>2109</v>
      </c>
      <c r="D96" s="49" t="s">
        <v>488</v>
      </c>
      <c r="E96" s="50">
        <v>43495</v>
      </c>
      <c r="F96" s="52" t="s">
        <v>236</v>
      </c>
      <c r="G96" s="51">
        <v>1600</v>
      </c>
      <c r="H96" s="52">
        <f t="shared" si="17"/>
        <v>8</v>
      </c>
      <c r="I96" s="52">
        <f t="shared" si="18"/>
        <v>2</v>
      </c>
      <c r="J96" s="52"/>
      <c r="K96" s="53">
        <v>43583</v>
      </c>
      <c r="L96" s="54" t="s">
        <v>2110</v>
      </c>
      <c r="M96" s="55">
        <v>43578</v>
      </c>
      <c r="N96" s="56" t="s">
        <v>2111</v>
      </c>
      <c r="O96" s="55">
        <v>43583</v>
      </c>
      <c r="P96" s="58"/>
      <c r="Q96" s="52"/>
      <c r="R96" s="63"/>
      <c r="S96" s="47"/>
    </row>
    <row r="97" spans="2:19" s="30" customFormat="1" ht="33" customHeight="1">
      <c r="B97" s="46" t="s">
        <v>238</v>
      </c>
      <c r="C97" s="35" t="s">
        <v>2112</v>
      </c>
      <c r="D97" s="36" t="s">
        <v>598</v>
      </c>
      <c r="E97" s="37">
        <v>43519</v>
      </c>
      <c r="F97" s="38" t="s">
        <v>236</v>
      </c>
      <c r="G97" s="39">
        <v>1600</v>
      </c>
      <c r="H97" s="38">
        <f t="shared" si="17"/>
        <v>8</v>
      </c>
      <c r="I97" s="38">
        <f t="shared" si="18"/>
        <v>2</v>
      </c>
      <c r="J97" s="38"/>
      <c r="K97" s="40">
        <v>43597</v>
      </c>
      <c r="L97" s="41" t="s">
        <v>2113</v>
      </c>
      <c r="M97" s="42">
        <v>43592</v>
      </c>
      <c r="N97" s="43" t="s">
        <v>2114</v>
      </c>
      <c r="O97" s="42">
        <v>43597</v>
      </c>
      <c r="P97" s="45"/>
      <c r="Q97" s="38"/>
      <c r="R97" s="66"/>
      <c r="S97" s="46"/>
    </row>
    <row r="98" spans="2:19" s="30" customFormat="1" ht="33" customHeight="1">
      <c r="B98" s="46" t="s">
        <v>238</v>
      </c>
      <c r="C98" s="35" t="s">
        <v>2115</v>
      </c>
      <c r="D98" s="36" t="s">
        <v>598</v>
      </c>
      <c r="E98" s="37">
        <v>43519</v>
      </c>
      <c r="F98" s="38" t="s">
        <v>236</v>
      </c>
      <c r="G98" s="39">
        <v>1600</v>
      </c>
      <c r="H98" s="38">
        <f t="shared" si="17"/>
        <v>8</v>
      </c>
      <c r="I98" s="38">
        <f t="shared" si="18"/>
        <v>2</v>
      </c>
      <c r="J98" s="38"/>
      <c r="K98" s="40">
        <v>43597</v>
      </c>
      <c r="L98" s="41" t="s">
        <v>2116</v>
      </c>
      <c r="M98" s="42">
        <v>43606</v>
      </c>
      <c r="N98" s="43" t="s">
        <v>2117</v>
      </c>
      <c r="O98" s="42">
        <v>43613</v>
      </c>
      <c r="P98" s="45"/>
      <c r="Q98" s="38"/>
      <c r="R98" s="66"/>
      <c r="S98" s="46"/>
    </row>
    <row r="99" spans="2:19" s="30" customFormat="1" ht="33" customHeight="1">
      <c r="B99" s="46" t="s">
        <v>238</v>
      </c>
      <c r="C99" s="35" t="s">
        <v>226</v>
      </c>
      <c r="D99" s="36" t="s">
        <v>749</v>
      </c>
      <c r="E99" s="37">
        <v>43532</v>
      </c>
      <c r="F99" s="38" t="s">
        <v>236</v>
      </c>
      <c r="G99" s="39">
        <v>3200</v>
      </c>
      <c r="H99" s="38">
        <f t="shared" si="17"/>
        <v>16</v>
      </c>
      <c r="I99" s="38">
        <f t="shared" si="18"/>
        <v>4</v>
      </c>
      <c r="J99" s="38"/>
      <c r="K99" s="40">
        <v>43625</v>
      </c>
      <c r="L99" s="41" t="s">
        <v>2118</v>
      </c>
      <c r="M99" s="42">
        <v>43620</v>
      </c>
      <c r="N99" s="43" t="s">
        <v>2119</v>
      </c>
      <c r="O99" s="42" t="s">
        <v>2120</v>
      </c>
      <c r="P99" s="45"/>
      <c r="Q99" s="38"/>
      <c r="R99" s="66"/>
      <c r="S99" s="46"/>
    </row>
    <row r="100" spans="2:19" s="30" customFormat="1" ht="33" customHeight="1">
      <c r="B100" s="46" t="s">
        <v>238</v>
      </c>
      <c r="C100" s="35" t="s">
        <v>233</v>
      </c>
      <c r="D100" s="36" t="s">
        <v>750</v>
      </c>
      <c r="E100" s="37">
        <v>43532</v>
      </c>
      <c r="F100" s="38" t="s">
        <v>236</v>
      </c>
      <c r="G100" s="39">
        <v>3200</v>
      </c>
      <c r="H100" s="38">
        <f t="shared" si="17"/>
        <v>16</v>
      </c>
      <c r="I100" s="38">
        <f t="shared" si="18"/>
        <v>4</v>
      </c>
      <c r="J100" s="38"/>
      <c r="K100" s="40">
        <v>43646</v>
      </c>
      <c r="L100" s="41" t="s">
        <v>2121</v>
      </c>
      <c r="M100" s="42">
        <v>43641</v>
      </c>
      <c r="N100" s="43" t="s">
        <v>2122</v>
      </c>
      <c r="O100" s="42">
        <v>43646</v>
      </c>
      <c r="P100" s="45"/>
      <c r="Q100" s="38"/>
      <c r="R100" s="66"/>
      <c r="S100" s="46"/>
    </row>
    <row r="101" spans="2:19" s="30" customFormat="1" ht="33" customHeight="1">
      <c r="B101" s="46" t="s">
        <v>238</v>
      </c>
      <c r="C101" s="35" t="s">
        <v>285</v>
      </c>
      <c r="D101" s="36" t="s">
        <v>1305</v>
      </c>
      <c r="E101" s="37">
        <v>43567</v>
      </c>
      <c r="F101" s="38" t="s">
        <v>236</v>
      </c>
      <c r="G101" s="39">
        <v>3200</v>
      </c>
      <c r="H101" s="38">
        <f t="shared" si="17"/>
        <v>16</v>
      </c>
      <c r="I101" s="38">
        <f t="shared" si="18"/>
        <v>4</v>
      </c>
      <c r="J101" s="38"/>
      <c r="K101" s="40">
        <v>43660</v>
      </c>
      <c r="L101" s="41" t="s">
        <v>2123</v>
      </c>
      <c r="M101" s="42">
        <v>43655</v>
      </c>
      <c r="N101" s="43" t="s">
        <v>2124</v>
      </c>
      <c r="O101" s="42">
        <v>43660</v>
      </c>
      <c r="P101" s="45"/>
      <c r="Q101" s="38"/>
      <c r="R101" s="66"/>
      <c r="S101" s="46"/>
    </row>
    <row r="102" spans="2:19" s="30" customFormat="1" ht="33" customHeight="1">
      <c r="B102" s="46" t="s">
        <v>238</v>
      </c>
      <c r="C102" s="35" t="s">
        <v>331</v>
      </c>
      <c r="D102" s="36" t="s">
        <v>1306</v>
      </c>
      <c r="E102" s="37">
        <v>43567</v>
      </c>
      <c r="F102" s="38" t="s">
        <v>236</v>
      </c>
      <c r="G102" s="39">
        <v>3200</v>
      </c>
      <c r="H102" s="38">
        <f t="shared" si="17"/>
        <v>16</v>
      </c>
      <c r="I102" s="38">
        <f t="shared" si="18"/>
        <v>4</v>
      </c>
      <c r="J102" s="38"/>
      <c r="K102" s="40">
        <v>43674</v>
      </c>
      <c r="L102" s="41" t="s">
        <v>2125</v>
      </c>
      <c r="M102" s="42">
        <v>43669</v>
      </c>
      <c r="N102" s="43" t="s">
        <v>2126</v>
      </c>
      <c r="O102" s="42">
        <v>43674</v>
      </c>
      <c r="P102" s="45"/>
      <c r="Q102" s="38"/>
      <c r="R102" s="66"/>
      <c r="S102" s="46"/>
    </row>
    <row r="103" spans="2:19" s="30" customFormat="1">
      <c r="C103" s="22"/>
      <c r="D103" s="23"/>
      <c r="G103" s="24"/>
      <c r="K103" s="25"/>
      <c r="M103" s="26"/>
      <c r="N103" s="28"/>
      <c r="O103" s="26"/>
      <c r="R103" s="27"/>
    </row>
    <row r="104" spans="2:19" s="19" customFormat="1">
      <c r="B104"/>
      <c r="C104" s="15"/>
      <c r="D104" s="1"/>
      <c r="E104" s="174"/>
      <c r="F104"/>
      <c r="G104" s="11"/>
      <c r="H104"/>
      <c r="I104"/>
      <c r="J104"/>
      <c r="K104" s="13"/>
      <c r="L104"/>
      <c r="N104" s="28"/>
      <c r="P104"/>
      <c r="Q104"/>
      <c r="R104" s="17"/>
      <c r="S104"/>
    </row>
    <row r="105" spans="2:19" s="19" customFormat="1" ht="26.4" hidden="1">
      <c r="B105"/>
      <c r="C105" s="15"/>
      <c r="D105" s="1"/>
      <c r="F105" s="177"/>
      <c r="L105" s="176" t="s">
        <v>1821</v>
      </c>
      <c r="M105" s="177"/>
      <c r="N105" s="177"/>
      <c r="O105"/>
      <c r="P105" s="13"/>
      <c r="Q105"/>
      <c r="S105" s="28"/>
    </row>
    <row r="106" spans="2:19" ht="26.4" hidden="1">
      <c r="F106" s="177"/>
      <c r="L106" s="176" t="s">
        <v>1822</v>
      </c>
      <c r="M106" s="177"/>
      <c r="N106" s="177"/>
      <c r="O106"/>
      <c r="P106" s="13"/>
      <c r="R106" s="19"/>
      <c r="S106" s="28"/>
    </row>
    <row r="107" spans="2:19" ht="26.4" hidden="1">
      <c r="F107" s="177"/>
      <c r="L107" s="176" t="s">
        <v>1823</v>
      </c>
      <c r="M107" s="177"/>
      <c r="N107" s="177"/>
      <c r="O107"/>
      <c r="P107" s="13"/>
      <c r="R107" s="19"/>
      <c r="S107" s="28"/>
    </row>
    <row r="108" spans="2:19" hidden="1">
      <c r="E108" s="175"/>
      <c r="L108" s="11"/>
      <c r="M108"/>
      <c r="N108"/>
      <c r="O108"/>
      <c r="P108" s="13"/>
      <c r="R108" s="19"/>
      <c r="S108" s="28"/>
    </row>
    <row r="109" spans="2:19" s="19" customFormat="1" hidden="1">
      <c r="B109"/>
      <c r="C109" s="15"/>
      <c r="D109" s="1"/>
      <c r="L109" s="178" t="s">
        <v>1825</v>
      </c>
      <c r="M109" s="178" t="s">
        <v>1826</v>
      </c>
      <c r="N109" s="178" t="s">
        <v>1827</v>
      </c>
      <c r="O109" s="178" t="s">
        <v>1828</v>
      </c>
      <c r="P109" s="179" t="s">
        <v>2127</v>
      </c>
      <c r="Q109" s="179" t="s">
        <v>2128</v>
      </c>
      <c r="R109" s="179" t="s">
        <v>1831</v>
      </c>
      <c r="S109" s="179"/>
    </row>
    <row r="110" spans="2:19" s="19" customFormat="1" hidden="1">
      <c r="B110"/>
      <c r="C110" s="15"/>
      <c r="D110" s="1"/>
      <c r="L110" s="180" t="s">
        <v>2129</v>
      </c>
      <c r="M110" s="181" t="s">
        <v>1833</v>
      </c>
      <c r="N110" s="181" t="s">
        <v>1834</v>
      </c>
      <c r="O110" s="182" t="s">
        <v>1835</v>
      </c>
      <c r="P110" s="183">
        <v>1000</v>
      </c>
      <c r="Q110" s="183">
        <v>4</v>
      </c>
      <c r="R110" s="184">
        <v>43598</v>
      </c>
      <c r="S110" s="181" t="s">
        <v>99</v>
      </c>
    </row>
    <row r="111" spans="2:19" s="19" customFormat="1" hidden="1">
      <c r="B111"/>
      <c r="C111" s="15"/>
      <c r="D111" s="1"/>
      <c r="L111" s="180" t="s">
        <v>2129</v>
      </c>
      <c r="M111" s="181" t="s">
        <v>1836</v>
      </c>
      <c r="N111" s="181" t="s">
        <v>1834</v>
      </c>
      <c r="O111" s="182" t="s">
        <v>1835</v>
      </c>
      <c r="P111" s="183">
        <v>6000</v>
      </c>
      <c r="Q111" s="183">
        <v>24</v>
      </c>
      <c r="R111" s="184">
        <v>43598</v>
      </c>
      <c r="S111" s="181" t="s">
        <v>99</v>
      </c>
    </row>
    <row r="112" spans="2:19" s="19" customFormat="1" hidden="1">
      <c r="B112"/>
      <c r="C112" s="15"/>
      <c r="D112" s="1"/>
      <c r="L112" s="180" t="s">
        <v>2129</v>
      </c>
      <c r="M112" s="181" t="s">
        <v>1837</v>
      </c>
      <c r="N112" s="181" t="s">
        <v>1834</v>
      </c>
      <c r="O112" s="182" t="s">
        <v>1835</v>
      </c>
      <c r="P112" s="183">
        <v>5000</v>
      </c>
      <c r="Q112" s="183">
        <v>20</v>
      </c>
      <c r="R112" s="185" t="s">
        <v>2130</v>
      </c>
      <c r="S112" s="180" t="s">
        <v>2131</v>
      </c>
    </row>
    <row r="113" spans="2:19" s="19" customFormat="1" hidden="1">
      <c r="B113"/>
      <c r="C113" s="15"/>
      <c r="D113" s="1"/>
      <c r="L113" s="180" t="s">
        <v>2129</v>
      </c>
      <c r="M113" s="181" t="s">
        <v>1840</v>
      </c>
      <c r="N113" s="181" t="s">
        <v>1834</v>
      </c>
      <c r="O113" s="182" t="s">
        <v>1835</v>
      </c>
      <c r="P113" s="183">
        <v>5000</v>
      </c>
      <c r="Q113" s="183">
        <v>20</v>
      </c>
      <c r="R113" s="184">
        <v>43605</v>
      </c>
      <c r="S113" s="181" t="s">
        <v>99</v>
      </c>
    </row>
    <row r="114" spans="2:19" s="19" customFormat="1" hidden="1">
      <c r="B114"/>
      <c r="C114" s="15"/>
      <c r="D114" s="1"/>
      <c r="L114" s="180" t="s">
        <v>2129</v>
      </c>
      <c r="M114" s="181" t="s">
        <v>1841</v>
      </c>
      <c r="N114" s="181" t="s">
        <v>1834</v>
      </c>
      <c r="O114" s="182" t="s">
        <v>1835</v>
      </c>
      <c r="P114" s="183">
        <v>7000</v>
      </c>
      <c r="Q114" s="183">
        <v>28</v>
      </c>
      <c r="R114" s="184">
        <v>43605</v>
      </c>
      <c r="S114" s="181" t="s">
        <v>99</v>
      </c>
    </row>
    <row r="115" spans="2:19" hidden="1">
      <c r="L115" s="180" t="s">
        <v>2132</v>
      </c>
      <c r="M115" s="181" t="s">
        <v>1843</v>
      </c>
      <c r="N115" s="181" t="s">
        <v>1844</v>
      </c>
      <c r="O115" s="182" t="s">
        <v>1835</v>
      </c>
      <c r="P115" s="183">
        <v>2000</v>
      </c>
      <c r="Q115" s="183">
        <v>8</v>
      </c>
      <c r="R115" s="184">
        <v>43598</v>
      </c>
      <c r="S115" s="181" t="s">
        <v>99</v>
      </c>
    </row>
    <row r="116" spans="2:19" hidden="1">
      <c r="L116" s="180" t="s">
        <v>2132</v>
      </c>
      <c r="M116" s="181" t="s">
        <v>1845</v>
      </c>
      <c r="N116" s="181" t="s">
        <v>1844</v>
      </c>
      <c r="O116" s="182" t="s">
        <v>1835</v>
      </c>
      <c r="P116" s="183">
        <v>2000</v>
      </c>
      <c r="Q116" s="183">
        <v>8</v>
      </c>
      <c r="R116" s="184">
        <v>43598</v>
      </c>
      <c r="S116" s="181" t="s">
        <v>99</v>
      </c>
    </row>
    <row r="117" spans="2:19" hidden="1">
      <c r="L117" s="180" t="s">
        <v>2132</v>
      </c>
      <c r="M117" s="181" t="s">
        <v>1846</v>
      </c>
      <c r="N117" s="181" t="s">
        <v>1844</v>
      </c>
      <c r="O117" s="182" t="s">
        <v>1835</v>
      </c>
      <c r="P117" s="183">
        <v>10000</v>
      </c>
      <c r="Q117" s="183">
        <v>40</v>
      </c>
      <c r="R117" s="184">
        <v>43598</v>
      </c>
      <c r="S117" s="181" t="s">
        <v>99</v>
      </c>
    </row>
    <row r="118" spans="2:19" hidden="1">
      <c r="L118" s="180" t="s">
        <v>2132</v>
      </c>
      <c r="M118" s="181" t="s">
        <v>1847</v>
      </c>
      <c r="N118" s="181" t="s">
        <v>1844</v>
      </c>
      <c r="O118" s="182" t="s">
        <v>1835</v>
      </c>
      <c r="P118" s="183">
        <v>8000</v>
      </c>
      <c r="Q118" s="183">
        <v>32</v>
      </c>
      <c r="R118" s="184">
        <v>43598</v>
      </c>
      <c r="S118" s="180"/>
    </row>
    <row r="119" spans="2:19" hidden="1">
      <c r="L119" s="180" t="s">
        <v>2132</v>
      </c>
      <c r="M119" s="181" t="s">
        <v>1848</v>
      </c>
      <c r="N119" s="181" t="s">
        <v>1844</v>
      </c>
      <c r="O119" s="182" t="s">
        <v>1835</v>
      </c>
      <c r="P119" s="183">
        <v>10000</v>
      </c>
      <c r="Q119" s="183">
        <v>40</v>
      </c>
      <c r="R119" s="185" t="s">
        <v>2133</v>
      </c>
      <c r="S119" s="180" t="s">
        <v>2131</v>
      </c>
    </row>
    <row r="120" spans="2:19" hidden="1">
      <c r="L120" s="182" t="s">
        <v>2134</v>
      </c>
      <c r="M120" s="181" t="s">
        <v>1851</v>
      </c>
      <c r="N120" s="181" t="s">
        <v>1834</v>
      </c>
      <c r="O120" s="182" t="s">
        <v>1852</v>
      </c>
      <c r="P120" s="183">
        <v>5000</v>
      </c>
      <c r="Q120" s="183">
        <v>20</v>
      </c>
      <c r="R120" s="184">
        <v>43605</v>
      </c>
      <c r="S120" s="181" t="s">
        <v>99</v>
      </c>
    </row>
    <row r="121" spans="2:19" hidden="1">
      <c r="L121" s="180" t="s">
        <v>2135</v>
      </c>
      <c r="M121" s="181" t="s">
        <v>1851</v>
      </c>
      <c r="N121" s="181" t="s">
        <v>1844</v>
      </c>
      <c r="O121" s="182" t="s">
        <v>1835</v>
      </c>
      <c r="P121" s="183">
        <v>2000</v>
      </c>
      <c r="Q121" s="183">
        <v>8</v>
      </c>
      <c r="R121" s="184">
        <v>43605</v>
      </c>
      <c r="S121" s="181" t="s">
        <v>99</v>
      </c>
    </row>
    <row r="122" spans="2:19" hidden="1">
      <c r="L122" s="182" t="s">
        <v>2136</v>
      </c>
      <c r="M122" s="181" t="s">
        <v>1855</v>
      </c>
      <c r="N122" s="181" t="s">
        <v>1834</v>
      </c>
      <c r="O122" s="182" t="s">
        <v>1852</v>
      </c>
      <c r="P122" s="183">
        <v>6000</v>
      </c>
      <c r="Q122" s="183">
        <v>24</v>
      </c>
      <c r="R122" s="184">
        <v>43605</v>
      </c>
      <c r="S122" s="181" t="s">
        <v>99</v>
      </c>
    </row>
    <row r="123" spans="2:19" hidden="1">
      <c r="L123" s="182" t="s">
        <v>2136</v>
      </c>
      <c r="M123" s="181" t="s">
        <v>1856</v>
      </c>
      <c r="N123" s="181" t="s">
        <v>1834</v>
      </c>
      <c r="O123" s="182" t="s">
        <v>1852</v>
      </c>
      <c r="P123" s="183">
        <v>6000</v>
      </c>
      <c r="Q123" s="183">
        <v>24</v>
      </c>
      <c r="R123" s="185">
        <v>43605</v>
      </c>
      <c r="S123" s="180"/>
    </row>
    <row r="124" spans="2:19" hidden="1">
      <c r="L124" s="182" t="s">
        <v>2136</v>
      </c>
      <c r="M124" s="181" t="s">
        <v>1857</v>
      </c>
      <c r="N124" s="181" t="s">
        <v>1834</v>
      </c>
      <c r="O124" s="182" t="s">
        <v>1852</v>
      </c>
      <c r="P124" s="183">
        <v>6000</v>
      </c>
      <c r="Q124" s="183">
        <v>24</v>
      </c>
      <c r="R124" s="184" t="s">
        <v>2137</v>
      </c>
      <c r="S124" s="181" t="s">
        <v>2138</v>
      </c>
    </row>
  </sheetData>
  <autoFilter ref="B2:R102" xr:uid="{00000000-0009-0000-0000-00001C000000}"/>
  <phoneticPr fontId="1"/>
  <pageMargins left="0.23622047244094491" right="0.23622047244094491" top="0.35433070866141736" bottom="0.35433070866141736" header="0.31496062992125984" footer="0.31496062992125984"/>
  <pageSetup paperSize="9" scale="77" fitToHeight="0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53">
    <pageSetUpPr fitToPage="1"/>
  </sheetPr>
  <dimension ref="B1:S120"/>
  <sheetViews>
    <sheetView zoomScale="77" zoomScaleNormal="77" workbookViewId="0">
      <pane xSplit="3" ySplit="2" topLeftCell="D42" activePane="bottomRight" state="frozen"/>
      <selection activeCell="B70" sqref="B70"/>
      <selection pane="topRight" activeCell="B70" sqref="B70"/>
      <selection pane="bottomLeft" activeCell="B70" sqref="B70"/>
      <selection pane="bottomRight" activeCell="G54" sqref="G54:I55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15.87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C2" s="14" t="s">
        <v>9</v>
      </c>
      <c r="D2" s="5" t="s">
        <v>0</v>
      </c>
      <c r="E2" s="6" t="s">
        <v>10</v>
      </c>
      <c r="F2" s="6" t="s">
        <v>11</v>
      </c>
      <c r="G2" s="10" t="s">
        <v>1</v>
      </c>
      <c r="H2" s="6" t="s">
        <v>15</v>
      </c>
      <c r="I2" s="6" t="s">
        <v>16</v>
      </c>
      <c r="J2" s="6" t="s">
        <v>12</v>
      </c>
      <c r="K2" s="12" t="s">
        <v>7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85</v>
      </c>
      <c r="Q2" s="6" t="s">
        <v>8</v>
      </c>
      <c r="R2" s="16" t="s">
        <v>6</v>
      </c>
      <c r="S2" s="16" t="s">
        <v>80</v>
      </c>
    </row>
    <row r="3" spans="2:19" s="33" customFormat="1" ht="33" customHeight="1">
      <c r="B3" s="47" t="s">
        <v>220</v>
      </c>
      <c r="C3" s="48" t="s">
        <v>309</v>
      </c>
      <c r="D3" s="49" t="s">
        <v>310</v>
      </c>
      <c r="E3" s="50">
        <v>43420</v>
      </c>
      <c r="F3" s="49" t="s">
        <v>79</v>
      </c>
      <c r="G3" s="51">
        <v>7000</v>
      </c>
      <c r="H3" s="52">
        <f t="shared" ref="H3:H23" si="0">SUM(G3/250)</f>
        <v>28</v>
      </c>
      <c r="I3" s="52">
        <f t="shared" ref="I3:I40" si="1">SUM(H3/4)</f>
        <v>7</v>
      </c>
      <c r="J3" s="49"/>
      <c r="K3" s="53">
        <v>43541</v>
      </c>
      <c r="L3" s="54" t="s">
        <v>388</v>
      </c>
      <c r="M3" s="55">
        <v>43542</v>
      </c>
      <c r="N3" s="56" t="s">
        <v>649</v>
      </c>
      <c r="O3" s="55">
        <v>43183</v>
      </c>
      <c r="P3" s="54" t="s">
        <v>753</v>
      </c>
      <c r="Q3" s="49"/>
      <c r="R3" s="57" t="s">
        <v>420</v>
      </c>
      <c r="S3" s="47"/>
    </row>
    <row r="4" spans="2:19" s="33" customFormat="1" ht="33" customHeight="1">
      <c r="B4" s="47" t="s">
        <v>78</v>
      </c>
      <c r="C4" s="48" t="s">
        <v>311</v>
      </c>
      <c r="D4" s="49" t="s">
        <v>312</v>
      </c>
      <c r="E4" s="50">
        <v>43420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43169</v>
      </c>
      <c r="L4" s="54" t="s">
        <v>343</v>
      </c>
      <c r="M4" s="55">
        <v>43528</v>
      </c>
      <c r="N4" s="56" t="s">
        <v>439</v>
      </c>
      <c r="O4" s="55">
        <v>43534</v>
      </c>
      <c r="P4" s="54"/>
      <c r="Q4" s="49" t="s">
        <v>82</v>
      </c>
      <c r="R4" s="57" t="s">
        <v>313</v>
      </c>
      <c r="S4" s="47"/>
    </row>
    <row r="5" spans="2:19" s="33" customFormat="1" ht="33" customHeight="1">
      <c r="B5" s="47" t="s">
        <v>78</v>
      </c>
      <c r="C5" s="48" t="s">
        <v>374</v>
      </c>
      <c r="D5" s="49" t="s">
        <v>375</v>
      </c>
      <c r="E5" s="50">
        <v>43455</v>
      </c>
      <c r="F5" s="49" t="s">
        <v>79</v>
      </c>
      <c r="G5" s="51">
        <v>21000</v>
      </c>
      <c r="H5" s="52">
        <f t="shared" si="0"/>
        <v>84</v>
      </c>
      <c r="I5" s="52">
        <f t="shared" si="1"/>
        <v>21</v>
      </c>
      <c r="J5" s="49"/>
      <c r="K5" s="53">
        <v>43541</v>
      </c>
      <c r="L5" s="54" t="s">
        <v>388</v>
      </c>
      <c r="M5" s="55">
        <v>43542</v>
      </c>
      <c r="N5" s="56" t="s">
        <v>649</v>
      </c>
      <c r="O5" s="55">
        <v>43183</v>
      </c>
      <c r="P5" s="54" t="s">
        <v>754</v>
      </c>
      <c r="Q5" s="49" t="s">
        <v>82</v>
      </c>
      <c r="R5" s="57" t="s">
        <v>376</v>
      </c>
      <c r="S5" s="47"/>
    </row>
    <row r="6" spans="2:19" s="33" customFormat="1" ht="33" customHeight="1">
      <c r="B6" s="47" t="s">
        <v>220</v>
      </c>
      <c r="C6" s="48" t="s">
        <v>377</v>
      </c>
      <c r="D6" s="49" t="s">
        <v>378</v>
      </c>
      <c r="E6" s="50">
        <v>43455</v>
      </c>
      <c r="F6" s="49" t="s">
        <v>91</v>
      </c>
      <c r="G6" s="51">
        <v>14000</v>
      </c>
      <c r="H6" s="52">
        <f t="shared" si="0"/>
        <v>56</v>
      </c>
      <c r="I6" s="52">
        <f t="shared" si="1"/>
        <v>14</v>
      </c>
      <c r="J6" s="49"/>
      <c r="K6" s="53">
        <v>43548</v>
      </c>
      <c r="L6" s="54" t="s">
        <v>802</v>
      </c>
      <c r="M6" s="55">
        <v>43563</v>
      </c>
      <c r="N6" s="56" t="s">
        <v>438</v>
      </c>
      <c r="O6" s="55">
        <v>43569</v>
      </c>
      <c r="P6" s="54" t="s">
        <v>839</v>
      </c>
      <c r="Q6" s="49"/>
      <c r="R6" s="57" t="s">
        <v>379</v>
      </c>
      <c r="S6" s="47"/>
    </row>
    <row r="7" spans="2:19" s="33" customFormat="1" ht="33" customHeight="1">
      <c r="B7" s="47" t="s">
        <v>78</v>
      </c>
      <c r="C7" s="48" t="s">
        <v>380</v>
      </c>
      <c r="D7" s="49" t="s">
        <v>381</v>
      </c>
      <c r="E7" s="50">
        <v>43455</v>
      </c>
      <c r="F7" s="49" t="s">
        <v>240</v>
      </c>
      <c r="G7" s="51">
        <v>40000</v>
      </c>
      <c r="H7" s="52">
        <f t="shared" si="0"/>
        <v>160</v>
      </c>
      <c r="I7" s="52">
        <f t="shared" si="1"/>
        <v>40</v>
      </c>
      <c r="J7" s="49"/>
      <c r="K7" s="53">
        <v>43555</v>
      </c>
      <c r="L7" s="54" t="s">
        <v>389</v>
      </c>
      <c r="M7" s="55">
        <v>43549</v>
      </c>
      <c r="N7" s="56" t="s">
        <v>752</v>
      </c>
      <c r="O7" s="55">
        <v>43555</v>
      </c>
      <c r="P7" s="54" t="s">
        <v>755</v>
      </c>
      <c r="Q7" s="49" t="s">
        <v>82</v>
      </c>
      <c r="R7" s="57" t="s">
        <v>382</v>
      </c>
      <c r="S7" s="47"/>
    </row>
    <row r="8" spans="2:19" s="33" customFormat="1" ht="33" customHeight="1">
      <c r="B8" s="47" t="s">
        <v>220</v>
      </c>
      <c r="C8" s="48" t="s">
        <v>421</v>
      </c>
      <c r="D8" s="49" t="s">
        <v>453</v>
      </c>
      <c r="E8" s="50">
        <v>43483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43576</v>
      </c>
      <c r="L8" s="54" t="s">
        <v>443</v>
      </c>
      <c r="M8" s="55">
        <v>43570</v>
      </c>
      <c r="N8" s="56" t="s">
        <v>440</v>
      </c>
      <c r="O8" s="55">
        <v>43576</v>
      </c>
      <c r="P8" s="54" t="s">
        <v>981</v>
      </c>
      <c r="Q8" s="49"/>
      <c r="R8" s="57" t="s">
        <v>454</v>
      </c>
      <c r="S8" s="47"/>
    </row>
    <row r="9" spans="2:19" s="30" customFormat="1" ht="33" customHeight="1">
      <c r="B9" s="46" t="s">
        <v>78</v>
      </c>
      <c r="C9" s="35" t="s">
        <v>422</v>
      </c>
      <c r="D9" s="36" t="s">
        <v>455</v>
      </c>
      <c r="E9" s="37">
        <v>43483</v>
      </c>
      <c r="F9" s="36" t="s">
        <v>91</v>
      </c>
      <c r="G9" s="39">
        <v>10000</v>
      </c>
      <c r="H9" s="38">
        <f>SUM(G9/250)</f>
        <v>40</v>
      </c>
      <c r="I9" s="38">
        <f t="shared" si="1"/>
        <v>10</v>
      </c>
      <c r="J9" s="36"/>
      <c r="K9" s="40">
        <v>43618</v>
      </c>
      <c r="L9" s="41" t="s">
        <v>442</v>
      </c>
      <c r="M9" s="42">
        <v>43612</v>
      </c>
      <c r="N9" s="43" t="s">
        <v>637</v>
      </c>
      <c r="O9" s="42">
        <v>43618</v>
      </c>
      <c r="P9" s="41" t="s">
        <v>1860</v>
      </c>
      <c r="Q9" s="36" t="s">
        <v>82</v>
      </c>
      <c r="R9" s="44" t="s">
        <v>616</v>
      </c>
      <c r="S9" s="46"/>
    </row>
    <row r="10" spans="2:19" s="30" customFormat="1" ht="33" customHeight="1">
      <c r="B10" s="46" t="s">
        <v>78</v>
      </c>
      <c r="C10" s="35" t="s">
        <v>1330</v>
      </c>
      <c r="D10" s="36" t="s">
        <v>1337</v>
      </c>
      <c r="E10" s="37">
        <v>43483</v>
      </c>
      <c r="F10" s="36" t="s">
        <v>91</v>
      </c>
      <c r="G10" s="39">
        <v>20000</v>
      </c>
      <c r="H10" s="38">
        <f>SUM(G10/250)</f>
        <v>80</v>
      </c>
      <c r="I10" s="38">
        <f t="shared" si="1"/>
        <v>20</v>
      </c>
      <c r="J10" s="36"/>
      <c r="K10" s="40">
        <v>43618</v>
      </c>
      <c r="L10" s="41" t="s">
        <v>442</v>
      </c>
      <c r="M10" s="42">
        <v>43612</v>
      </c>
      <c r="N10" s="43" t="s">
        <v>637</v>
      </c>
      <c r="O10" s="42">
        <v>43618</v>
      </c>
      <c r="P10" s="41"/>
      <c r="Q10" s="36" t="s">
        <v>82</v>
      </c>
      <c r="R10" s="44" t="s">
        <v>616</v>
      </c>
      <c r="S10" s="46" t="s">
        <v>479</v>
      </c>
    </row>
    <row r="11" spans="2:19" s="30" customFormat="1" ht="33" customHeight="1">
      <c r="B11" s="122" t="s">
        <v>78</v>
      </c>
      <c r="C11" s="35" t="s">
        <v>617</v>
      </c>
      <c r="D11" s="36" t="s">
        <v>455</v>
      </c>
      <c r="E11" s="37">
        <v>43523</v>
      </c>
      <c r="F11" s="36" t="s">
        <v>91</v>
      </c>
      <c r="G11" s="39">
        <v>10000</v>
      </c>
      <c r="H11" s="38">
        <f>SUM(G11/250)</f>
        <v>40</v>
      </c>
      <c r="I11" s="38">
        <f t="shared" si="1"/>
        <v>10</v>
      </c>
      <c r="J11" s="36"/>
      <c r="K11" s="40">
        <v>43618</v>
      </c>
      <c r="L11" s="41" t="s">
        <v>638</v>
      </c>
      <c r="M11" s="42">
        <v>43612</v>
      </c>
      <c r="N11" s="43" t="s">
        <v>636</v>
      </c>
      <c r="O11" s="42">
        <v>43618</v>
      </c>
      <c r="P11" s="41"/>
      <c r="Q11" s="36" t="s">
        <v>82</v>
      </c>
      <c r="R11" s="44" t="s">
        <v>618</v>
      </c>
      <c r="S11" s="46"/>
    </row>
    <row r="12" spans="2:19" s="33" customFormat="1" ht="33" customHeight="1">
      <c r="B12" s="47" t="s">
        <v>78</v>
      </c>
      <c r="C12" s="48" t="s">
        <v>423</v>
      </c>
      <c r="D12" s="49" t="s">
        <v>457</v>
      </c>
      <c r="E12" s="50">
        <v>43483</v>
      </c>
      <c r="F12" s="49" t="s">
        <v>79</v>
      </c>
      <c r="G12" s="51">
        <v>20000</v>
      </c>
      <c r="H12" s="52">
        <f t="shared" si="0"/>
        <v>80</v>
      </c>
      <c r="I12" s="52">
        <f t="shared" si="1"/>
        <v>20</v>
      </c>
      <c r="J12" s="49"/>
      <c r="K12" s="53">
        <v>43576</v>
      </c>
      <c r="L12" s="54" t="s">
        <v>443</v>
      </c>
      <c r="M12" s="55">
        <v>43570</v>
      </c>
      <c r="N12" s="56" t="s">
        <v>440</v>
      </c>
      <c r="O12" s="55">
        <v>43576</v>
      </c>
      <c r="P12" s="54" t="s">
        <v>982</v>
      </c>
      <c r="Q12" s="49" t="s">
        <v>82</v>
      </c>
      <c r="R12" s="57" t="s">
        <v>424</v>
      </c>
      <c r="S12" s="47"/>
    </row>
    <row r="13" spans="2:19" s="33" customFormat="1" ht="33" customHeight="1">
      <c r="B13" s="47" t="s">
        <v>220</v>
      </c>
      <c r="C13" s="48" t="s">
        <v>425</v>
      </c>
      <c r="D13" s="49" t="s">
        <v>459</v>
      </c>
      <c r="E13" s="50">
        <v>43483</v>
      </c>
      <c r="F13" s="49" t="s">
        <v>79</v>
      </c>
      <c r="G13" s="51">
        <v>20000</v>
      </c>
      <c r="H13" s="52">
        <f t="shared" si="0"/>
        <v>80</v>
      </c>
      <c r="I13" s="52">
        <f t="shared" si="1"/>
        <v>20</v>
      </c>
      <c r="J13" s="49"/>
      <c r="K13" s="53">
        <v>43583</v>
      </c>
      <c r="L13" s="54" t="s">
        <v>444</v>
      </c>
      <c r="M13" s="55">
        <v>43577</v>
      </c>
      <c r="N13" s="56" t="s">
        <v>441</v>
      </c>
      <c r="O13" s="55">
        <v>43583</v>
      </c>
      <c r="P13" s="54" t="s">
        <v>1568</v>
      </c>
      <c r="Q13" s="49"/>
      <c r="R13" s="57" t="s">
        <v>426</v>
      </c>
      <c r="S13" s="47"/>
    </row>
    <row r="14" spans="2:19" s="33" customFormat="1" ht="33" customHeight="1">
      <c r="B14" s="47" t="s">
        <v>78</v>
      </c>
      <c r="C14" s="48" t="s">
        <v>462</v>
      </c>
      <c r="D14" s="49" t="s">
        <v>483</v>
      </c>
      <c r="E14" s="50">
        <v>43490</v>
      </c>
      <c r="F14" s="49" t="s">
        <v>79</v>
      </c>
      <c r="G14" s="51">
        <v>20000</v>
      </c>
      <c r="H14" s="52">
        <f t="shared" si="0"/>
        <v>80</v>
      </c>
      <c r="I14" s="52">
        <f t="shared" si="1"/>
        <v>20</v>
      </c>
      <c r="J14" s="49"/>
      <c r="K14" s="53">
        <v>43583</v>
      </c>
      <c r="L14" s="54" t="s">
        <v>444</v>
      </c>
      <c r="M14" s="55">
        <v>43577</v>
      </c>
      <c r="N14" s="56" t="s">
        <v>441</v>
      </c>
      <c r="O14" s="55">
        <v>43583</v>
      </c>
      <c r="P14" s="54" t="s">
        <v>983</v>
      </c>
      <c r="Q14" s="49" t="s">
        <v>82</v>
      </c>
      <c r="R14" s="57" t="s">
        <v>463</v>
      </c>
      <c r="S14" s="47"/>
    </row>
    <row r="15" spans="2:19" s="33" customFormat="1" ht="33" customHeight="1">
      <c r="B15" s="47" t="s">
        <v>78</v>
      </c>
      <c r="C15" s="48" t="s">
        <v>570</v>
      </c>
      <c r="D15" s="49" t="s">
        <v>571</v>
      </c>
      <c r="E15" s="50">
        <v>43519</v>
      </c>
      <c r="F15" s="49" t="s">
        <v>79</v>
      </c>
      <c r="G15" s="51">
        <v>20000</v>
      </c>
      <c r="H15" s="52">
        <f t="shared" si="0"/>
        <v>80</v>
      </c>
      <c r="I15" s="52">
        <f t="shared" si="1"/>
        <v>20</v>
      </c>
      <c r="J15" s="49"/>
      <c r="K15" s="53">
        <v>43590</v>
      </c>
      <c r="L15" s="54" t="s">
        <v>602</v>
      </c>
      <c r="M15" s="55">
        <v>43577</v>
      </c>
      <c r="N15" s="56" t="s">
        <v>441</v>
      </c>
      <c r="O15" s="55">
        <v>43583</v>
      </c>
      <c r="P15" s="54" t="s">
        <v>984</v>
      </c>
      <c r="Q15" s="49" t="s">
        <v>82</v>
      </c>
      <c r="R15" s="57" t="s">
        <v>572</v>
      </c>
      <c r="S15" s="47"/>
    </row>
    <row r="16" spans="2:19" s="30" customFormat="1" ht="33" customHeight="1">
      <c r="B16" s="46" t="s">
        <v>78</v>
      </c>
      <c r="C16" s="35" t="s">
        <v>573</v>
      </c>
      <c r="D16" s="36" t="s">
        <v>574</v>
      </c>
      <c r="E16" s="37">
        <v>43519</v>
      </c>
      <c r="F16" s="36" t="s">
        <v>79</v>
      </c>
      <c r="G16" s="39">
        <v>20000</v>
      </c>
      <c r="H16" s="38">
        <f>SUM(G16/250)</f>
        <v>80</v>
      </c>
      <c r="I16" s="38">
        <f>SUM(H16/4)</f>
        <v>20</v>
      </c>
      <c r="J16" s="36"/>
      <c r="K16" s="40">
        <v>43604</v>
      </c>
      <c r="L16" s="41" t="s">
        <v>757</v>
      </c>
      <c r="M16" s="42">
        <v>43598</v>
      </c>
      <c r="N16" s="43" t="s">
        <v>756</v>
      </c>
      <c r="O16" s="42">
        <v>43604</v>
      </c>
      <c r="P16" s="41" t="s">
        <v>1811</v>
      </c>
      <c r="Q16" s="36" t="s">
        <v>82</v>
      </c>
      <c r="R16" s="44" t="s">
        <v>575</v>
      </c>
      <c r="S16" s="46"/>
    </row>
    <row r="17" spans="2:19" s="30" customFormat="1" ht="33" customHeight="1">
      <c r="B17" s="46" t="s">
        <v>78</v>
      </c>
      <c r="C17" s="35" t="s">
        <v>785</v>
      </c>
      <c r="D17" s="36" t="s">
        <v>577</v>
      </c>
      <c r="E17" s="37">
        <v>43519</v>
      </c>
      <c r="F17" s="36" t="s">
        <v>91</v>
      </c>
      <c r="G17" s="39">
        <v>10000</v>
      </c>
      <c r="H17" s="38">
        <f>SUM(G17/250)</f>
        <v>40</v>
      </c>
      <c r="I17" s="38">
        <f>SUM(H17/4)</f>
        <v>10</v>
      </c>
      <c r="J17" s="36"/>
      <c r="K17" s="40">
        <v>43598</v>
      </c>
      <c r="L17" s="41" t="s">
        <v>803</v>
      </c>
      <c r="M17" s="42">
        <v>43598</v>
      </c>
      <c r="N17" s="43" t="s">
        <v>804</v>
      </c>
      <c r="O17" s="42">
        <v>43604</v>
      </c>
      <c r="P17" s="41" t="s">
        <v>1812</v>
      </c>
      <c r="Q17" s="36" t="s">
        <v>82</v>
      </c>
      <c r="R17" s="44" t="s">
        <v>786</v>
      </c>
      <c r="S17" s="46"/>
    </row>
    <row r="18" spans="2:19" s="30" customFormat="1" ht="33" customHeight="1">
      <c r="B18" s="46" t="s">
        <v>220</v>
      </c>
      <c r="C18" s="35" t="s">
        <v>579</v>
      </c>
      <c r="D18" s="36" t="s">
        <v>580</v>
      </c>
      <c r="E18" s="37">
        <v>43519</v>
      </c>
      <c r="F18" s="36" t="s">
        <v>79</v>
      </c>
      <c r="G18" s="39">
        <v>10000</v>
      </c>
      <c r="H18" s="38">
        <f>SUM(G18/250)</f>
        <v>40</v>
      </c>
      <c r="I18" s="38">
        <f>SUM(H18/4)</f>
        <v>10</v>
      </c>
      <c r="J18" s="36"/>
      <c r="K18" s="40">
        <v>43598</v>
      </c>
      <c r="L18" s="41" t="s">
        <v>803</v>
      </c>
      <c r="M18" s="42">
        <v>43598</v>
      </c>
      <c r="N18" s="43" t="s">
        <v>804</v>
      </c>
      <c r="O18" s="42">
        <v>43604</v>
      </c>
      <c r="P18" s="41" t="s">
        <v>1813</v>
      </c>
      <c r="Q18" s="36"/>
      <c r="R18" s="44" t="s">
        <v>787</v>
      </c>
      <c r="S18" s="46"/>
    </row>
    <row r="19" spans="2:19" s="30" customFormat="1" ht="33" customHeight="1">
      <c r="B19" s="46" t="s">
        <v>78</v>
      </c>
      <c r="C19" s="35" t="s">
        <v>576</v>
      </c>
      <c r="D19" s="36" t="s">
        <v>577</v>
      </c>
      <c r="E19" s="37">
        <v>43519</v>
      </c>
      <c r="F19" s="36" t="s">
        <v>79</v>
      </c>
      <c r="G19" s="39">
        <v>20000</v>
      </c>
      <c r="H19" s="38">
        <f>SUM(G19/250)</f>
        <v>80</v>
      </c>
      <c r="I19" s="38">
        <f>SUM(H19/4)</f>
        <v>20</v>
      </c>
      <c r="J19" s="36"/>
      <c r="K19" s="40">
        <v>43611</v>
      </c>
      <c r="L19" s="41" t="s">
        <v>604</v>
      </c>
      <c r="M19" s="42">
        <v>43605</v>
      </c>
      <c r="N19" s="43" t="s">
        <v>639</v>
      </c>
      <c r="O19" s="42">
        <v>43611</v>
      </c>
      <c r="P19" s="41" t="s">
        <v>1858</v>
      </c>
      <c r="Q19" s="36" t="s">
        <v>82</v>
      </c>
      <c r="R19" s="44" t="s">
        <v>578</v>
      </c>
      <c r="S19" s="46"/>
    </row>
    <row r="20" spans="2:19" s="30" customFormat="1" ht="33" customHeight="1">
      <c r="B20" s="46" t="s">
        <v>78</v>
      </c>
      <c r="C20" s="35" t="s">
        <v>685</v>
      </c>
      <c r="D20" s="36" t="s">
        <v>686</v>
      </c>
      <c r="E20" s="37">
        <v>43532</v>
      </c>
      <c r="F20" s="36" t="s">
        <v>79</v>
      </c>
      <c r="G20" s="39">
        <v>20000</v>
      </c>
      <c r="H20" s="38">
        <f>SUM(G20/250)</f>
        <v>80</v>
      </c>
      <c r="I20" s="38">
        <f>SUM(H20/4)</f>
        <v>20</v>
      </c>
      <c r="J20" s="36"/>
      <c r="K20" s="40">
        <v>43625</v>
      </c>
      <c r="L20" s="41" t="s">
        <v>761</v>
      </c>
      <c r="M20" s="42">
        <v>43619</v>
      </c>
      <c r="N20" s="43" t="s">
        <v>758</v>
      </c>
      <c r="O20" s="42">
        <v>43625</v>
      </c>
      <c r="P20" s="41"/>
      <c r="Q20" s="36" t="s">
        <v>82</v>
      </c>
      <c r="R20" s="44" t="s">
        <v>687</v>
      </c>
      <c r="S20" s="46"/>
    </row>
    <row r="21" spans="2:19" s="30" customFormat="1" ht="33" customHeight="1">
      <c r="B21" s="46" t="s">
        <v>78</v>
      </c>
      <c r="C21" s="35" t="s">
        <v>1332</v>
      </c>
      <c r="D21" s="36" t="s">
        <v>1366</v>
      </c>
      <c r="E21" s="37">
        <v>43532</v>
      </c>
      <c r="F21" s="36" t="s">
        <v>79</v>
      </c>
      <c r="G21" s="39">
        <v>20000</v>
      </c>
      <c r="H21" s="38">
        <f t="shared" ref="H21" si="2">SUM(G21/250)</f>
        <v>80</v>
      </c>
      <c r="I21" s="38">
        <f t="shared" si="1"/>
        <v>20</v>
      </c>
      <c r="J21" s="36"/>
      <c r="K21" s="40">
        <v>43625</v>
      </c>
      <c r="L21" s="41" t="s">
        <v>761</v>
      </c>
      <c r="M21" s="42">
        <v>43619</v>
      </c>
      <c r="N21" s="43" t="s">
        <v>758</v>
      </c>
      <c r="O21" s="42">
        <v>43625</v>
      </c>
      <c r="P21" s="41"/>
      <c r="Q21" s="36" t="s">
        <v>82</v>
      </c>
      <c r="R21" s="44" t="s">
        <v>687</v>
      </c>
      <c r="S21" s="46" t="s">
        <v>479</v>
      </c>
    </row>
    <row r="22" spans="2:19" s="30" customFormat="1" ht="33" customHeight="1">
      <c r="B22" s="46" t="s">
        <v>220</v>
      </c>
      <c r="C22" s="35" t="s">
        <v>688</v>
      </c>
      <c r="D22" s="36" t="s">
        <v>689</v>
      </c>
      <c r="E22" s="37">
        <v>43532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43632</v>
      </c>
      <c r="L22" s="41" t="s">
        <v>762</v>
      </c>
      <c r="M22" s="42">
        <v>43626</v>
      </c>
      <c r="N22" s="43" t="s">
        <v>759</v>
      </c>
      <c r="O22" s="42">
        <v>43632</v>
      </c>
      <c r="P22" s="41" t="s">
        <v>1820</v>
      </c>
      <c r="Q22" s="36"/>
      <c r="R22" s="44" t="s">
        <v>690</v>
      </c>
      <c r="S22" s="46"/>
    </row>
    <row r="23" spans="2:19" s="30" customFormat="1" ht="33" customHeight="1">
      <c r="B23" s="46" t="s">
        <v>78</v>
      </c>
      <c r="C23" s="35" t="s">
        <v>691</v>
      </c>
      <c r="D23" s="36" t="s">
        <v>692</v>
      </c>
      <c r="E23" s="37">
        <v>43532</v>
      </c>
      <c r="F23" s="36" t="s">
        <v>79</v>
      </c>
      <c r="G23" s="39">
        <v>20000</v>
      </c>
      <c r="H23" s="38">
        <f t="shared" si="0"/>
        <v>80</v>
      </c>
      <c r="I23" s="38">
        <f t="shared" si="1"/>
        <v>20</v>
      </c>
      <c r="J23" s="36"/>
      <c r="K23" s="40">
        <v>43639</v>
      </c>
      <c r="L23" s="41" t="s">
        <v>763</v>
      </c>
      <c r="M23" s="42">
        <v>43633</v>
      </c>
      <c r="N23" s="43" t="s">
        <v>760</v>
      </c>
      <c r="O23" s="42">
        <v>43639</v>
      </c>
      <c r="P23" s="41"/>
      <c r="Q23" s="36" t="s">
        <v>82</v>
      </c>
      <c r="R23" s="44" t="s">
        <v>693</v>
      </c>
      <c r="S23" s="46"/>
    </row>
    <row r="24" spans="2:19" s="30" customFormat="1" ht="33" customHeight="1">
      <c r="B24" s="122" t="s">
        <v>78</v>
      </c>
      <c r="C24" s="35" t="s">
        <v>1816</v>
      </c>
      <c r="D24" s="36" t="s">
        <v>1156</v>
      </c>
      <c r="E24" s="37">
        <v>43566</v>
      </c>
      <c r="F24" s="36" t="s">
        <v>79</v>
      </c>
      <c r="G24" s="129">
        <v>6000</v>
      </c>
      <c r="H24" s="124">
        <f>SUM(G24/250)</f>
        <v>24</v>
      </c>
      <c r="I24" s="124">
        <f>SUM(H24/4)</f>
        <v>6</v>
      </c>
      <c r="J24" s="36"/>
      <c r="K24" s="40">
        <v>43611</v>
      </c>
      <c r="L24" s="41" t="s">
        <v>603</v>
      </c>
      <c r="M24" s="42">
        <v>43605</v>
      </c>
      <c r="N24" s="43" t="s">
        <v>1080</v>
      </c>
      <c r="O24" s="42">
        <v>43611</v>
      </c>
      <c r="P24" s="41" t="s">
        <v>1859</v>
      </c>
      <c r="Q24" s="36" t="s">
        <v>82</v>
      </c>
      <c r="R24" s="154" t="s">
        <v>1605</v>
      </c>
      <c r="S24" s="46"/>
    </row>
    <row r="25" spans="2:19" s="30" customFormat="1" ht="33" customHeight="1">
      <c r="B25" s="122" t="s">
        <v>1817</v>
      </c>
      <c r="C25" s="35" t="s">
        <v>986</v>
      </c>
      <c r="D25" s="36" t="s">
        <v>1156</v>
      </c>
      <c r="E25" s="37">
        <v>43566</v>
      </c>
      <c r="F25" s="36" t="s">
        <v>79</v>
      </c>
      <c r="G25" s="129">
        <v>14000</v>
      </c>
      <c r="H25" s="124">
        <f>SUM(G25/250)</f>
        <v>56</v>
      </c>
      <c r="I25" s="124">
        <f>SUM(H25/4)</f>
        <v>14</v>
      </c>
      <c r="J25" s="36"/>
      <c r="K25" s="40">
        <v>43611</v>
      </c>
      <c r="L25" s="41" t="s">
        <v>603</v>
      </c>
      <c r="M25" s="42">
        <v>43605</v>
      </c>
      <c r="N25" s="43" t="s">
        <v>1080</v>
      </c>
      <c r="O25" s="42">
        <v>43611</v>
      </c>
      <c r="P25" s="41" t="s">
        <v>1824</v>
      </c>
      <c r="Q25" s="36"/>
      <c r="R25" s="154" t="s">
        <v>1605</v>
      </c>
      <c r="S25" s="46"/>
    </row>
    <row r="26" spans="2:19" s="30" customFormat="1" ht="33" customHeight="1">
      <c r="B26" s="46" t="s">
        <v>78</v>
      </c>
      <c r="C26" s="35" t="s">
        <v>988</v>
      </c>
      <c r="D26" s="36" t="s">
        <v>1158</v>
      </c>
      <c r="E26" s="37">
        <v>43566</v>
      </c>
      <c r="F26" s="36" t="s">
        <v>79</v>
      </c>
      <c r="G26" s="39">
        <v>20000</v>
      </c>
      <c r="H26" s="38">
        <f t="shared" ref="H26:H34" si="3">SUM(G26/250)</f>
        <v>80</v>
      </c>
      <c r="I26" s="38">
        <f t="shared" si="1"/>
        <v>20</v>
      </c>
      <c r="J26" s="36"/>
      <c r="K26" s="40">
        <v>43632</v>
      </c>
      <c r="L26" s="41" t="s">
        <v>1081</v>
      </c>
      <c r="M26" s="42">
        <v>43626</v>
      </c>
      <c r="N26" s="43" t="s">
        <v>1082</v>
      </c>
      <c r="O26" s="42">
        <v>43632</v>
      </c>
      <c r="P26" s="41"/>
      <c r="Q26" s="36" t="s">
        <v>82</v>
      </c>
      <c r="R26" s="44" t="s">
        <v>989</v>
      </c>
      <c r="S26" s="46"/>
    </row>
    <row r="27" spans="2:19" s="30" customFormat="1" ht="33" customHeight="1">
      <c r="B27" s="46" t="s">
        <v>78</v>
      </c>
      <c r="C27" s="35" t="s">
        <v>1160</v>
      </c>
      <c r="D27" s="36" t="s">
        <v>1161</v>
      </c>
      <c r="E27" s="37">
        <v>43567</v>
      </c>
      <c r="F27" s="36" t="s">
        <v>63</v>
      </c>
      <c r="G27" s="39">
        <v>40000</v>
      </c>
      <c r="H27" s="38">
        <f t="shared" si="3"/>
        <v>160</v>
      </c>
      <c r="I27" s="38">
        <f t="shared" si="1"/>
        <v>40</v>
      </c>
      <c r="J27" s="36"/>
      <c r="K27" s="40">
        <v>43646</v>
      </c>
      <c r="L27" s="41" t="s">
        <v>1316</v>
      </c>
      <c r="M27" s="42">
        <v>43640</v>
      </c>
      <c r="N27" s="43" t="s">
        <v>1308</v>
      </c>
      <c r="O27" s="42">
        <v>43646</v>
      </c>
      <c r="P27" s="41"/>
      <c r="Q27" s="36" t="s">
        <v>82</v>
      </c>
      <c r="R27" s="44" t="s">
        <v>1162</v>
      </c>
      <c r="S27" s="46"/>
    </row>
    <row r="28" spans="2:19" s="30" customFormat="1" ht="33" customHeight="1">
      <c r="B28" s="46" t="s">
        <v>220</v>
      </c>
      <c r="C28" s="35" t="s">
        <v>1163</v>
      </c>
      <c r="D28" s="36" t="s">
        <v>1164</v>
      </c>
      <c r="E28" s="37">
        <v>43567</v>
      </c>
      <c r="F28" s="36" t="s">
        <v>79</v>
      </c>
      <c r="G28" s="39">
        <v>20000</v>
      </c>
      <c r="H28" s="38">
        <f t="shared" si="3"/>
        <v>80</v>
      </c>
      <c r="I28" s="38">
        <f t="shared" si="1"/>
        <v>20</v>
      </c>
      <c r="J28" s="36"/>
      <c r="K28" s="40">
        <v>43646</v>
      </c>
      <c r="L28" s="41" t="s">
        <v>1316</v>
      </c>
      <c r="M28" s="42">
        <v>43640</v>
      </c>
      <c r="N28" s="43" t="s">
        <v>1308</v>
      </c>
      <c r="O28" s="42">
        <v>43646</v>
      </c>
      <c r="P28" s="41"/>
      <c r="Q28" s="36"/>
      <c r="R28" s="44" t="s">
        <v>1165</v>
      </c>
      <c r="S28" s="46"/>
    </row>
    <row r="29" spans="2:19" s="30" customFormat="1" ht="33" customHeight="1">
      <c r="B29" s="46" t="s">
        <v>78</v>
      </c>
      <c r="C29" s="35" t="s">
        <v>1166</v>
      </c>
      <c r="D29" s="36" t="s">
        <v>1167</v>
      </c>
      <c r="E29" s="37">
        <v>43567</v>
      </c>
      <c r="F29" s="36" t="s">
        <v>79</v>
      </c>
      <c r="G29" s="39">
        <v>20000</v>
      </c>
      <c r="H29" s="38">
        <f t="shared" si="3"/>
        <v>80</v>
      </c>
      <c r="I29" s="38">
        <f t="shared" si="1"/>
        <v>20</v>
      </c>
      <c r="J29" s="36"/>
      <c r="K29" s="40">
        <v>43653</v>
      </c>
      <c r="L29" s="41" t="s">
        <v>1317</v>
      </c>
      <c r="M29" s="42">
        <v>43647</v>
      </c>
      <c r="N29" s="43" t="s">
        <v>1309</v>
      </c>
      <c r="O29" s="42">
        <v>43653</v>
      </c>
      <c r="P29" s="41"/>
      <c r="Q29" s="36" t="s">
        <v>82</v>
      </c>
      <c r="R29" s="44" t="s">
        <v>1168</v>
      </c>
      <c r="S29" s="46"/>
    </row>
    <row r="30" spans="2:19" s="30" customFormat="1" ht="33" customHeight="1">
      <c r="B30" s="46" t="s">
        <v>78</v>
      </c>
      <c r="C30" s="35" t="s">
        <v>1169</v>
      </c>
      <c r="D30" s="36" t="s">
        <v>1170</v>
      </c>
      <c r="E30" s="37">
        <v>43567</v>
      </c>
      <c r="F30" s="36" t="s">
        <v>79</v>
      </c>
      <c r="G30" s="39">
        <v>20000</v>
      </c>
      <c r="H30" s="38">
        <f t="shared" si="3"/>
        <v>80</v>
      </c>
      <c r="I30" s="38">
        <f t="shared" si="1"/>
        <v>20</v>
      </c>
      <c r="J30" s="36"/>
      <c r="K30" s="40">
        <v>43660</v>
      </c>
      <c r="L30" s="41" t="s">
        <v>1318</v>
      </c>
      <c r="M30" s="42">
        <v>43654</v>
      </c>
      <c r="N30" s="43" t="s">
        <v>1310</v>
      </c>
      <c r="O30" s="42">
        <v>43660</v>
      </c>
      <c r="P30" s="41"/>
      <c r="Q30" s="36" t="s">
        <v>82</v>
      </c>
      <c r="R30" s="44" t="s">
        <v>1171</v>
      </c>
      <c r="S30" s="46"/>
    </row>
    <row r="31" spans="2:19" s="30" customFormat="1" ht="33" customHeight="1">
      <c r="B31" s="46" t="s">
        <v>78</v>
      </c>
      <c r="C31" s="35" t="s">
        <v>1172</v>
      </c>
      <c r="D31" s="36" t="s">
        <v>1173</v>
      </c>
      <c r="E31" s="37">
        <v>43567</v>
      </c>
      <c r="F31" s="36" t="s">
        <v>79</v>
      </c>
      <c r="G31" s="39">
        <v>20000</v>
      </c>
      <c r="H31" s="38">
        <f t="shared" si="3"/>
        <v>80</v>
      </c>
      <c r="I31" s="38">
        <f t="shared" si="1"/>
        <v>20</v>
      </c>
      <c r="J31" s="36"/>
      <c r="K31" s="40">
        <v>43667</v>
      </c>
      <c r="L31" s="41" t="s">
        <v>1320</v>
      </c>
      <c r="M31" s="42">
        <v>43658</v>
      </c>
      <c r="N31" s="43" t="s">
        <v>1311</v>
      </c>
      <c r="O31" s="42">
        <v>43667</v>
      </c>
      <c r="P31" s="41"/>
      <c r="Q31" s="36" t="s">
        <v>82</v>
      </c>
      <c r="R31" s="44" t="s">
        <v>1174</v>
      </c>
      <c r="S31" s="46"/>
    </row>
    <row r="32" spans="2:19" s="30" customFormat="1" ht="33" customHeight="1">
      <c r="B32" s="46" t="s">
        <v>220</v>
      </c>
      <c r="C32" s="35" t="s">
        <v>1175</v>
      </c>
      <c r="D32" s="36" t="s">
        <v>1176</v>
      </c>
      <c r="E32" s="37">
        <v>43567</v>
      </c>
      <c r="F32" s="36" t="s">
        <v>79</v>
      </c>
      <c r="G32" s="39">
        <v>20000</v>
      </c>
      <c r="H32" s="38">
        <f t="shared" si="3"/>
        <v>80</v>
      </c>
      <c r="I32" s="38">
        <f t="shared" si="1"/>
        <v>20</v>
      </c>
      <c r="J32" s="36"/>
      <c r="K32" s="40">
        <v>43667</v>
      </c>
      <c r="L32" s="41" t="s">
        <v>1319</v>
      </c>
      <c r="M32" s="42">
        <v>43658</v>
      </c>
      <c r="N32" s="43" t="s">
        <v>1311</v>
      </c>
      <c r="O32" s="42">
        <v>43667</v>
      </c>
      <c r="P32" s="41"/>
      <c r="Q32" s="36"/>
      <c r="R32" s="44" t="s">
        <v>1177</v>
      </c>
      <c r="S32" s="46"/>
    </row>
    <row r="33" spans="2:19" s="30" customFormat="1" ht="33" customHeight="1">
      <c r="B33" s="46" t="s">
        <v>78</v>
      </c>
      <c r="C33" s="35" t="s">
        <v>1178</v>
      </c>
      <c r="D33" s="36" t="s">
        <v>1179</v>
      </c>
      <c r="E33" s="37">
        <v>43567</v>
      </c>
      <c r="F33" s="36" t="s">
        <v>91</v>
      </c>
      <c r="G33" s="39">
        <v>10000</v>
      </c>
      <c r="H33" s="38">
        <f t="shared" si="3"/>
        <v>40</v>
      </c>
      <c r="I33" s="38">
        <f t="shared" si="1"/>
        <v>10</v>
      </c>
      <c r="J33" s="36"/>
      <c r="K33" s="40">
        <v>43674</v>
      </c>
      <c r="L33" s="41" t="s">
        <v>1322</v>
      </c>
      <c r="M33" s="42">
        <v>43668</v>
      </c>
      <c r="N33" s="43" t="s">
        <v>1312</v>
      </c>
      <c r="O33" s="42">
        <v>43674</v>
      </c>
      <c r="P33" s="41"/>
      <c r="Q33" s="36" t="s">
        <v>82</v>
      </c>
      <c r="R33" s="44" t="s">
        <v>1180</v>
      </c>
      <c r="S33" s="46"/>
    </row>
    <row r="34" spans="2:19" s="30" customFormat="1" ht="33" customHeight="1">
      <c r="B34" s="46" t="s">
        <v>220</v>
      </c>
      <c r="C34" s="35" t="s">
        <v>1181</v>
      </c>
      <c r="D34" s="36" t="s">
        <v>1182</v>
      </c>
      <c r="E34" s="37">
        <v>43567</v>
      </c>
      <c r="F34" s="36" t="s">
        <v>91</v>
      </c>
      <c r="G34" s="39">
        <v>10000</v>
      </c>
      <c r="H34" s="38">
        <f t="shared" si="3"/>
        <v>40</v>
      </c>
      <c r="I34" s="38">
        <f t="shared" si="1"/>
        <v>10</v>
      </c>
      <c r="J34" s="36"/>
      <c r="K34" s="40">
        <v>43674</v>
      </c>
      <c r="L34" s="41" t="s">
        <v>1321</v>
      </c>
      <c r="M34" s="42">
        <v>43668</v>
      </c>
      <c r="N34" s="43" t="s">
        <v>1312</v>
      </c>
      <c r="O34" s="42">
        <v>43674</v>
      </c>
      <c r="P34" s="41"/>
      <c r="Q34" s="36"/>
      <c r="R34" s="44" t="s">
        <v>1183</v>
      </c>
      <c r="S34" s="46"/>
    </row>
    <row r="35" spans="2:19" s="96" customFormat="1" ht="33" customHeight="1">
      <c r="B35" s="47" t="s">
        <v>17</v>
      </c>
      <c r="C35" s="48" t="s">
        <v>361</v>
      </c>
      <c r="D35" s="49" t="s">
        <v>384</v>
      </c>
      <c r="E35" s="50">
        <v>43441</v>
      </c>
      <c r="F35" s="52" t="s">
        <v>84</v>
      </c>
      <c r="G35" s="51">
        <v>9200</v>
      </c>
      <c r="H35" s="52">
        <f t="shared" ref="H35:H40" si="4">SUM(G35/230)</f>
        <v>40</v>
      </c>
      <c r="I35" s="52">
        <f t="shared" si="1"/>
        <v>10</v>
      </c>
      <c r="J35" s="49"/>
      <c r="K35" s="53">
        <v>43548</v>
      </c>
      <c r="L35" s="54" t="s">
        <v>476</v>
      </c>
      <c r="M35" s="55">
        <v>43543</v>
      </c>
      <c r="N35" s="56" t="s">
        <v>400</v>
      </c>
      <c r="O35" s="55">
        <v>43548</v>
      </c>
      <c r="P35" s="58"/>
      <c r="Q35" s="52" t="s">
        <v>82</v>
      </c>
      <c r="R35" s="57" t="s">
        <v>362</v>
      </c>
      <c r="S35" s="47"/>
    </row>
    <row r="36" spans="2:19" s="96" customFormat="1" ht="33" customHeight="1">
      <c r="B36" s="47" t="s">
        <v>17</v>
      </c>
      <c r="C36" s="48" t="s">
        <v>427</v>
      </c>
      <c r="D36" s="49" t="s">
        <v>491</v>
      </c>
      <c r="E36" s="50">
        <v>43483</v>
      </c>
      <c r="F36" s="52" t="s">
        <v>84</v>
      </c>
      <c r="G36" s="51">
        <v>9200</v>
      </c>
      <c r="H36" s="52">
        <f t="shared" si="4"/>
        <v>40</v>
      </c>
      <c r="I36" s="52">
        <f t="shared" si="1"/>
        <v>10</v>
      </c>
      <c r="J36" s="49"/>
      <c r="K36" s="53">
        <v>43576</v>
      </c>
      <c r="L36" s="54" t="s">
        <v>446</v>
      </c>
      <c r="M36" s="55">
        <v>43571</v>
      </c>
      <c r="N36" s="56" t="s">
        <v>445</v>
      </c>
      <c r="O36" s="55">
        <v>43576</v>
      </c>
      <c r="P36" s="58"/>
      <c r="Q36" s="52" t="s">
        <v>82</v>
      </c>
      <c r="R36" s="57" t="s">
        <v>466</v>
      </c>
      <c r="S36" s="47"/>
    </row>
    <row r="37" spans="2:19" s="67" customFormat="1" ht="33" customHeight="1">
      <c r="B37" s="46" t="s">
        <v>17</v>
      </c>
      <c r="C37" s="35" t="s">
        <v>581</v>
      </c>
      <c r="D37" s="36" t="s">
        <v>582</v>
      </c>
      <c r="E37" s="37">
        <v>43519</v>
      </c>
      <c r="F37" s="38" t="s">
        <v>84</v>
      </c>
      <c r="G37" s="39">
        <v>9200</v>
      </c>
      <c r="H37" s="38">
        <f t="shared" si="4"/>
        <v>40</v>
      </c>
      <c r="I37" s="38">
        <f t="shared" si="1"/>
        <v>10</v>
      </c>
      <c r="J37" s="36"/>
      <c r="K37" s="40">
        <v>43632</v>
      </c>
      <c r="L37" s="41" t="s">
        <v>807</v>
      </c>
      <c r="M37" s="42">
        <v>43627</v>
      </c>
      <c r="N37" s="43" t="s">
        <v>769</v>
      </c>
      <c r="O37" s="42">
        <v>43632</v>
      </c>
      <c r="P37" s="45"/>
      <c r="Q37" s="38" t="s">
        <v>82</v>
      </c>
      <c r="R37" s="44" t="s">
        <v>825</v>
      </c>
      <c r="S37" s="46"/>
    </row>
    <row r="38" spans="2:19" s="67" customFormat="1" ht="33" customHeight="1">
      <c r="B38" s="46" t="s">
        <v>17</v>
      </c>
      <c r="C38" s="35" t="s">
        <v>694</v>
      </c>
      <c r="D38" s="36" t="s">
        <v>695</v>
      </c>
      <c r="E38" s="37">
        <v>43532</v>
      </c>
      <c r="F38" s="38" t="s">
        <v>13</v>
      </c>
      <c r="G38" s="39">
        <v>9200</v>
      </c>
      <c r="H38" s="38">
        <f t="shared" si="4"/>
        <v>40</v>
      </c>
      <c r="I38" s="38">
        <f t="shared" si="1"/>
        <v>10</v>
      </c>
      <c r="J38" s="36"/>
      <c r="K38" s="130">
        <v>43660</v>
      </c>
      <c r="L38" s="119" t="s">
        <v>1864</v>
      </c>
      <c r="M38" s="120">
        <v>43655</v>
      </c>
      <c r="N38" s="121" t="s">
        <v>1863</v>
      </c>
      <c r="O38" s="120">
        <v>43660</v>
      </c>
      <c r="P38" s="45"/>
      <c r="Q38" s="38" t="s">
        <v>82</v>
      </c>
      <c r="R38" s="114" t="s">
        <v>1641</v>
      </c>
      <c r="S38" s="46"/>
    </row>
    <row r="39" spans="2:19" s="67" customFormat="1" ht="33" customHeight="1">
      <c r="B39" s="46" t="s">
        <v>81</v>
      </c>
      <c r="C39" s="35" t="s">
        <v>279</v>
      </c>
      <c r="D39" s="36" t="s">
        <v>288</v>
      </c>
      <c r="E39" s="37">
        <v>43392</v>
      </c>
      <c r="F39" s="38" t="s">
        <v>84</v>
      </c>
      <c r="G39" s="39">
        <v>11960</v>
      </c>
      <c r="H39" s="38">
        <f t="shared" si="4"/>
        <v>52</v>
      </c>
      <c r="I39" s="38">
        <f t="shared" si="1"/>
        <v>13</v>
      </c>
      <c r="J39" s="38"/>
      <c r="K39" s="40">
        <v>43597</v>
      </c>
      <c r="L39" s="41" t="s">
        <v>562</v>
      </c>
      <c r="M39" s="42">
        <v>43594</v>
      </c>
      <c r="N39" s="43" t="s">
        <v>561</v>
      </c>
      <c r="O39" s="42">
        <v>43598</v>
      </c>
      <c r="P39" s="45" t="s">
        <v>1567</v>
      </c>
      <c r="Q39" s="46"/>
      <c r="R39" s="44" t="s">
        <v>515</v>
      </c>
      <c r="S39" s="46"/>
    </row>
    <row r="40" spans="2:19" s="67" customFormat="1" ht="33" customHeight="1">
      <c r="B40" s="46" t="s">
        <v>81</v>
      </c>
      <c r="C40" s="35" t="s">
        <v>1328</v>
      </c>
      <c r="D40" s="36" t="s">
        <v>288</v>
      </c>
      <c r="E40" s="37">
        <v>43392</v>
      </c>
      <c r="F40" s="38" t="s">
        <v>84</v>
      </c>
      <c r="G40" s="39">
        <v>1840</v>
      </c>
      <c r="H40" s="38">
        <f t="shared" si="4"/>
        <v>8</v>
      </c>
      <c r="I40" s="38">
        <f t="shared" si="1"/>
        <v>2</v>
      </c>
      <c r="J40" s="38"/>
      <c r="K40" s="40">
        <v>43597</v>
      </c>
      <c r="L40" s="41" t="s">
        <v>773</v>
      </c>
      <c r="M40" s="42">
        <v>43601</v>
      </c>
      <c r="N40" s="43" t="s">
        <v>601</v>
      </c>
      <c r="O40" s="42">
        <v>43605</v>
      </c>
      <c r="P40" s="45" t="s">
        <v>1567</v>
      </c>
      <c r="Q40" s="46"/>
      <c r="R40" s="44" t="s">
        <v>515</v>
      </c>
      <c r="S40" s="46" t="s">
        <v>1329</v>
      </c>
    </row>
    <row r="41" spans="2:19" s="96" customFormat="1" ht="33" customHeight="1">
      <c r="B41" s="47" t="s">
        <v>81</v>
      </c>
      <c r="C41" s="48" t="s">
        <v>318</v>
      </c>
      <c r="D41" s="49" t="s">
        <v>319</v>
      </c>
      <c r="E41" s="50">
        <v>43420</v>
      </c>
      <c r="F41" s="52" t="s">
        <v>13</v>
      </c>
      <c r="G41" s="51">
        <v>17940</v>
      </c>
      <c r="H41" s="52">
        <f>SUM(G41/230)</f>
        <v>78</v>
      </c>
      <c r="I41" s="52">
        <f>SUM(H41/4)</f>
        <v>19.5</v>
      </c>
      <c r="J41" s="52"/>
      <c r="K41" s="53">
        <v>43576</v>
      </c>
      <c r="L41" s="54" t="s">
        <v>480</v>
      </c>
      <c r="M41" s="55">
        <v>43564</v>
      </c>
      <c r="N41" s="56" t="s">
        <v>405</v>
      </c>
      <c r="O41" s="55">
        <v>43569</v>
      </c>
      <c r="P41" s="58"/>
      <c r="Q41" s="47"/>
      <c r="R41" s="57" t="s">
        <v>516</v>
      </c>
      <c r="S41" s="47" t="s">
        <v>391</v>
      </c>
    </row>
    <row r="42" spans="2:19" s="67" customFormat="1" ht="33" customHeight="1">
      <c r="B42" s="46" t="s">
        <v>81</v>
      </c>
      <c r="C42" s="35" t="s">
        <v>700</v>
      </c>
      <c r="D42" s="36" t="s">
        <v>701</v>
      </c>
      <c r="E42" s="37">
        <v>43532</v>
      </c>
      <c r="F42" s="38" t="s">
        <v>13</v>
      </c>
      <c r="G42" s="39">
        <v>13800</v>
      </c>
      <c r="H42" s="38">
        <f t="shared" ref="H42:H46" si="5">SUM(G42/230)</f>
        <v>60</v>
      </c>
      <c r="I42" s="38">
        <f t="shared" ref="I42:I46" si="6">SUM(H42/4)</f>
        <v>15</v>
      </c>
      <c r="J42" s="38"/>
      <c r="K42" s="40">
        <v>43625</v>
      </c>
      <c r="L42" s="41" t="s">
        <v>975</v>
      </c>
      <c r="M42" s="42">
        <v>43620</v>
      </c>
      <c r="N42" s="43" t="s">
        <v>768</v>
      </c>
      <c r="O42" s="42">
        <v>43625</v>
      </c>
      <c r="P42" s="45"/>
      <c r="Q42" s="46"/>
      <c r="R42" s="44" t="s">
        <v>850</v>
      </c>
      <c r="S42" s="46"/>
    </row>
    <row r="43" spans="2:19" s="67" customFormat="1" ht="33" customHeight="1">
      <c r="B43" s="46" t="s">
        <v>81</v>
      </c>
      <c r="C43" s="35" t="s">
        <v>702</v>
      </c>
      <c r="D43" s="36" t="s">
        <v>703</v>
      </c>
      <c r="E43" s="37">
        <v>43532</v>
      </c>
      <c r="F43" s="38" t="s">
        <v>13</v>
      </c>
      <c r="G43" s="39">
        <v>9200</v>
      </c>
      <c r="H43" s="38">
        <f t="shared" si="5"/>
        <v>40</v>
      </c>
      <c r="I43" s="38">
        <f t="shared" si="6"/>
        <v>10</v>
      </c>
      <c r="J43" s="38"/>
      <c r="K43" s="40">
        <v>43646</v>
      </c>
      <c r="L43" s="41" t="s">
        <v>976</v>
      </c>
      <c r="M43" s="42">
        <v>43641</v>
      </c>
      <c r="N43" s="43" t="s">
        <v>776</v>
      </c>
      <c r="O43" s="42">
        <v>43646</v>
      </c>
      <c r="P43" s="45"/>
      <c r="Q43" s="46"/>
      <c r="R43" s="44" t="s">
        <v>851</v>
      </c>
      <c r="S43" s="46"/>
    </row>
    <row r="44" spans="2:19" s="67" customFormat="1" ht="33" customHeight="1">
      <c r="B44" s="46" t="s">
        <v>81</v>
      </c>
      <c r="C44" s="35" t="s">
        <v>852</v>
      </c>
      <c r="D44" s="36"/>
      <c r="E44" s="37">
        <v>43558</v>
      </c>
      <c r="F44" s="38" t="s">
        <v>13</v>
      </c>
      <c r="G44" s="39">
        <v>9200</v>
      </c>
      <c r="H44" s="38">
        <f t="shared" si="5"/>
        <v>40</v>
      </c>
      <c r="I44" s="38">
        <f t="shared" si="6"/>
        <v>10</v>
      </c>
      <c r="J44" s="38"/>
      <c r="K44" s="40">
        <v>43646</v>
      </c>
      <c r="L44" s="41" t="s">
        <v>976</v>
      </c>
      <c r="M44" s="42">
        <v>43641</v>
      </c>
      <c r="N44" s="43" t="s">
        <v>776</v>
      </c>
      <c r="O44" s="42">
        <v>43646</v>
      </c>
      <c r="P44" s="45"/>
      <c r="Q44" s="46"/>
      <c r="R44" s="44" t="s">
        <v>851</v>
      </c>
      <c r="S44" s="46"/>
    </row>
    <row r="45" spans="2:19" s="67" customFormat="1" ht="33" customHeight="1">
      <c r="B45" s="46" t="s">
        <v>81</v>
      </c>
      <c r="C45" s="35" t="s">
        <v>1435</v>
      </c>
      <c r="D45" s="36" t="s">
        <v>1436</v>
      </c>
      <c r="E45" s="37">
        <v>43574</v>
      </c>
      <c r="F45" s="38" t="s">
        <v>13</v>
      </c>
      <c r="G45" s="39">
        <v>18400</v>
      </c>
      <c r="H45" s="38">
        <f t="shared" si="5"/>
        <v>80</v>
      </c>
      <c r="I45" s="38">
        <f t="shared" si="6"/>
        <v>20</v>
      </c>
      <c r="J45" s="38"/>
      <c r="K45" s="40">
        <v>43667</v>
      </c>
      <c r="L45" s="41" t="s">
        <v>1326</v>
      </c>
      <c r="M45" s="42">
        <v>43662</v>
      </c>
      <c r="N45" s="43" t="s">
        <v>836</v>
      </c>
      <c r="O45" s="42">
        <v>43667</v>
      </c>
      <c r="P45" s="45"/>
      <c r="Q45" s="46"/>
      <c r="R45" s="44" t="s">
        <v>1208</v>
      </c>
      <c r="S45" s="46"/>
    </row>
    <row r="46" spans="2:19" s="67" customFormat="1" ht="33" customHeight="1">
      <c r="B46" s="46" t="s">
        <v>704</v>
      </c>
      <c r="C46" s="35" t="s">
        <v>209</v>
      </c>
      <c r="D46" s="36" t="s">
        <v>705</v>
      </c>
      <c r="E46" s="37">
        <v>43532</v>
      </c>
      <c r="F46" s="38" t="s">
        <v>13</v>
      </c>
      <c r="G46" s="39">
        <v>920</v>
      </c>
      <c r="H46" s="38">
        <f t="shared" si="5"/>
        <v>4</v>
      </c>
      <c r="I46" s="38">
        <f t="shared" si="6"/>
        <v>1</v>
      </c>
      <c r="J46" s="38"/>
      <c r="K46" s="40">
        <v>43609</v>
      </c>
      <c r="L46" s="41" t="s">
        <v>773</v>
      </c>
      <c r="M46" s="42">
        <v>43601</v>
      </c>
      <c r="N46" s="43" t="s">
        <v>774</v>
      </c>
      <c r="O46" s="42">
        <v>43605</v>
      </c>
      <c r="P46" s="45"/>
      <c r="Q46" s="46"/>
      <c r="R46" s="44"/>
      <c r="S46" s="46" t="s">
        <v>706</v>
      </c>
    </row>
    <row r="47" spans="2:19" s="96" customFormat="1" ht="33" customHeight="1">
      <c r="B47" s="47" t="s">
        <v>517</v>
      </c>
      <c r="C47" s="48" t="s">
        <v>209</v>
      </c>
      <c r="D47" s="49" t="s">
        <v>583</v>
      </c>
      <c r="E47" s="50">
        <v>43511</v>
      </c>
      <c r="F47" s="52" t="s">
        <v>13</v>
      </c>
      <c r="G47" s="51">
        <v>460</v>
      </c>
      <c r="H47" s="52">
        <f>SUM(G47/230)</f>
        <v>2</v>
      </c>
      <c r="I47" s="52">
        <f>SUM(H47/4)</f>
        <v>0.5</v>
      </c>
      <c r="J47" s="52"/>
      <c r="K47" s="53">
        <v>43576</v>
      </c>
      <c r="L47" s="54" t="s">
        <v>480</v>
      </c>
      <c r="M47" s="55">
        <v>43564</v>
      </c>
      <c r="N47" s="56" t="s">
        <v>646</v>
      </c>
      <c r="O47" s="55">
        <v>43569</v>
      </c>
      <c r="P47" s="58"/>
      <c r="Q47" s="47"/>
      <c r="R47" s="57" t="s">
        <v>516</v>
      </c>
      <c r="S47" s="47"/>
    </row>
    <row r="48" spans="2:19" s="33" customFormat="1" ht="33" customHeight="1">
      <c r="B48" s="47" t="s">
        <v>222</v>
      </c>
      <c r="C48" s="48" t="s">
        <v>324</v>
      </c>
      <c r="D48" s="49" t="s">
        <v>325</v>
      </c>
      <c r="E48" s="50">
        <v>43420</v>
      </c>
      <c r="F48" s="52" t="s">
        <v>13</v>
      </c>
      <c r="G48" s="51">
        <v>1920</v>
      </c>
      <c r="H48" s="52">
        <f t="shared" ref="H48:H56" si="7">SUM(G48/20)</f>
        <v>96</v>
      </c>
      <c r="I48" s="52">
        <f t="shared" ref="I48:I56" si="8">SUM(H48/32)</f>
        <v>3</v>
      </c>
      <c r="J48" s="59"/>
      <c r="K48" s="53">
        <v>43541</v>
      </c>
      <c r="L48" s="54" t="s">
        <v>501</v>
      </c>
      <c r="M48" s="55">
        <v>43531</v>
      </c>
      <c r="N48" s="56" t="s">
        <v>569</v>
      </c>
      <c r="O48" s="55">
        <v>43535</v>
      </c>
      <c r="P48" s="58"/>
      <c r="Q48" s="60" t="s">
        <v>89</v>
      </c>
      <c r="R48" s="57" t="s">
        <v>326</v>
      </c>
      <c r="S48" s="47" t="s">
        <v>645</v>
      </c>
    </row>
    <row r="49" spans="2:19" s="33" customFormat="1" ht="33" customHeight="1">
      <c r="B49" s="47" t="s">
        <v>222</v>
      </c>
      <c r="C49" s="48" t="s">
        <v>500</v>
      </c>
      <c r="D49" s="49" t="s">
        <v>325</v>
      </c>
      <c r="E49" s="50">
        <v>43420</v>
      </c>
      <c r="F49" s="52" t="s">
        <v>13</v>
      </c>
      <c r="G49" s="51">
        <v>1280</v>
      </c>
      <c r="H49" s="52">
        <f t="shared" si="7"/>
        <v>64</v>
      </c>
      <c r="I49" s="52">
        <f t="shared" si="8"/>
        <v>2</v>
      </c>
      <c r="J49" s="59"/>
      <c r="K49" s="53">
        <v>43541</v>
      </c>
      <c r="L49" s="54" t="s">
        <v>563</v>
      </c>
      <c r="M49" s="55">
        <v>43536</v>
      </c>
      <c r="N49" s="56" t="s">
        <v>346</v>
      </c>
      <c r="O49" s="55">
        <v>43541</v>
      </c>
      <c r="P49" s="58"/>
      <c r="Q49" s="60" t="s">
        <v>89</v>
      </c>
      <c r="R49" s="57" t="s">
        <v>326</v>
      </c>
      <c r="S49" s="47" t="s">
        <v>395</v>
      </c>
    </row>
    <row r="50" spans="2:19" s="33" customFormat="1" ht="33" customHeight="1">
      <c r="B50" s="47" t="s">
        <v>222</v>
      </c>
      <c r="C50" s="48" t="s">
        <v>430</v>
      </c>
      <c r="D50" s="49" t="s">
        <v>470</v>
      </c>
      <c r="E50" s="50">
        <v>43473</v>
      </c>
      <c r="F50" s="52" t="s">
        <v>13</v>
      </c>
      <c r="G50" s="51">
        <v>1920</v>
      </c>
      <c r="H50" s="52">
        <f t="shared" si="7"/>
        <v>96</v>
      </c>
      <c r="I50" s="52">
        <f t="shared" si="8"/>
        <v>3</v>
      </c>
      <c r="J50" s="59"/>
      <c r="K50" s="53">
        <v>43555</v>
      </c>
      <c r="L50" s="54" t="s">
        <v>644</v>
      </c>
      <c r="M50" s="55">
        <v>43550</v>
      </c>
      <c r="N50" s="56" t="s">
        <v>344</v>
      </c>
      <c r="O50" s="55">
        <v>43555</v>
      </c>
      <c r="P50" s="58"/>
      <c r="Q50" s="60" t="s">
        <v>89</v>
      </c>
      <c r="R50" s="57" t="s">
        <v>518</v>
      </c>
      <c r="S50" s="47"/>
    </row>
    <row r="51" spans="2:19" s="33" customFormat="1" ht="33" customHeight="1">
      <c r="B51" s="47" t="s">
        <v>222</v>
      </c>
      <c r="C51" s="48" t="s">
        <v>430</v>
      </c>
      <c r="D51" s="49" t="s">
        <v>470</v>
      </c>
      <c r="E51" s="50">
        <v>43473</v>
      </c>
      <c r="F51" s="52" t="s">
        <v>13</v>
      </c>
      <c r="G51" s="51">
        <v>1920</v>
      </c>
      <c r="H51" s="52">
        <f t="shared" si="7"/>
        <v>96</v>
      </c>
      <c r="I51" s="52">
        <f t="shared" si="8"/>
        <v>3</v>
      </c>
      <c r="J51" s="59"/>
      <c r="K51" s="53">
        <v>43555</v>
      </c>
      <c r="L51" s="54" t="s">
        <v>449</v>
      </c>
      <c r="M51" s="55">
        <v>43564</v>
      </c>
      <c r="N51" s="56" t="s">
        <v>405</v>
      </c>
      <c r="O51" s="55">
        <v>43569</v>
      </c>
      <c r="P51" s="58"/>
      <c r="Q51" s="60" t="s">
        <v>89</v>
      </c>
      <c r="R51" s="57" t="s">
        <v>518</v>
      </c>
      <c r="S51" s="47"/>
    </row>
    <row r="52" spans="2:19" s="33" customFormat="1" ht="33" customHeight="1">
      <c r="B52" s="47" t="s">
        <v>222</v>
      </c>
      <c r="C52" s="48" t="s">
        <v>519</v>
      </c>
      <c r="D52" s="49" t="s">
        <v>710</v>
      </c>
      <c r="E52" s="50">
        <v>43511</v>
      </c>
      <c r="F52" s="52" t="s">
        <v>13</v>
      </c>
      <c r="G52" s="51">
        <v>640</v>
      </c>
      <c r="H52" s="52">
        <f t="shared" si="7"/>
        <v>32</v>
      </c>
      <c r="I52" s="52">
        <f t="shared" si="8"/>
        <v>1</v>
      </c>
      <c r="J52" s="59"/>
      <c r="K52" s="53">
        <v>43555</v>
      </c>
      <c r="L52" s="54" t="s">
        <v>564</v>
      </c>
      <c r="M52" s="55">
        <v>43557</v>
      </c>
      <c r="N52" s="56" t="s">
        <v>403</v>
      </c>
      <c r="O52" s="55">
        <v>43562</v>
      </c>
      <c r="P52" s="58"/>
      <c r="Q52" s="60" t="s">
        <v>89</v>
      </c>
      <c r="R52" s="57" t="s">
        <v>518</v>
      </c>
      <c r="S52" s="47"/>
    </row>
    <row r="53" spans="2:19" s="33" customFormat="1" ht="33" customHeight="1">
      <c r="B53" s="47" t="s">
        <v>222</v>
      </c>
      <c r="C53" s="48" t="s">
        <v>520</v>
      </c>
      <c r="D53" s="49" t="s">
        <v>584</v>
      </c>
      <c r="E53" s="50">
        <v>43511</v>
      </c>
      <c r="F53" s="52" t="s">
        <v>13</v>
      </c>
      <c r="G53" s="51">
        <v>1920</v>
      </c>
      <c r="H53" s="52">
        <f t="shared" si="7"/>
        <v>96</v>
      </c>
      <c r="I53" s="52">
        <f t="shared" si="8"/>
        <v>3</v>
      </c>
      <c r="J53" s="59"/>
      <c r="K53" s="53">
        <v>43576</v>
      </c>
      <c r="L53" s="54" t="s">
        <v>503</v>
      </c>
      <c r="M53" s="55">
        <v>43571</v>
      </c>
      <c r="N53" s="56" t="s">
        <v>445</v>
      </c>
      <c r="O53" s="55">
        <v>43576</v>
      </c>
      <c r="P53" s="58"/>
      <c r="Q53" s="60" t="s">
        <v>89</v>
      </c>
      <c r="R53" s="57" t="s">
        <v>585</v>
      </c>
      <c r="S53" s="47"/>
    </row>
    <row r="54" spans="2:19" s="30" customFormat="1" ht="33" customHeight="1">
      <c r="B54" s="46" t="s">
        <v>222</v>
      </c>
      <c r="C54" s="35" t="s">
        <v>586</v>
      </c>
      <c r="D54" s="36" t="s">
        <v>640</v>
      </c>
      <c r="E54" s="37">
        <v>43519</v>
      </c>
      <c r="F54" s="38" t="s">
        <v>13</v>
      </c>
      <c r="G54" s="97">
        <v>2560</v>
      </c>
      <c r="H54" s="98">
        <f t="shared" si="7"/>
        <v>128</v>
      </c>
      <c r="I54" s="98">
        <f t="shared" si="8"/>
        <v>4</v>
      </c>
      <c r="J54" s="61"/>
      <c r="K54" s="40">
        <v>43611</v>
      </c>
      <c r="L54" s="41" t="s">
        <v>607</v>
      </c>
      <c r="M54" s="42">
        <v>43601</v>
      </c>
      <c r="N54" s="43" t="s">
        <v>601</v>
      </c>
      <c r="O54" s="42">
        <v>43605</v>
      </c>
      <c r="P54" s="45"/>
      <c r="Q54" s="62" t="s">
        <v>89</v>
      </c>
      <c r="R54" s="44" t="s">
        <v>790</v>
      </c>
      <c r="S54" s="46" t="s">
        <v>980</v>
      </c>
    </row>
    <row r="55" spans="2:19" s="30" customFormat="1" ht="33" customHeight="1">
      <c r="B55" s="46" t="s">
        <v>222</v>
      </c>
      <c r="C55" s="35" t="s">
        <v>713</v>
      </c>
      <c r="D55" s="36" t="s">
        <v>714</v>
      </c>
      <c r="E55" s="37">
        <v>43532</v>
      </c>
      <c r="F55" s="38" t="s">
        <v>13</v>
      </c>
      <c r="G55" s="97">
        <v>1920</v>
      </c>
      <c r="H55" s="98">
        <f t="shared" si="7"/>
        <v>96</v>
      </c>
      <c r="I55" s="98">
        <f t="shared" si="8"/>
        <v>3</v>
      </c>
      <c r="J55" s="61"/>
      <c r="K55" s="40">
        <v>43639</v>
      </c>
      <c r="L55" s="41" t="s">
        <v>1083</v>
      </c>
      <c r="M55" s="42">
        <v>43634</v>
      </c>
      <c r="N55" s="43" t="s">
        <v>1084</v>
      </c>
      <c r="O55" s="42">
        <v>43639</v>
      </c>
      <c r="P55" s="45"/>
      <c r="Q55" s="62" t="s">
        <v>89</v>
      </c>
      <c r="R55" s="44" t="s">
        <v>1026</v>
      </c>
      <c r="S55" s="46"/>
    </row>
    <row r="56" spans="2:19" s="30" customFormat="1" ht="33" customHeight="1">
      <c r="B56" s="46" t="s">
        <v>222</v>
      </c>
      <c r="C56" s="35" t="s">
        <v>1184</v>
      </c>
      <c r="D56" s="36" t="s">
        <v>1185</v>
      </c>
      <c r="E56" s="37">
        <v>43567</v>
      </c>
      <c r="F56" s="38" t="s">
        <v>13</v>
      </c>
      <c r="G56" s="39">
        <v>2560</v>
      </c>
      <c r="H56" s="38">
        <f t="shared" si="7"/>
        <v>128</v>
      </c>
      <c r="I56" s="38">
        <f t="shared" si="8"/>
        <v>4</v>
      </c>
      <c r="J56" s="61"/>
      <c r="K56" s="40">
        <v>43674</v>
      </c>
      <c r="L56" s="41" t="s">
        <v>1323</v>
      </c>
      <c r="M56" s="42">
        <v>43669</v>
      </c>
      <c r="N56" s="43" t="s">
        <v>1313</v>
      </c>
      <c r="O56" s="42">
        <v>43674</v>
      </c>
      <c r="P56" s="45"/>
      <c r="Q56" s="62" t="s">
        <v>89</v>
      </c>
      <c r="R56" s="44" t="s">
        <v>1186</v>
      </c>
      <c r="S56" s="46"/>
    </row>
    <row r="57" spans="2:19" s="33" customFormat="1" ht="33" customHeight="1">
      <c r="B57" s="47" t="s">
        <v>38</v>
      </c>
      <c r="C57" s="48" t="s">
        <v>225</v>
      </c>
      <c r="D57" s="49" t="s">
        <v>587</v>
      </c>
      <c r="E57" s="50">
        <v>43519</v>
      </c>
      <c r="F57" s="52" t="s">
        <v>14</v>
      </c>
      <c r="G57" s="64">
        <v>640</v>
      </c>
      <c r="H57" s="52">
        <f>SUBTOTAL(9,G57)/20</f>
        <v>32</v>
      </c>
      <c r="I57" s="52">
        <f>H57/32</f>
        <v>1</v>
      </c>
      <c r="J57" s="52"/>
      <c r="K57" s="53">
        <v>43583</v>
      </c>
      <c r="L57" s="54" t="s">
        <v>565</v>
      </c>
      <c r="M57" s="55">
        <v>43578</v>
      </c>
      <c r="N57" s="56" t="s">
        <v>447</v>
      </c>
      <c r="O57" s="55">
        <v>43583</v>
      </c>
      <c r="P57" s="58"/>
      <c r="Q57" s="52"/>
      <c r="R57" s="63" t="s">
        <v>515</v>
      </c>
      <c r="S57" s="47"/>
    </row>
    <row r="58" spans="2:19" s="30" customFormat="1" ht="33" customHeight="1">
      <c r="B58" s="46" t="s">
        <v>38</v>
      </c>
      <c r="C58" s="35" t="s">
        <v>226</v>
      </c>
      <c r="D58" s="36" t="s">
        <v>1194</v>
      </c>
      <c r="E58" s="37">
        <v>43567</v>
      </c>
      <c r="F58" s="38" t="s">
        <v>14</v>
      </c>
      <c r="G58" s="65">
        <v>640</v>
      </c>
      <c r="H58" s="38">
        <f>SUBTOTAL(9,G58)/20</f>
        <v>32</v>
      </c>
      <c r="I58" s="38">
        <f>H58/32</f>
        <v>1</v>
      </c>
      <c r="J58" s="38"/>
      <c r="K58" s="40">
        <v>43667</v>
      </c>
      <c r="L58" s="41" t="s">
        <v>1325</v>
      </c>
      <c r="M58" s="42">
        <v>43662</v>
      </c>
      <c r="N58" s="43" t="s">
        <v>836</v>
      </c>
      <c r="O58" s="42">
        <v>43667</v>
      </c>
      <c r="P58" s="45"/>
      <c r="Q58" s="38"/>
      <c r="R58" s="66" t="s">
        <v>1196</v>
      </c>
      <c r="S58" s="46"/>
    </row>
    <row r="59" spans="2:19" s="33" customFormat="1" ht="33" customHeight="1">
      <c r="B59" s="47" t="s">
        <v>88</v>
      </c>
      <c r="C59" s="48" t="s">
        <v>431</v>
      </c>
      <c r="D59" s="49" t="s">
        <v>471</v>
      </c>
      <c r="E59" s="50">
        <v>43483</v>
      </c>
      <c r="F59" s="52" t="s">
        <v>14</v>
      </c>
      <c r="G59" s="64">
        <v>760</v>
      </c>
      <c r="H59" s="52">
        <f>SUBTOTAL(9,G59)/190</f>
        <v>4</v>
      </c>
      <c r="I59" s="52">
        <f>H59/4</f>
        <v>1</v>
      </c>
      <c r="J59" s="52"/>
      <c r="K59" s="53">
        <v>43569</v>
      </c>
      <c r="L59" s="54" t="s">
        <v>417</v>
      </c>
      <c r="M59" s="55">
        <v>43564</v>
      </c>
      <c r="N59" s="56" t="s">
        <v>405</v>
      </c>
      <c r="O59" s="55">
        <v>43569</v>
      </c>
      <c r="P59" s="58"/>
      <c r="Q59" s="52"/>
      <c r="R59" s="63" t="s">
        <v>493</v>
      </c>
      <c r="S59" s="47"/>
    </row>
    <row r="60" spans="2:19" s="33" customFormat="1" ht="33" customHeight="1">
      <c r="B60" s="47" t="s">
        <v>88</v>
      </c>
      <c r="C60" s="48" t="s">
        <v>523</v>
      </c>
      <c r="D60" s="49" t="s">
        <v>588</v>
      </c>
      <c r="E60" s="50">
        <v>43511</v>
      </c>
      <c r="F60" s="52" t="s">
        <v>14</v>
      </c>
      <c r="G60" s="64">
        <v>760</v>
      </c>
      <c r="H60" s="52">
        <f>SUBTOTAL(9,G60)/190</f>
        <v>4</v>
      </c>
      <c r="I60" s="52">
        <f>H60/4</f>
        <v>1</v>
      </c>
      <c r="J60" s="52"/>
      <c r="K60" s="53">
        <v>43583</v>
      </c>
      <c r="L60" s="54" t="s">
        <v>565</v>
      </c>
      <c r="M60" s="55">
        <v>43578</v>
      </c>
      <c r="N60" s="56" t="s">
        <v>447</v>
      </c>
      <c r="O60" s="55">
        <v>43583</v>
      </c>
      <c r="P60" s="58"/>
      <c r="Q60" s="52"/>
      <c r="R60" s="63" t="s">
        <v>320</v>
      </c>
      <c r="S60" s="47"/>
    </row>
    <row r="61" spans="2:19" s="30" customFormat="1" ht="33" customHeight="1">
      <c r="B61" s="46" t="s">
        <v>88</v>
      </c>
      <c r="C61" s="35" t="s">
        <v>589</v>
      </c>
      <c r="D61" s="36" t="s">
        <v>590</v>
      </c>
      <c r="E61" s="37">
        <v>43519</v>
      </c>
      <c r="F61" s="38" t="s">
        <v>14</v>
      </c>
      <c r="G61" s="65">
        <v>760</v>
      </c>
      <c r="H61" s="38">
        <f>SUBTOTAL(9,G61)/190</f>
        <v>4</v>
      </c>
      <c r="I61" s="38">
        <f>H61/4</f>
        <v>1</v>
      </c>
      <c r="J61" s="38"/>
      <c r="K61" s="40">
        <v>43597</v>
      </c>
      <c r="L61" s="41" t="s">
        <v>606</v>
      </c>
      <c r="M61" s="42">
        <v>43592</v>
      </c>
      <c r="N61" s="43" t="s">
        <v>600</v>
      </c>
      <c r="O61" s="42">
        <v>43597</v>
      </c>
      <c r="P61" s="45"/>
      <c r="Q61" s="38"/>
      <c r="R61" s="66" t="s">
        <v>469</v>
      </c>
      <c r="S61" s="46"/>
    </row>
    <row r="62" spans="2:19" s="30" customFormat="1" ht="33" customHeight="1">
      <c r="B62" s="46" t="s">
        <v>88</v>
      </c>
      <c r="C62" s="35" t="s">
        <v>1333</v>
      </c>
      <c r="D62" s="36" t="s">
        <v>1207</v>
      </c>
      <c r="E62" s="37">
        <v>43567</v>
      </c>
      <c r="F62" s="38" t="s">
        <v>14</v>
      </c>
      <c r="G62" s="65">
        <v>760</v>
      </c>
      <c r="H62" s="38">
        <f>SUBTOTAL(9,G62)/190</f>
        <v>4</v>
      </c>
      <c r="I62" s="38">
        <f>H62/4</f>
        <v>1</v>
      </c>
      <c r="J62" s="38"/>
      <c r="K62" s="40">
        <v>43667</v>
      </c>
      <c r="L62" s="41" t="s">
        <v>1325</v>
      </c>
      <c r="M62" s="42">
        <v>43662</v>
      </c>
      <c r="N62" s="43" t="s">
        <v>836</v>
      </c>
      <c r="O62" s="42">
        <v>43667</v>
      </c>
      <c r="P62" s="45"/>
      <c r="Q62" s="38"/>
      <c r="R62" s="66" t="s">
        <v>1208</v>
      </c>
      <c r="S62" s="46"/>
    </row>
    <row r="63" spans="2:19" s="33" customFormat="1" ht="33" customHeight="1">
      <c r="B63" s="47" t="s">
        <v>83</v>
      </c>
      <c r="C63" s="48" t="s">
        <v>408</v>
      </c>
      <c r="D63" s="49" t="s">
        <v>415</v>
      </c>
      <c r="E63" s="50">
        <v>43462</v>
      </c>
      <c r="F63" s="52" t="s">
        <v>77</v>
      </c>
      <c r="G63" s="51">
        <v>960</v>
      </c>
      <c r="H63" s="52">
        <f t="shared" ref="H63:H70" si="9">SUM(G63/240)</f>
        <v>4</v>
      </c>
      <c r="I63" s="52">
        <f t="shared" ref="I63:I70" si="10">SUM(H63/4)</f>
        <v>1</v>
      </c>
      <c r="J63" s="52"/>
      <c r="K63" s="53">
        <v>43148</v>
      </c>
      <c r="L63" s="54" t="s">
        <v>501</v>
      </c>
      <c r="M63" s="55">
        <v>43531</v>
      </c>
      <c r="N63" s="56" t="s">
        <v>568</v>
      </c>
      <c r="O63" s="55">
        <v>43535</v>
      </c>
      <c r="P63" s="58" t="s">
        <v>656</v>
      </c>
      <c r="Q63" s="52"/>
      <c r="R63" s="118" t="s">
        <v>392</v>
      </c>
      <c r="S63" s="47" t="s">
        <v>609</v>
      </c>
    </row>
    <row r="64" spans="2:19" s="33" customFormat="1" ht="33" customHeight="1">
      <c r="B64" s="47" t="s">
        <v>83</v>
      </c>
      <c r="C64" s="48" t="s">
        <v>478</v>
      </c>
      <c r="D64" s="49" t="s">
        <v>485</v>
      </c>
      <c r="E64" s="50">
        <v>43462</v>
      </c>
      <c r="F64" s="52" t="s">
        <v>77</v>
      </c>
      <c r="G64" s="51">
        <v>2880</v>
      </c>
      <c r="H64" s="52">
        <f t="shared" si="9"/>
        <v>12</v>
      </c>
      <c r="I64" s="52">
        <f t="shared" si="10"/>
        <v>3</v>
      </c>
      <c r="J64" s="52"/>
      <c r="K64" s="53">
        <v>43541</v>
      </c>
      <c r="L64" s="54" t="s">
        <v>501</v>
      </c>
      <c r="M64" s="55">
        <v>43531</v>
      </c>
      <c r="N64" s="56" t="s">
        <v>568</v>
      </c>
      <c r="O64" s="55">
        <v>43535</v>
      </c>
      <c r="P64" s="58" t="s">
        <v>657</v>
      </c>
      <c r="Q64" s="52"/>
      <c r="R64" s="118" t="s">
        <v>486</v>
      </c>
      <c r="S64" s="47" t="s">
        <v>610</v>
      </c>
    </row>
    <row r="65" spans="2:19" s="33" customFormat="1" ht="33" customHeight="1">
      <c r="B65" s="47" t="s">
        <v>83</v>
      </c>
      <c r="C65" s="48" t="s">
        <v>232</v>
      </c>
      <c r="D65" s="49" t="s">
        <v>386</v>
      </c>
      <c r="E65" s="50">
        <v>43455</v>
      </c>
      <c r="F65" s="52" t="s">
        <v>77</v>
      </c>
      <c r="G65" s="51">
        <v>5760</v>
      </c>
      <c r="H65" s="52">
        <f t="shared" si="9"/>
        <v>24</v>
      </c>
      <c r="I65" s="52">
        <f t="shared" si="10"/>
        <v>6</v>
      </c>
      <c r="J65" s="52"/>
      <c r="K65" s="53">
        <v>43541</v>
      </c>
      <c r="L65" s="54" t="s">
        <v>476</v>
      </c>
      <c r="M65" s="55">
        <v>43543</v>
      </c>
      <c r="N65" s="56" t="s">
        <v>400</v>
      </c>
      <c r="O65" s="55">
        <v>43548</v>
      </c>
      <c r="P65" s="58" t="s">
        <v>658</v>
      </c>
      <c r="Q65" s="52"/>
      <c r="R65" s="118" t="s">
        <v>387</v>
      </c>
      <c r="S65" s="47"/>
    </row>
    <row r="66" spans="2:19" s="33" customFormat="1" ht="33" customHeight="1">
      <c r="B66" s="47" t="s">
        <v>83</v>
      </c>
      <c r="C66" s="48" t="s">
        <v>244</v>
      </c>
      <c r="D66" s="49" t="s">
        <v>722</v>
      </c>
      <c r="E66" s="50">
        <v>43483</v>
      </c>
      <c r="F66" s="52" t="s">
        <v>77</v>
      </c>
      <c r="G66" s="51">
        <v>6720</v>
      </c>
      <c r="H66" s="52">
        <f t="shared" si="9"/>
        <v>28</v>
      </c>
      <c r="I66" s="52">
        <f t="shared" si="10"/>
        <v>7</v>
      </c>
      <c r="J66" s="52"/>
      <c r="K66" s="53">
        <v>43569</v>
      </c>
      <c r="L66" s="54" t="s">
        <v>480</v>
      </c>
      <c r="M66" s="55">
        <v>43564</v>
      </c>
      <c r="N66" s="56" t="s">
        <v>646</v>
      </c>
      <c r="O66" s="55">
        <v>43569</v>
      </c>
      <c r="P66" s="58" t="s">
        <v>659</v>
      </c>
      <c r="Q66" s="52"/>
      <c r="R66" s="118" t="s">
        <v>432</v>
      </c>
      <c r="S66" s="47"/>
    </row>
    <row r="67" spans="2:19" s="33" customFormat="1" ht="33" customHeight="1">
      <c r="B67" s="47" t="s">
        <v>83</v>
      </c>
      <c r="C67" s="48" t="s">
        <v>660</v>
      </c>
      <c r="D67" s="49" t="s">
        <v>472</v>
      </c>
      <c r="E67" s="50">
        <v>43483</v>
      </c>
      <c r="F67" s="52" t="s">
        <v>77</v>
      </c>
      <c r="G67" s="51">
        <v>5760</v>
      </c>
      <c r="H67" s="52">
        <f>SUM(G67/240)</f>
        <v>24</v>
      </c>
      <c r="I67" s="52">
        <f>SUM(H67/4)</f>
        <v>6</v>
      </c>
      <c r="J67" s="52"/>
      <c r="K67" s="53">
        <v>43583</v>
      </c>
      <c r="L67" s="54" t="s">
        <v>448</v>
      </c>
      <c r="M67" s="55">
        <v>43578</v>
      </c>
      <c r="N67" s="56" t="s">
        <v>447</v>
      </c>
      <c r="O67" s="55">
        <v>43583</v>
      </c>
      <c r="P67" s="58" t="s">
        <v>662</v>
      </c>
      <c r="Q67" s="52"/>
      <c r="R67" s="118" t="s">
        <v>432</v>
      </c>
      <c r="S67" s="47"/>
    </row>
    <row r="68" spans="2:19" s="30" customFormat="1" ht="33" customHeight="1">
      <c r="B68" s="46" t="s">
        <v>83</v>
      </c>
      <c r="C68" s="35" t="s">
        <v>258</v>
      </c>
      <c r="D68" s="36" t="s">
        <v>591</v>
      </c>
      <c r="E68" s="37">
        <v>43519</v>
      </c>
      <c r="F68" s="38" t="s">
        <v>77</v>
      </c>
      <c r="G68" s="39">
        <v>5760</v>
      </c>
      <c r="H68" s="38">
        <f t="shared" si="9"/>
        <v>24</v>
      </c>
      <c r="I68" s="38">
        <f t="shared" si="10"/>
        <v>6</v>
      </c>
      <c r="J68" s="38"/>
      <c r="K68" s="40">
        <v>43605</v>
      </c>
      <c r="L68" s="41" t="s">
        <v>607</v>
      </c>
      <c r="M68" s="42">
        <v>43601</v>
      </c>
      <c r="N68" s="43" t="s">
        <v>601</v>
      </c>
      <c r="O68" s="42">
        <v>43605</v>
      </c>
      <c r="P68" s="45" t="s">
        <v>663</v>
      </c>
      <c r="Q68" s="38"/>
      <c r="R68" s="115" t="s">
        <v>592</v>
      </c>
      <c r="S68" s="46"/>
    </row>
    <row r="69" spans="2:19" s="30" customFormat="1" ht="33" customHeight="1">
      <c r="B69" s="46" t="s">
        <v>83</v>
      </c>
      <c r="C69" s="35" t="s">
        <v>321</v>
      </c>
      <c r="D69" s="36" t="s">
        <v>727</v>
      </c>
      <c r="E69" s="37">
        <v>43532</v>
      </c>
      <c r="F69" s="38" t="s">
        <v>77</v>
      </c>
      <c r="G69" s="39">
        <v>6720</v>
      </c>
      <c r="H69" s="38">
        <f t="shared" si="9"/>
        <v>28</v>
      </c>
      <c r="I69" s="38">
        <f t="shared" si="10"/>
        <v>7</v>
      </c>
      <c r="J69" s="38"/>
      <c r="K69" s="40">
        <v>43633</v>
      </c>
      <c r="L69" s="41" t="s">
        <v>770</v>
      </c>
      <c r="M69" s="42">
        <v>43627</v>
      </c>
      <c r="N69" s="43" t="s">
        <v>769</v>
      </c>
      <c r="O69" s="42">
        <v>43632</v>
      </c>
      <c r="P69" s="45"/>
      <c r="Q69" s="38"/>
      <c r="R69" s="115" t="s">
        <v>728</v>
      </c>
      <c r="S69" s="46"/>
    </row>
    <row r="70" spans="2:19" s="30" customFormat="1" ht="33" customHeight="1">
      <c r="B70" s="46" t="s">
        <v>83</v>
      </c>
      <c r="C70" s="35" t="s">
        <v>324</v>
      </c>
      <c r="D70" s="36" t="s">
        <v>1234</v>
      </c>
      <c r="E70" s="37">
        <v>43567</v>
      </c>
      <c r="F70" s="38" t="s">
        <v>77</v>
      </c>
      <c r="G70" s="39">
        <v>5760</v>
      </c>
      <c r="H70" s="38">
        <f t="shared" si="9"/>
        <v>24</v>
      </c>
      <c r="I70" s="38">
        <f t="shared" si="10"/>
        <v>6</v>
      </c>
      <c r="J70" s="38"/>
      <c r="K70" s="40">
        <v>43667</v>
      </c>
      <c r="L70" s="41" t="s">
        <v>1326</v>
      </c>
      <c r="M70" s="42">
        <v>43662</v>
      </c>
      <c r="N70" s="43" t="s">
        <v>836</v>
      </c>
      <c r="O70" s="42">
        <v>43667</v>
      </c>
      <c r="P70" s="45"/>
      <c r="Q70" s="38"/>
      <c r="R70" s="115" t="s">
        <v>1235</v>
      </c>
      <c r="S70" s="46"/>
    </row>
    <row r="71" spans="2:19" s="34" customFormat="1" ht="33" customHeight="1">
      <c r="B71" s="47" t="s">
        <v>210</v>
      </c>
      <c r="C71" s="48" t="s">
        <v>226</v>
      </c>
      <c r="D71" s="49" t="s">
        <v>593</v>
      </c>
      <c r="E71" s="50">
        <v>43483</v>
      </c>
      <c r="F71" s="52" t="s">
        <v>218</v>
      </c>
      <c r="G71" s="51">
        <v>640</v>
      </c>
      <c r="H71" s="52">
        <f t="shared" ref="H71:H85" si="11">SUM(G71/20)</f>
        <v>32</v>
      </c>
      <c r="I71" s="52">
        <f t="shared" ref="I71:I85" si="12">SUM(H71/32)</f>
        <v>1</v>
      </c>
      <c r="J71" s="52"/>
      <c r="K71" s="53">
        <v>43534</v>
      </c>
      <c r="L71" s="54" t="s">
        <v>566</v>
      </c>
      <c r="M71" s="55"/>
      <c r="N71" s="56"/>
      <c r="O71" s="55">
        <v>43520</v>
      </c>
      <c r="P71" s="58" t="s">
        <v>651</v>
      </c>
      <c r="Q71" s="52"/>
      <c r="R71" s="63" t="s">
        <v>211</v>
      </c>
      <c r="S71" s="52"/>
    </row>
    <row r="72" spans="2:19" s="34" customFormat="1" ht="33" customHeight="1">
      <c r="B72" s="47" t="s">
        <v>210</v>
      </c>
      <c r="C72" s="48" t="s">
        <v>226</v>
      </c>
      <c r="D72" s="49" t="s">
        <v>434</v>
      </c>
      <c r="E72" s="50">
        <v>43483</v>
      </c>
      <c r="F72" s="52" t="s">
        <v>218</v>
      </c>
      <c r="G72" s="51">
        <v>1280</v>
      </c>
      <c r="H72" s="52">
        <f t="shared" si="11"/>
        <v>64</v>
      </c>
      <c r="I72" s="52">
        <f t="shared" si="12"/>
        <v>2</v>
      </c>
      <c r="J72" s="52"/>
      <c r="K72" s="53">
        <v>43534</v>
      </c>
      <c r="L72" s="54" t="s">
        <v>501</v>
      </c>
      <c r="M72" s="55">
        <v>43531</v>
      </c>
      <c r="N72" s="56" t="s">
        <v>568</v>
      </c>
      <c r="O72" s="55">
        <v>43535</v>
      </c>
      <c r="P72" s="58" t="s">
        <v>653</v>
      </c>
      <c r="Q72" s="52" t="s">
        <v>614</v>
      </c>
      <c r="R72" s="63" t="s">
        <v>211</v>
      </c>
      <c r="S72" s="52" t="s">
        <v>611</v>
      </c>
    </row>
    <row r="73" spans="2:19" s="34" customFormat="1" ht="33" customHeight="1">
      <c r="B73" s="47" t="s">
        <v>210</v>
      </c>
      <c r="C73" s="48" t="s">
        <v>233</v>
      </c>
      <c r="D73" s="49" t="s">
        <v>525</v>
      </c>
      <c r="E73" s="50">
        <v>43507</v>
      </c>
      <c r="F73" s="52" t="s">
        <v>218</v>
      </c>
      <c r="G73" s="51">
        <v>1920</v>
      </c>
      <c r="H73" s="52">
        <f t="shared" si="11"/>
        <v>96</v>
      </c>
      <c r="I73" s="52">
        <f t="shared" si="12"/>
        <v>3</v>
      </c>
      <c r="J73" s="52"/>
      <c r="K73" s="53">
        <v>43541</v>
      </c>
      <c r="L73" s="54" t="s">
        <v>502</v>
      </c>
      <c r="M73" s="55">
        <v>43536</v>
      </c>
      <c r="N73" s="56" t="s">
        <v>346</v>
      </c>
      <c r="O73" s="55">
        <v>43541</v>
      </c>
      <c r="P73" s="58" t="s">
        <v>654</v>
      </c>
      <c r="Q73" s="52" t="s">
        <v>612</v>
      </c>
      <c r="R73" s="63" t="s">
        <v>211</v>
      </c>
      <c r="S73" s="52"/>
    </row>
    <row r="74" spans="2:19" s="34" customFormat="1" ht="33" customHeight="1">
      <c r="B74" s="47" t="s">
        <v>210</v>
      </c>
      <c r="C74" s="48" t="s">
        <v>595</v>
      </c>
      <c r="D74" s="49" t="s">
        <v>525</v>
      </c>
      <c r="E74" s="50">
        <v>43519</v>
      </c>
      <c r="F74" s="52" t="s">
        <v>218</v>
      </c>
      <c r="G74" s="51">
        <v>1920</v>
      </c>
      <c r="H74" s="52">
        <f t="shared" si="11"/>
        <v>96</v>
      </c>
      <c r="I74" s="52">
        <f t="shared" si="12"/>
        <v>3</v>
      </c>
      <c r="J74" s="52"/>
      <c r="K74" s="53">
        <v>43555</v>
      </c>
      <c r="L74" s="54" t="s">
        <v>644</v>
      </c>
      <c r="M74" s="55">
        <v>43550</v>
      </c>
      <c r="N74" s="56" t="s">
        <v>344</v>
      </c>
      <c r="O74" s="55">
        <v>43555</v>
      </c>
      <c r="P74" s="58"/>
      <c r="Q74" s="52" t="s">
        <v>613</v>
      </c>
      <c r="R74" s="63" t="s">
        <v>211</v>
      </c>
      <c r="S74" s="52"/>
    </row>
    <row r="75" spans="2:19" s="34" customFormat="1" ht="33" customHeight="1">
      <c r="B75" s="47" t="s">
        <v>210</v>
      </c>
      <c r="C75" s="48" t="s">
        <v>285</v>
      </c>
      <c r="D75" s="49" t="s">
        <v>526</v>
      </c>
      <c r="E75" s="50">
        <v>43507</v>
      </c>
      <c r="F75" s="52" t="s">
        <v>218</v>
      </c>
      <c r="G75" s="51">
        <v>3200</v>
      </c>
      <c r="H75" s="52">
        <f t="shared" si="11"/>
        <v>160</v>
      </c>
      <c r="I75" s="52">
        <f t="shared" si="12"/>
        <v>5</v>
      </c>
      <c r="J75" s="52"/>
      <c r="K75" s="53">
        <v>43576</v>
      </c>
      <c r="L75" s="54" t="s">
        <v>503</v>
      </c>
      <c r="M75" s="55">
        <v>43571</v>
      </c>
      <c r="N75" s="56" t="s">
        <v>445</v>
      </c>
      <c r="O75" s="55">
        <v>43576</v>
      </c>
      <c r="P75" s="58"/>
      <c r="Q75" s="52" t="s">
        <v>643</v>
      </c>
      <c r="R75" s="63" t="s">
        <v>211</v>
      </c>
      <c r="S75" s="52"/>
    </row>
    <row r="76" spans="2:19" s="34" customFormat="1" ht="33" customHeight="1">
      <c r="B76" s="47" t="s">
        <v>210</v>
      </c>
      <c r="C76" s="48" t="s">
        <v>650</v>
      </c>
      <c r="D76" s="49" t="s">
        <v>526</v>
      </c>
      <c r="E76" s="50">
        <v>43507</v>
      </c>
      <c r="F76" s="52" t="s">
        <v>218</v>
      </c>
      <c r="G76" s="51">
        <v>640</v>
      </c>
      <c r="H76" s="52">
        <f>SUM(G76/20)</f>
        <v>32</v>
      </c>
      <c r="I76" s="52">
        <f>SUM(H76/32)</f>
        <v>1</v>
      </c>
      <c r="J76" s="52"/>
      <c r="K76" s="53">
        <v>43576</v>
      </c>
      <c r="L76" s="54" t="s">
        <v>448</v>
      </c>
      <c r="M76" s="55">
        <v>43578</v>
      </c>
      <c r="N76" s="56" t="s">
        <v>447</v>
      </c>
      <c r="O76" s="55">
        <v>43583</v>
      </c>
      <c r="P76" s="58"/>
      <c r="Q76" s="52" t="s">
        <v>643</v>
      </c>
      <c r="R76" s="63" t="s">
        <v>211</v>
      </c>
      <c r="S76" s="52"/>
    </row>
    <row r="77" spans="2:19" s="34" customFormat="1" ht="33" customHeight="1">
      <c r="B77" s="47" t="s">
        <v>210</v>
      </c>
      <c r="C77" s="48" t="s">
        <v>331</v>
      </c>
      <c r="D77" s="49" t="s">
        <v>632</v>
      </c>
      <c r="E77" s="50">
        <v>43519</v>
      </c>
      <c r="F77" s="52" t="s">
        <v>218</v>
      </c>
      <c r="G77" s="51">
        <v>3200</v>
      </c>
      <c r="H77" s="52">
        <f t="shared" si="11"/>
        <v>160</v>
      </c>
      <c r="I77" s="52">
        <f t="shared" si="12"/>
        <v>5</v>
      </c>
      <c r="J77" s="52"/>
      <c r="K77" s="53">
        <v>43562</v>
      </c>
      <c r="L77" s="54" t="s">
        <v>608</v>
      </c>
      <c r="M77" s="55">
        <v>43557</v>
      </c>
      <c r="N77" s="56" t="s">
        <v>403</v>
      </c>
      <c r="O77" s="55">
        <v>43562</v>
      </c>
      <c r="P77" s="58"/>
      <c r="Q77" s="52" t="s">
        <v>642</v>
      </c>
      <c r="R77" s="63" t="s">
        <v>211</v>
      </c>
      <c r="S77" s="52"/>
    </row>
    <row r="78" spans="2:19" s="34" customFormat="1" ht="33" customHeight="1">
      <c r="B78" s="47" t="s">
        <v>210</v>
      </c>
      <c r="C78" s="48" t="s">
        <v>647</v>
      </c>
      <c r="D78" s="49" t="s">
        <v>632</v>
      </c>
      <c r="E78" s="50">
        <v>43519</v>
      </c>
      <c r="F78" s="52" t="s">
        <v>218</v>
      </c>
      <c r="G78" s="51">
        <v>640</v>
      </c>
      <c r="H78" s="52">
        <f>SUM(G78/20)</f>
        <v>32</v>
      </c>
      <c r="I78" s="52">
        <f>SUM(H78/32)</f>
        <v>1</v>
      </c>
      <c r="J78" s="52"/>
      <c r="K78" s="53">
        <v>43562</v>
      </c>
      <c r="L78" s="54" t="s">
        <v>480</v>
      </c>
      <c r="M78" s="55">
        <v>43564</v>
      </c>
      <c r="N78" s="56" t="s">
        <v>646</v>
      </c>
      <c r="O78" s="55">
        <v>43569</v>
      </c>
      <c r="P78" s="58"/>
      <c r="Q78" s="52" t="s">
        <v>642</v>
      </c>
      <c r="R78" s="63" t="s">
        <v>211</v>
      </c>
      <c r="S78" s="52"/>
    </row>
    <row r="79" spans="2:19" s="32" customFormat="1" ht="33" customHeight="1">
      <c r="B79" s="46" t="s">
        <v>210</v>
      </c>
      <c r="C79" s="35" t="s">
        <v>431</v>
      </c>
      <c r="D79" s="36" t="s">
        <v>633</v>
      </c>
      <c r="E79" s="37">
        <v>43523</v>
      </c>
      <c r="F79" s="38" t="s">
        <v>218</v>
      </c>
      <c r="G79" s="39">
        <v>3200</v>
      </c>
      <c r="H79" s="38">
        <f t="shared" si="11"/>
        <v>160</v>
      </c>
      <c r="I79" s="38">
        <f t="shared" si="12"/>
        <v>5</v>
      </c>
      <c r="J79" s="38"/>
      <c r="K79" s="40">
        <v>43597</v>
      </c>
      <c r="L79" s="41" t="s">
        <v>605</v>
      </c>
      <c r="M79" s="42">
        <v>43594</v>
      </c>
      <c r="N79" s="43" t="s">
        <v>561</v>
      </c>
      <c r="O79" s="42">
        <v>43598</v>
      </c>
      <c r="P79" s="45"/>
      <c r="Q79" s="38" t="s">
        <v>641</v>
      </c>
      <c r="R79" s="66" t="s">
        <v>211</v>
      </c>
      <c r="S79" s="38"/>
    </row>
    <row r="80" spans="2:19" s="32" customFormat="1" ht="33" customHeight="1">
      <c r="B80" s="46" t="s">
        <v>210</v>
      </c>
      <c r="C80" s="35" t="s">
        <v>648</v>
      </c>
      <c r="D80" s="36" t="s">
        <v>633</v>
      </c>
      <c r="E80" s="37">
        <v>43523</v>
      </c>
      <c r="F80" s="38" t="s">
        <v>218</v>
      </c>
      <c r="G80" s="39">
        <v>640</v>
      </c>
      <c r="H80" s="38">
        <f>SUM(G80/20)</f>
        <v>32</v>
      </c>
      <c r="I80" s="38">
        <f>SUM(H80/32)</f>
        <v>1</v>
      </c>
      <c r="J80" s="38"/>
      <c r="K80" s="40">
        <v>43618</v>
      </c>
      <c r="L80" s="41" t="s">
        <v>977</v>
      </c>
      <c r="M80" s="42">
        <v>43613</v>
      </c>
      <c r="N80" s="43" t="s">
        <v>766</v>
      </c>
      <c r="O80" s="42">
        <v>43618</v>
      </c>
      <c r="P80" s="45"/>
      <c r="Q80" s="38" t="s">
        <v>641</v>
      </c>
      <c r="R80" s="66" t="s">
        <v>211</v>
      </c>
      <c r="S80" s="38"/>
    </row>
    <row r="81" spans="2:19" s="32" customFormat="1" ht="33" customHeight="1">
      <c r="B81" s="46" t="s">
        <v>210</v>
      </c>
      <c r="C81" s="35" t="s">
        <v>738</v>
      </c>
      <c r="D81" s="36" t="s">
        <v>739</v>
      </c>
      <c r="E81" s="37">
        <v>43532</v>
      </c>
      <c r="F81" s="38" t="s">
        <v>218</v>
      </c>
      <c r="G81" s="39">
        <v>2560</v>
      </c>
      <c r="H81" s="38">
        <f t="shared" ref="H81:H82" si="13">SUM(G81/20)</f>
        <v>128</v>
      </c>
      <c r="I81" s="38">
        <f t="shared" ref="I81:I82" si="14">SUM(H81/32)</f>
        <v>4</v>
      </c>
      <c r="J81" s="38"/>
      <c r="K81" s="40">
        <v>43618</v>
      </c>
      <c r="L81" s="41" t="s">
        <v>977</v>
      </c>
      <c r="M81" s="42">
        <v>43613</v>
      </c>
      <c r="N81" s="43" t="s">
        <v>766</v>
      </c>
      <c r="O81" s="42">
        <v>43618</v>
      </c>
      <c r="P81" s="45"/>
      <c r="Q81" s="38" t="s">
        <v>970</v>
      </c>
      <c r="R81" s="66" t="s">
        <v>211</v>
      </c>
      <c r="S81" s="38"/>
    </row>
    <row r="82" spans="2:19" s="32" customFormat="1" ht="33" customHeight="1">
      <c r="B82" s="46" t="s">
        <v>210</v>
      </c>
      <c r="C82" s="35" t="s">
        <v>589</v>
      </c>
      <c r="D82" s="36" t="s">
        <v>1260</v>
      </c>
      <c r="E82" s="37">
        <v>43558</v>
      </c>
      <c r="F82" s="38" t="s">
        <v>218</v>
      </c>
      <c r="G82" s="39">
        <v>3200</v>
      </c>
      <c r="H82" s="38">
        <f t="shared" si="13"/>
        <v>160</v>
      </c>
      <c r="I82" s="38">
        <f t="shared" si="14"/>
        <v>5</v>
      </c>
      <c r="J82" s="38"/>
      <c r="K82" s="40">
        <v>43639</v>
      </c>
      <c r="L82" s="41" t="s">
        <v>978</v>
      </c>
      <c r="M82" s="42">
        <v>43634</v>
      </c>
      <c r="N82" s="43" t="s">
        <v>764</v>
      </c>
      <c r="O82" s="42">
        <v>43639</v>
      </c>
      <c r="P82" s="45"/>
      <c r="Q82" s="38" t="s">
        <v>973</v>
      </c>
      <c r="R82" s="66" t="s">
        <v>211</v>
      </c>
      <c r="S82" s="38"/>
    </row>
    <row r="83" spans="2:19" s="34" customFormat="1" ht="33" customHeight="1">
      <c r="B83" s="47" t="s">
        <v>215</v>
      </c>
      <c r="C83" s="48" t="s">
        <v>234</v>
      </c>
      <c r="D83" s="49" t="s">
        <v>635</v>
      </c>
      <c r="E83" s="50">
        <v>43519</v>
      </c>
      <c r="F83" s="52" t="s">
        <v>228</v>
      </c>
      <c r="G83" s="51">
        <v>1280</v>
      </c>
      <c r="H83" s="52">
        <f t="shared" si="11"/>
        <v>64</v>
      </c>
      <c r="I83" s="52">
        <f t="shared" si="12"/>
        <v>2</v>
      </c>
      <c r="J83" s="52"/>
      <c r="K83" s="53">
        <v>43576</v>
      </c>
      <c r="L83" s="54" t="s">
        <v>644</v>
      </c>
      <c r="M83" s="55">
        <v>43550</v>
      </c>
      <c r="N83" s="56" t="s">
        <v>344</v>
      </c>
      <c r="O83" s="55">
        <v>43555</v>
      </c>
      <c r="P83" s="58" t="s">
        <v>655</v>
      </c>
      <c r="Q83" s="52" t="s">
        <v>613</v>
      </c>
      <c r="R83" s="63" t="s">
        <v>211</v>
      </c>
      <c r="S83" s="52"/>
    </row>
    <row r="84" spans="2:19" s="32" customFormat="1" ht="33" customHeight="1">
      <c r="B84" s="46" t="s">
        <v>215</v>
      </c>
      <c r="C84" s="35" t="s">
        <v>235</v>
      </c>
      <c r="D84" s="36" t="s">
        <v>744</v>
      </c>
      <c r="E84" s="37">
        <v>43532</v>
      </c>
      <c r="F84" s="38" t="s">
        <v>228</v>
      </c>
      <c r="G84" s="39">
        <v>1280</v>
      </c>
      <c r="H84" s="38">
        <f t="shared" si="11"/>
        <v>64</v>
      </c>
      <c r="I84" s="38">
        <f t="shared" si="12"/>
        <v>2</v>
      </c>
      <c r="J84" s="38"/>
      <c r="K84" s="40">
        <v>43597</v>
      </c>
      <c r="L84" s="41" t="s">
        <v>605</v>
      </c>
      <c r="M84" s="42">
        <v>43594</v>
      </c>
      <c r="N84" s="43" t="s">
        <v>772</v>
      </c>
      <c r="O84" s="42">
        <v>43598</v>
      </c>
      <c r="P84" s="45"/>
      <c r="Q84" s="38" t="s">
        <v>641</v>
      </c>
      <c r="R84" s="66" t="s">
        <v>211</v>
      </c>
      <c r="S84" s="38"/>
    </row>
    <row r="85" spans="2:19" s="32" customFormat="1" ht="33" customHeight="1">
      <c r="B85" s="122" t="s">
        <v>215</v>
      </c>
      <c r="C85" s="126" t="s">
        <v>1569</v>
      </c>
      <c r="D85" s="127"/>
      <c r="E85" s="128">
        <v>43581</v>
      </c>
      <c r="F85" s="124" t="s">
        <v>228</v>
      </c>
      <c r="G85" s="129">
        <v>1280</v>
      </c>
      <c r="H85" s="124">
        <f t="shared" si="11"/>
        <v>64</v>
      </c>
      <c r="I85" s="124">
        <f t="shared" si="12"/>
        <v>2</v>
      </c>
      <c r="J85" s="124"/>
      <c r="K85" s="130">
        <v>43632</v>
      </c>
      <c r="L85" s="119" t="s">
        <v>807</v>
      </c>
      <c r="M85" s="120">
        <v>43627</v>
      </c>
      <c r="N85" s="121" t="s">
        <v>769</v>
      </c>
      <c r="O85" s="120">
        <v>43632</v>
      </c>
      <c r="P85" s="123"/>
      <c r="Q85" s="124" t="s">
        <v>1810</v>
      </c>
      <c r="R85" s="134" t="s">
        <v>211</v>
      </c>
      <c r="S85" s="124"/>
    </row>
    <row r="86" spans="2:19" s="33" customFormat="1" ht="33" customHeight="1">
      <c r="B86" s="47" t="s">
        <v>86</v>
      </c>
      <c r="C86" s="48" t="s">
        <v>225</v>
      </c>
      <c r="D86" s="49" t="s">
        <v>487</v>
      </c>
      <c r="E86" s="50">
        <v>43490</v>
      </c>
      <c r="F86" s="52" t="s">
        <v>87</v>
      </c>
      <c r="G86" s="51">
        <v>1520</v>
      </c>
      <c r="H86" s="52">
        <f>SUM(G86/190)</f>
        <v>8</v>
      </c>
      <c r="I86" s="52">
        <f>SUM(H86/4)</f>
        <v>2</v>
      </c>
      <c r="J86" s="52"/>
      <c r="K86" s="53">
        <v>43569</v>
      </c>
      <c r="L86" s="54" t="s">
        <v>417</v>
      </c>
      <c r="M86" s="55">
        <v>43564</v>
      </c>
      <c r="N86" s="56" t="s">
        <v>405</v>
      </c>
      <c r="O86" s="55">
        <v>43569</v>
      </c>
      <c r="P86" s="58"/>
      <c r="Q86" s="52"/>
      <c r="R86" s="63" t="s">
        <v>495</v>
      </c>
      <c r="S86" s="47"/>
    </row>
    <row r="87" spans="2:19" s="30" customFormat="1" ht="33" customHeight="1">
      <c r="B87" s="46" t="s">
        <v>86</v>
      </c>
      <c r="C87" s="35" t="s">
        <v>226</v>
      </c>
      <c r="D87" s="36" t="s">
        <v>833</v>
      </c>
      <c r="E87" s="37">
        <v>43546</v>
      </c>
      <c r="F87" s="38" t="s">
        <v>87</v>
      </c>
      <c r="G87" s="39">
        <v>1520</v>
      </c>
      <c r="H87" s="38">
        <f>SUM(G87/190)</f>
        <v>8</v>
      </c>
      <c r="I87" s="38">
        <f>SUM(H87/4)</f>
        <v>2</v>
      </c>
      <c r="J87" s="38"/>
      <c r="K87" s="40">
        <v>43632</v>
      </c>
      <c r="L87" s="41" t="s">
        <v>838</v>
      </c>
      <c r="M87" s="42">
        <v>43627</v>
      </c>
      <c r="N87" s="43" t="s">
        <v>769</v>
      </c>
      <c r="O87" s="42">
        <v>43632</v>
      </c>
      <c r="P87" s="45"/>
      <c r="Q87" s="38"/>
      <c r="R87" s="66" t="s">
        <v>928</v>
      </c>
      <c r="S87" s="46"/>
    </row>
    <row r="88" spans="2:19" s="33" customFormat="1" ht="33" customHeight="1">
      <c r="B88" s="47" t="s">
        <v>223</v>
      </c>
      <c r="C88" s="48" t="s">
        <v>399</v>
      </c>
      <c r="D88" s="49" t="s">
        <v>237</v>
      </c>
      <c r="E88" s="50"/>
      <c r="F88" s="47" t="s">
        <v>236</v>
      </c>
      <c r="G88" s="51">
        <v>2400</v>
      </c>
      <c r="H88" s="52">
        <f t="shared" ref="H88:H98" si="15">SUM(G88/200)</f>
        <v>12</v>
      </c>
      <c r="I88" s="52">
        <f t="shared" ref="I88:I98" si="16">SUM(H88/4)</f>
        <v>3</v>
      </c>
      <c r="J88" s="52"/>
      <c r="K88" s="53">
        <v>43527</v>
      </c>
      <c r="L88" s="54" t="s">
        <v>402</v>
      </c>
      <c r="M88" s="55">
        <v>43531</v>
      </c>
      <c r="N88" s="56" t="s">
        <v>568</v>
      </c>
      <c r="O88" s="55">
        <v>43535</v>
      </c>
      <c r="P88" s="58"/>
      <c r="Q88" s="52"/>
      <c r="R88" s="63"/>
      <c r="S88" s="47" t="s">
        <v>611</v>
      </c>
    </row>
    <row r="89" spans="2:19" s="33" customFormat="1" ht="33" customHeight="1">
      <c r="B89" s="47" t="s">
        <v>238</v>
      </c>
      <c r="C89" s="48" t="s">
        <v>227</v>
      </c>
      <c r="D89" s="49" t="s">
        <v>435</v>
      </c>
      <c r="E89" s="50"/>
      <c r="F89" s="52" t="s">
        <v>236</v>
      </c>
      <c r="G89" s="51">
        <v>2400</v>
      </c>
      <c r="H89" s="52">
        <f t="shared" si="15"/>
        <v>12</v>
      </c>
      <c r="I89" s="52">
        <f t="shared" si="16"/>
        <v>3</v>
      </c>
      <c r="J89" s="52"/>
      <c r="K89" s="53">
        <v>43548</v>
      </c>
      <c r="L89" s="54" t="s">
        <v>401</v>
      </c>
      <c r="M89" s="55">
        <v>43543</v>
      </c>
      <c r="N89" s="56" t="s">
        <v>400</v>
      </c>
      <c r="O89" s="55">
        <v>43548</v>
      </c>
      <c r="P89" s="58"/>
      <c r="Q89" s="52"/>
      <c r="R89" s="63"/>
      <c r="S89" s="47"/>
    </row>
    <row r="90" spans="2:19" s="33" customFormat="1" ht="33" customHeight="1">
      <c r="B90" s="47" t="s">
        <v>238</v>
      </c>
      <c r="C90" s="48" t="s">
        <v>274</v>
      </c>
      <c r="D90" s="49" t="s">
        <v>474</v>
      </c>
      <c r="E90" s="50"/>
      <c r="F90" s="52" t="s">
        <v>236</v>
      </c>
      <c r="G90" s="51">
        <v>3200</v>
      </c>
      <c r="H90" s="52">
        <f t="shared" si="15"/>
        <v>16</v>
      </c>
      <c r="I90" s="52">
        <f t="shared" si="16"/>
        <v>4</v>
      </c>
      <c r="J90" s="52"/>
      <c r="K90" s="53">
        <v>43562</v>
      </c>
      <c r="L90" s="54" t="s">
        <v>406</v>
      </c>
      <c r="M90" s="55">
        <v>43557</v>
      </c>
      <c r="N90" s="56" t="s">
        <v>403</v>
      </c>
      <c r="O90" s="55">
        <v>43562</v>
      </c>
      <c r="P90" s="58"/>
      <c r="Q90" s="52"/>
      <c r="R90" s="63"/>
      <c r="S90" s="47"/>
    </row>
    <row r="91" spans="2:19" s="33" customFormat="1" ht="33" customHeight="1">
      <c r="B91" s="47" t="s">
        <v>238</v>
      </c>
      <c r="C91" s="48" t="s">
        <v>404</v>
      </c>
      <c r="D91" s="49" t="s">
        <v>475</v>
      </c>
      <c r="E91" s="50"/>
      <c r="F91" s="52" t="s">
        <v>236</v>
      </c>
      <c r="G91" s="51">
        <v>1600</v>
      </c>
      <c r="H91" s="52">
        <f t="shared" si="15"/>
        <v>8</v>
      </c>
      <c r="I91" s="52">
        <f t="shared" si="16"/>
        <v>2</v>
      </c>
      <c r="J91" s="52"/>
      <c r="K91" s="53">
        <v>43562</v>
      </c>
      <c r="L91" s="54" t="s">
        <v>407</v>
      </c>
      <c r="M91" s="55">
        <v>43564</v>
      </c>
      <c r="N91" s="56" t="s">
        <v>405</v>
      </c>
      <c r="O91" s="55">
        <v>43569</v>
      </c>
      <c r="P91" s="58"/>
      <c r="Q91" s="52"/>
      <c r="R91" s="63"/>
      <c r="S91" s="47"/>
    </row>
    <row r="92" spans="2:19" s="33" customFormat="1" ht="33" customHeight="1">
      <c r="B92" s="47" t="s">
        <v>238</v>
      </c>
      <c r="C92" s="48" t="s">
        <v>490</v>
      </c>
      <c r="D92" s="49" t="s">
        <v>488</v>
      </c>
      <c r="E92" s="50">
        <v>43495</v>
      </c>
      <c r="F92" s="52" t="s">
        <v>236</v>
      </c>
      <c r="G92" s="51">
        <v>1600</v>
      </c>
      <c r="H92" s="52">
        <f t="shared" si="15"/>
        <v>8</v>
      </c>
      <c r="I92" s="52">
        <f t="shared" si="16"/>
        <v>2</v>
      </c>
      <c r="J92" s="52"/>
      <c r="K92" s="53">
        <v>43583</v>
      </c>
      <c r="L92" s="54" t="s">
        <v>481</v>
      </c>
      <c r="M92" s="55">
        <v>43578</v>
      </c>
      <c r="N92" s="56" t="s">
        <v>447</v>
      </c>
      <c r="O92" s="55">
        <v>43583</v>
      </c>
      <c r="P92" s="58"/>
      <c r="Q92" s="52"/>
      <c r="R92" s="63"/>
      <c r="S92" s="47"/>
    </row>
    <row r="93" spans="2:19" s="30" customFormat="1" ht="33" customHeight="1">
      <c r="B93" s="46" t="s">
        <v>238</v>
      </c>
      <c r="C93" s="35" t="s">
        <v>597</v>
      </c>
      <c r="D93" s="36" t="s">
        <v>598</v>
      </c>
      <c r="E93" s="37">
        <v>43519</v>
      </c>
      <c r="F93" s="38" t="s">
        <v>236</v>
      </c>
      <c r="G93" s="39">
        <v>1600</v>
      </c>
      <c r="H93" s="38">
        <f t="shared" si="15"/>
        <v>8</v>
      </c>
      <c r="I93" s="38">
        <f t="shared" si="16"/>
        <v>2</v>
      </c>
      <c r="J93" s="38"/>
      <c r="K93" s="40">
        <v>43597</v>
      </c>
      <c r="L93" s="41" t="s">
        <v>606</v>
      </c>
      <c r="M93" s="42">
        <v>43592</v>
      </c>
      <c r="N93" s="43" t="s">
        <v>600</v>
      </c>
      <c r="O93" s="42">
        <v>43597</v>
      </c>
      <c r="P93" s="45"/>
      <c r="Q93" s="38"/>
      <c r="R93" s="66"/>
      <c r="S93" s="46"/>
    </row>
    <row r="94" spans="2:19" s="30" customFormat="1" ht="33" customHeight="1">
      <c r="B94" s="46" t="s">
        <v>238</v>
      </c>
      <c r="C94" s="35" t="s">
        <v>1085</v>
      </c>
      <c r="D94" s="36" t="s">
        <v>598</v>
      </c>
      <c r="E94" s="37">
        <v>43519</v>
      </c>
      <c r="F94" s="38" t="s">
        <v>236</v>
      </c>
      <c r="G94" s="39">
        <v>1600</v>
      </c>
      <c r="H94" s="38">
        <f t="shared" si="15"/>
        <v>8</v>
      </c>
      <c r="I94" s="38">
        <f t="shared" si="16"/>
        <v>2</v>
      </c>
      <c r="J94" s="38"/>
      <c r="K94" s="40">
        <v>43597</v>
      </c>
      <c r="L94" s="41" t="s">
        <v>1086</v>
      </c>
      <c r="M94" s="42">
        <v>43606</v>
      </c>
      <c r="N94" s="43" t="s">
        <v>599</v>
      </c>
      <c r="O94" s="42">
        <v>43613</v>
      </c>
      <c r="P94" s="45"/>
      <c r="Q94" s="38"/>
      <c r="R94" s="66"/>
      <c r="S94" s="46"/>
    </row>
    <row r="95" spans="2:19" s="30" customFormat="1" ht="33" customHeight="1">
      <c r="B95" s="46" t="s">
        <v>238</v>
      </c>
      <c r="C95" s="35" t="s">
        <v>226</v>
      </c>
      <c r="D95" s="36" t="s">
        <v>749</v>
      </c>
      <c r="E95" s="37">
        <v>43532</v>
      </c>
      <c r="F95" s="38" t="s">
        <v>236</v>
      </c>
      <c r="G95" s="39">
        <v>3200</v>
      </c>
      <c r="H95" s="38">
        <f t="shared" si="15"/>
        <v>16</v>
      </c>
      <c r="I95" s="38">
        <f t="shared" si="16"/>
        <v>4</v>
      </c>
      <c r="J95" s="38"/>
      <c r="K95" s="40">
        <v>43625</v>
      </c>
      <c r="L95" s="41" t="s">
        <v>777</v>
      </c>
      <c r="M95" s="42">
        <v>43620</v>
      </c>
      <c r="N95" s="43" t="s">
        <v>768</v>
      </c>
      <c r="O95" s="42" t="s">
        <v>775</v>
      </c>
      <c r="P95" s="45"/>
      <c r="Q95" s="38"/>
      <c r="R95" s="66"/>
      <c r="S95" s="46"/>
    </row>
    <row r="96" spans="2:19" s="30" customFormat="1" ht="33" customHeight="1">
      <c r="B96" s="46" t="s">
        <v>238</v>
      </c>
      <c r="C96" s="35" t="s">
        <v>233</v>
      </c>
      <c r="D96" s="36" t="s">
        <v>750</v>
      </c>
      <c r="E96" s="37">
        <v>43532</v>
      </c>
      <c r="F96" s="38" t="s">
        <v>236</v>
      </c>
      <c r="G96" s="39">
        <v>3200</v>
      </c>
      <c r="H96" s="38">
        <f t="shared" si="15"/>
        <v>16</v>
      </c>
      <c r="I96" s="38">
        <f t="shared" si="16"/>
        <v>4</v>
      </c>
      <c r="J96" s="38"/>
      <c r="K96" s="40">
        <v>43646</v>
      </c>
      <c r="L96" s="41" t="s">
        <v>778</v>
      </c>
      <c r="M96" s="42">
        <v>43641</v>
      </c>
      <c r="N96" s="43" t="s">
        <v>776</v>
      </c>
      <c r="O96" s="42">
        <v>43646</v>
      </c>
      <c r="P96" s="45"/>
      <c r="Q96" s="38"/>
      <c r="R96" s="66"/>
      <c r="S96" s="46"/>
    </row>
    <row r="97" spans="2:19" s="30" customFormat="1" ht="33" customHeight="1">
      <c r="B97" s="46" t="s">
        <v>238</v>
      </c>
      <c r="C97" s="35" t="s">
        <v>285</v>
      </c>
      <c r="D97" s="36" t="s">
        <v>1305</v>
      </c>
      <c r="E97" s="37">
        <v>43567</v>
      </c>
      <c r="F97" s="38" t="s">
        <v>236</v>
      </c>
      <c r="G97" s="39">
        <v>3200</v>
      </c>
      <c r="H97" s="38">
        <f t="shared" si="15"/>
        <v>16</v>
      </c>
      <c r="I97" s="38">
        <f t="shared" si="16"/>
        <v>4</v>
      </c>
      <c r="J97" s="38"/>
      <c r="K97" s="40">
        <v>43660</v>
      </c>
      <c r="L97" s="41" t="s">
        <v>1327</v>
      </c>
      <c r="M97" s="42">
        <v>43655</v>
      </c>
      <c r="N97" s="43" t="s">
        <v>1315</v>
      </c>
      <c r="O97" s="42">
        <v>43660</v>
      </c>
      <c r="P97" s="45"/>
      <c r="Q97" s="38"/>
      <c r="R97" s="66"/>
      <c r="S97" s="46"/>
    </row>
    <row r="98" spans="2:19" s="30" customFormat="1" ht="33" customHeight="1">
      <c r="B98" s="46" t="s">
        <v>238</v>
      </c>
      <c r="C98" s="35" t="s">
        <v>331</v>
      </c>
      <c r="D98" s="36" t="s">
        <v>1306</v>
      </c>
      <c r="E98" s="37">
        <v>43567</v>
      </c>
      <c r="F98" s="38" t="s">
        <v>236</v>
      </c>
      <c r="G98" s="39">
        <v>3200</v>
      </c>
      <c r="H98" s="38">
        <f t="shared" si="15"/>
        <v>16</v>
      </c>
      <c r="I98" s="38">
        <f t="shared" si="16"/>
        <v>4</v>
      </c>
      <c r="J98" s="38"/>
      <c r="K98" s="40">
        <v>43674</v>
      </c>
      <c r="L98" s="41" t="s">
        <v>1324</v>
      </c>
      <c r="M98" s="42">
        <v>43669</v>
      </c>
      <c r="N98" s="43" t="s">
        <v>1313</v>
      </c>
      <c r="O98" s="42">
        <v>43674</v>
      </c>
      <c r="P98" s="45"/>
      <c r="Q98" s="38"/>
      <c r="R98" s="66"/>
      <c r="S98" s="46"/>
    </row>
    <row r="99" spans="2:19" s="30" customFormat="1">
      <c r="C99" s="22"/>
      <c r="D99" s="23"/>
      <c r="G99" s="24"/>
      <c r="K99" s="25"/>
      <c r="M99" s="26"/>
      <c r="N99" s="28"/>
      <c r="O99" s="26"/>
      <c r="R99" s="27"/>
    </row>
    <row r="100" spans="2:19" s="19" customFormat="1">
      <c r="B100"/>
      <c r="C100" s="15"/>
      <c r="D100" s="1"/>
      <c r="E100" s="174"/>
      <c r="F100"/>
      <c r="G100" s="11"/>
      <c r="H100"/>
      <c r="I100"/>
      <c r="J100"/>
      <c r="K100" s="13"/>
      <c r="L100"/>
      <c r="N100" s="28"/>
      <c r="P100"/>
      <c r="Q100"/>
      <c r="R100" s="17"/>
      <c r="S100"/>
    </row>
    <row r="101" spans="2:19" s="19" customFormat="1" ht="26.4" hidden="1">
      <c r="B101"/>
      <c r="C101" s="15"/>
      <c r="D101" s="1"/>
      <c r="F101" s="177"/>
      <c r="L101" s="176" t="s">
        <v>1821</v>
      </c>
      <c r="M101" s="177"/>
      <c r="N101" s="177"/>
      <c r="O101"/>
      <c r="P101" s="13"/>
      <c r="Q101"/>
      <c r="S101" s="28"/>
    </row>
    <row r="102" spans="2:19" ht="26.4" hidden="1">
      <c r="F102" s="177"/>
      <c r="L102" s="176" t="s">
        <v>1822</v>
      </c>
      <c r="M102" s="177"/>
      <c r="N102" s="177"/>
      <c r="O102"/>
      <c r="P102" s="13"/>
      <c r="R102" s="19"/>
      <c r="S102" s="28"/>
    </row>
    <row r="103" spans="2:19" ht="26.4" hidden="1">
      <c r="F103" s="177"/>
      <c r="L103" s="176" t="s">
        <v>1823</v>
      </c>
      <c r="M103" s="177"/>
      <c r="N103" s="177"/>
      <c r="O103"/>
      <c r="P103" s="13"/>
      <c r="R103" s="19"/>
      <c r="S103" s="28"/>
    </row>
    <row r="104" spans="2:19" hidden="1">
      <c r="E104" s="175"/>
      <c r="L104" s="11"/>
      <c r="M104"/>
      <c r="N104"/>
      <c r="O104"/>
      <c r="P104" s="13"/>
      <c r="R104" s="19"/>
      <c r="S104" s="28"/>
    </row>
    <row r="105" spans="2:19" s="19" customFormat="1" hidden="1">
      <c r="B105"/>
      <c r="C105" s="15"/>
      <c r="D105" s="1"/>
      <c r="L105" s="178" t="s">
        <v>1825</v>
      </c>
      <c r="M105" s="178" t="s">
        <v>1826</v>
      </c>
      <c r="N105" s="178" t="s">
        <v>1827</v>
      </c>
      <c r="O105" s="178" t="s">
        <v>1828</v>
      </c>
      <c r="P105" s="179" t="s">
        <v>1829</v>
      </c>
      <c r="Q105" s="179" t="s">
        <v>1830</v>
      </c>
      <c r="R105" s="179" t="s">
        <v>1831</v>
      </c>
      <c r="S105" s="179"/>
    </row>
    <row r="106" spans="2:19" s="19" customFormat="1" hidden="1">
      <c r="B106"/>
      <c r="C106" s="15"/>
      <c r="D106" s="1"/>
      <c r="L106" s="180" t="s">
        <v>1832</v>
      </c>
      <c r="M106" s="181" t="s">
        <v>1833</v>
      </c>
      <c r="N106" s="181" t="s">
        <v>1834</v>
      </c>
      <c r="O106" s="182" t="s">
        <v>1835</v>
      </c>
      <c r="P106" s="183">
        <v>1000</v>
      </c>
      <c r="Q106" s="183">
        <v>4</v>
      </c>
      <c r="R106" s="184">
        <v>43598</v>
      </c>
      <c r="S106" s="181" t="s">
        <v>99</v>
      </c>
    </row>
    <row r="107" spans="2:19" s="19" customFormat="1" hidden="1">
      <c r="B107"/>
      <c r="C107" s="15"/>
      <c r="D107" s="1"/>
      <c r="L107" s="180" t="s">
        <v>1832</v>
      </c>
      <c r="M107" s="181" t="s">
        <v>1836</v>
      </c>
      <c r="N107" s="181" t="s">
        <v>1834</v>
      </c>
      <c r="O107" s="182" t="s">
        <v>1835</v>
      </c>
      <c r="P107" s="183">
        <v>6000</v>
      </c>
      <c r="Q107" s="183">
        <v>24</v>
      </c>
      <c r="R107" s="184">
        <v>43598</v>
      </c>
      <c r="S107" s="181" t="s">
        <v>99</v>
      </c>
    </row>
    <row r="108" spans="2:19" s="19" customFormat="1" hidden="1">
      <c r="B108"/>
      <c r="C108" s="15"/>
      <c r="D108" s="1"/>
      <c r="L108" s="180" t="s">
        <v>1832</v>
      </c>
      <c r="M108" s="181" t="s">
        <v>1837</v>
      </c>
      <c r="N108" s="181" t="s">
        <v>1834</v>
      </c>
      <c r="O108" s="182" t="s">
        <v>1835</v>
      </c>
      <c r="P108" s="183">
        <v>5000</v>
      </c>
      <c r="Q108" s="183">
        <v>20</v>
      </c>
      <c r="R108" s="185" t="s">
        <v>1838</v>
      </c>
      <c r="S108" s="180" t="s">
        <v>1839</v>
      </c>
    </row>
    <row r="109" spans="2:19" s="19" customFormat="1" hidden="1">
      <c r="B109"/>
      <c r="C109" s="15"/>
      <c r="D109" s="1"/>
      <c r="L109" s="180" t="s">
        <v>1832</v>
      </c>
      <c r="M109" s="181" t="s">
        <v>1840</v>
      </c>
      <c r="N109" s="181" t="s">
        <v>1834</v>
      </c>
      <c r="O109" s="182" t="s">
        <v>1835</v>
      </c>
      <c r="P109" s="183">
        <v>5000</v>
      </c>
      <c r="Q109" s="183">
        <v>20</v>
      </c>
      <c r="R109" s="184">
        <v>43605</v>
      </c>
      <c r="S109" s="181" t="s">
        <v>99</v>
      </c>
    </row>
    <row r="110" spans="2:19" s="19" customFormat="1" hidden="1">
      <c r="B110"/>
      <c r="C110" s="15"/>
      <c r="D110" s="1"/>
      <c r="L110" s="180" t="s">
        <v>1832</v>
      </c>
      <c r="M110" s="181" t="s">
        <v>1841</v>
      </c>
      <c r="N110" s="181" t="s">
        <v>1834</v>
      </c>
      <c r="O110" s="182" t="s">
        <v>1835</v>
      </c>
      <c r="P110" s="183">
        <v>7000</v>
      </c>
      <c r="Q110" s="183">
        <v>28</v>
      </c>
      <c r="R110" s="184">
        <v>43605</v>
      </c>
      <c r="S110" s="181" t="s">
        <v>99</v>
      </c>
    </row>
    <row r="111" spans="2:19" hidden="1">
      <c r="L111" s="180" t="s">
        <v>1842</v>
      </c>
      <c r="M111" s="181" t="s">
        <v>1843</v>
      </c>
      <c r="N111" s="181" t="s">
        <v>1844</v>
      </c>
      <c r="O111" s="182" t="s">
        <v>1835</v>
      </c>
      <c r="P111" s="183">
        <v>2000</v>
      </c>
      <c r="Q111" s="183">
        <v>8</v>
      </c>
      <c r="R111" s="184">
        <v>43598</v>
      </c>
      <c r="S111" s="181" t="s">
        <v>99</v>
      </c>
    </row>
    <row r="112" spans="2:19" hidden="1">
      <c r="L112" s="180" t="s">
        <v>1842</v>
      </c>
      <c r="M112" s="181" t="s">
        <v>1845</v>
      </c>
      <c r="N112" s="181" t="s">
        <v>1844</v>
      </c>
      <c r="O112" s="182" t="s">
        <v>1835</v>
      </c>
      <c r="P112" s="183">
        <v>2000</v>
      </c>
      <c r="Q112" s="183">
        <v>8</v>
      </c>
      <c r="R112" s="184">
        <v>43598</v>
      </c>
      <c r="S112" s="181" t="s">
        <v>99</v>
      </c>
    </row>
    <row r="113" spans="12:19" hidden="1">
      <c r="L113" s="180" t="s">
        <v>1842</v>
      </c>
      <c r="M113" s="181" t="s">
        <v>1846</v>
      </c>
      <c r="N113" s="181" t="s">
        <v>1844</v>
      </c>
      <c r="O113" s="182" t="s">
        <v>1835</v>
      </c>
      <c r="P113" s="183">
        <v>10000</v>
      </c>
      <c r="Q113" s="183">
        <v>40</v>
      </c>
      <c r="R113" s="184">
        <v>43598</v>
      </c>
      <c r="S113" s="181" t="s">
        <v>99</v>
      </c>
    </row>
    <row r="114" spans="12:19" hidden="1">
      <c r="L114" s="180" t="s">
        <v>1842</v>
      </c>
      <c r="M114" s="181" t="s">
        <v>1847</v>
      </c>
      <c r="N114" s="181" t="s">
        <v>1844</v>
      </c>
      <c r="O114" s="182" t="s">
        <v>1835</v>
      </c>
      <c r="P114" s="183">
        <v>8000</v>
      </c>
      <c r="Q114" s="183">
        <v>32</v>
      </c>
      <c r="R114" s="184">
        <v>43598</v>
      </c>
      <c r="S114" s="180"/>
    </row>
    <row r="115" spans="12:19" hidden="1">
      <c r="L115" s="180" t="s">
        <v>1842</v>
      </c>
      <c r="M115" s="181" t="s">
        <v>1848</v>
      </c>
      <c r="N115" s="181" t="s">
        <v>1844</v>
      </c>
      <c r="O115" s="182" t="s">
        <v>1835</v>
      </c>
      <c r="P115" s="183">
        <v>10000</v>
      </c>
      <c r="Q115" s="183">
        <v>40</v>
      </c>
      <c r="R115" s="185" t="s">
        <v>1849</v>
      </c>
      <c r="S115" s="180" t="s">
        <v>1839</v>
      </c>
    </row>
    <row r="116" spans="12:19" hidden="1">
      <c r="L116" s="182" t="s">
        <v>1850</v>
      </c>
      <c r="M116" s="181" t="s">
        <v>1851</v>
      </c>
      <c r="N116" s="181" t="s">
        <v>1834</v>
      </c>
      <c r="O116" s="182" t="s">
        <v>1852</v>
      </c>
      <c r="P116" s="183">
        <v>5000</v>
      </c>
      <c r="Q116" s="183">
        <v>20</v>
      </c>
      <c r="R116" s="184">
        <v>43605</v>
      </c>
      <c r="S116" s="181" t="s">
        <v>99</v>
      </c>
    </row>
    <row r="117" spans="12:19" hidden="1">
      <c r="L117" s="180" t="s">
        <v>1853</v>
      </c>
      <c r="M117" s="181" t="s">
        <v>1851</v>
      </c>
      <c r="N117" s="181" t="s">
        <v>1844</v>
      </c>
      <c r="O117" s="182" t="s">
        <v>1835</v>
      </c>
      <c r="P117" s="183">
        <v>2000</v>
      </c>
      <c r="Q117" s="183">
        <v>8</v>
      </c>
      <c r="R117" s="184">
        <v>43605</v>
      </c>
      <c r="S117" s="181" t="s">
        <v>99</v>
      </c>
    </row>
    <row r="118" spans="12:19" hidden="1">
      <c r="L118" s="182" t="s">
        <v>1850</v>
      </c>
      <c r="M118" s="181" t="s">
        <v>1855</v>
      </c>
      <c r="N118" s="181" t="s">
        <v>1834</v>
      </c>
      <c r="O118" s="182" t="s">
        <v>1852</v>
      </c>
      <c r="P118" s="183">
        <v>6000</v>
      </c>
      <c r="Q118" s="183">
        <v>24</v>
      </c>
      <c r="R118" s="184">
        <v>43605</v>
      </c>
      <c r="S118" s="181" t="s">
        <v>99</v>
      </c>
    </row>
    <row r="119" spans="12:19" hidden="1">
      <c r="L119" s="182" t="s">
        <v>1850</v>
      </c>
      <c r="M119" s="181" t="s">
        <v>1856</v>
      </c>
      <c r="N119" s="181" t="s">
        <v>1834</v>
      </c>
      <c r="O119" s="182" t="s">
        <v>1852</v>
      </c>
      <c r="P119" s="183">
        <v>6000</v>
      </c>
      <c r="Q119" s="183">
        <v>24</v>
      </c>
      <c r="R119" s="185">
        <v>43605</v>
      </c>
      <c r="S119" s="180"/>
    </row>
    <row r="120" spans="12:19" hidden="1">
      <c r="L120" s="182" t="s">
        <v>1850</v>
      </c>
      <c r="M120" s="181" t="s">
        <v>1857</v>
      </c>
      <c r="N120" s="181" t="s">
        <v>1834</v>
      </c>
      <c r="O120" s="182" t="s">
        <v>1852</v>
      </c>
      <c r="P120" s="183">
        <v>6000</v>
      </c>
      <c r="Q120" s="183">
        <v>24</v>
      </c>
      <c r="R120" s="184" t="s">
        <v>1861</v>
      </c>
      <c r="S120" s="181" t="s">
        <v>1862</v>
      </c>
    </row>
  </sheetData>
  <autoFilter ref="B2:R98" xr:uid="{00000000-0009-0000-0000-00001D000000}"/>
  <phoneticPr fontId="1"/>
  <pageMargins left="0.23622047244094491" right="0.23622047244094491" top="0.35433070866141736" bottom="0.35433070866141736" header="0.31496062992125984" footer="0.31496062992125984"/>
  <pageSetup paperSize="9" scale="77" fitToHeight="0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52">
    <pageSetUpPr fitToPage="1"/>
  </sheetPr>
  <dimension ref="B1:S120"/>
  <sheetViews>
    <sheetView zoomScale="77" zoomScaleNormal="77" workbookViewId="0">
      <pane xSplit="3" ySplit="2" topLeftCell="D3" activePane="bottomRight" state="frozen"/>
      <selection activeCell="B70" sqref="B70"/>
      <selection pane="topRight" activeCell="B70" sqref="B70"/>
      <selection pane="bottomLeft" activeCell="B70" sqref="B70"/>
      <selection pane="bottomRight" activeCell="G54" sqref="G54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15.87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C2" s="14" t="s">
        <v>9</v>
      </c>
      <c r="D2" s="5" t="s">
        <v>0</v>
      </c>
      <c r="E2" s="6" t="s">
        <v>10</v>
      </c>
      <c r="F2" s="6" t="s">
        <v>11</v>
      </c>
      <c r="G2" s="10" t="s">
        <v>1</v>
      </c>
      <c r="H2" s="6" t="s">
        <v>15</v>
      </c>
      <c r="I2" s="6" t="s">
        <v>16</v>
      </c>
      <c r="J2" s="6" t="s">
        <v>12</v>
      </c>
      <c r="K2" s="12" t="s">
        <v>7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85</v>
      </c>
      <c r="Q2" s="6" t="s">
        <v>8</v>
      </c>
      <c r="R2" s="16" t="s">
        <v>6</v>
      </c>
      <c r="S2" s="16" t="s">
        <v>80</v>
      </c>
    </row>
    <row r="3" spans="2:19" s="33" customFormat="1" ht="33" customHeight="1">
      <c r="B3" s="47" t="s">
        <v>220</v>
      </c>
      <c r="C3" s="48" t="s">
        <v>309</v>
      </c>
      <c r="D3" s="49" t="s">
        <v>310</v>
      </c>
      <c r="E3" s="50">
        <v>43420</v>
      </c>
      <c r="F3" s="49" t="s">
        <v>79</v>
      </c>
      <c r="G3" s="51">
        <v>7000</v>
      </c>
      <c r="H3" s="52">
        <f t="shared" ref="H3:H23" si="0">SUM(G3/250)</f>
        <v>28</v>
      </c>
      <c r="I3" s="52">
        <f t="shared" ref="I3:I40" si="1">SUM(H3/4)</f>
        <v>7</v>
      </c>
      <c r="J3" s="49"/>
      <c r="K3" s="53">
        <v>43541</v>
      </c>
      <c r="L3" s="54" t="s">
        <v>388</v>
      </c>
      <c r="M3" s="55">
        <v>43542</v>
      </c>
      <c r="N3" s="56" t="s">
        <v>649</v>
      </c>
      <c r="O3" s="55">
        <v>43183</v>
      </c>
      <c r="P3" s="54" t="s">
        <v>753</v>
      </c>
      <c r="Q3" s="49"/>
      <c r="R3" s="57" t="s">
        <v>420</v>
      </c>
      <c r="S3" s="47"/>
    </row>
    <row r="4" spans="2:19" s="33" customFormat="1" ht="33" customHeight="1">
      <c r="B4" s="47" t="s">
        <v>78</v>
      </c>
      <c r="C4" s="48" t="s">
        <v>311</v>
      </c>
      <c r="D4" s="49" t="s">
        <v>312</v>
      </c>
      <c r="E4" s="50">
        <v>43420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43169</v>
      </c>
      <c r="L4" s="54" t="s">
        <v>343</v>
      </c>
      <c r="M4" s="55">
        <v>43528</v>
      </c>
      <c r="N4" s="56" t="s">
        <v>439</v>
      </c>
      <c r="O4" s="55">
        <v>43534</v>
      </c>
      <c r="P4" s="54"/>
      <c r="Q4" s="49" t="s">
        <v>82</v>
      </c>
      <c r="R4" s="57" t="s">
        <v>313</v>
      </c>
      <c r="S4" s="47"/>
    </row>
    <row r="5" spans="2:19" s="33" customFormat="1" ht="33" customHeight="1">
      <c r="B5" s="47" t="s">
        <v>78</v>
      </c>
      <c r="C5" s="48" t="s">
        <v>374</v>
      </c>
      <c r="D5" s="49" t="s">
        <v>375</v>
      </c>
      <c r="E5" s="50">
        <v>43455</v>
      </c>
      <c r="F5" s="49" t="s">
        <v>79</v>
      </c>
      <c r="G5" s="51">
        <v>21000</v>
      </c>
      <c r="H5" s="52">
        <f t="shared" si="0"/>
        <v>84</v>
      </c>
      <c r="I5" s="52">
        <f t="shared" si="1"/>
        <v>21</v>
      </c>
      <c r="J5" s="49"/>
      <c r="K5" s="53">
        <v>43541</v>
      </c>
      <c r="L5" s="54" t="s">
        <v>388</v>
      </c>
      <c r="M5" s="55">
        <v>43542</v>
      </c>
      <c r="N5" s="56" t="s">
        <v>649</v>
      </c>
      <c r="O5" s="55">
        <v>43183</v>
      </c>
      <c r="P5" s="54" t="s">
        <v>754</v>
      </c>
      <c r="Q5" s="49" t="s">
        <v>82</v>
      </c>
      <c r="R5" s="57" t="s">
        <v>376</v>
      </c>
      <c r="S5" s="47"/>
    </row>
    <row r="6" spans="2:19" s="33" customFormat="1" ht="33" customHeight="1">
      <c r="B6" s="47" t="s">
        <v>220</v>
      </c>
      <c r="C6" s="48" t="s">
        <v>377</v>
      </c>
      <c r="D6" s="49" t="s">
        <v>378</v>
      </c>
      <c r="E6" s="50">
        <v>43455</v>
      </c>
      <c r="F6" s="49" t="s">
        <v>91</v>
      </c>
      <c r="G6" s="51">
        <v>14000</v>
      </c>
      <c r="H6" s="52">
        <f t="shared" si="0"/>
        <v>56</v>
      </c>
      <c r="I6" s="52">
        <f t="shared" si="1"/>
        <v>14</v>
      </c>
      <c r="J6" s="49"/>
      <c r="K6" s="53">
        <v>43548</v>
      </c>
      <c r="L6" s="54" t="s">
        <v>802</v>
      </c>
      <c r="M6" s="55">
        <v>43563</v>
      </c>
      <c r="N6" s="56" t="s">
        <v>438</v>
      </c>
      <c r="O6" s="55">
        <v>43569</v>
      </c>
      <c r="P6" s="54" t="s">
        <v>839</v>
      </c>
      <c r="Q6" s="49"/>
      <c r="R6" s="57" t="s">
        <v>379</v>
      </c>
      <c r="S6" s="47"/>
    </row>
    <row r="7" spans="2:19" s="33" customFormat="1" ht="33" customHeight="1">
      <c r="B7" s="47" t="s">
        <v>78</v>
      </c>
      <c r="C7" s="48" t="s">
        <v>380</v>
      </c>
      <c r="D7" s="49" t="s">
        <v>381</v>
      </c>
      <c r="E7" s="50">
        <v>43455</v>
      </c>
      <c r="F7" s="49" t="s">
        <v>240</v>
      </c>
      <c r="G7" s="51">
        <v>40000</v>
      </c>
      <c r="H7" s="52">
        <f t="shared" si="0"/>
        <v>160</v>
      </c>
      <c r="I7" s="52">
        <f t="shared" si="1"/>
        <v>40</v>
      </c>
      <c r="J7" s="49"/>
      <c r="K7" s="53">
        <v>43555</v>
      </c>
      <c r="L7" s="54" t="s">
        <v>389</v>
      </c>
      <c r="M7" s="55">
        <v>43549</v>
      </c>
      <c r="N7" s="56" t="s">
        <v>752</v>
      </c>
      <c r="O7" s="55">
        <v>43555</v>
      </c>
      <c r="P7" s="54" t="s">
        <v>755</v>
      </c>
      <c r="Q7" s="49" t="s">
        <v>82</v>
      </c>
      <c r="R7" s="57" t="s">
        <v>382</v>
      </c>
      <c r="S7" s="47"/>
    </row>
    <row r="8" spans="2:19" s="33" customFormat="1" ht="33" customHeight="1">
      <c r="B8" s="47" t="s">
        <v>220</v>
      </c>
      <c r="C8" s="48" t="s">
        <v>421</v>
      </c>
      <c r="D8" s="49" t="s">
        <v>453</v>
      </c>
      <c r="E8" s="50">
        <v>43483</v>
      </c>
      <c r="F8" s="49" t="s">
        <v>79</v>
      </c>
      <c r="G8" s="51">
        <v>20000</v>
      </c>
      <c r="H8" s="52">
        <f t="shared" si="0"/>
        <v>80</v>
      </c>
      <c r="I8" s="52">
        <f t="shared" si="1"/>
        <v>20</v>
      </c>
      <c r="J8" s="49"/>
      <c r="K8" s="53">
        <v>43576</v>
      </c>
      <c r="L8" s="54" t="s">
        <v>443</v>
      </c>
      <c r="M8" s="55">
        <v>43570</v>
      </c>
      <c r="N8" s="56" t="s">
        <v>440</v>
      </c>
      <c r="O8" s="55">
        <v>43576</v>
      </c>
      <c r="P8" s="54" t="s">
        <v>981</v>
      </c>
      <c r="Q8" s="49"/>
      <c r="R8" s="57" t="s">
        <v>454</v>
      </c>
      <c r="S8" s="47"/>
    </row>
    <row r="9" spans="2:19" s="30" customFormat="1" ht="33" customHeight="1">
      <c r="B9" s="46" t="s">
        <v>78</v>
      </c>
      <c r="C9" s="35" t="s">
        <v>422</v>
      </c>
      <c r="D9" s="36" t="s">
        <v>455</v>
      </c>
      <c r="E9" s="37">
        <v>43483</v>
      </c>
      <c r="F9" s="36" t="s">
        <v>91</v>
      </c>
      <c r="G9" s="39">
        <v>10000</v>
      </c>
      <c r="H9" s="38">
        <f>SUM(G9/250)</f>
        <v>40</v>
      </c>
      <c r="I9" s="38">
        <f t="shared" si="1"/>
        <v>10</v>
      </c>
      <c r="J9" s="36"/>
      <c r="K9" s="40">
        <v>43618</v>
      </c>
      <c r="L9" s="41" t="s">
        <v>442</v>
      </c>
      <c r="M9" s="42">
        <v>43612</v>
      </c>
      <c r="N9" s="43" t="s">
        <v>637</v>
      </c>
      <c r="O9" s="42">
        <v>43618</v>
      </c>
      <c r="P9" s="41" t="s">
        <v>1860</v>
      </c>
      <c r="Q9" s="36" t="s">
        <v>82</v>
      </c>
      <c r="R9" s="44" t="s">
        <v>616</v>
      </c>
      <c r="S9" s="46"/>
    </row>
    <row r="10" spans="2:19" s="30" customFormat="1" ht="33" customHeight="1">
      <c r="B10" s="46" t="s">
        <v>78</v>
      </c>
      <c r="C10" s="35" t="s">
        <v>1330</v>
      </c>
      <c r="D10" s="36" t="s">
        <v>1337</v>
      </c>
      <c r="E10" s="37">
        <v>43483</v>
      </c>
      <c r="F10" s="36" t="s">
        <v>91</v>
      </c>
      <c r="G10" s="39">
        <v>20000</v>
      </c>
      <c r="H10" s="38">
        <f>SUM(G10/250)</f>
        <v>80</v>
      </c>
      <c r="I10" s="38">
        <f t="shared" si="1"/>
        <v>20</v>
      </c>
      <c r="J10" s="36"/>
      <c r="K10" s="40">
        <v>43618</v>
      </c>
      <c r="L10" s="41" t="s">
        <v>442</v>
      </c>
      <c r="M10" s="42">
        <v>43612</v>
      </c>
      <c r="N10" s="43" t="s">
        <v>637</v>
      </c>
      <c r="O10" s="42">
        <v>43618</v>
      </c>
      <c r="P10" s="41"/>
      <c r="Q10" s="36" t="s">
        <v>82</v>
      </c>
      <c r="R10" s="44" t="s">
        <v>616</v>
      </c>
      <c r="S10" s="46" t="s">
        <v>479</v>
      </c>
    </row>
    <row r="11" spans="2:19" s="30" customFormat="1" ht="33" customHeight="1">
      <c r="B11" s="122" t="s">
        <v>78</v>
      </c>
      <c r="C11" s="35" t="s">
        <v>617</v>
      </c>
      <c r="D11" s="36" t="s">
        <v>455</v>
      </c>
      <c r="E11" s="37">
        <v>43523</v>
      </c>
      <c r="F11" s="36" t="s">
        <v>91</v>
      </c>
      <c r="G11" s="39">
        <v>10000</v>
      </c>
      <c r="H11" s="38">
        <f>SUM(G11/250)</f>
        <v>40</v>
      </c>
      <c r="I11" s="38">
        <f t="shared" si="1"/>
        <v>10</v>
      </c>
      <c r="J11" s="36"/>
      <c r="K11" s="40">
        <v>43618</v>
      </c>
      <c r="L11" s="41" t="s">
        <v>638</v>
      </c>
      <c r="M11" s="42">
        <v>43612</v>
      </c>
      <c r="N11" s="43" t="s">
        <v>636</v>
      </c>
      <c r="O11" s="42">
        <v>43618</v>
      </c>
      <c r="P11" s="41"/>
      <c r="Q11" s="36" t="s">
        <v>82</v>
      </c>
      <c r="R11" s="44" t="s">
        <v>618</v>
      </c>
      <c r="S11" s="46"/>
    </row>
    <row r="12" spans="2:19" s="33" customFormat="1" ht="33" customHeight="1">
      <c r="B12" s="47" t="s">
        <v>78</v>
      </c>
      <c r="C12" s="48" t="s">
        <v>423</v>
      </c>
      <c r="D12" s="49" t="s">
        <v>457</v>
      </c>
      <c r="E12" s="50">
        <v>43483</v>
      </c>
      <c r="F12" s="49" t="s">
        <v>79</v>
      </c>
      <c r="G12" s="51">
        <v>20000</v>
      </c>
      <c r="H12" s="52">
        <f t="shared" si="0"/>
        <v>80</v>
      </c>
      <c r="I12" s="52">
        <f t="shared" si="1"/>
        <v>20</v>
      </c>
      <c r="J12" s="49"/>
      <c r="K12" s="53">
        <v>43576</v>
      </c>
      <c r="L12" s="54" t="s">
        <v>443</v>
      </c>
      <c r="M12" s="55">
        <v>43570</v>
      </c>
      <c r="N12" s="56" t="s">
        <v>440</v>
      </c>
      <c r="O12" s="55">
        <v>43576</v>
      </c>
      <c r="P12" s="54" t="s">
        <v>982</v>
      </c>
      <c r="Q12" s="49" t="s">
        <v>82</v>
      </c>
      <c r="R12" s="57" t="s">
        <v>424</v>
      </c>
      <c r="S12" s="47"/>
    </row>
    <row r="13" spans="2:19" s="33" customFormat="1" ht="33" customHeight="1">
      <c r="B13" s="47" t="s">
        <v>220</v>
      </c>
      <c r="C13" s="48" t="s">
        <v>425</v>
      </c>
      <c r="D13" s="49" t="s">
        <v>459</v>
      </c>
      <c r="E13" s="50">
        <v>43483</v>
      </c>
      <c r="F13" s="49" t="s">
        <v>79</v>
      </c>
      <c r="G13" s="51">
        <v>20000</v>
      </c>
      <c r="H13" s="52">
        <f t="shared" si="0"/>
        <v>80</v>
      </c>
      <c r="I13" s="52">
        <f t="shared" si="1"/>
        <v>20</v>
      </c>
      <c r="J13" s="49"/>
      <c r="K13" s="53">
        <v>43583</v>
      </c>
      <c r="L13" s="54" t="s">
        <v>444</v>
      </c>
      <c r="M13" s="55">
        <v>43577</v>
      </c>
      <c r="N13" s="56" t="s">
        <v>441</v>
      </c>
      <c r="O13" s="55">
        <v>43583</v>
      </c>
      <c r="P13" s="54" t="s">
        <v>1568</v>
      </c>
      <c r="Q13" s="49"/>
      <c r="R13" s="57" t="s">
        <v>426</v>
      </c>
      <c r="S13" s="47"/>
    </row>
    <row r="14" spans="2:19" s="33" customFormat="1" ht="33" customHeight="1">
      <c r="B14" s="47" t="s">
        <v>78</v>
      </c>
      <c r="C14" s="48" t="s">
        <v>462</v>
      </c>
      <c r="D14" s="49" t="s">
        <v>483</v>
      </c>
      <c r="E14" s="50">
        <v>43490</v>
      </c>
      <c r="F14" s="49" t="s">
        <v>79</v>
      </c>
      <c r="G14" s="51">
        <v>20000</v>
      </c>
      <c r="H14" s="52">
        <f t="shared" si="0"/>
        <v>80</v>
      </c>
      <c r="I14" s="52">
        <f t="shared" si="1"/>
        <v>20</v>
      </c>
      <c r="J14" s="49"/>
      <c r="K14" s="53">
        <v>43583</v>
      </c>
      <c r="L14" s="54" t="s">
        <v>444</v>
      </c>
      <c r="M14" s="55">
        <v>43577</v>
      </c>
      <c r="N14" s="56" t="s">
        <v>441</v>
      </c>
      <c r="O14" s="55">
        <v>43583</v>
      </c>
      <c r="P14" s="54" t="s">
        <v>983</v>
      </c>
      <c r="Q14" s="49" t="s">
        <v>82</v>
      </c>
      <c r="R14" s="57" t="s">
        <v>463</v>
      </c>
      <c r="S14" s="47"/>
    </row>
    <row r="15" spans="2:19" s="33" customFormat="1" ht="33" customHeight="1">
      <c r="B15" s="47" t="s">
        <v>78</v>
      </c>
      <c r="C15" s="48" t="s">
        <v>570</v>
      </c>
      <c r="D15" s="49" t="s">
        <v>571</v>
      </c>
      <c r="E15" s="50">
        <v>43519</v>
      </c>
      <c r="F15" s="49" t="s">
        <v>79</v>
      </c>
      <c r="G15" s="51">
        <v>20000</v>
      </c>
      <c r="H15" s="52">
        <f t="shared" si="0"/>
        <v>80</v>
      </c>
      <c r="I15" s="52">
        <f t="shared" si="1"/>
        <v>20</v>
      </c>
      <c r="J15" s="49"/>
      <c r="K15" s="53">
        <v>43590</v>
      </c>
      <c r="L15" s="54" t="s">
        <v>602</v>
      </c>
      <c r="M15" s="55">
        <v>43577</v>
      </c>
      <c r="N15" s="56" t="s">
        <v>441</v>
      </c>
      <c r="O15" s="55">
        <v>43583</v>
      </c>
      <c r="P15" s="54" t="s">
        <v>984</v>
      </c>
      <c r="Q15" s="49" t="s">
        <v>82</v>
      </c>
      <c r="R15" s="57" t="s">
        <v>572</v>
      </c>
      <c r="S15" s="47"/>
    </row>
    <row r="16" spans="2:19" s="30" customFormat="1" ht="33" customHeight="1">
      <c r="B16" s="46" t="s">
        <v>78</v>
      </c>
      <c r="C16" s="35" t="s">
        <v>573</v>
      </c>
      <c r="D16" s="36" t="s">
        <v>574</v>
      </c>
      <c r="E16" s="37">
        <v>43519</v>
      </c>
      <c r="F16" s="36" t="s">
        <v>79</v>
      </c>
      <c r="G16" s="39">
        <v>20000</v>
      </c>
      <c r="H16" s="38">
        <f>SUM(G16/250)</f>
        <v>80</v>
      </c>
      <c r="I16" s="38">
        <f>SUM(H16/4)</f>
        <v>20</v>
      </c>
      <c r="J16" s="36"/>
      <c r="K16" s="40">
        <v>43604</v>
      </c>
      <c r="L16" s="41" t="s">
        <v>757</v>
      </c>
      <c r="M16" s="42">
        <v>43598</v>
      </c>
      <c r="N16" s="43" t="s">
        <v>756</v>
      </c>
      <c r="O16" s="42">
        <v>43604</v>
      </c>
      <c r="P16" s="41" t="s">
        <v>1811</v>
      </c>
      <c r="Q16" s="36" t="s">
        <v>82</v>
      </c>
      <c r="R16" s="44" t="s">
        <v>575</v>
      </c>
      <c r="S16" s="46"/>
    </row>
    <row r="17" spans="2:19" s="30" customFormat="1" ht="33" customHeight="1">
      <c r="B17" s="46" t="s">
        <v>78</v>
      </c>
      <c r="C17" s="35" t="s">
        <v>785</v>
      </c>
      <c r="D17" s="36" t="s">
        <v>577</v>
      </c>
      <c r="E17" s="37">
        <v>43519</v>
      </c>
      <c r="F17" s="36" t="s">
        <v>91</v>
      </c>
      <c r="G17" s="39">
        <v>10000</v>
      </c>
      <c r="H17" s="38">
        <f>SUM(G17/250)</f>
        <v>40</v>
      </c>
      <c r="I17" s="38">
        <f>SUM(H17/4)</f>
        <v>10</v>
      </c>
      <c r="J17" s="36"/>
      <c r="K17" s="40">
        <v>43598</v>
      </c>
      <c r="L17" s="41" t="s">
        <v>803</v>
      </c>
      <c r="M17" s="42">
        <v>43598</v>
      </c>
      <c r="N17" s="43" t="s">
        <v>804</v>
      </c>
      <c r="O17" s="42">
        <v>43604</v>
      </c>
      <c r="P17" s="41" t="s">
        <v>1812</v>
      </c>
      <c r="Q17" s="36" t="s">
        <v>82</v>
      </c>
      <c r="R17" s="44" t="s">
        <v>786</v>
      </c>
      <c r="S17" s="46"/>
    </row>
    <row r="18" spans="2:19" s="30" customFormat="1" ht="33" customHeight="1">
      <c r="B18" s="46" t="s">
        <v>220</v>
      </c>
      <c r="C18" s="35" t="s">
        <v>579</v>
      </c>
      <c r="D18" s="36" t="s">
        <v>580</v>
      </c>
      <c r="E18" s="37">
        <v>43519</v>
      </c>
      <c r="F18" s="36" t="s">
        <v>79</v>
      </c>
      <c r="G18" s="39">
        <v>10000</v>
      </c>
      <c r="H18" s="38">
        <f>SUM(G18/250)</f>
        <v>40</v>
      </c>
      <c r="I18" s="38">
        <f>SUM(H18/4)</f>
        <v>10</v>
      </c>
      <c r="J18" s="36"/>
      <c r="K18" s="40">
        <v>43598</v>
      </c>
      <c r="L18" s="41" t="s">
        <v>803</v>
      </c>
      <c r="M18" s="42">
        <v>43598</v>
      </c>
      <c r="N18" s="43" t="s">
        <v>804</v>
      </c>
      <c r="O18" s="42">
        <v>43604</v>
      </c>
      <c r="P18" s="41" t="s">
        <v>1813</v>
      </c>
      <c r="Q18" s="36"/>
      <c r="R18" s="44" t="s">
        <v>787</v>
      </c>
      <c r="S18" s="46"/>
    </row>
    <row r="19" spans="2:19" s="30" customFormat="1" ht="33" customHeight="1">
      <c r="B19" s="46" t="s">
        <v>78</v>
      </c>
      <c r="C19" s="35" t="s">
        <v>576</v>
      </c>
      <c r="D19" s="36" t="s">
        <v>577</v>
      </c>
      <c r="E19" s="37">
        <v>43519</v>
      </c>
      <c r="F19" s="36" t="s">
        <v>79</v>
      </c>
      <c r="G19" s="39">
        <v>20000</v>
      </c>
      <c r="H19" s="38">
        <f>SUM(G19/250)</f>
        <v>80</v>
      </c>
      <c r="I19" s="38">
        <f>SUM(H19/4)</f>
        <v>20</v>
      </c>
      <c r="J19" s="36"/>
      <c r="K19" s="40">
        <v>43611</v>
      </c>
      <c r="L19" s="41" t="s">
        <v>604</v>
      </c>
      <c r="M19" s="42">
        <v>43605</v>
      </c>
      <c r="N19" s="43" t="s">
        <v>639</v>
      </c>
      <c r="O19" s="42">
        <v>43611</v>
      </c>
      <c r="P19" s="41" t="s">
        <v>1858</v>
      </c>
      <c r="Q19" s="36" t="s">
        <v>82</v>
      </c>
      <c r="R19" s="44" t="s">
        <v>578</v>
      </c>
      <c r="S19" s="46"/>
    </row>
    <row r="20" spans="2:19" s="30" customFormat="1" ht="33" customHeight="1">
      <c r="B20" s="46" t="s">
        <v>78</v>
      </c>
      <c r="C20" s="35" t="s">
        <v>685</v>
      </c>
      <c r="D20" s="36" t="s">
        <v>686</v>
      </c>
      <c r="E20" s="37">
        <v>43532</v>
      </c>
      <c r="F20" s="36" t="s">
        <v>79</v>
      </c>
      <c r="G20" s="39">
        <v>20000</v>
      </c>
      <c r="H20" s="38">
        <f>SUM(G20/250)</f>
        <v>80</v>
      </c>
      <c r="I20" s="38">
        <f>SUM(H20/4)</f>
        <v>20</v>
      </c>
      <c r="J20" s="36"/>
      <c r="K20" s="40">
        <v>43625</v>
      </c>
      <c r="L20" s="41" t="s">
        <v>761</v>
      </c>
      <c r="M20" s="42">
        <v>43619</v>
      </c>
      <c r="N20" s="43" t="s">
        <v>758</v>
      </c>
      <c r="O20" s="42">
        <v>43625</v>
      </c>
      <c r="P20" s="41"/>
      <c r="Q20" s="36" t="s">
        <v>82</v>
      </c>
      <c r="R20" s="44" t="s">
        <v>687</v>
      </c>
      <c r="S20" s="46"/>
    </row>
    <row r="21" spans="2:19" s="30" customFormat="1" ht="33" customHeight="1">
      <c r="B21" s="46" t="s">
        <v>78</v>
      </c>
      <c r="C21" s="35" t="s">
        <v>1332</v>
      </c>
      <c r="D21" s="36" t="s">
        <v>1366</v>
      </c>
      <c r="E21" s="37">
        <v>43532</v>
      </c>
      <c r="F21" s="36" t="s">
        <v>79</v>
      </c>
      <c r="G21" s="39">
        <v>20000</v>
      </c>
      <c r="H21" s="38">
        <f t="shared" ref="H21" si="2">SUM(G21/250)</f>
        <v>80</v>
      </c>
      <c r="I21" s="38">
        <f t="shared" si="1"/>
        <v>20</v>
      </c>
      <c r="J21" s="36"/>
      <c r="K21" s="40">
        <v>43625</v>
      </c>
      <c r="L21" s="41" t="s">
        <v>761</v>
      </c>
      <c r="M21" s="42">
        <v>43619</v>
      </c>
      <c r="N21" s="43" t="s">
        <v>758</v>
      </c>
      <c r="O21" s="42">
        <v>43625</v>
      </c>
      <c r="P21" s="41"/>
      <c r="Q21" s="36" t="s">
        <v>82</v>
      </c>
      <c r="R21" s="44" t="s">
        <v>687</v>
      </c>
      <c r="S21" s="46" t="s">
        <v>479</v>
      </c>
    </row>
    <row r="22" spans="2:19" s="30" customFormat="1" ht="33" customHeight="1">
      <c r="B22" s="46" t="s">
        <v>220</v>
      </c>
      <c r="C22" s="35" t="s">
        <v>688</v>
      </c>
      <c r="D22" s="36" t="s">
        <v>689</v>
      </c>
      <c r="E22" s="37">
        <v>43532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43632</v>
      </c>
      <c r="L22" s="41" t="s">
        <v>762</v>
      </c>
      <c r="M22" s="42">
        <v>43626</v>
      </c>
      <c r="N22" s="43" t="s">
        <v>759</v>
      </c>
      <c r="O22" s="42">
        <v>43632</v>
      </c>
      <c r="P22" s="41" t="s">
        <v>1820</v>
      </c>
      <c r="Q22" s="36"/>
      <c r="R22" s="44" t="s">
        <v>690</v>
      </c>
      <c r="S22" s="46"/>
    </row>
    <row r="23" spans="2:19" s="30" customFormat="1" ht="33" customHeight="1">
      <c r="B23" s="46" t="s">
        <v>78</v>
      </c>
      <c r="C23" s="35" t="s">
        <v>691</v>
      </c>
      <c r="D23" s="36" t="s">
        <v>692</v>
      </c>
      <c r="E23" s="37">
        <v>43532</v>
      </c>
      <c r="F23" s="36" t="s">
        <v>79</v>
      </c>
      <c r="G23" s="39">
        <v>20000</v>
      </c>
      <c r="H23" s="38">
        <f t="shared" si="0"/>
        <v>80</v>
      </c>
      <c r="I23" s="38">
        <f t="shared" si="1"/>
        <v>20</v>
      </c>
      <c r="J23" s="36"/>
      <c r="K23" s="40">
        <v>43639</v>
      </c>
      <c r="L23" s="41" t="s">
        <v>763</v>
      </c>
      <c r="M23" s="42">
        <v>43633</v>
      </c>
      <c r="N23" s="43" t="s">
        <v>760</v>
      </c>
      <c r="O23" s="42">
        <v>43639</v>
      </c>
      <c r="P23" s="41"/>
      <c r="Q23" s="36" t="s">
        <v>82</v>
      </c>
      <c r="R23" s="44" t="s">
        <v>693</v>
      </c>
      <c r="S23" s="46"/>
    </row>
    <row r="24" spans="2:19" s="30" customFormat="1" ht="33" customHeight="1">
      <c r="B24" s="122" t="s">
        <v>78</v>
      </c>
      <c r="C24" s="35" t="s">
        <v>1816</v>
      </c>
      <c r="D24" s="36" t="s">
        <v>1156</v>
      </c>
      <c r="E24" s="37">
        <v>43566</v>
      </c>
      <c r="F24" s="36" t="s">
        <v>79</v>
      </c>
      <c r="G24" s="129">
        <v>6000</v>
      </c>
      <c r="H24" s="124">
        <f>SUM(G24/250)</f>
        <v>24</v>
      </c>
      <c r="I24" s="124">
        <f>SUM(H24/4)</f>
        <v>6</v>
      </c>
      <c r="J24" s="36"/>
      <c r="K24" s="40">
        <v>43611</v>
      </c>
      <c r="L24" s="41" t="s">
        <v>603</v>
      </c>
      <c r="M24" s="42">
        <v>43605</v>
      </c>
      <c r="N24" s="43" t="s">
        <v>1080</v>
      </c>
      <c r="O24" s="42">
        <v>43611</v>
      </c>
      <c r="P24" s="41" t="s">
        <v>1859</v>
      </c>
      <c r="Q24" s="36" t="s">
        <v>82</v>
      </c>
      <c r="R24" s="154" t="s">
        <v>1605</v>
      </c>
      <c r="S24" s="46"/>
    </row>
    <row r="25" spans="2:19" s="30" customFormat="1" ht="33" customHeight="1">
      <c r="B25" s="122" t="s">
        <v>1817</v>
      </c>
      <c r="C25" s="35" t="s">
        <v>986</v>
      </c>
      <c r="D25" s="36" t="s">
        <v>1156</v>
      </c>
      <c r="E25" s="37">
        <v>43566</v>
      </c>
      <c r="F25" s="36" t="s">
        <v>79</v>
      </c>
      <c r="G25" s="129">
        <v>14000</v>
      </c>
      <c r="H25" s="124">
        <f>SUM(G25/250)</f>
        <v>56</v>
      </c>
      <c r="I25" s="124">
        <f>SUM(H25/4)</f>
        <v>14</v>
      </c>
      <c r="J25" s="36"/>
      <c r="K25" s="40">
        <v>43611</v>
      </c>
      <c r="L25" s="41" t="s">
        <v>603</v>
      </c>
      <c r="M25" s="42">
        <v>43605</v>
      </c>
      <c r="N25" s="43" t="s">
        <v>1080</v>
      </c>
      <c r="O25" s="42">
        <v>43611</v>
      </c>
      <c r="P25" s="41" t="s">
        <v>1824</v>
      </c>
      <c r="Q25" s="36"/>
      <c r="R25" s="154" t="s">
        <v>1605</v>
      </c>
      <c r="S25" s="46"/>
    </row>
    <row r="26" spans="2:19" s="30" customFormat="1" ht="33" customHeight="1">
      <c r="B26" s="46" t="s">
        <v>78</v>
      </c>
      <c r="C26" s="35" t="s">
        <v>988</v>
      </c>
      <c r="D26" s="36" t="s">
        <v>1158</v>
      </c>
      <c r="E26" s="37">
        <v>43566</v>
      </c>
      <c r="F26" s="36" t="s">
        <v>79</v>
      </c>
      <c r="G26" s="39">
        <v>20000</v>
      </c>
      <c r="H26" s="38">
        <f t="shared" ref="H26:H34" si="3">SUM(G26/250)</f>
        <v>80</v>
      </c>
      <c r="I26" s="38">
        <f t="shared" si="1"/>
        <v>20</v>
      </c>
      <c r="J26" s="36"/>
      <c r="K26" s="40">
        <v>43632</v>
      </c>
      <c r="L26" s="41" t="s">
        <v>1081</v>
      </c>
      <c r="M26" s="42">
        <v>43626</v>
      </c>
      <c r="N26" s="43" t="s">
        <v>1082</v>
      </c>
      <c r="O26" s="42">
        <v>43632</v>
      </c>
      <c r="P26" s="41"/>
      <c r="Q26" s="36" t="s">
        <v>82</v>
      </c>
      <c r="R26" s="44" t="s">
        <v>989</v>
      </c>
      <c r="S26" s="46"/>
    </row>
    <row r="27" spans="2:19" s="30" customFormat="1" ht="33" customHeight="1">
      <c r="B27" s="46" t="s">
        <v>78</v>
      </c>
      <c r="C27" s="35" t="s">
        <v>1160</v>
      </c>
      <c r="D27" s="36" t="s">
        <v>1161</v>
      </c>
      <c r="E27" s="37">
        <v>43567</v>
      </c>
      <c r="F27" s="36" t="s">
        <v>63</v>
      </c>
      <c r="G27" s="39">
        <v>40000</v>
      </c>
      <c r="H27" s="38">
        <f t="shared" si="3"/>
        <v>160</v>
      </c>
      <c r="I27" s="38">
        <f t="shared" si="1"/>
        <v>40</v>
      </c>
      <c r="J27" s="36"/>
      <c r="K27" s="40">
        <v>43646</v>
      </c>
      <c r="L27" s="41" t="s">
        <v>1316</v>
      </c>
      <c r="M27" s="42">
        <v>43640</v>
      </c>
      <c r="N27" s="43" t="s">
        <v>1308</v>
      </c>
      <c r="O27" s="42">
        <v>43646</v>
      </c>
      <c r="P27" s="41"/>
      <c r="Q27" s="36" t="s">
        <v>82</v>
      </c>
      <c r="R27" s="44" t="s">
        <v>1162</v>
      </c>
      <c r="S27" s="46"/>
    </row>
    <row r="28" spans="2:19" s="30" customFormat="1" ht="33" customHeight="1">
      <c r="B28" s="46" t="s">
        <v>220</v>
      </c>
      <c r="C28" s="35" t="s">
        <v>1163</v>
      </c>
      <c r="D28" s="36" t="s">
        <v>1164</v>
      </c>
      <c r="E28" s="37">
        <v>43567</v>
      </c>
      <c r="F28" s="36" t="s">
        <v>79</v>
      </c>
      <c r="G28" s="39">
        <v>20000</v>
      </c>
      <c r="H28" s="38">
        <f t="shared" si="3"/>
        <v>80</v>
      </c>
      <c r="I28" s="38">
        <f t="shared" si="1"/>
        <v>20</v>
      </c>
      <c r="J28" s="36"/>
      <c r="K28" s="40">
        <v>43646</v>
      </c>
      <c r="L28" s="41" t="s">
        <v>1316</v>
      </c>
      <c r="M28" s="42">
        <v>43640</v>
      </c>
      <c r="N28" s="43" t="s">
        <v>1308</v>
      </c>
      <c r="O28" s="42">
        <v>43646</v>
      </c>
      <c r="P28" s="41"/>
      <c r="Q28" s="36"/>
      <c r="R28" s="44" t="s">
        <v>1165</v>
      </c>
      <c r="S28" s="46"/>
    </row>
    <row r="29" spans="2:19" s="30" customFormat="1" ht="33" customHeight="1">
      <c r="B29" s="46" t="s">
        <v>78</v>
      </c>
      <c r="C29" s="35" t="s">
        <v>1166</v>
      </c>
      <c r="D29" s="36" t="s">
        <v>1167</v>
      </c>
      <c r="E29" s="37">
        <v>43567</v>
      </c>
      <c r="F29" s="36" t="s">
        <v>79</v>
      </c>
      <c r="G29" s="39">
        <v>20000</v>
      </c>
      <c r="H29" s="38">
        <f t="shared" si="3"/>
        <v>80</v>
      </c>
      <c r="I29" s="38">
        <f t="shared" si="1"/>
        <v>20</v>
      </c>
      <c r="J29" s="36"/>
      <c r="K29" s="40">
        <v>43653</v>
      </c>
      <c r="L29" s="41" t="s">
        <v>1317</v>
      </c>
      <c r="M29" s="42">
        <v>43647</v>
      </c>
      <c r="N29" s="43" t="s">
        <v>1309</v>
      </c>
      <c r="O29" s="42">
        <v>43653</v>
      </c>
      <c r="P29" s="41"/>
      <c r="Q29" s="36" t="s">
        <v>82</v>
      </c>
      <c r="R29" s="44" t="s">
        <v>1168</v>
      </c>
      <c r="S29" s="46"/>
    </row>
    <row r="30" spans="2:19" s="30" customFormat="1" ht="33" customHeight="1">
      <c r="B30" s="46" t="s">
        <v>78</v>
      </c>
      <c r="C30" s="35" t="s">
        <v>1169</v>
      </c>
      <c r="D30" s="36" t="s">
        <v>1170</v>
      </c>
      <c r="E30" s="37">
        <v>43567</v>
      </c>
      <c r="F30" s="36" t="s">
        <v>79</v>
      </c>
      <c r="G30" s="39">
        <v>20000</v>
      </c>
      <c r="H30" s="38">
        <f t="shared" si="3"/>
        <v>80</v>
      </c>
      <c r="I30" s="38">
        <f t="shared" si="1"/>
        <v>20</v>
      </c>
      <c r="J30" s="36"/>
      <c r="K30" s="40">
        <v>43660</v>
      </c>
      <c r="L30" s="41" t="s">
        <v>1318</v>
      </c>
      <c r="M30" s="42">
        <v>43654</v>
      </c>
      <c r="N30" s="43" t="s">
        <v>1310</v>
      </c>
      <c r="O30" s="42">
        <v>43660</v>
      </c>
      <c r="P30" s="41"/>
      <c r="Q30" s="36" t="s">
        <v>82</v>
      </c>
      <c r="R30" s="44" t="s">
        <v>1171</v>
      </c>
      <c r="S30" s="46"/>
    </row>
    <row r="31" spans="2:19" s="30" customFormat="1" ht="33" customHeight="1">
      <c r="B31" s="46" t="s">
        <v>78</v>
      </c>
      <c r="C31" s="35" t="s">
        <v>1172</v>
      </c>
      <c r="D31" s="36" t="s">
        <v>1173</v>
      </c>
      <c r="E31" s="37">
        <v>43567</v>
      </c>
      <c r="F31" s="36" t="s">
        <v>79</v>
      </c>
      <c r="G31" s="39">
        <v>20000</v>
      </c>
      <c r="H31" s="38">
        <f t="shared" si="3"/>
        <v>80</v>
      </c>
      <c r="I31" s="38">
        <f t="shared" si="1"/>
        <v>20</v>
      </c>
      <c r="J31" s="36"/>
      <c r="K31" s="40">
        <v>43667</v>
      </c>
      <c r="L31" s="41" t="s">
        <v>1320</v>
      </c>
      <c r="M31" s="42">
        <v>43658</v>
      </c>
      <c r="N31" s="43" t="s">
        <v>1311</v>
      </c>
      <c r="O31" s="42">
        <v>43667</v>
      </c>
      <c r="P31" s="41"/>
      <c r="Q31" s="36" t="s">
        <v>82</v>
      </c>
      <c r="R31" s="44" t="s">
        <v>1174</v>
      </c>
      <c r="S31" s="46"/>
    </row>
    <row r="32" spans="2:19" s="30" customFormat="1" ht="33" customHeight="1">
      <c r="B32" s="46" t="s">
        <v>220</v>
      </c>
      <c r="C32" s="35" t="s">
        <v>1175</v>
      </c>
      <c r="D32" s="36" t="s">
        <v>1176</v>
      </c>
      <c r="E32" s="37">
        <v>43567</v>
      </c>
      <c r="F32" s="36" t="s">
        <v>79</v>
      </c>
      <c r="G32" s="39">
        <v>20000</v>
      </c>
      <c r="H32" s="38">
        <f t="shared" si="3"/>
        <v>80</v>
      </c>
      <c r="I32" s="38">
        <f t="shared" si="1"/>
        <v>20</v>
      </c>
      <c r="J32" s="36"/>
      <c r="K32" s="40">
        <v>43667</v>
      </c>
      <c r="L32" s="41" t="s">
        <v>1319</v>
      </c>
      <c r="M32" s="42">
        <v>43658</v>
      </c>
      <c r="N32" s="43" t="s">
        <v>1311</v>
      </c>
      <c r="O32" s="42">
        <v>43667</v>
      </c>
      <c r="P32" s="41"/>
      <c r="Q32" s="36"/>
      <c r="R32" s="44" t="s">
        <v>1177</v>
      </c>
      <c r="S32" s="46"/>
    </row>
    <row r="33" spans="2:19" s="30" customFormat="1" ht="33" customHeight="1">
      <c r="B33" s="46" t="s">
        <v>78</v>
      </c>
      <c r="C33" s="35" t="s">
        <v>1178</v>
      </c>
      <c r="D33" s="36" t="s">
        <v>1179</v>
      </c>
      <c r="E33" s="37">
        <v>43567</v>
      </c>
      <c r="F33" s="36" t="s">
        <v>91</v>
      </c>
      <c r="G33" s="39">
        <v>10000</v>
      </c>
      <c r="H33" s="38">
        <f t="shared" si="3"/>
        <v>40</v>
      </c>
      <c r="I33" s="38">
        <f t="shared" si="1"/>
        <v>10</v>
      </c>
      <c r="J33" s="36"/>
      <c r="K33" s="40">
        <v>43674</v>
      </c>
      <c r="L33" s="41" t="s">
        <v>1322</v>
      </c>
      <c r="M33" s="42">
        <v>43668</v>
      </c>
      <c r="N33" s="43" t="s">
        <v>1312</v>
      </c>
      <c r="O33" s="42">
        <v>43674</v>
      </c>
      <c r="P33" s="41"/>
      <c r="Q33" s="36" t="s">
        <v>82</v>
      </c>
      <c r="R33" s="44" t="s">
        <v>1180</v>
      </c>
      <c r="S33" s="46"/>
    </row>
    <row r="34" spans="2:19" s="30" customFormat="1" ht="33" customHeight="1">
      <c r="B34" s="46" t="s">
        <v>220</v>
      </c>
      <c r="C34" s="35" t="s">
        <v>1181</v>
      </c>
      <c r="D34" s="36" t="s">
        <v>1182</v>
      </c>
      <c r="E34" s="37">
        <v>43567</v>
      </c>
      <c r="F34" s="36" t="s">
        <v>91</v>
      </c>
      <c r="G34" s="39">
        <v>10000</v>
      </c>
      <c r="H34" s="38">
        <f t="shared" si="3"/>
        <v>40</v>
      </c>
      <c r="I34" s="38">
        <f t="shared" si="1"/>
        <v>10</v>
      </c>
      <c r="J34" s="36"/>
      <c r="K34" s="40">
        <v>43674</v>
      </c>
      <c r="L34" s="41" t="s">
        <v>1321</v>
      </c>
      <c r="M34" s="42">
        <v>43668</v>
      </c>
      <c r="N34" s="43" t="s">
        <v>1312</v>
      </c>
      <c r="O34" s="42">
        <v>43674</v>
      </c>
      <c r="P34" s="41"/>
      <c r="Q34" s="36"/>
      <c r="R34" s="44" t="s">
        <v>1183</v>
      </c>
      <c r="S34" s="46"/>
    </row>
    <row r="35" spans="2:19" s="96" customFormat="1" ht="33" customHeight="1">
      <c r="B35" s="47" t="s">
        <v>17</v>
      </c>
      <c r="C35" s="48" t="s">
        <v>361</v>
      </c>
      <c r="D35" s="49" t="s">
        <v>384</v>
      </c>
      <c r="E35" s="50">
        <v>43441</v>
      </c>
      <c r="F35" s="52" t="s">
        <v>84</v>
      </c>
      <c r="G35" s="51">
        <v>9200</v>
      </c>
      <c r="H35" s="52">
        <f t="shared" ref="H35:H40" si="4">SUM(G35/230)</f>
        <v>40</v>
      </c>
      <c r="I35" s="52">
        <f t="shared" si="1"/>
        <v>10</v>
      </c>
      <c r="J35" s="49"/>
      <c r="K35" s="53">
        <v>43548</v>
      </c>
      <c r="L35" s="54" t="s">
        <v>476</v>
      </c>
      <c r="M35" s="55">
        <v>43543</v>
      </c>
      <c r="N35" s="56" t="s">
        <v>400</v>
      </c>
      <c r="O35" s="55">
        <v>43548</v>
      </c>
      <c r="P35" s="58"/>
      <c r="Q35" s="52" t="s">
        <v>82</v>
      </c>
      <c r="R35" s="57" t="s">
        <v>362</v>
      </c>
      <c r="S35" s="47"/>
    </row>
    <row r="36" spans="2:19" s="96" customFormat="1" ht="33" customHeight="1">
      <c r="B36" s="47" t="s">
        <v>17</v>
      </c>
      <c r="C36" s="48" t="s">
        <v>427</v>
      </c>
      <c r="D36" s="49" t="s">
        <v>491</v>
      </c>
      <c r="E36" s="50">
        <v>43483</v>
      </c>
      <c r="F36" s="52" t="s">
        <v>84</v>
      </c>
      <c r="G36" s="51">
        <v>9200</v>
      </c>
      <c r="H36" s="52">
        <f t="shared" si="4"/>
        <v>40</v>
      </c>
      <c r="I36" s="52">
        <f t="shared" si="1"/>
        <v>10</v>
      </c>
      <c r="J36" s="49"/>
      <c r="K36" s="53">
        <v>43576</v>
      </c>
      <c r="L36" s="54" t="s">
        <v>446</v>
      </c>
      <c r="M36" s="55">
        <v>43571</v>
      </c>
      <c r="N36" s="56" t="s">
        <v>445</v>
      </c>
      <c r="O36" s="55">
        <v>43576</v>
      </c>
      <c r="P36" s="58"/>
      <c r="Q36" s="52" t="s">
        <v>82</v>
      </c>
      <c r="R36" s="57" t="s">
        <v>466</v>
      </c>
      <c r="S36" s="47"/>
    </row>
    <row r="37" spans="2:19" s="67" customFormat="1" ht="33" customHeight="1">
      <c r="B37" s="46" t="s">
        <v>17</v>
      </c>
      <c r="C37" s="35" t="s">
        <v>581</v>
      </c>
      <c r="D37" s="36" t="s">
        <v>582</v>
      </c>
      <c r="E37" s="37">
        <v>43519</v>
      </c>
      <c r="F37" s="38" t="s">
        <v>84</v>
      </c>
      <c r="G37" s="39">
        <v>9200</v>
      </c>
      <c r="H37" s="38">
        <f t="shared" si="4"/>
        <v>40</v>
      </c>
      <c r="I37" s="38">
        <f t="shared" si="1"/>
        <v>10</v>
      </c>
      <c r="J37" s="36"/>
      <c r="K37" s="40">
        <v>43632</v>
      </c>
      <c r="L37" s="41" t="s">
        <v>807</v>
      </c>
      <c r="M37" s="42">
        <v>43627</v>
      </c>
      <c r="N37" s="43" t="s">
        <v>769</v>
      </c>
      <c r="O37" s="42">
        <v>43632</v>
      </c>
      <c r="P37" s="45"/>
      <c r="Q37" s="38" t="s">
        <v>82</v>
      </c>
      <c r="R37" s="44" t="s">
        <v>825</v>
      </c>
      <c r="S37" s="46"/>
    </row>
    <row r="38" spans="2:19" s="67" customFormat="1" ht="33" customHeight="1">
      <c r="B38" s="46" t="s">
        <v>17</v>
      </c>
      <c r="C38" s="35" t="s">
        <v>694</v>
      </c>
      <c r="D38" s="36" t="s">
        <v>695</v>
      </c>
      <c r="E38" s="37">
        <v>43532</v>
      </c>
      <c r="F38" s="38" t="s">
        <v>13</v>
      </c>
      <c r="G38" s="39">
        <v>9200</v>
      </c>
      <c r="H38" s="38">
        <f t="shared" si="4"/>
        <v>40</v>
      </c>
      <c r="I38" s="38">
        <f t="shared" si="1"/>
        <v>10</v>
      </c>
      <c r="J38" s="36"/>
      <c r="K38" s="130">
        <v>43660</v>
      </c>
      <c r="L38" s="119" t="s">
        <v>1864</v>
      </c>
      <c r="M38" s="120">
        <v>43655</v>
      </c>
      <c r="N38" s="121" t="s">
        <v>1863</v>
      </c>
      <c r="O38" s="120">
        <v>43660</v>
      </c>
      <c r="P38" s="45"/>
      <c r="Q38" s="38" t="s">
        <v>82</v>
      </c>
      <c r="R38" s="114" t="s">
        <v>1641</v>
      </c>
      <c r="S38" s="46"/>
    </row>
    <row r="39" spans="2:19" s="67" customFormat="1" ht="33" customHeight="1">
      <c r="B39" s="46" t="s">
        <v>81</v>
      </c>
      <c r="C39" s="35" t="s">
        <v>279</v>
      </c>
      <c r="D39" s="36" t="s">
        <v>288</v>
      </c>
      <c r="E39" s="37">
        <v>43392</v>
      </c>
      <c r="F39" s="38" t="s">
        <v>84</v>
      </c>
      <c r="G39" s="39">
        <v>11960</v>
      </c>
      <c r="H39" s="38">
        <f t="shared" si="4"/>
        <v>52</v>
      </c>
      <c r="I39" s="38">
        <f t="shared" si="1"/>
        <v>13</v>
      </c>
      <c r="J39" s="38"/>
      <c r="K39" s="40">
        <v>43597</v>
      </c>
      <c r="L39" s="41" t="s">
        <v>562</v>
      </c>
      <c r="M39" s="42">
        <v>43594</v>
      </c>
      <c r="N39" s="43" t="s">
        <v>561</v>
      </c>
      <c r="O39" s="42">
        <v>43598</v>
      </c>
      <c r="P39" s="45" t="s">
        <v>1567</v>
      </c>
      <c r="Q39" s="46"/>
      <c r="R39" s="44" t="s">
        <v>515</v>
      </c>
      <c r="S39" s="46"/>
    </row>
    <row r="40" spans="2:19" s="67" customFormat="1" ht="33" customHeight="1">
      <c r="B40" s="46" t="s">
        <v>81</v>
      </c>
      <c r="C40" s="35" t="s">
        <v>1328</v>
      </c>
      <c r="D40" s="36" t="s">
        <v>288</v>
      </c>
      <c r="E40" s="37">
        <v>43392</v>
      </c>
      <c r="F40" s="38" t="s">
        <v>84</v>
      </c>
      <c r="G40" s="39">
        <v>1840</v>
      </c>
      <c r="H40" s="38">
        <f t="shared" si="4"/>
        <v>8</v>
      </c>
      <c r="I40" s="38">
        <f t="shared" si="1"/>
        <v>2</v>
      </c>
      <c r="J40" s="38"/>
      <c r="K40" s="40">
        <v>43597</v>
      </c>
      <c r="L40" s="41" t="s">
        <v>773</v>
      </c>
      <c r="M40" s="42">
        <v>43601</v>
      </c>
      <c r="N40" s="43" t="s">
        <v>601</v>
      </c>
      <c r="O40" s="42">
        <v>43605</v>
      </c>
      <c r="P40" s="45" t="s">
        <v>1567</v>
      </c>
      <c r="Q40" s="46"/>
      <c r="R40" s="44" t="s">
        <v>515</v>
      </c>
      <c r="S40" s="46" t="s">
        <v>1329</v>
      </c>
    </row>
    <row r="41" spans="2:19" s="96" customFormat="1" ht="33" customHeight="1">
      <c r="B41" s="47" t="s">
        <v>81</v>
      </c>
      <c r="C41" s="48" t="s">
        <v>318</v>
      </c>
      <c r="D41" s="49" t="s">
        <v>319</v>
      </c>
      <c r="E41" s="50">
        <v>43420</v>
      </c>
      <c r="F41" s="52" t="s">
        <v>13</v>
      </c>
      <c r="G41" s="51">
        <v>17940</v>
      </c>
      <c r="H41" s="52">
        <f>SUM(G41/230)</f>
        <v>78</v>
      </c>
      <c r="I41" s="52">
        <f>SUM(H41/4)</f>
        <v>19.5</v>
      </c>
      <c r="J41" s="52"/>
      <c r="K41" s="53">
        <v>43576</v>
      </c>
      <c r="L41" s="54" t="s">
        <v>480</v>
      </c>
      <c r="M41" s="55">
        <v>43564</v>
      </c>
      <c r="N41" s="56" t="s">
        <v>405</v>
      </c>
      <c r="O41" s="55">
        <v>43569</v>
      </c>
      <c r="P41" s="58"/>
      <c r="Q41" s="47"/>
      <c r="R41" s="57" t="s">
        <v>516</v>
      </c>
      <c r="S41" s="47" t="s">
        <v>391</v>
      </c>
    </row>
    <row r="42" spans="2:19" s="67" customFormat="1" ht="33" customHeight="1">
      <c r="B42" s="46" t="s">
        <v>81</v>
      </c>
      <c r="C42" s="35" t="s">
        <v>700</v>
      </c>
      <c r="D42" s="36" t="s">
        <v>701</v>
      </c>
      <c r="E42" s="37">
        <v>43532</v>
      </c>
      <c r="F42" s="38" t="s">
        <v>13</v>
      </c>
      <c r="G42" s="39">
        <v>13800</v>
      </c>
      <c r="H42" s="38">
        <f t="shared" ref="H42:H46" si="5">SUM(G42/230)</f>
        <v>60</v>
      </c>
      <c r="I42" s="38">
        <f t="shared" ref="I42:I46" si="6">SUM(H42/4)</f>
        <v>15</v>
      </c>
      <c r="J42" s="38"/>
      <c r="K42" s="40">
        <v>43625</v>
      </c>
      <c r="L42" s="41" t="s">
        <v>975</v>
      </c>
      <c r="M42" s="42">
        <v>43620</v>
      </c>
      <c r="N42" s="43" t="s">
        <v>768</v>
      </c>
      <c r="O42" s="42">
        <v>43625</v>
      </c>
      <c r="P42" s="45"/>
      <c r="Q42" s="46"/>
      <c r="R42" s="44" t="s">
        <v>850</v>
      </c>
      <c r="S42" s="46"/>
    </row>
    <row r="43" spans="2:19" s="67" customFormat="1" ht="33" customHeight="1">
      <c r="B43" s="46" t="s">
        <v>81</v>
      </c>
      <c r="C43" s="35" t="s">
        <v>702</v>
      </c>
      <c r="D43" s="36" t="s">
        <v>703</v>
      </c>
      <c r="E43" s="37">
        <v>43532</v>
      </c>
      <c r="F43" s="38" t="s">
        <v>13</v>
      </c>
      <c r="G43" s="39">
        <v>9200</v>
      </c>
      <c r="H43" s="38">
        <f t="shared" si="5"/>
        <v>40</v>
      </c>
      <c r="I43" s="38">
        <f t="shared" si="6"/>
        <v>10</v>
      </c>
      <c r="J43" s="38"/>
      <c r="K43" s="40">
        <v>43646</v>
      </c>
      <c r="L43" s="41" t="s">
        <v>976</v>
      </c>
      <c r="M43" s="42">
        <v>43641</v>
      </c>
      <c r="N43" s="43" t="s">
        <v>776</v>
      </c>
      <c r="O43" s="42">
        <v>43646</v>
      </c>
      <c r="P43" s="45"/>
      <c r="Q43" s="46"/>
      <c r="R43" s="44" t="s">
        <v>851</v>
      </c>
      <c r="S43" s="46"/>
    </row>
    <row r="44" spans="2:19" s="67" customFormat="1" ht="33" customHeight="1">
      <c r="B44" s="46" t="s">
        <v>81</v>
      </c>
      <c r="C44" s="35" t="s">
        <v>852</v>
      </c>
      <c r="D44" s="36"/>
      <c r="E44" s="37">
        <v>43558</v>
      </c>
      <c r="F44" s="38" t="s">
        <v>13</v>
      </c>
      <c r="G44" s="39">
        <v>9200</v>
      </c>
      <c r="H44" s="38">
        <f t="shared" si="5"/>
        <v>40</v>
      </c>
      <c r="I44" s="38">
        <f t="shared" si="6"/>
        <v>10</v>
      </c>
      <c r="J44" s="38"/>
      <c r="K44" s="40">
        <v>43646</v>
      </c>
      <c r="L44" s="41" t="s">
        <v>976</v>
      </c>
      <c r="M44" s="42">
        <v>43641</v>
      </c>
      <c r="N44" s="43" t="s">
        <v>776</v>
      </c>
      <c r="O44" s="42">
        <v>43646</v>
      </c>
      <c r="P44" s="45"/>
      <c r="Q44" s="46"/>
      <c r="R44" s="44" t="s">
        <v>851</v>
      </c>
      <c r="S44" s="46"/>
    </row>
    <row r="45" spans="2:19" s="67" customFormat="1" ht="33" customHeight="1">
      <c r="B45" s="46" t="s">
        <v>81</v>
      </c>
      <c r="C45" s="35" t="s">
        <v>1435</v>
      </c>
      <c r="D45" s="36" t="s">
        <v>1436</v>
      </c>
      <c r="E45" s="37">
        <v>43574</v>
      </c>
      <c r="F45" s="38" t="s">
        <v>13</v>
      </c>
      <c r="G45" s="39">
        <v>18400</v>
      </c>
      <c r="H45" s="38">
        <f t="shared" si="5"/>
        <v>80</v>
      </c>
      <c r="I45" s="38">
        <f t="shared" si="6"/>
        <v>20</v>
      </c>
      <c r="J45" s="38"/>
      <c r="K45" s="40">
        <v>43667</v>
      </c>
      <c r="L45" s="41" t="s">
        <v>1326</v>
      </c>
      <c r="M45" s="42">
        <v>43662</v>
      </c>
      <c r="N45" s="43" t="s">
        <v>836</v>
      </c>
      <c r="O45" s="42">
        <v>43667</v>
      </c>
      <c r="P45" s="45"/>
      <c r="Q45" s="46"/>
      <c r="R45" s="44" t="s">
        <v>1208</v>
      </c>
      <c r="S45" s="46"/>
    </row>
    <row r="46" spans="2:19" s="67" customFormat="1" ht="33" customHeight="1">
      <c r="B46" s="46" t="s">
        <v>704</v>
      </c>
      <c r="C46" s="35" t="s">
        <v>209</v>
      </c>
      <c r="D46" s="36" t="s">
        <v>705</v>
      </c>
      <c r="E46" s="37">
        <v>43532</v>
      </c>
      <c r="F46" s="38" t="s">
        <v>13</v>
      </c>
      <c r="G46" s="39">
        <v>920</v>
      </c>
      <c r="H46" s="38">
        <f t="shared" si="5"/>
        <v>4</v>
      </c>
      <c r="I46" s="38">
        <f t="shared" si="6"/>
        <v>1</v>
      </c>
      <c r="J46" s="38"/>
      <c r="K46" s="40">
        <v>43609</v>
      </c>
      <c r="L46" s="41" t="s">
        <v>773</v>
      </c>
      <c r="M46" s="42">
        <v>43601</v>
      </c>
      <c r="N46" s="43" t="s">
        <v>774</v>
      </c>
      <c r="O46" s="42">
        <v>43605</v>
      </c>
      <c r="P46" s="45"/>
      <c r="Q46" s="46"/>
      <c r="R46" s="44"/>
      <c r="S46" s="46" t="s">
        <v>706</v>
      </c>
    </row>
    <row r="47" spans="2:19" s="96" customFormat="1" ht="33" customHeight="1">
      <c r="B47" s="47" t="s">
        <v>517</v>
      </c>
      <c r="C47" s="48" t="s">
        <v>209</v>
      </c>
      <c r="D47" s="49" t="s">
        <v>583</v>
      </c>
      <c r="E47" s="50">
        <v>43511</v>
      </c>
      <c r="F47" s="52" t="s">
        <v>13</v>
      </c>
      <c r="G47" s="51">
        <v>460</v>
      </c>
      <c r="H47" s="52">
        <f>SUM(G47/230)</f>
        <v>2</v>
      </c>
      <c r="I47" s="52">
        <f>SUM(H47/4)</f>
        <v>0.5</v>
      </c>
      <c r="J47" s="52"/>
      <c r="K47" s="53">
        <v>43576</v>
      </c>
      <c r="L47" s="54" t="s">
        <v>480</v>
      </c>
      <c r="M47" s="55">
        <v>43564</v>
      </c>
      <c r="N47" s="56" t="s">
        <v>646</v>
      </c>
      <c r="O47" s="55">
        <v>43569</v>
      </c>
      <c r="P47" s="58"/>
      <c r="Q47" s="47"/>
      <c r="R47" s="57" t="s">
        <v>516</v>
      </c>
      <c r="S47" s="47"/>
    </row>
    <row r="48" spans="2:19" s="33" customFormat="1" ht="33" customHeight="1">
      <c r="B48" s="47" t="s">
        <v>222</v>
      </c>
      <c r="C48" s="48" t="s">
        <v>324</v>
      </c>
      <c r="D48" s="49" t="s">
        <v>325</v>
      </c>
      <c r="E48" s="50">
        <v>43420</v>
      </c>
      <c r="F48" s="52" t="s">
        <v>13</v>
      </c>
      <c r="G48" s="51">
        <v>1920</v>
      </c>
      <c r="H48" s="52">
        <f t="shared" ref="H48:H56" si="7">SUM(G48/20)</f>
        <v>96</v>
      </c>
      <c r="I48" s="52">
        <f t="shared" ref="I48:I56" si="8">SUM(H48/32)</f>
        <v>3</v>
      </c>
      <c r="J48" s="59"/>
      <c r="K48" s="53">
        <v>43541</v>
      </c>
      <c r="L48" s="54" t="s">
        <v>501</v>
      </c>
      <c r="M48" s="55">
        <v>43531</v>
      </c>
      <c r="N48" s="56" t="s">
        <v>569</v>
      </c>
      <c r="O48" s="55">
        <v>43535</v>
      </c>
      <c r="P48" s="58"/>
      <c r="Q48" s="60" t="s">
        <v>89</v>
      </c>
      <c r="R48" s="57" t="s">
        <v>326</v>
      </c>
      <c r="S48" s="47" t="s">
        <v>645</v>
      </c>
    </row>
    <row r="49" spans="2:19" s="33" customFormat="1" ht="33" customHeight="1">
      <c r="B49" s="47" t="s">
        <v>222</v>
      </c>
      <c r="C49" s="48" t="s">
        <v>500</v>
      </c>
      <c r="D49" s="49" t="s">
        <v>325</v>
      </c>
      <c r="E49" s="50">
        <v>43420</v>
      </c>
      <c r="F49" s="52" t="s">
        <v>13</v>
      </c>
      <c r="G49" s="51">
        <v>1280</v>
      </c>
      <c r="H49" s="52">
        <f t="shared" si="7"/>
        <v>64</v>
      </c>
      <c r="I49" s="52">
        <f t="shared" si="8"/>
        <v>2</v>
      </c>
      <c r="J49" s="59"/>
      <c r="K49" s="53">
        <v>43541</v>
      </c>
      <c r="L49" s="54" t="s">
        <v>563</v>
      </c>
      <c r="M49" s="55">
        <v>43536</v>
      </c>
      <c r="N49" s="56" t="s">
        <v>346</v>
      </c>
      <c r="O49" s="55">
        <v>43541</v>
      </c>
      <c r="P49" s="58"/>
      <c r="Q49" s="60" t="s">
        <v>89</v>
      </c>
      <c r="R49" s="57" t="s">
        <v>326</v>
      </c>
      <c r="S49" s="47" t="s">
        <v>395</v>
      </c>
    </row>
    <row r="50" spans="2:19" s="33" customFormat="1" ht="33" customHeight="1">
      <c r="B50" s="47" t="s">
        <v>222</v>
      </c>
      <c r="C50" s="48" t="s">
        <v>430</v>
      </c>
      <c r="D50" s="49" t="s">
        <v>470</v>
      </c>
      <c r="E50" s="50">
        <v>43473</v>
      </c>
      <c r="F50" s="52" t="s">
        <v>13</v>
      </c>
      <c r="G50" s="51">
        <v>1920</v>
      </c>
      <c r="H50" s="52">
        <f t="shared" si="7"/>
        <v>96</v>
      </c>
      <c r="I50" s="52">
        <f t="shared" si="8"/>
        <v>3</v>
      </c>
      <c r="J50" s="59"/>
      <c r="K50" s="53">
        <v>43555</v>
      </c>
      <c r="L50" s="54" t="s">
        <v>644</v>
      </c>
      <c r="M50" s="55">
        <v>43550</v>
      </c>
      <c r="N50" s="56" t="s">
        <v>344</v>
      </c>
      <c r="O50" s="55">
        <v>43555</v>
      </c>
      <c r="P50" s="58"/>
      <c r="Q50" s="60" t="s">
        <v>89</v>
      </c>
      <c r="R50" s="57" t="s">
        <v>518</v>
      </c>
      <c r="S50" s="47"/>
    </row>
    <row r="51" spans="2:19" s="33" customFormat="1" ht="33" customHeight="1">
      <c r="B51" s="47" t="s">
        <v>222</v>
      </c>
      <c r="C51" s="48" t="s">
        <v>430</v>
      </c>
      <c r="D51" s="49" t="s">
        <v>470</v>
      </c>
      <c r="E51" s="50">
        <v>43473</v>
      </c>
      <c r="F51" s="52" t="s">
        <v>13</v>
      </c>
      <c r="G51" s="51">
        <v>1920</v>
      </c>
      <c r="H51" s="52">
        <f t="shared" si="7"/>
        <v>96</v>
      </c>
      <c r="I51" s="52">
        <f t="shared" si="8"/>
        <v>3</v>
      </c>
      <c r="J51" s="59"/>
      <c r="K51" s="53">
        <v>43555</v>
      </c>
      <c r="L51" s="54" t="s">
        <v>449</v>
      </c>
      <c r="M51" s="55">
        <v>43564</v>
      </c>
      <c r="N51" s="56" t="s">
        <v>405</v>
      </c>
      <c r="O51" s="55">
        <v>43569</v>
      </c>
      <c r="P51" s="58"/>
      <c r="Q51" s="60" t="s">
        <v>89</v>
      </c>
      <c r="R51" s="57" t="s">
        <v>518</v>
      </c>
      <c r="S51" s="47"/>
    </row>
    <row r="52" spans="2:19" s="33" customFormat="1" ht="33" customHeight="1">
      <c r="B52" s="47" t="s">
        <v>222</v>
      </c>
      <c r="C52" s="48" t="s">
        <v>519</v>
      </c>
      <c r="D52" s="49" t="s">
        <v>710</v>
      </c>
      <c r="E52" s="50">
        <v>43511</v>
      </c>
      <c r="F52" s="52" t="s">
        <v>13</v>
      </c>
      <c r="G52" s="51">
        <v>640</v>
      </c>
      <c r="H52" s="52">
        <f t="shared" si="7"/>
        <v>32</v>
      </c>
      <c r="I52" s="52">
        <f t="shared" si="8"/>
        <v>1</v>
      </c>
      <c r="J52" s="59"/>
      <c r="K52" s="53">
        <v>43555</v>
      </c>
      <c r="L52" s="54" t="s">
        <v>564</v>
      </c>
      <c r="M52" s="55">
        <v>43557</v>
      </c>
      <c r="N52" s="56" t="s">
        <v>403</v>
      </c>
      <c r="O52" s="55">
        <v>43562</v>
      </c>
      <c r="P52" s="58"/>
      <c r="Q52" s="60" t="s">
        <v>89</v>
      </c>
      <c r="R52" s="57" t="s">
        <v>518</v>
      </c>
      <c r="S52" s="47"/>
    </row>
    <row r="53" spans="2:19" s="33" customFormat="1" ht="33" customHeight="1">
      <c r="B53" s="47" t="s">
        <v>222</v>
      </c>
      <c r="C53" s="48" t="s">
        <v>520</v>
      </c>
      <c r="D53" s="49" t="s">
        <v>584</v>
      </c>
      <c r="E53" s="50">
        <v>43511</v>
      </c>
      <c r="F53" s="52" t="s">
        <v>13</v>
      </c>
      <c r="G53" s="51">
        <v>1920</v>
      </c>
      <c r="H53" s="52">
        <f t="shared" si="7"/>
        <v>96</v>
      </c>
      <c r="I53" s="52">
        <f t="shared" si="8"/>
        <v>3</v>
      </c>
      <c r="J53" s="59"/>
      <c r="K53" s="53">
        <v>43576</v>
      </c>
      <c r="L53" s="54" t="s">
        <v>503</v>
      </c>
      <c r="M53" s="55">
        <v>43571</v>
      </c>
      <c r="N53" s="56" t="s">
        <v>445</v>
      </c>
      <c r="O53" s="55">
        <v>43576</v>
      </c>
      <c r="P53" s="58"/>
      <c r="Q53" s="60" t="s">
        <v>89</v>
      </c>
      <c r="R53" s="57" t="s">
        <v>585</v>
      </c>
      <c r="S53" s="47"/>
    </row>
    <row r="54" spans="2:19" s="30" customFormat="1" ht="33" customHeight="1">
      <c r="B54" s="46" t="s">
        <v>222</v>
      </c>
      <c r="C54" s="35" t="s">
        <v>586</v>
      </c>
      <c r="D54" s="36" t="s">
        <v>640</v>
      </c>
      <c r="E54" s="37">
        <v>43519</v>
      </c>
      <c r="F54" s="38" t="s">
        <v>13</v>
      </c>
      <c r="G54" s="39">
        <v>1920</v>
      </c>
      <c r="H54" s="38">
        <f t="shared" si="7"/>
        <v>96</v>
      </c>
      <c r="I54" s="38">
        <f t="shared" si="8"/>
        <v>3</v>
      </c>
      <c r="J54" s="61"/>
      <c r="K54" s="40">
        <v>43611</v>
      </c>
      <c r="L54" s="41" t="s">
        <v>607</v>
      </c>
      <c r="M54" s="42">
        <v>43601</v>
      </c>
      <c r="N54" s="43" t="s">
        <v>601</v>
      </c>
      <c r="O54" s="42">
        <v>43605</v>
      </c>
      <c r="P54" s="45"/>
      <c r="Q54" s="62" t="s">
        <v>89</v>
      </c>
      <c r="R54" s="44" t="s">
        <v>790</v>
      </c>
      <c r="S54" s="46" t="s">
        <v>980</v>
      </c>
    </row>
    <row r="55" spans="2:19" s="30" customFormat="1" ht="33" customHeight="1">
      <c r="B55" s="46" t="s">
        <v>222</v>
      </c>
      <c r="C55" s="35" t="s">
        <v>713</v>
      </c>
      <c r="D55" s="36" t="s">
        <v>714</v>
      </c>
      <c r="E55" s="37">
        <v>43532</v>
      </c>
      <c r="F55" s="38" t="s">
        <v>13</v>
      </c>
      <c r="G55" s="39">
        <v>2560</v>
      </c>
      <c r="H55" s="38">
        <f t="shared" si="7"/>
        <v>128</v>
      </c>
      <c r="I55" s="38">
        <f t="shared" si="8"/>
        <v>4</v>
      </c>
      <c r="J55" s="61"/>
      <c r="K55" s="40">
        <v>43639</v>
      </c>
      <c r="L55" s="41" t="s">
        <v>1083</v>
      </c>
      <c r="M55" s="42">
        <v>43634</v>
      </c>
      <c r="N55" s="43" t="s">
        <v>1084</v>
      </c>
      <c r="O55" s="42">
        <v>43639</v>
      </c>
      <c r="P55" s="45"/>
      <c r="Q55" s="62" t="s">
        <v>89</v>
      </c>
      <c r="R55" s="44" t="s">
        <v>1026</v>
      </c>
      <c r="S55" s="46"/>
    </row>
    <row r="56" spans="2:19" s="30" customFormat="1" ht="33" customHeight="1">
      <c r="B56" s="46" t="s">
        <v>222</v>
      </c>
      <c r="C56" s="35" t="s">
        <v>1184</v>
      </c>
      <c r="D56" s="36" t="s">
        <v>1185</v>
      </c>
      <c r="E56" s="37">
        <v>43567</v>
      </c>
      <c r="F56" s="38" t="s">
        <v>13</v>
      </c>
      <c r="G56" s="39">
        <v>2560</v>
      </c>
      <c r="H56" s="38">
        <f t="shared" si="7"/>
        <v>128</v>
      </c>
      <c r="I56" s="38">
        <f t="shared" si="8"/>
        <v>4</v>
      </c>
      <c r="J56" s="61"/>
      <c r="K56" s="40">
        <v>43674</v>
      </c>
      <c r="L56" s="41" t="s">
        <v>1323</v>
      </c>
      <c r="M56" s="42">
        <v>43669</v>
      </c>
      <c r="N56" s="43" t="s">
        <v>1313</v>
      </c>
      <c r="O56" s="42">
        <v>43674</v>
      </c>
      <c r="P56" s="45"/>
      <c r="Q56" s="62" t="s">
        <v>89</v>
      </c>
      <c r="R56" s="44" t="s">
        <v>1186</v>
      </c>
      <c r="S56" s="46"/>
    </row>
    <row r="57" spans="2:19" s="33" customFormat="1" ht="33" customHeight="1">
      <c r="B57" s="47" t="s">
        <v>38</v>
      </c>
      <c r="C57" s="48" t="s">
        <v>225</v>
      </c>
      <c r="D57" s="49" t="s">
        <v>587</v>
      </c>
      <c r="E57" s="50">
        <v>43519</v>
      </c>
      <c r="F57" s="52" t="s">
        <v>14</v>
      </c>
      <c r="G57" s="64">
        <v>640</v>
      </c>
      <c r="H57" s="52">
        <f>SUBTOTAL(9,G57)/20</f>
        <v>32</v>
      </c>
      <c r="I57" s="52">
        <f>H57/32</f>
        <v>1</v>
      </c>
      <c r="J57" s="52"/>
      <c r="K57" s="53">
        <v>43583</v>
      </c>
      <c r="L57" s="54" t="s">
        <v>565</v>
      </c>
      <c r="M57" s="55">
        <v>43578</v>
      </c>
      <c r="N57" s="56" t="s">
        <v>447</v>
      </c>
      <c r="O57" s="55">
        <v>43583</v>
      </c>
      <c r="P57" s="58"/>
      <c r="Q57" s="52"/>
      <c r="R57" s="63" t="s">
        <v>515</v>
      </c>
      <c r="S57" s="47"/>
    </row>
    <row r="58" spans="2:19" s="30" customFormat="1" ht="33" customHeight="1">
      <c r="B58" s="46" t="s">
        <v>38</v>
      </c>
      <c r="C58" s="35" t="s">
        <v>226</v>
      </c>
      <c r="D58" s="36" t="s">
        <v>1194</v>
      </c>
      <c r="E58" s="37">
        <v>43567</v>
      </c>
      <c r="F58" s="38" t="s">
        <v>14</v>
      </c>
      <c r="G58" s="65">
        <v>640</v>
      </c>
      <c r="H58" s="38">
        <f>SUBTOTAL(9,G58)/20</f>
        <v>32</v>
      </c>
      <c r="I58" s="38">
        <f>H58/32</f>
        <v>1</v>
      </c>
      <c r="J58" s="38"/>
      <c r="K58" s="40">
        <v>43667</v>
      </c>
      <c r="L58" s="41" t="s">
        <v>1325</v>
      </c>
      <c r="M58" s="42">
        <v>43662</v>
      </c>
      <c r="N58" s="43" t="s">
        <v>836</v>
      </c>
      <c r="O58" s="42">
        <v>43667</v>
      </c>
      <c r="P58" s="45"/>
      <c r="Q58" s="38"/>
      <c r="R58" s="66" t="s">
        <v>1196</v>
      </c>
      <c r="S58" s="46"/>
    </row>
    <row r="59" spans="2:19" s="33" customFormat="1" ht="33" customHeight="1">
      <c r="B59" s="47" t="s">
        <v>88</v>
      </c>
      <c r="C59" s="48" t="s">
        <v>431</v>
      </c>
      <c r="D59" s="49" t="s">
        <v>471</v>
      </c>
      <c r="E59" s="50">
        <v>43483</v>
      </c>
      <c r="F59" s="52" t="s">
        <v>14</v>
      </c>
      <c r="G59" s="64">
        <v>760</v>
      </c>
      <c r="H59" s="52">
        <f>SUBTOTAL(9,G59)/190</f>
        <v>4</v>
      </c>
      <c r="I59" s="52">
        <f>H59/4</f>
        <v>1</v>
      </c>
      <c r="J59" s="52"/>
      <c r="K59" s="53">
        <v>43569</v>
      </c>
      <c r="L59" s="54" t="s">
        <v>417</v>
      </c>
      <c r="M59" s="55">
        <v>43564</v>
      </c>
      <c r="N59" s="56" t="s">
        <v>405</v>
      </c>
      <c r="O59" s="55">
        <v>43569</v>
      </c>
      <c r="P59" s="58"/>
      <c r="Q59" s="52"/>
      <c r="R59" s="63" t="s">
        <v>493</v>
      </c>
      <c r="S59" s="47"/>
    </row>
    <row r="60" spans="2:19" s="33" customFormat="1" ht="33" customHeight="1">
      <c r="B60" s="47" t="s">
        <v>88</v>
      </c>
      <c r="C60" s="48" t="s">
        <v>523</v>
      </c>
      <c r="D60" s="49" t="s">
        <v>588</v>
      </c>
      <c r="E60" s="50">
        <v>43511</v>
      </c>
      <c r="F60" s="52" t="s">
        <v>14</v>
      </c>
      <c r="G60" s="64">
        <v>760</v>
      </c>
      <c r="H60" s="52">
        <f>SUBTOTAL(9,G60)/190</f>
        <v>4</v>
      </c>
      <c r="I60" s="52">
        <f>H60/4</f>
        <v>1</v>
      </c>
      <c r="J60" s="52"/>
      <c r="K60" s="53">
        <v>43583</v>
      </c>
      <c r="L60" s="54" t="s">
        <v>565</v>
      </c>
      <c r="M60" s="55">
        <v>43578</v>
      </c>
      <c r="N60" s="56" t="s">
        <v>447</v>
      </c>
      <c r="O60" s="55">
        <v>43583</v>
      </c>
      <c r="P60" s="58"/>
      <c r="Q60" s="52"/>
      <c r="R60" s="63" t="s">
        <v>320</v>
      </c>
      <c r="S60" s="47"/>
    </row>
    <row r="61" spans="2:19" s="30" customFormat="1" ht="33" customHeight="1">
      <c r="B61" s="46" t="s">
        <v>88</v>
      </c>
      <c r="C61" s="35" t="s">
        <v>589</v>
      </c>
      <c r="D61" s="36" t="s">
        <v>590</v>
      </c>
      <c r="E61" s="37">
        <v>43519</v>
      </c>
      <c r="F61" s="38" t="s">
        <v>14</v>
      </c>
      <c r="G61" s="65">
        <v>760</v>
      </c>
      <c r="H61" s="38">
        <f>SUBTOTAL(9,G61)/190</f>
        <v>4</v>
      </c>
      <c r="I61" s="38">
        <f>H61/4</f>
        <v>1</v>
      </c>
      <c r="J61" s="38"/>
      <c r="K61" s="40">
        <v>43597</v>
      </c>
      <c r="L61" s="41" t="s">
        <v>606</v>
      </c>
      <c r="M61" s="42">
        <v>43592</v>
      </c>
      <c r="N61" s="43" t="s">
        <v>600</v>
      </c>
      <c r="O61" s="42">
        <v>43597</v>
      </c>
      <c r="P61" s="45"/>
      <c r="Q61" s="38"/>
      <c r="R61" s="66" t="s">
        <v>469</v>
      </c>
      <c r="S61" s="46"/>
    </row>
    <row r="62" spans="2:19" s="30" customFormat="1" ht="33" customHeight="1">
      <c r="B62" s="46" t="s">
        <v>88</v>
      </c>
      <c r="C62" s="35" t="s">
        <v>1333</v>
      </c>
      <c r="D62" s="36" t="s">
        <v>1207</v>
      </c>
      <c r="E62" s="37">
        <v>43567</v>
      </c>
      <c r="F62" s="38" t="s">
        <v>14</v>
      </c>
      <c r="G62" s="65">
        <v>760</v>
      </c>
      <c r="H62" s="38">
        <f>SUBTOTAL(9,G62)/190</f>
        <v>4</v>
      </c>
      <c r="I62" s="38">
        <f>H62/4</f>
        <v>1</v>
      </c>
      <c r="J62" s="38"/>
      <c r="K62" s="40">
        <v>43667</v>
      </c>
      <c r="L62" s="41" t="s">
        <v>1325</v>
      </c>
      <c r="M62" s="42">
        <v>43662</v>
      </c>
      <c r="N62" s="43" t="s">
        <v>836</v>
      </c>
      <c r="O62" s="42">
        <v>43667</v>
      </c>
      <c r="P62" s="45"/>
      <c r="Q62" s="38"/>
      <c r="R62" s="66" t="s">
        <v>1208</v>
      </c>
      <c r="S62" s="46"/>
    </row>
    <row r="63" spans="2:19" s="33" customFormat="1" ht="33" customHeight="1">
      <c r="B63" s="47" t="s">
        <v>83</v>
      </c>
      <c r="C63" s="48" t="s">
        <v>408</v>
      </c>
      <c r="D63" s="49" t="s">
        <v>415</v>
      </c>
      <c r="E63" s="50">
        <v>43462</v>
      </c>
      <c r="F63" s="52" t="s">
        <v>77</v>
      </c>
      <c r="G63" s="51">
        <v>960</v>
      </c>
      <c r="H63" s="52">
        <f t="shared" ref="H63:H70" si="9">SUM(G63/240)</f>
        <v>4</v>
      </c>
      <c r="I63" s="52">
        <f t="shared" ref="I63:I70" si="10">SUM(H63/4)</f>
        <v>1</v>
      </c>
      <c r="J63" s="52"/>
      <c r="K63" s="53">
        <v>43148</v>
      </c>
      <c r="L63" s="54" t="s">
        <v>501</v>
      </c>
      <c r="M63" s="55">
        <v>43531</v>
      </c>
      <c r="N63" s="56" t="s">
        <v>568</v>
      </c>
      <c r="O63" s="55">
        <v>43535</v>
      </c>
      <c r="P63" s="58" t="s">
        <v>656</v>
      </c>
      <c r="Q63" s="52"/>
      <c r="R63" s="118" t="s">
        <v>392</v>
      </c>
      <c r="S63" s="47" t="s">
        <v>609</v>
      </c>
    </row>
    <row r="64" spans="2:19" s="33" customFormat="1" ht="33" customHeight="1">
      <c r="B64" s="47" t="s">
        <v>83</v>
      </c>
      <c r="C64" s="48" t="s">
        <v>478</v>
      </c>
      <c r="D64" s="49" t="s">
        <v>485</v>
      </c>
      <c r="E64" s="50">
        <v>43462</v>
      </c>
      <c r="F64" s="52" t="s">
        <v>77</v>
      </c>
      <c r="G64" s="51">
        <v>2880</v>
      </c>
      <c r="H64" s="52">
        <f t="shared" si="9"/>
        <v>12</v>
      </c>
      <c r="I64" s="52">
        <f t="shared" si="10"/>
        <v>3</v>
      </c>
      <c r="J64" s="52"/>
      <c r="K64" s="53">
        <v>43541</v>
      </c>
      <c r="L64" s="54" t="s">
        <v>501</v>
      </c>
      <c r="M64" s="55">
        <v>43531</v>
      </c>
      <c r="N64" s="56" t="s">
        <v>568</v>
      </c>
      <c r="O64" s="55">
        <v>43535</v>
      </c>
      <c r="P64" s="58" t="s">
        <v>657</v>
      </c>
      <c r="Q64" s="52"/>
      <c r="R64" s="118" t="s">
        <v>486</v>
      </c>
      <c r="S64" s="47" t="s">
        <v>610</v>
      </c>
    </row>
    <row r="65" spans="2:19" s="33" customFormat="1" ht="33" customHeight="1">
      <c r="B65" s="47" t="s">
        <v>83</v>
      </c>
      <c r="C65" s="48" t="s">
        <v>232</v>
      </c>
      <c r="D65" s="49" t="s">
        <v>386</v>
      </c>
      <c r="E65" s="50">
        <v>43455</v>
      </c>
      <c r="F65" s="52" t="s">
        <v>77</v>
      </c>
      <c r="G65" s="51">
        <v>5760</v>
      </c>
      <c r="H65" s="52">
        <f t="shared" si="9"/>
        <v>24</v>
      </c>
      <c r="I65" s="52">
        <f t="shared" si="10"/>
        <v>6</v>
      </c>
      <c r="J65" s="52"/>
      <c r="K65" s="53">
        <v>43541</v>
      </c>
      <c r="L65" s="54" t="s">
        <v>476</v>
      </c>
      <c r="M65" s="55">
        <v>43543</v>
      </c>
      <c r="N65" s="56" t="s">
        <v>400</v>
      </c>
      <c r="O65" s="55">
        <v>43548</v>
      </c>
      <c r="P65" s="58" t="s">
        <v>658</v>
      </c>
      <c r="Q65" s="52"/>
      <c r="R65" s="118" t="s">
        <v>387</v>
      </c>
      <c r="S65" s="47"/>
    </row>
    <row r="66" spans="2:19" s="33" customFormat="1" ht="33" customHeight="1">
      <c r="B66" s="47" t="s">
        <v>83</v>
      </c>
      <c r="C66" s="48" t="s">
        <v>244</v>
      </c>
      <c r="D66" s="49" t="s">
        <v>722</v>
      </c>
      <c r="E66" s="50">
        <v>43483</v>
      </c>
      <c r="F66" s="52" t="s">
        <v>77</v>
      </c>
      <c r="G66" s="51">
        <v>6720</v>
      </c>
      <c r="H66" s="52">
        <f t="shared" si="9"/>
        <v>28</v>
      </c>
      <c r="I66" s="52">
        <f t="shared" si="10"/>
        <v>7</v>
      </c>
      <c r="J66" s="52"/>
      <c r="K66" s="53">
        <v>43569</v>
      </c>
      <c r="L66" s="54" t="s">
        <v>480</v>
      </c>
      <c r="M66" s="55">
        <v>43564</v>
      </c>
      <c r="N66" s="56" t="s">
        <v>646</v>
      </c>
      <c r="O66" s="55">
        <v>43569</v>
      </c>
      <c r="P66" s="58" t="s">
        <v>659</v>
      </c>
      <c r="Q66" s="52"/>
      <c r="R66" s="118" t="s">
        <v>432</v>
      </c>
      <c r="S66" s="47"/>
    </row>
    <row r="67" spans="2:19" s="33" customFormat="1" ht="33" customHeight="1">
      <c r="B67" s="47" t="s">
        <v>83</v>
      </c>
      <c r="C67" s="48" t="s">
        <v>660</v>
      </c>
      <c r="D67" s="49" t="s">
        <v>472</v>
      </c>
      <c r="E67" s="50">
        <v>43483</v>
      </c>
      <c r="F67" s="52" t="s">
        <v>77</v>
      </c>
      <c r="G67" s="51">
        <v>5760</v>
      </c>
      <c r="H67" s="52">
        <f>SUM(G67/240)</f>
        <v>24</v>
      </c>
      <c r="I67" s="52">
        <f>SUM(H67/4)</f>
        <v>6</v>
      </c>
      <c r="J67" s="52"/>
      <c r="K67" s="53">
        <v>43583</v>
      </c>
      <c r="L67" s="54" t="s">
        <v>448</v>
      </c>
      <c r="M67" s="55">
        <v>43578</v>
      </c>
      <c r="N67" s="56" t="s">
        <v>447</v>
      </c>
      <c r="O67" s="55">
        <v>43583</v>
      </c>
      <c r="P67" s="58" t="s">
        <v>662</v>
      </c>
      <c r="Q67" s="52"/>
      <c r="R67" s="118" t="s">
        <v>432</v>
      </c>
      <c r="S67" s="47"/>
    </row>
    <row r="68" spans="2:19" s="30" customFormat="1" ht="33" customHeight="1">
      <c r="B68" s="46" t="s">
        <v>83</v>
      </c>
      <c r="C68" s="35" t="s">
        <v>258</v>
      </c>
      <c r="D68" s="36" t="s">
        <v>591</v>
      </c>
      <c r="E68" s="37">
        <v>43519</v>
      </c>
      <c r="F68" s="38" t="s">
        <v>77</v>
      </c>
      <c r="G68" s="39">
        <v>5760</v>
      </c>
      <c r="H68" s="38">
        <f t="shared" si="9"/>
        <v>24</v>
      </c>
      <c r="I68" s="38">
        <f t="shared" si="10"/>
        <v>6</v>
      </c>
      <c r="J68" s="38"/>
      <c r="K68" s="40">
        <v>43605</v>
      </c>
      <c r="L68" s="41" t="s">
        <v>607</v>
      </c>
      <c r="M68" s="42">
        <v>43601</v>
      </c>
      <c r="N68" s="43" t="s">
        <v>601</v>
      </c>
      <c r="O68" s="42">
        <v>43605</v>
      </c>
      <c r="P68" s="45" t="s">
        <v>663</v>
      </c>
      <c r="Q68" s="38"/>
      <c r="R68" s="115" t="s">
        <v>592</v>
      </c>
      <c r="S68" s="46"/>
    </row>
    <row r="69" spans="2:19" s="30" customFormat="1" ht="33" customHeight="1">
      <c r="B69" s="46" t="s">
        <v>83</v>
      </c>
      <c r="C69" s="35" t="s">
        <v>321</v>
      </c>
      <c r="D69" s="36" t="s">
        <v>727</v>
      </c>
      <c r="E69" s="37">
        <v>43532</v>
      </c>
      <c r="F69" s="38" t="s">
        <v>77</v>
      </c>
      <c r="G69" s="39">
        <v>6720</v>
      </c>
      <c r="H69" s="38">
        <f t="shared" si="9"/>
        <v>28</v>
      </c>
      <c r="I69" s="38">
        <f t="shared" si="10"/>
        <v>7</v>
      </c>
      <c r="J69" s="38"/>
      <c r="K69" s="40">
        <v>43633</v>
      </c>
      <c r="L69" s="41" t="s">
        <v>770</v>
      </c>
      <c r="M69" s="42">
        <v>43627</v>
      </c>
      <c r="N69" s="43" t="s">
        <v>769</v>
      </c>
      <c r="O69" s="42">
        <v>43632</v>
      </c>
      <c r="P69" s="45"/>
      <c r="Q69" s="38"/>
      <c r="R69" s="115" t="s">
        <v>728</v>
      </c>
      <c r="S69" s="46"/>
    </row>
    <row r="70" spans="2:19" s="30" customFormat="1" ht="33" customHeight="1">
      <c r="B70" s="46" t="s">
        <v>83</v>
      </c>
      <c r="C70" s="35" t="s">
        <v>324</v>
      </c>
      <c r="D70" s="36" t="s">
        <v>1234</v>
      </c>
      <c r="E70" s="37">
        <v>43567</v>
      </c>
      <c r="F70" s="38" t="s">
        <v>77</v>
      </c>
      <c r="G70" s="39">
        <v>5760</v>
      </c>
      <c r="H70" s="38">
        <f t="shared" si="9"/>
        <v>24</v>
      </c>
      <c r="I70" s="38">
        <f t="shared" si="10"/>
        <v>6</v>
      </c>
      <c r="J70" s="38"/>
      <c r="K70" s="40">
        <v>43667</v>
      </c>
      <c r="L70" s="41" t="s">
        <v>1326</v>
      </c>
      <c r="M70" s="42">
        <v>43662</v>
      </c>
      <c r="N70" s="43" t="s">
        <v>836</v>
      </c>
      <c r="O70" s="42">
        <v>43667</v>
      </c>
      <c r="P70" s="45"/>
      <c r="Q70" s="38"/>
      <c r="R70" s="115" t="s">
        <v>1235</v>
      </c>
      <c r="S70" s="46"/>
    </row>
    <row r="71" spans="2:19" s="34" customFormat="1" ht="33" customHeight="1">
      <c r="B71" s="47" t="s">
        <v>210</v>
      </c>
      <c r="C71" s="48" t="s">
        <v>226</v>
      </c>
      <c r="D71" s="49" t="s">
        <v>593</v>
      </c>
      <c r="E71" s="50">
        <v>43483</v>
      </c>
      <c r="F71" s="52" t="s">
        <v>218</v>
      </c>
      <c r="G71" s="51">
        <v>640</v>
      </c>
      <c r="H71" s="52">
        <f t="shared" ref="H71:H85" si="11">SUM(G71/20)</f>
        <v>32</v>
      </c>
      <c r="I71" s="52">
        <f t="shared" ref="I71:I85" si="12">SUM(H71/32)</f>
        <v>1</v>
      </c>
      <c r="J71" s="52"/>
      <c r="K71" s="53">
        <v>43534</v>
      </c>
      <c r="L71" s="54" t="s">
        <v>566</v>
      </c>
      <c r="M71" s="55"/>
      <c r="N71" s="56"/>
      <c r="O71" s="55">
        <v>43520</v>
      </c>
      <c r="P71" s="58" t="s">
        <v>651</v>
      </c>
      <c r="Q71" s="52"/>
      <c r="R71" s="63" t="s">
        <v>211</v>
      </c>
      <c r="S71" s="52"/>
    </row>
    <row r="72" spans="2:19" s="34" customFormat="1" ht="33" customHeight="1">
      <c r="B72" s="47" t="s">
        <v>210</v>
      </c>
      <c r="C72" s="48" t="s">
        <v>226</v>
      </c>
      <c r="D72" s="49" t="s">
        <v>434</v>
      </c>
      <c r="E72" s="50">
        <v>43483</v>
      </c>
      <c r="F72" s="52" t="s">
        <v>218</v>
      </c>
      <c r="G72" s="51">
        <v>1280</v>
      </c>
      <c r="H72" s="52">
        <f t="shared" si="11"/>
        <v>64</v>
      </c>
      <c r="I72" s="52">
        <f t="shared" si="12"/>
        <v>2</v>
      </c>
      <c r="J72" s="52"/>
      <c r="K72" s="53">
        <v>43534</v>
      </c>
      <c r="L72" s="54" t="s">
        <v>501</v>
      </c>
      <c r="M72" s="55">
        <v>43531</v>
      </c>
      <c r="N72" s="56" t="s">
        <v>568</v>
      </c>
      <c r="O72" s="55">
        <v>43535</v>
      </c>
      <c r="P72" s="58" t="s">
        <v>653</v>
      </c>
      <c r="Q72" s="52" t="s">
        <v>614</v>
      </c>
      <c r="R72" s="63" t="s">
        <v>211</v>
      </c>
      <c r="S72" s="52" t="s">
        <v>611</v>
      </c>
    </row>
    <row r="73" spans="2:19" s="34" customFormat="1" ht="33" customHeight="1">
      <c r="B73" s="47" t="s">
        <v>210</v>
      </c>
      <c r="C73" s="48" t="s">
        <v>233</v>
      </c>
      <c r="D73" s="49" t="s">
        <v>525</v>
      </c>
      <c r="E73" s="50">
        <v>43507</v>
      </c>
      <c r="F73" s="52" t="s">
        <v>218</v>
      </c>
      <c r="G73" s="51">
        <v>1920</v>
      </c>
      <c r="H73" s="52">
        <f t="shared" si="11"/>
        <v>96</v>
      </c>
      <c r="I73" s="52">
        <f t="shared" si="12"/>
        <v>3</v>
      </c>
      <c r="J73" s="52"/>
      <c r="K73" s="53">
        <v>43541</v>
      </c>
      <c r="L73" s="54" t="s">
        <v>502</v>
      </c>
      <c r="M73" s="55">
        <v>43536</v>
      </c>
      <c r="N73" s="56" t="s">
        <v>346</v>
      </c>
      <c r="O73" s="55">
        <v>43541</v>
      </c>
      <c r="P73" s="58" t="s">
        <v>654</v>
      </c>
      <c r="Q73" s="52" t="s">
        <v>612</v>
      </c>
      <c r="R73" s="63" t="s">
        <v>211</v>
      </c>
      <c r="S73" s="52"/>
    </row>
    <row r="74" spans="2:19" s="34" customFormat="1" ht="33" customHeight="1">
      <c r="B74" s="47" t="s">
        <v>210</v>
      </c>
      <c r="C74" s="48" t="s">
        <v>595</v>
      </c>
      <c r="D74" s="49" t="s">
        <v>525</v>
      </c>
      <c r="E74" s="50">
        <v>43519</v>
      </c>
      <c r="F74" s="52" t="s">
        <v>218</v>
      </c>
      <c r="G74" s="51">
        <v>1920</v>
      </c>
      <c r="H74" s="52">
        <f t="shared" si="11"/>
        <v>96</v>
      </c>
      <c r="I74" s="52">
        <f t="shared" si="12"/>
        <v>3</v>
      </c>
      <c r="J74" s="52"/>
      <c r="K74" s="53">
        <v>43555</v>
      </c>
      <c r="L74" s="54" t="s">
        <v>644</v>
      </c>
      <c r="M74" s="55">
        <v>43550</v>
      </c>
      <c r="N74" s="56" t="s">
        <v>344</v>
      </c>
      <c r="O74" s="55">
        <v>43555</v>
      </c>
      <c r="P74" s="58"/>
      <c r="Q74" s="52" t="s">
        <v>613</v>
      </c>
      <c r="R74" s="63" t="s">
        <v>211</v>
      </c>
      <c r="S74" s="52"/>
    </row>
    <row r="75" spans="2:19" s="34" customFormat="1" ht="33" customHeight="1">
      <c r="B75" s="47" t="s">
        <v>210</v>
      </c>
      <c r="C75" s="48" t="s">
        <v>285</v>
      </c>
      <c r="D75" s="49" t="s">
        <v>526</v>
      </c>
      <c r="E75" s="50">
        <v>43507</v>
      </c>
      <c r="F75" s="52" t="s">
        <v>218</v>
      </c>
      <c r="G75" s="51">
        <v>3200</v>
      </c>
      <c r="H75" s="52">
        <f t="shared" si="11"/>
        <v>160</v>
      </c>
      <c r="I75" s="52">
        <f t="shared" si="12"/>
        <v>5</v>
      </c>
      <c r="J75" s="52"/>
      <c r="K75" s="53">
        <v>43576</v>
      </c>
      <c r="L75" s="54" t="s">
        <v>503</v>
      </c>
      <c r="M75" s="55">
        <v>43571</v>
      </c>
      <c r="N75" s="56" t="s">
        <v>445</v>
      </c>
      <c r="O75" s="55">
        <v>43576</v>
      </c>
      <c r="P75" s="58"/>
      <c r="Q75" s="52" t="s">
        <v>643</v>
      </c>
      <c r="R75" s="63" t="s">
        <v>211</v>
      </c>
      <c r="S75" s="52"/>
    </row>
    <row r="76" spans="2:19" s="34" customFormat="1" ht="33" customHeight="1">
      <c r="B76" s="47" t="s">
        <v>210</v>
      </c>
      <c r="C76" s="48" t="s">
        <v>650</v>
      </c>
      <c r="D76" s="49" t="s">
        <v>526</v>
      </c>
      <c r="E76" s="50">
        <v>43507</v>
      </c>
      <c r="F76" s="52" t="s">
        <v>218</v>
      </c>
      <c r="G76" s="51">
        <v>640</v>
      </c>
      <c r="H76" s="52">
        <f>SUM(G76/20)</f>
        <v>32</v>
      </c>
      <c r="I76" s="52">
        <f>SUM(H76/32)</f>
        <v>1</v>
      </c>
      <c r="J76" s="52"/>
      <c r="K76" s="53">
        <v>43576</v>
      </c>
      <c r="L76" s="54" t="s">
        <v>448</v>
      </c>
      <c r="M76" s="55">
        <v>43578</v>
      </c>
      <c r="N76" s="56" t="s">
        <v>447</v>
      </c>
      <c r="O76" s="55">
        <v>43583</v>
      </c>
      <c r="P76" s="58"/>
      <c r="Q76" s="52" t="s">
        <v>643</v>
      </c>
      <c r="R76" s="63" t="s">
        <v>211</v>
      </c>
      <c r="S76" s="52"/>
    </row>
    <row r="77" spans="2:19" s="34" customFormat="1" ht="33" customHeight="1">
      <c r="B77" s="47" t="s">
        <v>210</v>
      </c>
      <c r="C77" s="48" t="s">
        <v>331</v>
      </c>
      <c r="D77" s="49" t="s">
        <v>632</v>
      </c>
      <c r="E77" s="50">
        <v>43519</v>
      </c>
      <c r="F77" s="52" t="s">
        <v>218</v>
      </c>
      <c r="G77" s="51">
        <v>3200</v>
      </c>
      <c r="H77" s="52">
        <f t="shared" si="11"/>
        <v>160</v>
      </c>
      <c r="I77" s="52">
        <f t="shared" si="12"/>
        <v>5</v>
      </c>
      <c r="J77" s="52"/>
      <c r="K77" s="53">
        <v>43562</v>
      </c>
      <c r="L77" s="54" t="s">
        <v>608</v>
      </c>
      <c r="M77" s="55">
        <v>43557</v>
      </c>
      <c r="N77" s="56" t="s">
        <v>403</v>
      </c>
      <c r="O77" s="55">
        <v>43562</v>
      </c>
      <c r="P77" s="58"/>
      <c r="Q77" s="52" t="s">
        <v>642</v>
      </c>
      <c r="R77" s="63" t="s">
        <v>211</v>
      </c>
      <c r="S77" s="52"/>
    </row>
    <row r="78" spans="2:19" s="34" customFormat="1" ht="33" customHeight="1">
      <c r="B78" s="47" t="s">
        <v>210</v>
      </c>
      <c r="C78" s="48" t="s">
        <v>647</v>
      </c>
      <c r="D78" s="49" t="s">
        <v>632</v>
      </c>
      <c r="E78" s="50">
        <v>43519</v>
      </c>
      <c r="F78" s="52" t="s">
        <v>218</v>
      </c>
      <c r="G78" s="51">
        <v>640</v>
      </c>
      <c r="H78" s="52">
        <f>SUM(G78/20)</f>
        <v>32</v>
      </c>
      <c r="I78" s="52">
        <f>SUM(H78/32)</f>
        <v>1</v>
      </c>
      <c r="J78" s="52"/>
      <c r="K78" s="53">
        <v>43562</v>
      </c>
      <c r="L78" s="54" t="s">
        <v>480</v>
      </c>
      <c r="M78" s="55">
        <v>43564</v>
      </c>
      <c r="N78" s="56" t="s">
        <v>646</v>
      </c>
      <c r="O78" s="55">
        <v>43569</v>
      </c>
      <c r="P78" s="58"/>
      <c r="Q78" s="52" t="s">
        <v>642</v>
      </c>
      <c r="R78" s="63" t="s">
        <v>211</v>
      </c>
      <c r="S78" s="52"/>
    </row>
    <row r="79" spans="2:19" s="32" customFormat="1" ht="33" customHeight="1">
      <c r="B79" s="46" t="s">
        <v>210</v>
      </c>
      <c r="C79" s="35" t="s">
        <v>431</v>
      </c>
      <c r="D79" s="36" t="s">
        <v>633</v>
      </c>
      <c r="E79" s="37">
        <v>43523</v>
      </c>
      <c r="F79" s="38" t="s">
        <v>218</v>
      </c>
      <c r="G79" s="39">
        <v>3200</v>
      </c>
      <c r="H79" s="38">
        <f t="shared" si="11"/>
        <v>160</v>
      </c>
      <c r="I79" s="38">
        <f t="shared" si="12"/>
        <v>5</v>
      </c>
      <c r="J79" s="38"/>
      <c r="K79" s="40">
        <v>43597</v>
      </c>
      <c r="L79" s="41" t="s">
        <v>605</v>
      </c>
      <c r="M79" s="42">
        <v>43594</v>
      </c>
      <c r="N79" s="43" t="s">
        <v>561</v>
      </c>
      <c r="O79" s="42">
        <v>43598</v>
      </c>
      <c r="P79" s="45"/>
      <c r="Q79" s="38" t="s">
        <v>641</v>
      </c>
      <c r="R79" s="66" t="s">
        <v>211</v>
      </c>
      <c r="S79" s="38"/>
    </row>
    <row r="80" spans="2:19" s="32" customFormat="1" ht="33" customHeight="1">
      <c r="B80" s="46" t="s">
        <v>210</v>
      </c>
      <c r="C80" s="35" t="s">
        <v>648</v>
      </c>
      <c r="D80" s="36" t="s">
        <v>633</v>
      </c>
      <c r="E80" s="37">
        <v>43523</v>
      </c>
      <c r="F80" s="38" t="s">
        <v>218</v>
      </c>
      <c r="G80" s="39">
        <v>640</v>
      </c>
      <c r="H80" s="38">
        <f>SUM(G80/20)</f>
        <v>32</v>
      </c>
      <c r="I80" s="38">
        <f>SUM(H80/32)</f>
        <v>1</v>
      </c>
      <c r="J80" s="38"/>
      <c r="K80" s="40">
        <v>43618</v>
      </c>
      <c r="L80" s="41" t="s">
        <v>977</v>
      </c>
      <c r="M80" s="42">
        <v>43613</v>
      </c>
      <c r="N80" s="43" t="s">
        <v>766</v>
      </c>
      <c r="O80" s="42">
        <v>43618</v>
      </c>
      <c r="P80" s="45"/>
      <c r="Q80" s="38" t="s">
        <v>641</v>
      </c>
      <c r="R80" s="66" t="s">
        <v>211</v>
      </c>
      <c r="S80" s="38"/>
    </row>
    <row r="81" spans="2:19" s="32" customFormat="1" ht="33" customHeight="1">
      <c r="B81" s="46" t="s">
        <v>210</v>
      </c>
      <c r="C81" s="35" t="s">
        <v>738</v>
      </c>
      <c r="D81" s="36" t="s">
        <v>739</v>
      </c>
      <c r="E81" s="37">
        <v>43532</v>
      </c>
      <c r="F81" s="38" t="s">
        <v>218</v>
      </c>
      <c r="G81" s="39">
        <v>2560</v>
      </c>
      <c r="H81" s="38">
        <f t="shared" ref="H81:H82" si="13">SUM(G81/20)</f>
        <v>128</v>
      </c>
      <c r="I81" s="38">
        <f t="shared" ref="I81:I82" si="14">SUM(H81/32)</f>
        <v>4</v>
      </c>
      <c r="J81" s="38"/>
      <c r="K81" s="40">
        <v>43618</v>
      </c>
      <c r="L81" s="41" t="s">
        <v>977</v>
      </c>
      <c r="M81" s="42">
        <v>43613</v>
      </c>
      <c r="N81" s="43" t="s">
        <v>766</v>
      </c>
      <c r="O81" s="42">
        <v>43618</v>
      </c>
      <c r="P81" s="45"/>
      <c r="Q81" s="38" t="s">
        <v>970</v>
      </c>
      <c r="R81" s="66" t="s">
        <v>211</v>
      </c>
      <c r="S81" s="38"/>
    </row>
    <row r="82" spans="2:19" s="32" customFormat="1" ht="33" customHeight="1">
      <c r="B82" s="46" t="s">
        <v>210</v>
      </c>
      <c r="C82" s="35" t="s">
        <v>589</v>
      </c>
      <c r="D82" s="36" t="s">
        <v>1260</v>
      </c>
      <c r="E82" s="37">
        <v>43558</v>
      </c>
      <c r="F82" s="38" t="s">
        <v>218</v>
      </c>
      <c r="G82" s="39">
        <v>3200</v>
      </c>
      <c r="H82" s="38">
        <f t="shared" si="13"/>
        <v>160</v>
      </c>
      <c r="I82" s="38">
        <f t="shared" si="14"/>
        <v>5</v>
      </c>
      <c r="J82" s="38"/>
      <c r="K82" s="40">
        <v>43639</v>
      </c>
      <c r="L82" s="41" t="s">
        <v>978</v>
      </c>
      <c r="M82" s="42">
        <v>43634</v>
      </c>
      <c r="N82" s="43" t="s">
        <v>764</v>
      </c>
      <c r="O82" s="42">
        <v>43639</v>
      </c>
      <c r="P82" s="45"/>
      <c r="Q82" s="38" t="s">
        <v>973</v>
      </c>
      <c r="R82" s="66" t="s">
        <v>211</v>
      </c>
      <c r="S82" s="38"/>
    </row>
    <row r="83" spans="2:19" s="34" customFormat="1" ht="33" customHeight="1">
      <c r="B83" s="47" t="s">
        <v>215</v>
      </c>
      <c r="C83" s="48" t="s">
        <v>234</v>
      </c>
      <c r="D83" s="49" t="s">
        <v>635</v>
      </c>
      <c r="E83" s="50">
        <v>43519</v>
      </c>
      <c r="F83" s="52" t="s">
        <v>228</v>
      </c>
      <c r="G83" s="51">
        <v>1280</v>
      </c>
      <c r="H83" s="52">
        <f t="shared" si="11"/>
        <v>64</v>
      </c>
      <c r="I83" s="52">
        <f t="shared" si="12"/>
        <v>2</v>
      </c>
      <c r="J83" s="52"/>
      <c r="K83" s="53">
        <v>43576</v>
      </c>
      <c r="L83" s="54" t="s">
        <v>644</v>
      </c>
      <c r="M83" s="55">
        <v>43550</v>
      </c>
      <c r="N83" s="56" t="s">
        <v>344</v>
      </c>
      <c r="O83" s="55">
        <v>43555</v>
      </c>
      <c r="P83" s="58" t="s">
        <v>655</v>
      </c>
      <c r="Q83" s="52" t="s">
        <v>613</v>
      </c>
      <c r="R83" s="63" t="s">
        <v>211</v>
      </c>
      <c r="S83" s="52"/>
    </row>
    <row r="84" spans="2:19" s="32" customFormat="1" ht="33" customHeight="1">
      <c r="B84" s="46" t="s">
        <v>215</v>
      </c>
      <c r="C84" s="35" t="s">
        <v>235</v>
      </c>
      <c r="D84" s="36" t="s">
        <v>744</v>
      </c>
      <c r="E84" s="37">
        <v>43532</v>
      </c>
      <c r="F84" s="38" t="s">
        <v>228</v>
      </c>
      <c r="G84" s="39">
        <v>1280</v>
      </c>
      <c r="H84" s="38">
        <f t="shared" si="11"/>
        <v>64</v>
      </c>
      <c r="I84" s="38">
        <f t="shared" si="12"/>
        <v>2</v>
      </c>
      <c r="J84" s="38"/>
      <c r="K84" s="40">
        <v>43597</v>
      </c>
      <c r="L84" s="41" t="s">
        <v>605</v>
      </c>
      <c r="M84" s="42">
        <v>43594</v>
      </c>
      <c r="N84" s="43" t="s">
        <v>772</v>
      </c>
      <c r="O84" s="42">
        <v>43598</v>
      </c>
      <c r="P84" s="45"/>
      <c r="Q84" s="38" t="s">
        <v>641</v>
      </c>
      <c r="R84" s="66" t="s">
        <v>211</v>
      </c>
      <c r="S84" s="38"/>
    </row>
    <row r="85" spans="2:19" s="32" customFormat="1" ht="33" customHeight="1">
      <c r="B85" s="122" t="s">
        <v>215</v>
      </c>
      <c r="C85" s="126" t="s">
        <v>1569</v>
      </c>
      <c r="D85" s="127"/>
      <c r="E85" s="128">
        <v>43581</v>
      </c>
      <c r="F85" s="124" t="s">
        <v>228</v>
      </c>
      <c r="G85" s="129">
        <v>1280</v>
      </c>
      <c r="H85" s="124">
        <f t="shared" si="11"/>
        <v>64</v>
      </c>
      <c r="I85" s="124">
        <f t="shared" si="12"/>
        <v>2</v>
      </c>
      <c r="J85" s="124"/>
      <c r="K85" s="130">
        <v>43632</v>
      </c>
      <c r="L85" s="119" t="s">
        <v>807</v>
      </c>
      <c r="M85" s="120">
        <v>43627</v>
      </c>
      <c r="N85" s="121" t="s">
        <v>769</v>
      </c>
      <c r="O85" s="120">
        <v>43632</v>
      </c>
      <c r="P85" s="123"/>
      <c r="Q85" s="124" t="s">
        <v>1810</v>
      </c>
      <c r="R85" s="134" t="s">
        <v>211</v>
      </c>
      <c r="S85" s="124"/>
    </row>
    <row r="86" spans="2:19" s="33" customFormat="1" ht="33" customHeight="1">
      <c r="B86" s="47" t="s">
        <v>86</v>
      </c>
      <c r="C86" s="48" t="s">
        <v>225</v>
      </c>
      <c r="D86" s="49" t="s">
        <v>487</v>
      </c>
      <c r="E86" s="50">
        <v>43490</v>
      </c>
      <c r="F86" s="52" t="s">
        <v>87</v>
      </c>
      <c r="G86" s="51">
        <v>1520</v>
      </c>
      <c r="H86" s="52">
        <f>SUM(G86/190)</f>
        <v>8</v>
      </c>
      <c r="I86" s="52">
        <f>SUM(H86/4)</f>
        <v>2</v>
      </c>
      <c r="J86" s="52"/>
      <c r="K86" s="53">
        <v>43569</v>
      </c>
      <c r="L86" s="54" t="s">
        <v>417</v>
      </c>
      <c r="M86" s="55">
        <v>43564</v>
      </c>
      <c r="N86" s="56" t="s">
        <v>405</v>
      </c>
      <c r="O86" s="55">
        <v>43569</v>
      </c>
      <c r="P86" s="58"/>
      <c r="Q86" s="52"/>
      <c r="R86" s="63" t="s">
        <v>495</v>
      </c>
      <c r="S86" s="47"/>
    </row>
    <row r="87" spans="2:19" s="30" customFormat="1" ht="33" customHeight="1">
      <c r="B87" s="46" t="s">
        <v>86</v>
      </c>
      <c r="C87" s="35" t="s">
        <v>226</v>
      </c>
      <c r="D87" s="36" t="s">
        <v>833</v>
      </c>
      <c r="E87" s="37">
        <v>43546</v>
      </c>
      <c r="F87" s="38" t="s">
        <v>87</v>
      </c>
      <c r="G87" s="39">
        <v>1520</v>
      </c>
      <c r="H87" s="38">
        <f>SUM(G87/190)</f>
        <v>8</v>
      </c>
      <c r="I87" s="38">
        <f>SUM(H87/4)</f>
        <v>2</v>
      </c>
      <c r="J87" s="38"/>
      <c r="K87" s="40">
        <v>43632</v>
      </c>
      <c r="L87" s="41" t="s">
        <v>838</v>
      </c>
      <c r="M87" s="42">
        <v>43627</v>
      </c>
      <c r="N87" s="43" t="s">
        <v>769</v>
      </c>
      <c r="O87" s="42">
        <v>43632</v>
      </c>
      <c r="P87" s="45"/>
      <c r="Q87" s="38"/>
      <c r="R87" s="66" t="s">
        <v>928</v>
      </c>
      <c r="S87" s="46"/>
    </row>
    <row r="88" spans="2:19" s="33" customFormat="1" ht="33" customHeight="1">
      <c r="B88" s="47" t="s">
        <v>223</v>
      </c>
      <c r="C88" s="48" t="s">
        <v>399</v>
      </c>
      <c r="D88" s="49" t="s">
        <v>237</v>
      </c>
      <c r="E88" s="50"/>
      <c r="F88" s="47" t="s">
        <v>236</v>
      </c>
      <c r="G88" s="51">
        <v>2400</v>
      </c>
      <c r="H88" s="52">
        <f t="shared" ref="H88:H98" si="15">SUM(G88/200)</f>
        <v>12</v>
      </c>
      <c r="I88" s="52">
        <f t="shared" ref="I88:I98" si="16">SUM(H88/4)</f>
        <v>3</v>
      </c>
      <c r="J88" s="52"/>
      <c r="K88" s="53">
        <v>43527</v>
      </c>
      <c r="L88" s="54" t="s">
        <v>402</v>
      </c>
      <c r="M88" s="55">
        <v>43531</v>
      </c>
      <c r="N88" s="56" t="s">
        <v>568</v>
      </c>
      <c r="O88" s="55">
        <v>43535</v>
      </c>
      <c r="P88" s="58"/>
      <c r="Q88" s="52"/>
      <c r="R88" s="63"/>
      <c r="S88" s="47" t="s">
        <v>611</v>
      </c>
    </row>
    <row r="89" spans="2:19" s="33" customFormat="1" ht="33" customHeight="1">
      <c r="B89" s="47" t="s">
        <v>238</v>
      </c>
      <c r="C89" s="48" t="s">
        <v>227</v>
      </c>
      <c r="D89" s="49" t="s">
        <v>435</v>
      </c>
      <c r="E89" s="50"/>
      <c r="F89" s="52" t="s">
        <v>236</v>
      </c>
      <c r="G89" s="51">
        <v>2400</v>
      </c>
      <c r="H89" s="52">
        <f t="shared" si="15"/>
        <v>12</v>
      </c>
      <c r="I89" s="52">
        <f t="shared" si="16"/>
        <v>3</v>
      </c>
      <c r="J89" s="52"/>
      <c r="K89" s="53">
        <v>43548</v>
      </c>
      <c r="L89" s="54" t="s">
        <v>401</v>
      </c>
      <c r="M89" s="55">
        <v>43543</v>
      </c>
      <c r="N89" s="56" t="s">
        <v>400</v>
      </c>
      <c r="O89" s="55">
        <v>43548</v>
      </c>
      <c r="P89" s="58"/>
      <c r="Q89" s="52"/>
      <c r="R89" s="63"/>
      <c r="S89" s="47"/>
    </row>
    <row r="90" spans="2:19" s="33" customFormat="1" ht="33" customHeight="1">
      <c r="B90" s="47" t="s">
        <v>238</v>
      </c>
      <c r="C90" s="48" t="s">
        <v>274</v>
      </c>
      <c r="D90" s="49" t="s">
        <v>474</v>
      </c>
      <c r="E90" s="50"/>
      <c r="F90" s="52" t="s">
        <v>236</v>
      </c>
      <c r="G90" s="51">
        <v>3200</v>
      </c>
      <c r="H90" s="52">
        <f t="shared" si="15"/>
        <v>16</v>
      </c>
      <c r="I90" s="52">
        <f t="shared" si="16"/>
        <v>4</v>
      </c>
      <c r="J90" s="52"/>
      <c r="K90" s="53">
        <v>43562</v>
      </c>
      <c r="L90" s="54" t="s">
        <v>406</v>
      </c>
      <c r="M90" s="55">
        <v>43557</v>
      </c>
      <c r="N90" s="56" t="s">
        <v>403</v>
      </c>
      <c r="O90" s="55">
        <v>43562</v>
      </c>
      <c r="P90" s="58"/>
      <c r="Q90" s="52"/>
      <c r="R90" s="63"/>
      <c r="S90" s="47"/>
    </row>
    <row r="91" spans="2:19" s="33" customFormat="1" ht="33" customHeight="1">
      <c r="B91" s="47" t="s">
        <v>238</v>
      </c>
      <c r="C91" s="48" t="s">
        <v>404</v>
      </c>
      <c r="D91" s="49" t="s">
        <v>475</v>
      </c>
      <c r="E91" s="50"/>
      <c r="F91" s="52" t="s">
        <v>236</v>
      </c>
      <c r="G91" s="51">
        <v>1600</v>
      </c>
      <c r="H91" s="52">
        <f t="shared" si="15"/>
        <v>8</v>
      </c>
      <c r="I91" s="52">
        <f t="shared" si="16"/>
        <v>2</v>
      </c>
      <c r="J91" s="52"/>
      <c r="K91" s="53">
        <v>43562</v>
      </c>
      <c r="L91" s="54" t="s">
        <v>407</v>
      </c>
      <c r="M91" s="55">
        <v>43564</v>
      </c>
      <c r="N91" s="56" t="s">
        <v>405</v>
      </c>
      <c r="O91" s="55">
        <v>43569</v>
      </c>
      <c r="P91" s="58"/>
      <c r="Q91" s="52"/>
      <c r="R91" s="63"/>
      <c r="S91" s="47"/>
    </row>
    <row r="92" spans="2:19" s="33" customFormat="1" ht="33" customHeight="1">
      <c r="B92" s="47" t="s">
        <v>238</v>
      </c>
      <c r="C92" s="48" t="s">
        <v>490</v>
      </c>
      <c r="D92" s="49" t="s">
        <v>488</v>
      </c>
      <c r="E92" s="50">
        <v>43495</v>
      </c>
      <c r="F92" s="52" t="s">
        <v>236</v>
      </c>
      <c r="G92" s="51">
        <v>1600</v>
      </c>
      <c r="H92" s="52">
        <f t="shared" si="15"/>
        <v>8</v>
      </c>
      <c r="I92" s="52">
        <f t="shared" si="16"/>
        <v>2</v>
      </c>
      <c r="J92" s="52"/>
      <c r="K92" s="53">
        <v>43583</v>
      </c>
      <c r="L92" s="54" t="s">
        <v>481</v>
      </c>
      <c r="M92" s="55">
        <v>43578</v>
      </c>
      <c r="N92" s="56" t="s">
        <v>447</v>
      </c>
      <c r="O92" s="55">
        <v>43583</v>
      </c>
      <c r="P92" s="58"/>
      <c r="Q92" s="52"/>
      <c r="R92" s="63"/>
      <c r="S92" s="47"/>
    </row>
    <row r="93" spans="2:19" s="30" customFormat="1" ht="33" customHeight="1">
      <c r="B93" s="46" t="s">
        <v>238</v>
      </c>
      <c r="C93" s="35" t="s">
        <v>597</v>
      </c>
      <c r="D93" s="36" t="s">
        <v>598</v>
      </c>
      <c r="E93" s="37">
        <v>43519</v>
      </c>
      <c r="F93" s="38" t="s">
        <v>236</v>
      </c>
      <c r="G93" s="39">
        <v>1600</v>
      </c>
      <c r="H93" s="38">
        <f t="shared" si="15"/>
        <v>8</v>
      </c>
      <c r="I93" s="38">
        <f t="shared" si="16"/>
        <v>2</v>
      </c>
      <c r="J93" s="38"/>
      <c r="K93" s="40">
        <v>43597</v>
      </c>
      <c r="L93" s="41" t="s">
        <v>606</v>
      </c>
      <c r="M93" s="42">
        <v>43592</v>
      </c>
      <c r="N93" s="43" t="s">
        <v>600</v>
      </c>
      <c r="O93" s="42">
        <v>43597</v>
      </c>
      <c r="P93" s="45"/>
      <c r="Q93" s="38"/>
      <c r="R93" s="66"/>
      <c r="S93" s="46"/>
    </row>
    <row r="94" spans="2:19" s="30" customFormat="1" ht="33" customHeight="1">
      <c r="B94" s="46" t="s">
        <v>238</v>
      </c>
      <c r="C94" s="35" t="s">
        <v>1085</v>
      </c>
      <c r="D94" s="36" t="s">
        <v>598</v>
      </c>
      <c r="E94" s="37">
        <v>43519</v>
      </c>
      <c r="F94" s="38" t="s">
        <v>236</v>
      </c>
      <c r="G94" s="39">
        <v>1600</v>
      </c>
      <c r="H94" s="38">
        <f t="shared" si="15"/>
        <v>8</v>
      </c>
      <c r="I94" s="38">
        <f t="shared" si="16"/>
        <v>2</v>
      </c>
      <c r="J94" s="38"/>
      <c r="K94" s="40">
        <v>43597</v>
      </c>
      <c r="L94" s="41" t="s">
        <v>1086</v>
      </c>
      <c r="M94" s="42">
        <v>43606</v>
      </c>
      <c r="N94" s="43" t="s">
        <v>599</v>
      </c>
      <c r="O94" s="42">
        <v>43613</v>
      </c>
      <c r="P94" s="45"/>
      <c r="Q94" s="38"/>
      <c r="R94" s="66"/>
      <c r="S94" s="46"/>
    </row>
    <row r="95" spans="2:19" s="30" customFormat="1" ht="33" customHeight="1">
      <c r="B95" s="46" t="s">
        <v>238</v>
      </c>
      <c r="C95" s="35" t="s">
        <v>226</v>
      </c>
      <c r="D95" s="36" t="s">
        <v>749</v>
      </c>
      <c r="E95" s="37">
        <v>43532</v>
      </c>
      <c r="F95" s="38" t="s">
        <v>236</v>
      </c>
      <c r="G95" s="39">
        <v>3200</v>
      </c>
      <c r="H95" s="38">
        <f t="shared" si="15"/>
        <v>16</v>
      </c>
      <c r="I95" s="38">
        <f t="shared" si="16"/>
        <v>4</v>
      </c>
      <c r="J95" s="38"/>
      <c r="K95" s="40">
        <v>43625</v>
      </c>
      <c r="L95" s="41" t="s">
        <v>777</v>
      </c>
      <c r="M95" s="42">
        <v>43620</v>
      </c>
      <c r="N95" s="43" t="s">
        <v>768</v>
      </c>
      <c r="O95" s="42" t="s">
        <v>775</v>
      </c>
      <c r="P95" s="45"/>
      <c r="Q95" s="38"/>
      <c r="R95" s="66"/>
      <c r="S95" s="46"/>
    </row>
    <row r="96" spans="2:19" s="30" customFormat="1" ht="33" customHeight="1">
      <c r="B96" s="46" t="s">
        <v>238</v>
      </c>
      <c r="C96" s="35" t="s">
        <v>233</v>
      </c>
      <c r="D96" s="36" t="s">
        <v>750</v>
      </c>
      <c r="E96" s="37">
        <v>43532</v>
      </c>
      <c r="F96" s="38" t="s">
        <v>236</v>
      </c>
      <c r="G96" s="39">
        <v>3200</v>
      </c>
      <c r="H96" s="38">
        <f t="shared" si="15"/>
        <v>16</v>
      </c>
      <c r="I96" s="38">
        <f t="shared" si="16"/>
        <v>4</v>
      </c>
      <c r="J96" s="38"/>
      <c r="K96" s="40">
        <v>43646</v>
      </c>
      <c r="L96" s="41" t="s">
        <v>778</v>
      </c>
      <c r="M96" s="42">
        <v>43641</v>
      </c>
      <c r="N96" s="43" t="s">
        <v>776</v>
      </c>
      <c r="O96" s="42">
        <v>43646</v>
      </c>
      <c r="P96" s="45"/>
      <c r="Q96" s="38"/>
      <c r="R96" s="66"/>
      <c r="S96" s="46"/>
    </row>
    <row r="97" spans="2:19" s="30" customFormat="1" ht="33" customHeight="1">
      <c r="B97" s="46" t="s">
        <v>238</v>
      </c>
      <c r="C97" s="35" t="s">
        <v>285</v>
      </c>
      <c r="D97" s="36" t="s">
        <v>1305</v>
      </c>
      <c r="E97" s="37">
        <v>43567</v>
      </c>
      <c r="F97" s="38" t="s">
        <v>236</v>
      </c>
      <c r="G97" s="39">
        <v>3200</v>
      </c>
      <c r="H97" s="38">
        <f t="shared" si="15"/>
        <v>16</v>
      </c>
      <c r="I97" s="38">
        <f t="shared" si="16"/>
        <v>4</v>
      </c>
      <c r="J97" s="38"/>
      <c r="K97" s="40">
        <v>43660</v>
      </c>
      <c r="L97" s="41" t="s">
        <v>1327</v>
      </c>
      <c r="M97" s="42">
        <v>43655</v>
      </c>
      <c r="N97" s="43" t="s">
        <v>1315</v>
      </c>
      <c r="O97" s="42">
        <v>43660</v>
      </c>
      <c r="P97" s="45"/>
      <c r="Q97" s="38"/>
      <c r="R97" s="66"/>
      <c r="S97" s="46"/>
    </row>
    <row r="98" spans="2:19" s="30" customFormat="1" ht="33" customHeight="1">
      <c r="B98" s="46" t="s">
        <v>238</v>
      </c>
      <c r="C98" s="35" t="s">
        <v>331</v>
      </c>
      <c r="D98" s="36" t="s">
        <v>1306</v>
      </c>
      <c r="E98" s="37">
        <v>43567</v>
      </c>
      <c r="F98" s="38" t="s">
        <v>236</v>
      </c>
      <c r="G98" s="39">
        <v>3200</v>
      </c>
      <c r="H98" s="38">
        <f t="shared" si="15"/>
        <v>16</v>
      </c>
      <c r="I98" s="38">
        <f t="shared" si="16"/>
        <v>4</v>
      </c>
      <c r="J98" s="38"/>
      <c r="K98" s="40">
        <v>43674</v>
      </c>
      <c r="L98" s="41" t="s">
        <v>1324</v>
      </c>
      <c r="M98" s="42">
        <v>43669</v>
      </c>
      <c r="N98" s="43" t="s">
        <v>1313</v>
      </c>
      <c r="O98" s="42">
        <v>43674</v>
      </c>
      <c r="P98" s="45"/>
      <c r="Q98" s="38"/>
      <c r="R98" s="66"/>
      <c r="S98" s="46"/>
    </row>
    <row r="99" spans="2:19" s="30" customFormat="1">
      <c r="C99" s="22"/>
      <c r="D99" s="23"/>
      <c r="G99" s="24"/>
      <c r="K99" s="25"/>
      <c r="M99" s="26"/>
      <c r="N99" s="28"/>
      <c r="O99" s="26"/>
      <c r="R99" s="27"/>
    </row>
    <row r="100" spans="2:19" s="19" customFormat="1">
      <c r="B100"/>
      <c r="C100" s="15"/>
      <c r="D100" s="1"/>
      <c r="E100" s="174"/>
      <c r="F100"/>
      <c r="G100" s="11"/>
      <c r="H100"/>
      <c r="I100"/>
      <c r="J100"/>
      <c r="K100" s="13"/>
      <c r="L100"/>
      <c r="N100" s="28"/>
      <c r="P100"/>
      <c r="Q100"/>
      <c r="R100" s="17"/>
      <c r="S100"/>
    </row>
    <row r="101" spans="2:19" s="19" customFormat="1" ht="26.4" hidden="1">
      <c r="B101"/>
      <c r="C101" s="15"/>
      <c r="D101" s="1"/>
      <c r="F101" s="177"/>
      <c r="L101" s="176" t="s">
        <v>1821</v>
      </c>
      <c r="M101" s="177"/>
      <c r="N101" s="177"/>
      <c r="O101"/>
      <c r="P101" s="13"/>
      <c r="Q101"/>
      <c r="S101" s="28"/>
    </row>
    <row r="102" spans="2:19" ht="26.4" hidden="1">
      <c r="F102" s="177"/>
      <c r="L102" s="176" t="s">
        <v>1822</v>
      </c>
      <c r="M102" s="177"/>
      <c r="N102" s="177"/>
      <c r="O102"/>
      <c r="P102" s="13"/>
      <c r="R102" s="19"/>
      <c r="S102" s="28"/>
    </row>
    <row r="103" spans="2:19" ht="26.4" hidden="1">
      <c r="F103" s="177"/>
      <c r="L103" s="176" t="s">
        <v>1823</v>
      </c>
      <c r="M103" s="177"/>
      <c r="N103" s="177"/>
      <c r="O103"/>
      <c r="P103" s="13"/>
      <c r="R103" s="19"/>
      <c r="S103" s="28"/>
    </row>
    <row r="104" spans="2:19" hidden="1">
      <c r="E104" s="175"/>
      <c r="L104" s="11"/>
      <c r="M104"/>
      <c r="N104"/>
      <c r="O104"/>
      <c r="P104" s="13"/>
      <c r="R104" s="19"/>
      <c r="S104" s="28"/>
    </row>
    <row r="105" spans="2:19" s="19" customFormat="1" hidden="1">
      <c r="B105"/>
      <c r="C105" s="15"/>
      <c r="D105" s="1"/>
      <c r="L105" s="178" t="s">
        <v>1825</v>
      </c>
      <c r="M105" s="178" t="s">
        <v>1826</v>
      </c>
      <c r="N105" s="178" t="s">
        <v>1827</v>
      </c>
      <c r="O105" s="178" t="s">
        <v>1828</v>
      </c>
      <c r="P105" s="179" t="s">
        <v>1829</v>
      </c>
      <c r="Q105" s="179" t="s">
        <v>1830</v>
      </c>
      <c r="R105" s="179" t="s">
        <v>1831</v>
      </c>
      <c r="S105" s="179"/>
    </row>
    <row r="106" spans="2:19" s="19" customFormat="1" hidden="1">
      <c r="B106"/>
      <c r="C106" s="15"/>
      <c r="D106" s="1"/>
      <c r="L106" s="180" t="s">
        <v>1832</v>
      </c>
      <c r="M106" s="181" t="s">
        <v>1833</v>
      </c>
      <c r="N106" s="181" t="s">
        <v>1834</v>
      </c>
      <c r="O106" s="182" t="s">
        <v>1835</v>
      </c>
      <c r="P106" s="183">
        <v>1000</v>
      </c>
      <c r="Q106" s="183">
        <v>4</v>
      </c>
      <c r="R106" s="184">
        <v>43598</v>
      </c>
      <c r="S106" s="181" t="s">
        <v>99</v>
      </c>
    </row>
    <row r="107" spans="2:19" s="19" customFormat="1" hidden="1">
      <c r="B107"/>
      <c r="C107" s="15"/>
      <c r="D107" s="1"/>
      <c r="L107" s="180" t="s">
        <v>1832</v>
      </c>
      <c r="M107" s="181" t="s">
        <v>1836</v>
      </c>
      <c r="N107" s="181" t="s">
        <v>1834</v>
      </c>
      <c r="O107" s="182" t="s">
        <v>1835</v>
      </c>
      <c r="P107" s="183">
        <v>6000</v>
      </c>
      <c r="Q107" s="183">
        <v>24</v>
      </c>
      <c r="R107" s="184">
        <v>43598</v>
      </c>
      <c r="S107" s="181" t="s">
        <v>99</v>
      </c>
    </row>
    <row r="108" spans="2:19" s="19" customFormat="1" hidden="1">
      <c r="B108"/>
      <c r="C108" s="15"/>
      <c r="D108" s="1"/>
      <c r="L108" s="180" t="s">
        <v>1832</v>
      </c>
      <c r="M108" s="181" t="s">
        <v>1837</v>
      </c>
      <c r="N108" s="181" t="s">
        <v>1834</v>
      </c>
      <c r="O108" s="182" t="s">
        <v>1835</v>
      </c>
      <c r="P108" s="183">
        <v>5000</v>
      </c>
      <c r="Q108" s="183">
        <v>20</v>
      </c>
      <c r="R108" s="185" t="s">
        <v>1838</v>
      </c>
      <c r="S108" s="180" t="s">
        <v>1839</v>
      </c>
    </row>
    <row r="109" spans="2:19" s="19" customFormat="1" hidden="1">
      <c r="B109"/>
      <c r="C109" s="15"/>
      <c r="D109" s="1"/>
      <c r="L109" s="180" t="s">
        <v>1832</v>
      </c>
      <c r="M109" s="181" t="s">
        <v>1840</v>
      </c>
      <c r="N109" s="181" t="s">
        <v>1834</v>
      </c>
      <c r="O109" s="182" t="s">
        <v>1835</v>
      </c>
      <c r="P109" s="183">
        <v>5000</v>
      </c>
      <c r="Q109" s="183">
        <v>20</v>
      </c>
      <c r="R109" s="184">
        <v>43605</v>
      </c>
      <c r="S109" s="181" t="s">
        <v>99</v>
      </c>
    </row>
    <row r="110" spans="2:19" s="19" customFormat="1" hidden="1">
      <c r="B110"/>
      <c r="C110" s="15"/>
      <c r="D110" s="1"/>
      <c r="L110" s="180" t="s">
        <v>1832</v>
      </c>
      <c r="M110" s="181" t="s">
        <v>1841</v>
      </c>
      <c r="N110" s="181" t="s">
        <v>1834</v>
      </c>
      <c r="O110" s="182" t="s">
        <v>1835</v>
      </c>
      <c r="P110" s="183">
        <v>7000</v>
      </c>
      <c r="Q110" s="183">
        <v>28</v>
      </c>
      <c r="R110" s="184">
        <v>43605</v>
      </c>
      <c r="S110" s="181" t="s">
        <v>99</v>
      </c>
    </row>
    <row r="111" spans="2:19" hidden="1">
      <c r="L111" s="180" t="s">
        <v>1842</v>
      </c>
      <c r="M111" s="181" t="s">
        <v>1843</v>
      </c>
      <c r="N111" s="181" t="s">
        <v>1844</v>
      </c>
      <c r="O111" s="182" t="s">
        <v>1835</v>
      </c>
      <c r="P111" s="183">
        <v>2000</v>
      </c>
      <c r="Q111" s="183">
        <v>8</v>
      </c>
      <c r="R111" s="184">
        <v>43598</v>
      </c>
      <c r="S111" s="181" t="s">
        <v>99</v>
      </c>
    </row>
    <row r="112" spans="2:19" hidden="1">
      <c r="L112" s="180" t="s">
        <v>1842</v>
      </c>
      <c r="M112" s="181" t="s">
        <v>1845</v>
      </c>
      <c r="N112" s="181" t="s">
        <v>1844</v>
      </c>
      <c r="O112" s="182" t="s">
        <v>1835</v>
      </c>
      <c r="P112" s="183">
        <v>2000</v>
      </c>
      <c r="Q112" s="183">
        <v>8</v>
      </c>
      <c r="R112" s="184">
        <v>43598</v>
      </c>
      <c r="S112" s="181" t="s">
        <v>99</v>
      </c>
    </row>
    <row r="113" spans="12:19" hidden="1">
      <c r="L113" s="180" t="s">
        <v>1842</v>
      </c>
      <c r="M113" s="181" t="s">
        <v>1846</v>
      </c>
      <c r="N113" s="181" t="s">
        <v>1844</v>
      </c>
      <c r="O113" s="182" t="s">
        <v>1835</v>
      </c>
      <c r="P113" s="183">
        <v>10000</v>
      </c>
      <c r="Q113" s="183">
        <v>40</v>
      </c>
      <c r="R113" s="184">
        <v>43598</v>
      </c>
      <c r="S113" s="181" t="s">
        <v>99</v>
      </c>
    </row>
    <row r="114" spans="12:19" hidden="1">
      <c r="L114" s="180" t="s">
        <v>1842</v>
      </c>
      <c r="M114" s="181" t="s">
        <v>1847</v>
      </c>
      <c r="N114" s="181" t="s">
        <v>1844</v>
      </c>
      <c r="O114" s="182" t="s">
        <v>1835</v>
      </c>
      <c r="P114" s="183">
        <v>8000</v>
      </c>
      <c r="Q114" s="183">
        <v>32</v>
      </c>
      <c r="R114" s="184">
        <v>43598</v>
      </c>
      <c r="S114" s="180"/>
    </row>
    <row r="115" spans="12:19" hidden="1">
      <c r="L115" s="180" t="s">
        <v>1842</v>
      </c>
      <c r="M115" s="181" t="s">
        <v>1848</v>
      </c>
      <c r="N115" s="181" t="s">
        <v>1844</v>
      </c>
      <c r="O115" s="182" t="s">
        <v>1835</v>
      </c>
      <c r="P115" s="183">
        <v>10000</v>
      </c>
      <c r="Q115" s="183">
        <v>40</v>
      </c>
      <c r="R115" s="185" t="s">
        <v>1849</v>
      </c>
      <c r="S115" s="180" t="s">
        <v>1839</v>
      </c>
    </row>
    <row r="116" spans="12:19" hidden="1">
      <c r="L116" s="182" t="s">
        <v>1850</v>
      </c>
      <c r="M116" s="181" t="s">
        <v>1851</v>
      </c>
      <c r="N116" s="181" t="s">
        <v>1834</v>
      </c>
      <c r="O116" s="182" t="s">
        <v>1852</v>
      </c>
      <c r="P116" s="183">
        <v>5000</v>
      </c>
      <c r="Q116" s="183">
        <v>20</v>
      </c>
      <c r="R116" s="184">
        <v>43605</v>
      </c>
      <c r="S116" s="181" t="s">
        <v>99</v>
      </c>
    </row>
    <row r="117" spans="12:19" hidden="1">
      <c r="L117" s="180" t="s">
        <v>1853</v>
      </c>
      <c r="M117" s="181" t="s">
        <v>1851</v>
      </c>
      <c r="N117" s="181" t="s">
        <v>1844</v>
      </c>
      <c r="O117" s="182" t="s">
        <v>1835</v>
      </c>
      <c r="P117" s="183">
        <v>2000</v>
      </c>
      <c r="Q117" s="183">
        <v>8</v>
      </c>
      <c r="R117" s="184">
        <v>43605</v>
      </c>
      <c r="S117" s="181" t="s">
        <v>99</v>
      </c>
    </row>
    <row r="118" spans="12:19" hidden="1">
      <c r="L118" s="182" t="s">
        <v>1854</v>
      </c>
      <c r="M118" s="181" t="s">
        <v>1855</v>
      </c>
      <c r="N118" s="181" t="s">
        <v>1834</v>
      </c>
      <c r="O118" s="182" t="s">
        <v>1852</v>
      </c>
      <c r="P118" s="183">
        <v>6000</v>
      </c>
      <c r="Q118" s="183">
        <v>24</v>
      </c>
      <c r="R118" s="184">
        <v>43605</v>
      </c>
      <c r="S118" s="181" t="s">
        <v>99</v>
      </c>
    </row>
    <row r="119" spans="12:19" hidden="1">
      <c r="L119" s="182" t="s">
        <v>1854</v>
      </c>
      <c r="M119" s="181" t="s">
        <v>1856</v>
      </c>
      <c r="N119" s="181" t="s">
        <v>1834</v>
      </c>
      <c r="O119" s="182" t="s">
        <v>1852</v>
      </c>
      <c r="P119" s="183">
        <v>6000</v>
      </c>
      <c r="Q119" s="183">
        <v>24</v>
      </c>
      <c r="R119" s="185">
        <v>43605</v>
      </c>
      <c r="S119" s="180"/>
    </row>
    <row r="120" spans="12:19" hidden="1">
      <c r="L120" s="182" t="s">
        <v>1854</v>
      </c>
      <c r="M120" s="181" t="s">
        <v>1857</v>
      </c>
      <c r="N120" s="181" t="s">
        <v>1834</v>
      </c>
      <c r="O120" s="182" t="s">
        <v>1852</v>
      </c>
      <c r="P120" s="183">
        <v>6000</v>
      </c>
      <c r="Q120" s="183">
        <v>24</v>
      </c>
      <c r="R120" s="184" t="s">
        <v>1861</v>
      </c>
      <c r="S120" s="181" t="s">
        <v>1862</v>
      </c>
    </row>
  </sheetData>
  <autoFilter ref="B2:R98" xr:uid="{00000000-0009-0000-0000-00001E000000}"/>
  <phoneticPr fontId="1"/>
  <pageMargins left="0.23622047244094491" right="0.23622047244094491" top="0.35433070866141736" bottom="0.35433070866141736" header="0.31496062992125984" footer="0.31496062992125984"/>
  <pageSetup paperSize="9" scale="77" fitToHeight="0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51" filterMode="1">
    <pageSetUpPr fitToPage="1"/>
  </sheetPr>
  <dimension ref="B1:S136"/>
  <sheetViews>
    <sheetView zoomScale="77" zoomScaleNormal="77" workbookViewId="0">
      <pane xSplit="3" ySplit="2" topLeftCell="D3" activePane="bottomRight" state="frozen"/>
      <selection activeCell="B70" sqref="B70"/>
      <selection pane="topRight" activeCell="B70" sqref="B70"/>
      <selection pane="bottomLeft" activeCell="B70" sqref="B70"/>
      <selection pane="bottomRight" activeCell="J17" sqref="J17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15.87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9.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C2" s="14" t="s">
        <v>92</v>
      </c>
      <c r="D2" s="5" t="s">
        <v>0</v>
      </c>
      <c r="E2" s="6" t="s">
        <v>10</v>
      </c>
      <c r="F2" s="6" t="s">
        <v>11</v>
      </c>
      <c r="G2" s="10" t="s">
        <v>1</v>
      </c>
      <c r="H2" s="6" t="s">
        <v>15</v>
      </c>
      <c r="I2" s="6" t="s">
        <v>16</v>
      </c>
      <c r="J2" s="6" t="s">
        <v>12</v>
      </c>
      <c r="K2" s="12" t="s">
        <v>7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85</v>
      </c>
      <c r="Q2" s="6" t="s">
        <v>8</v>
      </c>
      <c r="R2" s="16" t="s">
        <v>6</v>
      </c>
      <c r="S2" s="16" t="s">
        <v>80</v>
      </c>
    </row>
    <row r="3" spans="2:19" s="33" customFormat="1" ht="33" customHeight="1">
      <c r="B3" s="47" t="s">
        <v>220</v>
      </c>
      <c r="C3" s="48" t="s">
        <v>396</v>
      </c>
      <c r="D3" s="49" t="s">
        <v>262</v>
      </c>
      <c r="E3" s="50">
        <v>43378</v>
      </c>
      <c r="F3" s="49" t="s">
        <v>79</v>
      </c>
      <c r="G3" s="51">
        <v>10000</v>
      </c>
      <c r="H3" s="52">
        <f t="shared" ref="H3:H29" si="0">SUM(G3/250)</f>
        <v>40</v>
      </c>
      <c r="I3" s="52">
        <f t="shared" ref="I3:I48" si="1">SUM(H3/4)</f>
        <v>10</v>
      </c>
      <c r="J3" s="49"/>
      <c r="K3" s="53">
        <v>43485</v>
      </c>
      <c r="L3" s="54" t="s">
        <v>419</v>
      </c>
      <c r="M3" s="55">
        <v>43500</v>
      </c>
      <c r="N3" s="56" t="s">
        <v>337</v>
      </c>
      <c r="O3" s="55">
        <v>43506</v>
      </c>
      <c r="P3" s="54"/>
      <c r="Q3" s="49"/>
      <c r="R3" s="57" t="s">
        <v>251</v>
      </c>
      <c r="S3" s="47" t="s">
        <v>418</v>
      </c>
    </row>
    <row r="4" spans="2:19" s="33" customFormat="1" ht="33" customHeight="1">
      <c r="B4" s="47" t="s">
        <v>220</v>
      </c>
      <c r="C4" s="48" t="s">
        <v>277</v>
      </c>
      <c r="D4" s="49" t="s">
        <v>289</v>
      </c>
      <c r="E4" s="50">
        <v>43392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43141</v>
      </c>
      <c r="L4" s="54" t="s">
        <v>266</v>
      </c>
      <c r="M4" s="55">
        <v>43500</v>
      </c>
      <c r="N4" s="56" t="s">
        <v>337</v>
      </c>
      <c r="O4" s="55">
        <v>43141</v>
      </c>
      <c r="P4" s="54"/>
      <c r="Q4" s="49"/>
      <c r="R4" s="57" t="s">
        <v>299</v>
      </c>
      <c r="S4" s="47"/>
    </row>
    <row r="5" spans="2:19" s="33" customFormat="1" ht="33" hidden="1" customHeight="1">
      <c r="B5" s="47" t="s">
        <v>78</v>
      </c>
      <c r="C5" s="48" t="s">
        <v>254</v>
      </c>
      <c r="D5" s="49" t="s">
        <v>264</v>
      </c>
      <c r="E5" s="50">
        <v>43378</v>
      </c>
      <c r="F5" s="49" t="s">
        <v>79</v>
      </c>
      <c r="G5" s="51">
        <v>20000</v>
      </c>
      <c r="H5" s="52">
        <f t="shared" si="0"/>
        <v>80</v>
      </c>
      <c r="I5" s="52">
        <f t="shared" si="1"/>
        <v>20</v>
      </c>
      <c r="J5" s="49"/>
      <c r="K5" s="53">
        <v>43141</v>
      </c>
      <c r="L5" s="54" t="s">
        <v>266</v>
      </c>
      <c r="M5" s="55">
        <v>43500</v>
      </c>
      <c r="N5" s="56" t="s">
        <v>337</v>
      </c>
      <c r="O5" s="55">
        <v>43141</v>
      </c>
      <c r="P5" s="54"/>
      <c r="Q5" s="49" t="s">
        <v>82</v>
      </c>
      <c r="R5" s="57" t="s">
        <v>300</v>
      </c>
      <c r="S5" s="47"/>
    </row>
    <row r="6" spans="2:19" s="33" customFormat="1" ht="33" hidden="1" customHeight="1">
      <c r="B6" s="47" t="s">
        <v>78</v>
      </c>
      <c r="C6" s="48" t="s">
        <v>301</v>
      </c>
      <c r="D6" s="49" t="s">
        <v>302</v>
      </c>
      <c r="E6" s="50">
        <v>43420</v>
      </c>
      <c r="F6" s="49" t="s">
        <v>217</v>
      </c>
      <c r="G6" s="51">
        <v>40000</v>
      </c>
      <c r="H6" s="52">
        <f t="shared" si="0"/>
        <v>160</v>
      </c>
      <c r="I6" s="52">
        <f t="shared" si="1"/>
        <v>40</v>
      </c>
      <c r="J6" s="49"/>
      <c r="K6" s="53">
        <v>43513</v>
      </c>
      <c r="L6" s="54" t="s">
        <v>340</v>
      </c>
      <c r="M6" s="55">
        <v>43504</v>
      </c>
      <c r="N6" s="56" t="s">
        <v>339</v>
      </c>
      <c r="O6" s="55">
        <v>43148</v>
      </c>
      <c r="P6" s="54"/>
      <c r="Q6" s="49" t="s">
        <v>82</v>
      </c>
      <c r="R6" s="57" t="s">
        <v>303</v>
      </c>
      <c r="S6" s="47"/>
    </row>
    <row r="7" spans="2:19" s="33" customFormat="1" ht="33" customHeight="1">
      <c r="B7" s="47" t="s">
        <v>220</v>
      </c>
      <c r="C7" s="48" t="s">
        <v>304</v>
      </c>
      <c r="D7" s="49" t="s">
        <v>305</v>
      </c>
      <c r="E7" s="50">
        <v>43420</v>
      </c>
      <c r="F7" s="49" t="s">
        <v>91</v>
      </c>
      <c r="G7" s="51">
        <v>10000</v>
      </c>
      <c r="H7" s="52">
        <f t="shared" si="0"/>
        <v>40</v>
      </c>
      <c r="I7" s="52">
        <f t="shared" si="1"/>
        <v>10</v>
      </c>
      <c r="J7" s="49"/>
      <c r="K7" s="53">
        <v>43155</v>
      </c>
      <c r="L7" s="54" t="s">
        <v>342</v>
      </c>
      <c r="M7" s="55">
        <v>43514</v>
      </c>
      <c r="N7" s="56" t="s">
        <v>341</v>
      </c>
      <c r="O7" s="55">
        <v>43155</v>
      </c>
      <c r="P7" s="54"/>
      <c r="Q7" s="49"/>
      <c r="R7" s="57" t="s">
        <v>358</v>
      </c>
      <c r="S7" s="47"/>
    </row>
    <row r="8" spans="2:19" s="33" customFormat="1" ht="33" hidden="1" customHeight="1">
      <c r="B8" s="47" t="s">
        <v>78</v>
      </c>
      <c r="C8" s="48" t="s">
        <v>306</v>
      </c>
      <c r="D8" s="49" t="s">
        <v>307</v>
      </c>
      <c r="E8" s="50">
        <v>43420</v>
      </c>
      <c r="F8" s="49" t="s">
        <v>240</v>
      </c>
      <c r="G8" s="51">
        <v>30000</v>
      </c>
      <c r="H8" s="52">
        <f t="shared" si="0"/>
        <v>120</v>
      </c>
      <c r="I8" s="52">
        <f t="shared" si="1"/>
        <v>30</v>
      </c>
      <c r="J8" s="49"/>
      <c r="K8" s="53">
        <v>43520</v>
      </c>
      <c r="L8" s="54" t="s">
        <v>342</v>
      </c>
      <c r="M8" s="55">
        <v>43514</v>
      </c>
      <c r="N8" s="56" t="s">
        <v>341</v>
      </c>
      <c r="O8" s="55">
        <v>43155</v>
      </c>
      <c r="P8" s="54"/>
      <c r="Q8" s="49" t="s">
        <v>82</v>
      </c>
      <c r="R8" s="57" t="s">
        <v>308</v>
      </c>
      <c r="S8" s="47"/>
    </row>
    <row r="9" spans="2:19" s="33" customFormat="1" ht="33" customHeight="1">
      <c r="B9" s="47" t="s">
        <v>220</v>
      </c>
      <c r="C9" s="48" t="s">
        <v>309</v>
      </c>
      <c r="D9" s="49" t="s">
        <v>310</v>
      </c>
      <c r="E9" s="50">
        <v>43420</v>
      </c>
      <c r="F9" s="49" t="s">
        <v>79</v>
      </c>
      <c r="G9" s="51">
        <v>7000</v>
      </c>
      <c r="H9" s="52">
        <f t="shared" si="0"/>
        <v>28</v>
      </c>
      <c r="I9" s="52">
        <f t="shared" si="1"/>
        <v>7</v>
      </c>
      <c r="J9" s="49"/>
      <c r="K9" s="53">
        <v>43541</v>
      </c>
      <c r="L9" s="54" t="s">
        <v>388</v>
      </c>
      <c r="M9" s="55">
        <v>43542</v>
      </c>
      <c r="N9" s="56" t="s">
        <v>649</v>
      </c>
      <c r="O9" s="55">
        <v>43183</v>
      </c>
      <c r="P9" s="54" t="s">
        <v>753</v>
      </c>
      <c r="Q9" s="49"/>
      <c r="R9" s="57" t="s">
        <v>420</v>
      </c>
      <c r="S9" s="47"/>
    </row>
    <row r="10" spans="2:19" s="33" customFormat="1" ht="33" hidden="1" customHeight="1">
      <c r="B10" s="47" t="s">
        <v>78</v>
      </c>
      <c r="C10" s="48" t="s">
        <v>311</v>
      </c>
      <c r="D10" s="49" t="s">
        <v>312</v>
      </c>
      <c r="E10" s="50">
        <v>43420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43169</v>
      </c>
      <c r="L10" s="54" t="s">
        <v>343</v>
      </c>
      <c r="M10" s="55">
        <v>43528</v>
      </c>
      <c r="N10" s="56" t="s">
        <v>439</v>
      </c>
      <c r="O10" s="55">
        <v>43534</v>
      </c>
      <c r="P10" s="54"/>
      <c r="Q10" s="49" t="s">
        <v>82</v>
      </c>
      <c r="R10" s="57" t="s">
        <v>313</v>
      </c>
      <c r="S10" s="47"/>
    </row>
    <row r="11" spans="2:19" s="33" customFormat="1" ht="33" hidden="1" customHeight="1">
      <c r="B11" s="47" t="s">
        <v>78</v>
      </c>
      <c r="C11" s="48" t="s">
        <v>374</v>
      </c>
      <c r="D11" s="49" t="s">
        <v>375</v>
      </c>
      <c r="E11" s="50">
        <v>43455</v>
      </c>
      <c r="F11" s="49" t="s">
        <v>79</v>
      </c>
      <c r="G11" s="51">
        <v>21000</v>
      </c>
      <c r="H11" s="52">
        <f t="shared" si="0"/>
        <v>84</v>
      </c>
      <c r="I11" s="52">
        <f t="shared" si="1"/>
        <v>21</v>
      </c>
      <c r="J11" s="49"/>
      <c r="K11" s="53">
        <v>43541</v>
      </c>
      <c r="L11" s="54" t="s">
        <v>388</v>
      </c>
      <c r="M11" s="55">
        <v>43542</v>
      </c>
      <c r="N11" s="56" t="s">
        <v>649</v>
      </c>
      <c r="O11" s="55">
        <v>43183</v>
      </c>
      <c r="P11" s="54" t="s">
        <v>754</v>
      </c>
      <c r="Q11" s="49" t="s">
        <v>82</v>
      </c>
      <c r="R11" s="57" t="s">
        <v>376</v>
      </c>
      <c r="S11" s="47"/>
    </row>
    <row r="12" spans="2:19" s="30" customFormat="1" ht="33" customHeight="1">
      <c r="B12" s="46" t="s">
        <v>220</v>
      </c>
      <c r="C12" s="35" t="s">
        <v>377</v>
      </c>
      <c r="D12" s="36" t="s">
        <v>378</v>
      </c>
      <c r="E12" s="37">
        <v>43455</v>
      </c>
      <c r="F12" s="36" t="s">
        <v>91</v>
      </c>
      <c r="G12" s="39">
        <v>14000</v>
      </c>
      <c r="H12" s="38">
        <f t="shared" si="0"/>
        <v>56</v>
      </c>
      <c r="I12" s="38">
        <f t="shared" si="1"/>
        <v>14</v>
      </c>
      <c r="J12" s="36"/>
      <c r="K12" s="40">
        <v>43548</v>
      </c>
      <c r="L12" s="41" t="s">
        <v>802</v>
      </c>
      <c r="M12" s="42">
        <v>43563</v>
      </c>
      <c r="N12" s="43" t="s">
        <v>438</v>
      </c>
      <c r="O12" s="42">
        <v>43569</v>
      </c>
      <c r="P12" s="41" t="s">
        <v>839</v>
      </c>
      <c r="Q12" s="36"/>
      <c r="R12" s="44" t="s">
        <v>379</v>
      </c>
      <c r="S12" s="46"/>
    </row>
    <row r="13" spans="2:19" s="33" customFormat="1" ht="33" hidden="1" customHeight="1">
      <c r="B13" s="47" t="s">
        <v>78</v>
      </c>
      <c r="C13" s="48" t="s">
        <v>380</v>
      </c>
      <c r="D13" s="49" t="s">
        <v>381</v>
      </c>
      <c r="E13" s="50">
        <v>43455</v>
      </c>
      <c r="F13" s="49" t="s">
        <v>240</v>
      </c>
      <c r="G13" s="51">
        <v>40000</v>
      </c>
      <c r="H13" s="52">
        <f t="shared" si="0"/>
        <v>160</v>
      </c>
      <c r="I13" s="52">
        <f t="shared" si="1"/>
        <v>40</v>
      </c>
      <c r="J13" s="49"/>
      <c r="K13" s="53">
        <v>43555</v>
      </c>
      <c r="L13" s="54" t="s">
        <v>389</v>
      </c>
      <c r="M13" s="55">
        <v>43549</v>
      </c>
      <c r="N13" s="56" t="s">
        <v>752</v>
      </c>
      <c r="O13" s="55">
        <v>43555</v>
      </c>
      <c r="P13" s="54" t="s">
        <v>755</v>
      </c>
      <c r="Q13" s="49" t="s">
        <v>82</v>
      </c>
      <c r="R13" s="57" t="s">
        <v>382</v>
      </c>
      <c r="S13" s="47"/>
    </row>
    <row r="14" spans="2:19" s="30" customFormat="1" ht="33" customHeight="1">
      <c r="B14" s="46" t="s">
        <v>220</v>
      </c>
      <c r="C14" s="35" t="s">
        <v>421</v>
      </c>
      <c r="D14" s="36" t="s">
        <v>453</v>
      </c>
      <c r="E14" s="37">
        <v>43483</v>
      </c>
      <c r="F14" s="36" t="s">
        <v>79</v>
      </c>
      <c r="G14" s="39">
        <v>20000</v>
      </c>
      <c r="H14" s="38">
        <f t="shared" si="0"/>
        <v>80</v>
      </c>
      <c r="I14" s="38">
        <f t="shared" si="1"/>
        <v>20</v>
      </c>
      <c r="J14" s="36"/>
      <c r="K14" s="40">
        <v>43576</v>
      </c>
      <c r="L14" s="41" t="s">
        <v>443</v>
      </c>
      <c r="M14" s="42">
        <v>43570</v>
      </c>
      <c r="N14" s="43" t="s">
        <v>440</v>
      </c>
      <c r="O14" s="42">
        <v>43576</v>
      </c>
      <c r="P14" s="41" t="s">
        <v>981</v>
      </c>
      <c r="Q14" s="36"/>
      <c r="R14" s="44" t="s">
        <v>454</v>
      </c>
      <c r="S14" s="46"/>
    </row>
    <row r="15" spans="2:19" s="30" customFormat="1" ht="33" hidden="1" customHeight="1">
      <c r="B15" s="46" t="s">
        <v>78</v>
      </c>
      <c r="C15" s="35" t="s">
        <v>422</v>
      </c>
      <c r="D15" s="36" t="s">
        <v>455</v>
      </c>
      <c r="E15" s="37">
        <v>43483</v>
      </c>
      <c r="F15" s="36" t="s">
        <v>91</v>
      </c>
      <c r="G15" s="39">
        <v>10000</v>
      </c>
      <c r="H15" s="38">
        <f>SUM(G15/250)</f>
        <v>40</v>
      </c>
      <c r="I15" s="38">
        <f t="shared" si="1"/>
        <v>10</v>
      </c>
      <c r="J15" s="36"/>
      <c r="K15" s="40">
        <v>43618</v>
      </c>
      <c r="L15" s="41" t="s">
        <v>442</v>
      </c>
      <c r="M15" s="42">
        <v>43612</v>
      </c>
      <c r="N15" s="43" t="s">
        <v>637</v>
      </c>
      <c r="O15" s="42">
        <v>43618</v>
      </c>
      <c r="P15" s="41"/>
      <c r="Q15" s="36" t="s">
        <v>82</v>
      </c>
      <c r="R15" s="44" t="s">
        <v>616</v>
      </c>
      <c r="S15" s="46"/>
    </row>
    <row r="16" spans="2:19" s="30" customFormat="1" ht="33" hidden="1" customHeight="1">
      <c r="B16" s="46" t="s">
        <v>78</v>
      </c>
      <c r="C16" s="35" t="s">
        <v>1330</v>
      </c>
      <c r="D16" s="36" t="s">
        <v>1337</v>
      </c>
      <c r="E16" s="37">
        <v>43483</v>
      </c>
      <c r="F16" s="36" t="s">
        <v>91</v>
      </c>
      <c r="G16" s="39">
        <v>20000</v>
      </c>
      <c r="H16" s="38">
        <f>SUM(G16/250)</f>
        <v>80</v>
      </c>
      <c r="I16" s="38">
        <f t="shared" si="1"/>
        <v>20</v>
      </c>
      <c r="J16" s="36"/>
      <c r="K16" s="40">
        <v>43618</v>
      </c>
      <c r="L16" s="41" t="s">
        <v>442</v>
      </c>
      <c r="M16" s="42">
        <v>43612</v>
      </c>
      <c r="N16" s="43" t="s">
        <v>637</v>
      </c>
      <c r="O16" s="42">
        <v>43618</v>
      </c>
      <c r="P16" s="41"/>
      <c r="Q16" s="36" t="s">
        <v>82</v>
      </c>
      <c r="R16" s="44" t="s">
        <v>616</v>
      </c>
      <c r="S16" s="46" t="s">
        <v>479</v>
      </c>
    </row>
    <row r="17" spans="2:19" s="30" customFormat="1" ht="33" customHeight="1">
      <c r="B17" s="46" t="s">
        <v>220</v>
      </c>
      <c r="C17" s="35" t="s">
        <v>1570</v>
      </c>
      <c r="D17" s="36" t="s">
        <v>455</v>
      </c>
      <c r="E17" s="37">
        <v>43523</v>
      </c>
      <c r="F17" s="36" t="s">
        <v>1571</v>
      </c>
      <c r="G17" s="39">
        <v>10000</v>
      </c>
      <c r="H17" s="38">
        <f>SUM(G17/250)</f>
        <v>40</v>
      </c>
      <c r="I17" s="38">
        <f t="shared" si="1"/>
        <v>10</v>
      </c>
      <c r="J17" s="36"/>
      <c r="K17" s="40">
        <v>43618</v>
      </c>
      <c r="L17" s="41" t="s">
        <v>638</v>
      </c>
      <c r="M17" s="42">
        <v>43612</v>
      </c>
      <c r="N17" s="43" t="s">
        <v>636</v>
      </c>
      <c r="O17" s="42">
        <v>43618</v>
      </c>
      <c r="P17" s="41" t="s">
        <v>1819</v>
      </c>
      <c r="Q17" s="36"/>
      <c r="R17" s="44" t="s">
        <v>1572</v>
      </c>
      <c r="S17" s="46"/>
    </row>
    <row r="18" spans="2:19" s="30" customFormat="1" ht="33" hidden="1" customHeight="1">
      <c r="B18" s="46" t="s">
        <v>78</v>
      </c>
      <c r="C18" s="35" t="s">
        <v>423</v>
      </c>
      <c r="D18" s="36" t="s">
        <v>457</v>
      </c>
      <c r="E18" s="37">
        <v>43483</v>
      </c>
      <c r="F18" s="36" t="s">
        <v>79</v>
      </c>
      <c r="G18" s="39">
        <v>20000</v>
      </c>
      <c r="H18" s="38">
        <f t="shared" si="0"/>
        <v>80</v>
      </c>
      <c r="I18" s="38">
        <f t="shared" si="1"/>
        <v>20</v>
      </c>
      <c r="J18" s="36"/>
      <c r="K18" s="40">
        <v>43576</v>
      </c>
      <c r="L18" s="41" t="s">
        <v>1573</v>
      </c>
      <c r="M18" s="42">
        <v>43570</v>
      </c>
      <c r="N18" s="43" t="s">
        <v>1574</v>
      </c>
      <c r="O18" s="42">
        <v>43576</v>
      </c>
      <c r="P18" s="41" t="s">
        <v>1575</v>
      </c>
      <c r="Q18" s="36" t="s">
        <v>82</v>
      </c>
      <c r="R18" s="44" t="s">
        <v>1576</v>
      </c>
      <c r="S18" s="46"/>
    </row>
    <row r="19" spans="2:19" s="30" customFormat="1" ht="33" customHeight="1">
      <c r="B19" s="46" t="s">
        <v>220</v>
      </c>
      <c r="C19" s="35" t="s">
        <v>425</v>
      </c>
      <c r="D19" s="36" t="s">
        <v>459</v>
      </c>
      <c r="E19" s="37">
        <v>43483</v>
      </c>
      <c r="F19" s="36" t="s">
        <v>79</v>
      </c>
      <c r="G19" s="39">
        <v>20000</v>
      </c>
      <c r="H19" s="38">
        <f t="shared" si="0"/>
        <v>80</v>
      </c>
      <c r="I19" s="38">
        <f t="shared" si="1"/>
        <v>20</v>
      </c>
      <c r="J19" s="36"/>
      <c r="K19" s="40">
        <v>43583</v>
      </c>
      <c r="L19" s="41" t="s">
        <v>1577</v>
      </c>
      <c r="M19" s="42">
        <v>43577</v>
      </c>
      <c r="N19" s="43" t="s">
        <v>1578</v>
      </c>
      <c r="O19" s="42">
        <v>43583</v>
      </c>
      <c r="P19" s="41" t="s">
        <v>1579</v>
      </c>
      <c r="Q19" s="36"/>
      <c r="R19" s="44" t="s">
        <v>1580</v>
      </c>
      <c r="S19" s="46"/>
    </row>
    <row r="20" spans="2:19" s="30" customFormat="1" ht="33" hidden="1" customHeight="1">
      <c r="B20" s="46" t="s">
        <v>78</v>
      </c>
      <c r="C20" s="35" t="s">
        <v>462</v>
      </c>
      <c r="D20" s="36" t="s">
        <v>483</v>
      </c>
      <c r="E20" s="37">
        <v>43490</v>
      </c>
      <c r="F20" s="36" t="s">
        <v>79</v>
      </c>
      <c r="G20" s="39">
        <v>20000</v>
      </c>
      <c r="H20" s="38">
        <f t="shared" si="0"/>
        <v>80</v>
      </c>
      <c r="I20" s="38">
        <f t="shared" si="1"/>
        <v>20</v>
      </c>
      <c r="J20" s="36"/>
      <c r="K20" s="40">
        <v>43583</v>
      </c>
      <c r="L20" s="41" t="s">
        <v>1577</v>
      </c>
      <c r="M20" s="42">
        <v>43577</v>
      </c>
      <c r="N20" s="43" t="s">
        <v>1578</v>
      </c>
      <c r="O20" s="42">
        <v>43583</v>
      </c>
      <c r="P20" s="41" t="s">
        <v>1581</v>
      </c>
      <c r="Q20" s="36" t="s">
        <v>82</v>
      </c>
      <c r="R20" s="44" t="s">
        <v>1582</v>
      </c>
      <c r="S20" s="46"/>
    </row>
    <row r="21" spans="2:19" s="30" customFormat="1" ht="33" hidden="1" customHeight="1">
      <c r="B21" s="46" t="s">
        <v>78</v>
      </c>
      <c r="C21" s="35" t="s">
        <v>570</v>
      </c>
      <c r="D21" s="36" t="s">
        <v>571</v>
      </c>
      <c r="E21" s="37">
        <v>43519</v>
      </c>
      <c r="F21" s="36" t="s">
        <v>79</v>
      </c>
      <c r="G21" s="39">
        <v>20000</v>
      </c>
      <c r="H21" s="38">
        <f t="shared" si="0"/>
        <v>80</v>
      </c>
      <c r="I21" s="38">
        <f t="shared" si="1"/>
        <v>20</v>
      </c>
      <c r="J21" s="36"/>
      <c r="K21" s="40">
        <v>43590</v>
      </c>
      <c r="L21" s="41" t="s">
        <v>602</v>
      </c>
      <c r="M21" s="42">
        <v>43577</v>
      </c>
      <c r="N21" s="43" t="s">
        <v>1578</v>
      </c>
      <c r="O21" s="42">
        <v>43583</v>
      </c>
      <c r="P21" s="41" t="s">
        <v>1583</v>
      </c>
      <c r="Q21" s="36" t="s">
        <v>82</v>
      </c>
      <c r="R21" s="44" t="s">
        <v>1584</v>
      </c>
      <c r="S21" s="46"/>
    </row>
    <row r="22" spans="2:19" s="30" customFormat="1" ht="33" hidden="1" customHeight="1">
      <c r="B22" s="46" t="s">
        <v>78</v>
      </c>
      <c r="C22" s="35" t="s">
        <v>573</v>
      </c>
      <c r="D22" s="36" t="s">
        <v>574</v>
      </c>
      <c r="E22" s="37">
        <v>43519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43604</v>
      </c>
      <c r="L22" s="41" t="s">
        <v>1585</v>
      </c>
      <c r="M22" s="42">
        <v>43598</v>
      </c>
      <c r="N22" s="43" t="s">
        <v>1586</v>
      </c>
      <c r="O22" s="42">
        <v>43604</v>
      </c>
      <c r="P22" s="41" t="s">
        <v>1811</v>
      </c>
      <c r="Q22" s="36" t="s">
        <v>82</v>
      </c>
      <c r="R22" s="44" t="s">
        <v>1587</v>
      </c>
      <c r="S22" s="46"/>
    </row>
    <row r="23" spans="2:19" s="30" customFormat="1" ht="33" hidden="1" customHeight="1">
      <c r="B23" s="46" t="s">
        <v>78</v>
      </c>
      <c r="C23" s="35" t="s">
        <v>1591</v>
      </c>
      <c r="D23" s="36" t="s">
        <v>577</v>
      </c>
      <c r="E23" s="37">
        <v>43519</v>
      </c>
      <c r="F23" s="36" t="s">
        <v>1571</v>
      </c>
      <c r="G23" s="39">
        <v>10000</v>
      </c>
      <c r="H23" s="38">
        <f>SUM(G23/250)</f>
        <v>40</v>
      </c>
      <c r="I23" s="38">
        <f>SUM(H23/4)</f>
        <v>10</v>
      </c>
      <c r="J23" s="36"/>
      <c r="K23" s="40">
        <v>43598</v>
      </c>
      <c r="L23" s="41" t="s">
        <v>803</v>
      </c>
      <c r="M23" s="42">
        <v>43598</v>
      </c>
      <c r="N23" s="43" t="s">
        <v>804</v>
      </c>
      <c r="O23" s="42">
        <v>43604</v>
      </c>
      <c r="P23" s="41" t="s">
        <v>1812</v>
      </c>
      <c r="Q23" s="36" t="s">
        <v>82</v>
      </c>
      <c r="R23" s="44" t="s">
        <v>1592</v>
      </c>
      <c r="S23" s="46"/>
    </row>
    <row r="24" spans="2:19" s="30" customFormat="1" ht="33" hidden="1" customHeight="1">
      <c r="B24" s="46" t="s">
        <v>78</v>
      </c>
      <c r="C24" s="35" t="s">
        <v>576</v>
      </c>
      <c r="D24" s="36" t="s">
        <v>577</v>
      </c>
      <c r="E24" s="37">
        <v>43519</v>
      </c>
      <c r="F24" s="36" t="s">
        <v>79</v>
      </c>
      <c r="G24" s="39">
        <v>20000</v>
      </c>
      <c r="H24" s="38">
        <f t="shared" si="0"/>
        <v>80</v>
      </c>
      <c r="I24" s="38">
        <f t="shared" si="1"/>
        <v>20</v>
      </c>
      <c r="J24" s="36"/>
      <c r="K24" s="40">
        <v>43611</v>
      </c>
      <c r="L24" s="41" t="s">
        <v>1588</v>
      </c>
      <c r="M24" s="42">
        <v>43605</v>
      </c>
      <c r="N24" s="43" t="s">
        <v>1589</v>
      </c>
      <c r="O24" s="42">
        <v>43611</v>
      </c>
      <c r="P24" s="41" t="s">
        <v>1814</v>
      </c>
      <c r="Q24" s="36" t="s">
        <v>82</v>
      </c>
      <c r="R24" s="44" t="s">
        <v>1590</v>
      </c>
      <c r="S24" s="46"/>
    </row>
    <row r="25" spans="2:19" s="30" customFormat="1" ht="33" customHeight="1">
      <c r="B25" s="46" t="s">
        <v>220</v>
      </c>
      <c r="C25" s="35" t="s">
        <v>579</v>
      </c>
      <c r="D25" s="36" t="s">
        <v>580</v>
      </c>
      <c r="E25" s="37">
        <v>43519</v>
      </c>
      <c r="F25" s="36" t="s">
        <v>79</v>
      </c>
      <c r="G25" s="39">
        <v>10000</v>
      </c>
      <c r="H25" s="38">
        <f t="shared" si="0"/>
        <v>40</v>
      </c>
      <c r="I25" s="38">
        <f t="shared" si="1"/>
        <v>10</v>
      </c>
      <c r="J25" s="36"/>
      <c r="K25" s="40">
        <v>43598</v>
      </c>
      <c r="L25" s="41" t="s">
        <v>803</v>
      </c>
      <c r="M25" s="42">
        <v>43598</v>
      </c>
      <c r="N25" s="43" t="s">
        <v>804</v>
      </c>
      <c r="O25" s="42">
        <v>43604</v>
      </c>
      <c r="P25" s="41" t="s">
        <v>1813</v>
      </c>
      <c r="Q25" s="36"/>
      <c r="R25" s="44" t="s">
        <v>1593</v>
      </c>
      <c r="S25" s="46"/>
    </row>
    <row r="26" spans="2:19" s="30" customFormat="1" ht="33" hidden="1" customHeight="1">
      <c r="B26" s="46" t="s">
        <v>78</v>
      </c>
      <c r="C26" s="35" t="s">
        <v>685</v>
      </c>
      <c r="D26" s="36" t="s">
        <v>686</v>
      </c>
      <c r="E26" s="37">
        <v>43532</v>
      </c>
      <c r="F26" s="36" t="s">
        <v>79</v>
      </c>
      <c r="G26" s="39">
        <v>20000</v>
      </c>
      <c r="H26" s="38">
        <f t="shared" si="0"/>
        <v>80</v>
      </c>
      <c r="I26" s="38">
        <f t="shared" si="1"/>
        <v>20</v>
      </c>
      <c r="J26" s="36"/>
      <c r="K26" s="40">
        <v>43625</v>
      </c>
      <c r="L26" s="41" t="s">
        <v>1594</v>
      </c>
      <c r="M26" s="42">
        <v>43619</v>
      </c>
      <c r="N26" s="43" t="s">
        <v>1595</v>
      </c>
      <c r="O26" s="42">
        <v>43625</v>
      </c>
      <c r="P26" s="41"/>
      <c r="Q26" s="36" t="s">
        <v>82</v>
      </c>
      <c r="R26" s="44" t="s">
        <v>1596</v>
      </c>
      <c r="S26" s="46"/>
    </row>
    <row r="27" spans="2:19" s="30" customFormat="1" ht="33" hidden="1" customHeight="1">
      <c r="B27" s="46" t="s">
        <v>78</v>
      </c>
      <c r="C27" s="35" t="s">
        <v>1597</v>
      </c>
      <c r="D27" s="36" t="s">
        <v>1366</v>
      </c>
      <c r="E27" s="37">
        <v>43532</v>
      </c>
      <c r="F27" s="36" t="s">
        <v>79</v>
      </c>
      <c r="G27" s="39">
        <v>20000</v>
      </c>
      <c r="H27" s="38">
        <f t="shared" ref="H27" si="2">SUM(G27/250)</f>
        <v>80</v>
      </c>
      <c r="I27" s="38">
        <f t="shared" si="1"/>
        <v>20</v>
      </c>
      <c r="J27" s="36"/>
      <c r="K27" s="40">
        <v>43625</v>
      </c>
      <c r="L27" s="41" t="s">
        <v>1594</v>
      </c>
      <c r="M27" s="42">
        <v>43619</v>
      </c>
      <c r="N27" s="43" t="s">
        <v>1595</v>
      </c>
      <c r="O27" s="42">
        <v>43625</v>
      </c>
      <c r="P27" s="41"/>
      <c r="Q27" s="36" t="s">
        <v>82</v>
      </c>
      <c r="R27" s="44" t="s">
        <v>1596</v>
      </c>
      <c r="S27" s="46" t="s">
        <v>479</v>
      </c>
    </row>
    <row r="28" spans="2:19" s="30" customFormat="1" ht="33" customHeight="1">
      <c r="B28" s="46" t="s">
        <v>220</v>
      </c>
      <c r="C28" s="35" t="s">
        <v>688</v>
      </c>
      <c r="D28" s="36" t="s">
        <v>689</v>
      </c>
      <c r="E28" s="37">
        <v>43532</v>
      </c>
      <c r="F28" s="36" t="s">
        <v>79</v>
      </c>
      <c r="G28" s="39">
        <v>20000</v>
      </c>
      <c r="H28" s="38">
        <f t="shared" si="0"/>
        <v>80</v>
      </c>
      <c r="I28" s="38">
        <f t="shared" si="1"/>
        <v>20</v>
      </c>
      <c r="J28" s="36"/>
      <c r="K28" s="40">
        <v>43632</v>
      </c>
      <c r="L28" s="41" t="s">
        <v>1598</v>
      </c>
      <c r="M28" s="42">
        <v>43626</v>
      </c>
      <c r="N28" s="43" t="s">
        <v>1599</v>
      </c>
      <c r="O28" s="42">
        <v>43632</v>
      </c>
      <c r="P28" s="41" t="s">
        <v>1820</v>
      </c>
      <c r="Q28" s="36"/>
      <c r="R28" s="44" t="s">
        <v>1600</v>
      </c>
      <c r="S28" s="46"/>
    </row>
    <row r="29" spans="2:19" s="30" customFormat="1" ht="33" hidden="1" customHeight="1">
      <c r="B29" s="46" t="s">
        <v>78</v>
      </c>
      <c r="C29" s="35" t="s">
        <v>691</v>
      </c>
      <c r="D29" s="36" t="s">
        <v>692</v>
      </c>
      <c r="E29" s="37">
        <v>43532</v>
      </c>
      <c r="F29" s="36" t="s">
        <v>79</v>
      </c>
      <c r="G29" s="39">
        <v>20000</v>
      </c>
      <c r="H29" s="38">
        <f t="shared" si="0"/>
        <v>80</v>
      </c>
      <c r="I29" s="38">
        <f t="shared" si="1"/>
        <v>20</v>
      </c>
      <c r="J29" s="36"/>
      <c r="K29" s="40">
        <v>43639</v>
      </c>
      <c r="L29" s="41" t="s">
        <v>1601</v>
      </c>
      <c r="M29" s="42">
        <v>43633</v>
      </c>
      <c r="N29" s="43" t="s">
        <v>1602</v>
      </c>
      <c r="O29" s="42">
        <v>43639</v>
      </c>
      <c r="P29" s="41"/>
      <c r="Q29" s="36" t="s">
        <v>82</v>
      </c>
      <c r="R29" s="44" t="s">
        <v>1603</v>
      </c>
      <c r="S29" s="46"/>
    </row>
    <row r="30" spans="2:19" s="30" customFormat="1" ht="33" customHeight="1">
      <c r="B30" s="155" t="s">
        <v>1817</v>
      </c>
      <c r="C30" s="35" t="s">
        <v>986</v>
      </c>
      <c r="D30" s="36" t="s">
        <v>1604</v>
      </c>
      <c r="E30" s="37">
        <v>43566</v>
      </c>
      <c r="F30" s="36" t="s">
        <v>79</v>
      </c>
      <c r="G30" s="97">
        <v>7000</v>
      </c>
      <c r="H30" s="98">
        <f t="shared" ref="H30:H40" si="3">SUM(G30/250)</f>
        <v>28</v>
      </c>
      <c r="I30" s="98">
        <f t="shared" si="1"/>
        <v>7</v>
      </c>
      <c r="J30" s="36"/>
      <c r="K30" s="40">
        <v>43611</v>
      </c>
      <c r="L30" s="41" t="s">
        <v>603</v>
      </c>
      <c r="M30" s="42">
        <v>43605</v>
      </c>
      <c r="N30" s="43" t="s">
        <v>1080</v>
      </c>
      <c r="O30" s="42">
        <v>43611</v>
      </c>
      <c r="P30" s="41" t="s">
        <v>1815</v>
      </c>
      <c r="Q30" s="105" t="s">
        <v>82</v>
      </c>
      <c r="R30" s="114" t="s">
        <v>1605</v>
      </c>
      <c r="S30" s="46"/>
    </row>
    <row r="31" spans="2:19" s="30" customFormat="1" ht="33" hidden="1" customHeight="1">
      <c r="B31" s="155" t="s">
        <v>78</v>
      </c>
      <c r="C31" s="35" t="s">
        <v>1816</v>
      </c>
      <c r="D31" s="36" t="s">
        <v>1156</v>
      </c>
      <c r="E31" s="37">
        <v>43566</v>
      </c>
      <c r="F31" s="36" t="s">
        <v>79</v>
      </c>
      <c r="G31" s="97">
        <v>12000</v>
      </c>
      <c r="H31" s="98">
        <f t="shared" ref="H31" si="4">SUM(G31/250)</f>
        <v>48</v>
      </c>
      <c r="I31" s="98">
        <f t="shared" ref="I31" si="5">SUM(H31/4)</f>
        <v>12</v>
      </c>
      <c r="J31" s="36"/>
      <c r="K31" s="40">
        <v>43611</v>
      </c>
      <c r="L31" s="41" t="s">
        <v>603</v>
      </c>
      <c r="M31" s="42">
        <v>43605</v>
      </c>
      <c r="N31" s="43" t="s">
        <v>1080</v>
      </c>
      <c r="O31" s="42">
        <v>43611</v>
      </c>
      <c r="P31" s="41" t="s">
        <v>1818</v>
      </c>
      <c r="Q31" s="36"/>
      <c r="R31" s="114" t="s">
        <v>1605</v>
      </c>
      <c r="S31" s="46"/>
    </row>
    <row r="32" spans="2:19" s="30" customFormat="1" ht="33" hidden="1" customHeight="1">
      <c r="B32" s="46" t="s">
        <v>78</v>
      </c>
      <c r="C32" s="35" t="s">
        <v>988</v>
      </c>
      <c r="D32" s="36" t="s">
        <v>1606</v>
      </c>
      <c r="E32" s="37">
        <v>43566</v>
      </c>
      <c r="F32" s="36" t="s">
        <v>79</v>
      </c>
      <c r="G32" s="39">
        <v>20000</v>
      </c>
      <c r="H32" s="38">
        <f t="shared" si="3"/>
        <v>80</v>
      </c>
      <c r="I32" s="38">
        <f t="shared" si="1"/>
        <v>20</v>
      </c>
      <c r="J32" s="36"/>
      <c r="K32" s="40">
        <v>43632</v>
      </c>
      <c r="L32" s="41" t="s">
        <v>1081</v>
      </c>
      <c r="M32" s="42">
        <v>43626</v>
      </c>
      <c r="N32" s="43" t="s">
        <v>1082</v>
      </c>
      <c r="O32" s="42">
        <v>43632</v>
      </c>
      <c r="P32" s="41"/>
      <c r="Q32" s="36" t="s">
        <v>82</v>
      </c>
      <c r="R32" s="44" t="s">
        <v>1607</v>
      </c>
      <c r="S32" s="46"/>
    </row>
    <row r="33" spans="2:19" s="30" customFormat="1" ht="33" hidden="1" customHeight="1">
      <c r="B33" s="46" t="s">
        <v>78</v>
      </c>
      <c r="C33" s="35" t="s">
        <v>1160</v>
      </c>
      <c r="D33" s="36" t="s">
        <v>1161</v>
      </c>
      <c r="E33" s="37">
        <v>43567</v>
      </c>
      <c r="F33" s="36" t="s">
        <v>1608</v>
      </c>
      <c r="G33" s="39">
        <v>40000</v>
      </c>
      <c r="H33" s="38">
        <f t="shared" si="3"/>
        <v>160</v>
      </c>
      <c r="I33" s="38">
        <f t="shared" si="1"/>
        <v>40</v>
      </c>
      <c r="J33" s="36"/>
      <c r="K33" s="40">
        <v>43646</v>
      </c>
      <c r="L33" s="41" t="s">
        <v>1609</v>
      </c>
      <c r="M33" s="42">
        <v>43640</v>
      </c>
      <c r="N33" s="43" t="s">
        <v>1610</v>
      </c>
      <c r="O33" s="42">
        <v>43646</v>
      </c>
      <c r="P33" s="41"/>
      <c r="Q33" s="36" t="s">
        <v>82</v>
      </c>
      <c r="R33" s="44" t="s">
        <v>1611</v>
      </c>
      <c r="S33" s="46"/>
    </row>
    <row r="34" spans="2:19" s="30" customFormat="1" ht="33" customHeight="1">
      <c r="B34" s="46" t="s">
        <v>220</v>
      </c>
      <c r="C34" s="35" t="s">
        <v>1163</v>
      </c>
      <c r="D34" s="36" t="s">
        <v>1164</v>
      </c>
      <c r="E34" s="37">
        <v>43567</v>
      </c>
      <c r="F34" s="36" t="s">
        <v>79</v>
      </c>
      <c r="G34" s="39">
        <v>20000</v>
      </c>
      <c r="H34" s="38">
        <f t="shared" si="3"/>
        <v>80</v>
      </c>
      <c r="I34" s="38">
        <f t="shared" si="1"/>
        <v>20</v>
      </c>
      <c r="J34" s="36"/>
      <c r="K34" s="40">
        <v>43646</v>
      </c>
      <c r="L34" s="41" t="s">
        <v>1609</v>
      </c>
      <c r="M34" s="42">
        <v>43640</v>
      </c>
      <c r="N34" s="43" t="s">
        <v>1610</v>
      </c>
      <c r="O34" s="42">
        <v>43646</v>
      </c>
      <c r="P34" s="41"/>
      <c r="Q34" s="36"/>
      <c r="R34" s="44" t="s">
        <v>1612</v>
      </c>
      <c r="S34" s="46"/>
    </row>
    <row r="35" spans="2:19" s="30" customFormat="1" ht="33" hidden="1" customHeight="1">
      <c r="B35" s="46" t="s">
        <v>78</v>
      </c>
      <c r="C35" s="35" t="s">
        <v>1166</v>
      </c>
      <c r="D35" s="36" t="s">
        <v>1167</v>
      </c>
      <c r="E35" s="37">
        <v>43567</v>
      </c>
      <c r="F35" s="36" t="s">
        <v>79</v>
      </c>
      <c r="G35" s="39">
        <v>20000</v>
      </c>
      <c r="H35" s="38">
        <f t="shared" si="3"/>
        <v>80</v>
      </c>
      <c r="I35" s="38">
        <f t="shared" si="1"/>
        <v>20</v>
      </c>
      <c r="J35" s="36"/>
      <c r="K35" s="40">
        <v>43653</v>
      </c>
      <c r="L35" s="41" t="s">
        <v>1613</v>
      </c>
      <c r="M35" s="42">
        <v>43647</v>
      </c>
      <c r="N35" s="43" t="s">
        <v>1614</v>
      </c>
      <c r="O35" s="42">
        <v>43653</v>
      </c>
      <c r="P35" s="41"/>
      <c r="Q35" s="36" t="s">
        <v>82</v>
      </c>
      <c r="R35" s="44" t="s">
        <v>1615</v>
      </c>
      <c r="S35" s="46"/>
    </row>
    <row r="36" spans="2:19" s="30" customFormat="1" ht="33" hidden="1" customHeight="1">
      <c r="B36" s="46" t="s">
        <v>78</v>
      </c>
      <c r="C36" s="35" t="s">
        <v>1169</v>
      </c>
      <c r="D36" s="36" t="s">
        <v>1170</v>
      </c>
      <c r="E36" s="37">
        <v>43567</v>
      </c>
      <c r="F36" s="36" t="s">
        <v>79</v>
      </c>
      <c r="G36" s="39">
        <v>20000</v>
      </c>
      <c r="H36" s="38">
        <f t="shared" si="3"/>
        <v>80</v>
      </c>
      <c r="I36" s="38">
        <f t="shared" si="1"/>
        <v>20</v>
      </c>
      <c r="J36" s="36"/>
      <c r="K36" s="40">
        <v>43660</v>
      </c>
      <c r="L36" s="41" t="s">
        <v>1616</v>
      </c>
      <c r="M36" s="42">
        <v>43654</v>
      </c>
      <c r="N36" s="43" t="s">
        <v>1617</v>
      </c>
      <c r="O36" s="42">
        <v>43660</v>
      </c>
      <c r="P36" s="41"/>
      <c r="Q36" s="36" t="s">
        <v>82</v>
      </c>
      <c r="R36" s="44" t="s">
        <v>1618</v>
      </c>
      <c r="S36" s="46"/>
    </row>
    <row r="37" spans="2:19" s="30" customFormat="1" ht="33" hidden="1" customHeight="1">
      <c r="B37" s="46" t="s">
        <v>78</v>
      </c>
      <c r="C37" s="35" t="s">
        <v>1172</v>
      </c>
      <c r="D37" s="36" t="s">
        <v>1173</v>
      </c>
      <c r="E37" s="37">
        <v>43567</v>
      </c>
      <c r="F37" s="36" t="s">
        <v>79</v>
      </c>
      <c r="G37" s="39">
        <v>20000</v>
      </c>
      <c r="H37" s="38">
        <f t="shared" si="3"/>
        <v>80</v>
      </c>
      <c r="I37" s="38">
        <f t="shared" si="1"/>
        <v>20</v>
      </c>
      <c r="J37" s="36"/>
      <c r="K37" s="40">
        <v>43667</v>
      </c>
      <c r="L37" s="41" t="s">
        <v>1619</v>
      </c>
      <c r="M37" s="42">
        <v>43658</v>
      </c>
      <c r="N37" s="43" t="s">
        <v>1620</v>
      </c>
      <c r="O37" s="42">
        <v>43667</v>
      </c>
      <c r="P37" s="41"/>
      <c r="Q37" s="36" t="s">
        <v>82</v>
      </c>
      <c r="R37" s="44" t="s">
        <v>1621</v>
      </c>
      <c r="S37" s="46"/>
    </row>
    <row r="38" spans="2:19" s="30" customFormat="1" ht="33" customHeight="1">
      <c r="B38" s="46" t="s">
        <v>220</v>
      </c>
      <c r="C38" s="35" t="s">
        <v>1175</v>
      </c>
      <c r="D38" s="36" t="s">
        <v>1176</v>
      </c>
      <c r="E38" s="37">
        <v>43567</v>
      </c>
      <c r="F38" s="36" t="s">
        <v>79</v>
      </c>
      <c r="G38" s="39">
        <v>20000</v>
      </c>
      <c r="H38" s="38">
        <f t="shared" si="3"/>
        <v>80</v>
      </c>
      <c r="I38" s="38">
        <f t="shared" si="1"/>
        <v>20</v>
      </c>
      <c r="J38" s="36"/>
      <c r="K38" s="40">
        <v>43667</v>
      </c>
      <c r="L38" s="41" t="s">
        <v>1319</v>
      </c>
      <c r="M38" s="42">
        <v>43658</v>
      </c>
      <c r="N38" s="43" t="s">
        <v>1620</v>
      </c>
      <c r="O38" s="42">
        <v>43667</v>
      </c>
      <c r="P38" s="41"/>
      <c r="Q38" s="36"/>
      <c r="R38" s="44" t="s">
        <v>1622</v>
      </c>
      <c r="S38" s="46"/>
    </row>
    <row r="39" spans="2:19" s="30" customFormat="1" ht="33" hidden="1" customHeight="1">
      <c r="B39" s="46" t="s">
        <v>78</v>
      </c>
      <c r="C39" s="35" t="s">
        <v>1178</v>
      </c>
      <c r="D39" s="36" t="s">
        <v>1179</v>
      </c>
      <c r="E39" s="37">
        <v>43567</v>
      </c>
      <c r="F39" s="36" t="s">
        <v>1571</v>
      </c>
      <c r="G39" s="39">
        <v>10000</v>
      </c>
      <c r="H39" s="38">
        <f t="shared" si="3"/>
        <v>40</v>
      </c>
      <c r="I39" s="38">
        <f t="shared" si="1"/>
        <v>10</v>
      </c>
      <c r="J39" s="36"/>
      <c r="K39" s="40">
        <v>43674</v>
      </c>
      <c r="L39" s="41" t="s">
        <v>1623</v>
      </c>
      <c r="M39" s="42">
        <v>43668</v>
      </c>
      <c r="N39" s="43" t="s">
        <v>1624</v>
      </c>
      <c r="O39" s="42">
        <v>43674</v>
      </c>
      <c r="P39" s="41"/>
      <c r="Q39" s="36" t="s">
        <v>82</v>
      </c>
      <c r="R39" s="44" t="s">
        <v>1625</v>
      </c>
      <c r="S39" s="46"/>
    </row>
    <row r="40" spans="2:19" s="30" customFormat="1" ht="33" customHeight="1">
      <c r="B40" s="46" t="s">
        <v>220</v>
      </c>
      <c r="C40" s="35" t="s">
        <v>1181</v>
      </c>
      <c r="D40" s="36" t="s">
        <v>1182</v>
      </c>
      <c r="E40" s="37">
        <v>43567</v>
      </c>
      <c r="F40" s="36" t="s">
        <v>1571</v>
      </c>
      <c r="G40" s="39">
        <v>10000</v>
      </c>
      <c r="H40" s="38">
        <f t="shared" si="3"/>
        <v>40</v>
      </c>
      <c r="I40" s="38">
        <f t="shared" si="1"/>
        <v>10</v>
      </c>
      <c r="J40" s="36"/>
      <c r="K40" s="40">
        <v>43674</v>
      </c>
      <c r="L40" s="41" t="s">
        <v>1321</v>
      </c>
      <c r="M40" s="42">
        <v>43668</v>
      </c>
      <c r="N40" s="43" t="s">
        <v>1624</v>
      </c>
      <c r="O40" s="42">
        <v>43674</v>
      </c>
      <c r="P40" s="41"/>
      <c r="Q40" s="36"/>
      <c r="R40" s="44" t="s">
        <v>1626</v>
      </c>
      <c r="S40" s="46"/>
    </row>
    <row r="41" spans="2:19" s="96" customFormat="1" ht="33" hidden="1" customHeight="1">
      <c r="B41" s="47" t="s">
        <v>17</v>
      </c>
      <c r="C41" s="48" t="s">
        <v>353</v>
      </c>
      <c r="D41" s="49" t="s">
        <v>383</v>
      </c>
      <c r="E41" s="50">
        <v>43434</v>
      </c>
      <c r="F41" s="52" t="s">
        <v>84</v>
      </c>
      <c r="G41" s="51">
        <v>9200</v>
      </c>
      <c r="H41" s="52">
        <f t="shared" ref="H41:H48" si="6">SUM(G41/230)</f>
        <v>40</v>
      </c>
      <c r="I41" s="52">
        <f t="shared" si="1"/>
        <v>10</v>
      </c>
      <c r="J41" s="49"/>
      <c r="K41" s="53">
        <v>43148</v>
      </c>
      <c r="L41" s="54" t="s">
        <v>276</v>
      </c>
      <c r="M41" s="55">
        <v>43508</v>
      </c>
      <c r="N41" s="56" t="s">
        <v>1627</v>
      </c>
      <c r="O41" s="55">
        <v>43513</v>
      </c>
      <c r="P41" s="58"/>
      <c r="Q41" s="52" t="s">
        <v>82</v>
      </c>
      <c r="R41" s="57" t="s">
        <v>1628</v>
      </c>
      <c r="S41" s="47"/>
    </row>
    <row r="42" spans="2:19" s="96" customFormat="1" ht="33" hidden="1" customHeight="1">
      <c r="B42" s="47" t="s">
        <v>17</v>
      </c>
      <c r="C42" s="48" t="s">
        <v>361</v>
      </c>
      <c r="D42" s="49" t="s">
        <v>384</v>
      </c>
      <c r="E42" s="50">
        <v>43441</v>
      </c>
      <c r="F42" s="52" t="s">
        <v>84</v>
      </c>
      <c r="G42" s="51">
        <v>9200</v>
      </c>
      <c r="H42" s="52">
        <f t="shared" si="6"/>
        <v>40</v>
      </c>
      <c r="I42" s="52">
        <f t="shared" si="1"/>
        <v>10</v>
      </c>
      <c r="J42" s="49"/>
      <c r="K42" s="53">
        <v>43548</v>
      </c>
      <c r="L42" s="54" t="s">
        <v>1629</v>
      </c>
      <c r="M42" s="55">
        <v>43543</v>
      </c>
      <c r="N42" s="56" t="s">
        <v>1630</v>
      </c>
      <c r="O42" s="55">
        <v>43548</v>
      </c>
      <c r="P42" s="58"/>
      <c r="Q42" s="52" t="s">
        <v>82</v>
      </c>
      <c r="R42" s="57" t="s">
        <v>1631</v>
      </c>
      <c r="S42" s="47"/>
    </row>
    <row r="43" spans="2:19" s="67" customFormat="1" ht="33" hidden="1" customHeight="1">
      <c r="B43" s="46" t="s">
        <v>17</v>
      </c>
      <c r="C43" s="35" t="s">
        <v>427</v>
      </c>
      <c r="D43" s="36" t="s">
        <v>1632</v>
      </c>
      <c r="E43" s="37">
        <v>43483</v>
      </c>
      <c r="F43" s="38" t="s">
        <v>84</v>
      </c>
      <c r="G43" s="39">
        <v>9200</v>
      </c>
      <c r="H43" s="38">
        <f t="shared" si="6"/>
        <v>40</v>
      </c>
      <c r="I43" s="38">
        <f t="shared" si="1"/>
        <v>10</v>
      </c>
      <c r="J43" s="36"/>
      <c r="K43" s="40">
        <v>43576</v>
      </c>
      <c r="L43" s="41" t="s">
        <v>1633</v>
      </c>
      <c r="M43" s="42">
        <v>43571</v>
      </c>
      <c r="N43" s="43" t="s">
        <v>1634</v>
      </c>
      <c r="O43" s="42">
        <v>43576</v>
      </c>
      <c r="P43" s="45"/>
      <c r="Q43" s="38" t="s">
        <v>82</v>
      </c>
      <c r="R43" s="44" t="s">
        <v>1635</v>
      </c>
      <c r="S43" s="46"/>
    </row>
    <row r="44" spans="2:19" s="67" customFormat="1" ht="33" hidden="1" customHeight="1">
      <c r="B44" s="46" t="s">
        <v>17</v>
      </c>
      <c r="C44" s="35" t="s">
        <v>581</v>
      </c>
      <c r="D44" s="36" t="s">
        <v>582</v>
      </c>
      <c r="E44" s="37">
        <v>43519</v>
      </c>
      <c r="F44" s="38" t="s">
        <v>84</v>
      </c>
      <c r="G44" s="39">
        <v>9200</v>
      </c>
      <c r="H44" s="38">
        <f t="shared" si="6"/>
        <v>40</v>
      </c>
      <c r="I44" s="38">
        <f t="shared" si="1"/>
        <v>10</v>
      </c>
      <c r="J44" s="36"/>
      <c r="K44" s="40">
        <v>43632</v>
      </c>
      <c r="L44" s="41" t="s">
        <v>807</v>
      </c>
      <c r="M44" s="42">
        <v>43627</v>
      </c>
      <c r="N44" s="43" t="s">
        <v>1636</v>
      </c>
      <c r="O44" s="42">
        <v>43632</v>
      </c>
      <c r="P44" s="45"/>
      <c r="Q44" s="38" t="s">
        <v>82</v>
      </c>
      <c r="R44" s="44" t="s">
        <v>1637</v>
      </c>
      <c r="S44" s="46"/>
    </row>
    <row r="45" spans="2:19" s="67" customFormat="1" ht="33" hidden="1" customHeight="1">
      <c r="B45" s="46" t="s">
        <v>17</v>
      </c>
      <c r="C45" s="35" t="s">
        <v>694</v>
      </c>
      <c r="D45" s="36" t="s">
        <v>695</v>
      </c>
      <c r="E45" s="37">
        <v>43532</v>
      </c>
      <c r="F45" s="38" t="s">
        <v>1638</v>
      </c>
      <c r="G45" s="39">
        <v>9200</v>
      </c>
      <c r="H45" s="38">
        <f t="shared" si="6"/>
        <v>40</v>
      </c>
      <c r="I45" s="38">
        <f t="shared" si="1"/>
        <v>10</v>
      </c>
      <c r="J45" s="36"/>
      <c r="K45" s="109">
        <v>43660</v>
      </c>
      <c r="L45" s="41" t="s">
        <v>1639</v>
      </c>
      <c r="M45" s="42">
        <v>43662</v>
      </c>
      <c r="N45" s="43" t="s">
        <v>1640</v>
      </c>
      <c r="O45" s="42">
        <v>43667</v>
      </c>
      <c r="P45" s="45"/>
      <c r="Q45" s="38" t="s">
        <v>82</v>
      </c>
      <c r="R45" s="114" t="s">
        <v>1641</v>
      </c>
      <c r="S45" s="46"/>
    </row>
    <row r="46" spans="2:19" s="96" customFormat="1" ht="33" hidden="1" customHeight="1">
      <c r="B46" s="47" t="s">
        <v>33</v>
      </c>
      <c r="C46" s="48" t="s">
        <v>230</v>
      </c>
      <c r="D46" s="49" t="s">
        <v>231</v>
      </c>
      <c r="E46" s="50"/>
      <c r="F46" s="52"/>
      <c r="G46" s="51">
        <v>9200</v>
      </c>
      <c r="H46" s="52">
        <f t="shared" si="6"/>
        <v>40</v>
      </c>
      <c r="I46" s="52">
        <f t="shared" si="1"/>
        <v>10</v>
      </c>
      <c r="J46" s="49"/>
      <c r="K46" s="53">
        <v>43155</v>
      </c>
      <c r="L46" s="54" t="s">
        <v>1642</v>
      </c>
      <c r="M46" s="55">
        <v>43515</v>
      </c>
      <c r="N46" s="56" t="s">
        <v>1643</v>
      </c>
      <c r="O46" s="55">
        <v>43520</v>
      </c>
      <c r="P46" s="58" t="s">
        <v>1644</v>
      </c>
      <c r="Q46" s="52"/>
      <c r="R46" s="57" t="s">
        <v>1645</v>
      </c>
      <c r="S46" s="47" t="s">
        <v>216</v>
      </c>
    </row>
    <row r="47" spans="2:19" s="67" customFormat="1" ht="33" hidden="1" customHeight="1">
      <c r="B47" s="46" t="s">
        <v>81</v>
      </c>
      <c r="C47" s="35" t="s">
        <v>279</v>
      </c>
      <c r="D47" s="36" t="s">
        <v>1646</v>
      </c>
      <c r="E47" s="37">
        <v>43392</v>
      </c>
      <c r="F47" s="38" t="s">
        <v>84</v>
      </c>
      <c r="G47" s="39">
        <v>11960</v>
      </c>
      <c r="H47" s="38">
        <f t="shared" si="6"/>
        <v>52</v>
      </c>
      <c r="I47" s="38">
        <f t="shared" si="1"/>
        <v>13</v>
      </c>
      <c r="J47" s="38"/>
      <c r="K47" s="40">
        <v>43597</v>
      </c>
      <c r="L47" s="41" t="s">
        <v>1647</v>
      </c>
      <c r="M47" s="42">
        <v>43594</v>
      </c>
      <c r="N47" s="43" t="s">
        <v>1648</v>
      </c>
      <c r="O47" s="42">
        <v>43598</v>
      </c>
      <c r="P47" s="45" t="s">
        <v>1649</v>
      </c>
      <c r="Q47" s="46"/>
      <c r="R47" s="44" t="s">
        <v>1650</v>
      </c>
      <c r="S47" s="46"/>
    </row>
    <row r="48" spans="2:19" s="67" customFormat="1" ht="33" hidden="1" customHeight="1">
      <c r="B48" s="46" t="s">
        <v>81</v>
      </c>
      <c r="C48" s="35" t="s">
        <v>1651</v>
      </c>
      <c r="D48" s="36" t="s">
        <v>1646</v>
      </c>
      <c r="E48" s="37">
        <v>43392</v>
      </c>
      <c r="F48" s="38" t="s">
        <v>84</v>
      </c>
      <c r="G48" s="39">
        <v>1840</v>
      </c>
      <c r="H48" s="38">
        <f t="shared" si="6"/>
        <v>8</v>
      </c>
      <c r="I48" s="38">
        <f t="shared" si="1"/>
        <v>2</v>
      </c>
      <c r="J48" s="38"/>
      <c r="K48" s="40">
        <v>43597</v>
      </c>
      <c r="L48" s="41" t="s">
        <v>773</v>
      </c>
      <c r="M48" s="42">
        <v>43601</v>
      </c>
      <c r="N48" s="43" t="s">
        <v>1652</v>
      </c>
      <c r="O48" s="42">
        <v>43605</v>
      </c>
      <c r="P48" s="45" t="s">
        <v>1649</v>
      </c>
      <c r="Q48" s="46"/>
      <c r="R48" s="44" t="s">
        <v>1650</v>
      </c>
      <c r="S48" s="46" t="s">
        <v>1329</v>
      </c>
    </row>
    <row r="49" spans="2:19" s="96" customFormat="1" ht="33" hidden="1" customHeight="1">
      <c r="B49" s="47" t="s">
        <v>81</v>
      </c>
      <c r="C49" s="48" t="s">
        <v>316</v>
      </c>
      <c r="D49" s="49" t="s">
        <v>317</v>
      </c>
      <c r="E49" s="50">
        <v>43420</v>
      </c>
      <c r="F49" s="52" t="s">
        <v>1638</v>
      </c>
      <c r="G49" s="51">
        <v>18400</v>
      </c>
      <c r="H49" s="52">
        <f>SUM(G49/230)</f>
        <v>80</v>
      </c>
      <c r="I49" s="52">
        <f>SUM(H49/4)</f>
        <v>20</v>
      </c>
      <c r="J49" s="52"/>
      <c r="K49" s="53">
        <v>43525</v>
      </c>
      <c r="L49" s="54" t="s">
        <v>1642</v>
      </c>
      <c r="M49" s="55">
        <v>43515</v>
      </c>
      <c r="N49" s="56" t="s">
        <v>1643</v>
      </c>
      <c r="O49" s="55">
        <v>43520</v>
      </c>
      <c r="P49" s="58"/>
      <c r="Q49" s="47"/>
      <c r="R49" s="57" t="s">
        <v>1653</v>
      </c>
      <c r="S49" s="47" t="s">
        <v>350</v>
      </c>
    </row>
    <row r="50" spans="2:19" s="67" customFormat="1" ht="33" hidden="1" customHeight="1">
      <c r="B50" s="46" t="s">
        <v>81</v>
      </c>
      <c r="C50" s="35" t="s">
        <v>318</v>
      </c>
      <c r="D50" s="36" t="s">
        <v>319</v>
      </c>
      <c r="E50" s="37">
        <v>43420</v>
      </c>
      <c r="F50" s="38" t="s">
        <v>1638</v>
      </c>
      <c r="G50" s="39">
        <v>17940</v>
      </c>
      <c r="H50" s="38">
        <f>SUM(G50/230)</f>
        <v>78</v>
      </c>
      <c r="I50" s="38">
        <f>SUM(H50/4)</f>
        <v>19.5</v>
      </c>
      <c r="J50" s="38"/>
      <c r="K50" s="40">
        <v>43576</v>
      </c>
      <c r="L50" s="41" t="s">
        <v>480</v>
      </c>
      <c r="M50" s="42">
        <v>43564</v>
      </c>
      <c r="N50" s="43" t="s">
        <v>1654</v>
      </c>
      <c r="O50" s="42">
        <v>43569</v>
      </c>
      <c r="P50" s="45"/>
      <c r="Q50" s="46"/>
      <c r="R50" s="44" t="s">
        <v>1655</v>
      </c>
      <c r="S50" s="46" t="s">
        <v>1656</v>
      </c>
    </row>
    <row r="51" spans="2:19" s="67" customFormat="1" ht="33" hidden="1" customHeight="1">
      <c r="B51" s="46" t="s">
        <v>81</v>
      </c>
      <c r="C51" s="35" t="s">
        <v>1657</v>
      </c>
      <c r="D51" s="36" t="s">
        <v>701</v>
      </c>
      <c r="E51" s="37">
        <v>43532</v>
      </c>
      <c r="F51" s="38" t="s">
        <v>1638</v>
      </c>
      <c r="G51" s="39">
        <v>13800</v>
      </c>
      <c r="H51" s="38">
        <f t="shared" ref="H51:H55" si="7">SUM(G51/230)</f>
        <v>60</v>
      </c>
      <c r="I51" s="38">
        <f t="shared" ref="I51:I55" si="8">SUM(H51/4)</f>
        <v>15</v>
      </c>
      <c r="J51" s="38"/>
      <c r="K51" s="40">
        <v>43625</v>
      </c>
      <c r="L51" s="41" t="s">
        <v>1658</v>
      </c>
      <c r="M51" s="42">
        <v>43620</v>
      </c>
      <c r="N51" s="43" t="s">
        <v>1659</v>
      </c>
      <c r="O51" s="42">
        <v>43625</v>
      </c>
      <c r="P51" s="45"/>
      <c r="Q51" s="46"/>
      <c r="R51" s="44" t="s">
        <v>1660</v>
      </c>
      <c r="S51" s="46"/>
    </row>
    <row r="52" spans="2:19" s="67" customFormat="1" ht="33" hidden="1" customHeight="1">
      <c r="B52" s="46" t="s">
        <v>81</v>
      </c>
      <c r="C52" s="35" t="s">
        <v>702</v>
      </c>
      <c r="D52" s="36" t="s">
        <v>703</v>
      </c>
      <c r="E52" s="37">
        <v>43532</v>
      </c>
      <c r="F52" s="38" t="s">
        <v>1638</v>
      </c>
      <c r="G52" s="39">
        <v>9200</v>
      </c>
      <c r="H52" s="38">
        <f t="shared" si="7"/>
        <v>40</v>
      </c>
      <c r="I52" s="38">
        <f t="shared" si="8"/>
        <v>10</v>
      </c>
      <c r="J52" s="38"/>
      <c r="K52" s="40">
        <v>43646</v>
      </c>
      <c r="L52" s="41" t="s">
        <v>1661</v>
      </c>
      <c r="M52" s="42">
        <v>43641</v>
      </c>
      <c r="N52" s="43" t="s">
        <v>1662</v>
      </c>
      <c r="O52" s="42">
        <v>43646</v>
      </c>
      <c r="P52" s="45"/>
      <c r="Q52" s="46"/>
      <c r="R52" s="44" t="s">
        <v>1663</v>
      </c>
      <c r="S52" s="46"/>
    </row>
    <row r="53" spans="2:19" s="67" customFormat="1" ht="33" hidden="1" customHeight="1">
      <c r="B53" s="46" t="s">
        <v>81</v>
      </c>
      <c r="C53" s="35" t="s">
        <v>852</v>
      </c>
      <c r="D53" s="36"/>
      <c r="E53" s="37">
        <v>43558</v>
      </c>
      <c r="F53" s="38" t="s">
        <v>1638</v>
      </c>
      <c r="G53" s="39">
        <v>9200</v>
      </c>
      <c r="H53" s="38">
        <f t="shared" si="7"/>
        <v>40</v>
      </c>
      <c r="I53" s="38">
        <f t="shared" si="8"/>
        <v>10</v>
      </c>
      <c r="J53" s="38"/>
      <c r="K53" s="40">
        <v>43646</v>
      </c>
      <c r="L53" s="41" t="s">
        <v>1661</v>
      </c>
      <c r="M53" s="42">
        <v>43641</v>
      </c>
      <c r="N53" s="43" t="s">
        <v>1662</v>
      </c>
      <c r="O53" s="42">
        <v>43646</v>
      </c>
      <c r="P53" s="45"/>
      <c r="Q53" s="46"/>
      <c r="R53" s="44" t="s">
        <v>1663</v>
      </c>
      <c r="S53" s="46"/>
    </row>
    <row r="54" spans="2:19" s="67" customFormat="1" ht="33" hidden="1" customHeight="1">
      <c r="B54" s="122" t="s">
        <v>81</v>
      </c>
      <c r="C54" s="126" t="s">
        <v>1435</v>
      </c>
      <c r="D54" s="127" t="s">
        <v>1436</v>
      </c>
      <c r="E54" s="128">
        <v>43574</v>
      </c>
      <c r="F54" s="124" t="s">
        <v>1638</v>
      </c>
      <c r="G54" s="129">
        <v>18400</v>
      </c>
      <c r="H54" s="124">
        <f t="shared" si="7"/>
        <v>80</v>
      </c>
      <c r="I54" s="124">
        <f t="shared" si="8"/>
        <v>20</v>
      </c>
      <c r="J54" s="124"/>
      <c r="K54" s="130">
        <v>43667</v>
      </c>
      <c r="L54" s="119" t="s">
        <v>1326</v>
      </c>
      <c r="M54" s="120">
        <v>43662</v>
      </c>
      <c r="N54" s="121" t="s">
        <v>1640</v>
      </c>
      <c r="O54" s="120">
        <v>43667</v>
      </c>
      <c r="P54" s="123"/>
      <c r="Q54" s="122"/>
      <c r="R54" s="125" t="s">
        <v>1664</v>
      </c>
      <c r="S54" s="122"/>
    </row>
    <row r="55" spans="2:19" s="67" customFormat="1" ht="33" hidden="1" customHeight="1">
      <c r="B55" s="122" t="s">
        <v>1665</v>
      </c>
      <c r="C55" s="126" t="s">
        <v>1666</v>
      </c>
      <c r="D55" s="127" t="s">
        <v>705</v>
      </c>
      <c r="E55" s="128">
        <v>43532</v>
      </c>
      <c r="F55" s="124" t="s">
        <v>1638</v>
      </c>
      <c r="G55" s="129">
        <v>920</v>
      </c>
      <c r="H55" s="124">
        <f t="shared" si="7"/>
        <v>4</v>
      </c>
      <c r="I55" s="124">
        <f t="shared" si="8"/>
        <v>1</v>
      </c>
      <c r="J55" s="124"/>
      <c r="K55" s="130">
        <v>43609</v>
      </c>
      <c r="L55" s="119" t="s">
        <v>773</v>
      </c>
      <c r="M55" s="120">
        <v>43601</v>
      </c>
      <c r="N55" s="121" t="s">
        <v>774</v>
      </c>
      <c r="O55" s="120">
        <v>43605</v>
      </c>
      <c r="P55" s="123"/>
      <c r="Q55" s="122"/>
      <c r="R55" s="125"/>
      <c r="S55" s="122" t="s">
        <v>1667</v>
      </c>
    </row>
    <row r="56" spans="2:19" s="67" customFormat="1" ht="33" hidden="1" customHeight="1">
      <c r="B56" s="46" t="s">
        <v>1668</v>
      </c>
      <c r="C56" s="35" t="s">
        <v>1666</v>
      </c>
      <c r="D56" s="36" t="s">
        <v>1669</v>
      </c>
      <c r="E56" s="37">
        <v>43511</v>
      </c>
      <c r="F56" s="38" t="s">
        <v>1638</v>
      </c>
      <c r="G56" s="39">
        <v>460</v>
      </c>
      <c r="H56" s="38">
        <f>SUM(G56/230)</f>
        <v>2</v>
      </c>
      <c r="I56" s="38">
        <f>SUM(H56/4)</f>
        <v>0.5</v>
      </c>
      <c r="J56" s="38"/>
      <c r="K56" s="40">
        <v>43576</v>
      </c>
      <c r="L56" s="41" t="s">
        <v>480</v>
      </c>
      <c r="M56" s="42">
        <v>43564</v>
      </c>
      <c r="N56" s="43" t="s">
        <v>646</v>
      </c>
      <c r="O56" s="42">
        <v>43569</v>
      </c>
      <c r="P56" s="45"/>
      <c r="Q56" s="46"/>
      <c r="R56" s="44" t="s">
        <v>1655</v>
      </c>
      <c r="S56" s="46"/>
    </row>
    <row r="57" spans="2:19" s="33" customFormat="1" ht="33" hidden="1" customHeight="1">
      <c r="B57" s="47" t="s">
        <v>1670</v>
      </c>
      <c r="C57" s="48" t="s">
        <v>321</v>
      </c>
      <c r="D57" s="49" t="s">
        <v>322</v>
      </c>
      <c r="E57" s="50">
        <v>43420</v>
      </c>
      <c r="F57" s="52" t="s">
        <v>1638</v>
      </c>
      <c r="G57" s="51">
        <v>3200</v>
      </c>
      <c r="H57" s="52">
        <f t="shared" ref="H57:H66" si="9">SUM(G57/20)</f>
        <v>160</v>
      </c>
      <c r="I57" s="52">
        <f t="shared" ref="I57:I66" si="10">SUM(H57/32)</f>
        <v>5</v>
      </c>
      <c r="J57" s="59"/>
      <c r="K57" s="53">
        <v>43513</v>
      </c>
      <c r="L57" s="54" t="s">
        <v>276</v>
      </c>
      <c r="M57" s="55">
        <v>43508</v>
      </c>
      <c r="N57" s="56" t="s">
        <v>1627</v>
      </c>
      <c r="O57" s="55">
        <v>43148</v>
      </c>
      <c r="P57" s="58"/>
      <c r="Q57" s="60" t="s">
        <v>89</v>
      </c>
      <c r="R57" s="57" t="s">
        <v>1671</v>
      </c>
      <c r="S57" s="47"/>
    </row>
    <row r="58" spans="2:19" s="33" customFormat="1" ht="33" hidden="1" customHeight="1">
      <c r="B58" s="47" t="s">
        <v>1670</v>
      </c>
      <c r="C58" s="48" t="s">
        <v>324</v>
      </c>
      <c r="D58" s="49" t="s">
        <v>325</v>
      </c>
      <c r="E58" s="50">
        <v>43420</v>
      </c>
      <c r="F58" s="52" t="s">
        <v>1638</v>
      </c>
      <c r="G58" s="51">
        <v>1920</v>
      </c>
      <c r="H58" s="52">
        <f t="shared" si="9"/>
        <v>96</v>
      </c>
      <c r="I58" s="52">
        <f t="shared" si="10"/>
        <v>3</v>
      </c>
      <c r="J58" s="59"/>
      <c r="K58" s="53">
        <v>43541</v>
      </c>
      <c r="L58" s="54" t="s">
        <v>1672</v>
      </c>
      <c r="M58" s="55">
        <v>43531</v>
      </c>
      <c r="N58" s="56" t="s">
        <v>1673</v>
      </c>
      <c r="O58" s="55">
        <v>43535</v>
      </c>
      <c r="P58" s="58"/>
      <c r="Q58" s="60" t="s">
        <v>89</v>
      </c>
      <c r="R58" s="57" t="s">
        <v>1674</v>
      </c>
      <c r="S58" s="47" t="s">
        <v>645</v>
      </c>
    </row>
    <row r="59" spans="2:19" s="33" customFormat="1" ht="33" hidden="1" customHeight="1">
      <c r="B59" s="47" t="s">
        <v>1670</v>
      </c>
      <c r="C59" s="48" t="s">
        <v>1675</v>
      </c>
      <c r="D59" s="49" t="s">
        <v>325</v>
      </c>
      <c r="E59" s="50">
        <v>43420</v>
      </c>
      <c r="F59" s="52" t="s">
        <v>1638</v>
      </c>
      <c r="G59" s="51">
        <v>1280</v>
      </c>
      <c r="H59" s="52">
        <f t="shared" si="9"/>
        <v>64</v>
      </c>
      <c r="I59" s="52">
        <f t="shared" si="10"/>
        <v>2</v>
      </c>
      <c r="J59" s="59"/>
      <c r="K59" s="53">
        <v>43541</v>
      </c>
      <c r="L59" s="54" t="s">
        <v>563</v>
      </c>
      <c r="M59" s="55">
        <v>43536</v>
      </c>
      <c r="N59" s="56" t="s">
        <v>1676</v>
      </c>
      <c r="O59" s="55">
        <v>43541</v>
      </c>
      <c r="P59" s="58"/>
      <c r="Q59" s="60" t="s">
        <v>89</v>
      </c>
      <c r="R59" s="57" t="s">
        <v>1674</v>
      </c>
      <c r="S59" s="47" t="s">
        <v>395</v>
      </c>
    </row>
    <row r="60" spans="2:19" s="33" customFormat="1" ht="33" hidden="1" customHeight="1">
      <c r="B60" s="47" t="s">
        <v>1670</v>
      </c>
      <c r="C60" s="48" t="s">
        <v>430</v>
      </c>
      <c r="D60" s="49" t="s">
        <v>470</v>
      </c>
      <c r="E60" s="50">
        <v>43473</v>
      </c>
      <c r="F60" s="52" t="s">
        <v>1638</v>
      </c>
      <c r="G60" s="51">
        <v>1920</v>
      </c>
      <c r="H60" s="52">
        <f t="shared" si="9"/>
        <v>96</v>
      </c>
      <c r="I60" s="52">
        <f t="shared" si="10"/>
        <v>3</v>
      </c>
      <c r="J60" s="59"/>
      <c r="K60" s="53">
        <v>43555</v>
      </c>
      <c r="L60" s="54" t="s">
        <v>1677</v>
      </c>
      <c r="M60" s="55">
        <v>43550</v>
      </c>
      <c r="N60" s="56" t="s">
        <v>1678</v>
      </c>
      <c r="O60" s="55">
        <v>43555</v>
      </c>
      <c r="P60" s="58"/>
      <c r="Q60" s="60" t="s">
        <v>89</v>
      </c>
      <c r="R60" s="57" t="s">
        <v>1679</v>
      </c>
      <c r="S60" s="47"/>
    </row>
    <row r="61" spans="2:19" s="30" customFormat="1" ht="33" hidden="1" customHeight="1">
      <c r="B61" s="46" t="s">
        <v>1670</v>
      </c>
      <c r="C61" s="35" t="s">
        <v>430</v>
      </c>
      <c r="D61" s="36" t="s">
        <v>470</v>
      </c>
      <c r="E61" s="37">
        <v>43473</v>
      </c>
      <c r="F61" s="38" t="s">
        <v>1638</v>
      </c>
      <c r="G61" s="39">
        <v>1920</v>
      </c>
      <c r="H61" s="38">
        <f t="shared" si="9"/>
        <v>96</v>
      </c>
      <c r="I61" s="38">
        <f t="shared" si="10"/>
        <v>3</v>
      </c>
      <c r="J61" s="61"/>
      <c r="K61" s="40">
        <v>43555</v>
      </c>
      <c r="L61" s="41" t="s">
        <v>1680</v>
      </c>
      <c r="M61" s="42">
        <v>43564</v>
      </c>
      <c r="N61" s="43" t="s">
        <v>1654</v>
      </c>
      <c r="O61" s="42">
        <v>43569</v>
      </c>
      <c r="P61" s="45"/>
      <c r="Q61" s="62" t="s">
        <v>89</v>
      </c>
      <c r="R61" s="44" t="s">
        <v>1679</v>
      </c>
      <c r="S61" s="46"/>
    </row>
    <row r="62" spans="2:19" s="30" customFormat="1" ht="33" hidden="1" customHeight="1">
      <c r="B62" s="46" t="s">
        <v>1670</v>
      </c>
      <c r="C62" s="35" t="s">
        <v>519</v>
      </c>
      <c r="D62" s="36" t="s">
        <v>710</v>
      </c>
      <c r="E62" s="37">
        <v>43511</v>
      </c>
      <c r="F62" s="38" t="s">
        <v>1638</v>
      </c>
      <c r="G62" s="39">
        <v>640</v>
      </c>
      <c r="H62" s="38">
        <f t="shared" si="9"/>
        <v>32</v>
      </c>
      <c r="I62" s="38">
        <f t="shared" si="10"/>
        <v>1</v>
      </c>
      <c r="J62" s="61"/>
      <c r="K62" s="40">
        <v>43555</v>
      </c>
      <c r="L62" s="41" t="s">
        <v>1681</v>
      </c>
      <c r="M62" s="42">
        <v>43557</v>
      </c>
      <c r="N62" s="43" t="s">
        <v>1682</v>
      </c>
      <c r="O62" s="42">
        <v>43562</v>
      </c>
      <c r="P62" s="45"/>
      <c r="Q62" s="62" t="s">
        <v>89</v>
      </c>
      <c r="R62" s="44" t="s">
        <v>1679</v>
      </c>
      <c r="S62" s="46"/>
    </row>
    <row r="63" spans="2:19" s="30" customFormat="1" ht="33" hidden="1" customHeight="1">
      <c r="B63" s="46" t="s">
        <v>1670</v>
      </c>
      <c r="C63" s="35" t="s">
        <v>520</v>
      </c>
      <c r="D63" s="36" t="s">
        <v>584</v>
      </c>
      <c r="E63" s="37">
        <v>43511</v>
      </c>
      <c r="F63" s="38" t="s">
        <v>1638</v>
      </c>
      <c r="G63" s="39">
        <v>1920</v>
      </c>
      <c r="H63" s="38">
        <f t="shared" si="9"/>
        <v>96</v>
      </c>
      <c r="I63" s="38">
        <f t="shared" si="10"/>
        <v>3</v>
      </c>
      <c r="J63" s="61"/>
      <c r="K63" s="40">
        <v>43576</v>
      </c>
      <c r="L63" s="41" t="s">
        <v>503</v>
      </c>
      <c r="M63" s="42">
        <v>43571</v>
      </c>
      <c r="N63" s="43" t="s">
        <v>1634</v>
      </c>
      <c r="O63" s="42">
        <v>43576</v>
      </c>
      <c r="P63" s="45"/>
      <c r="Q63" s="62" t="s">
        <v>89</v>
      </c>
      <c r="R63" s="44" t="s">
        <v>1683</v>
      </c>
      <c r="S63" s="46"/>
    </row>
    <row r="64" spans="2:19" s="30" customFormat="1" ht="33" hidden="1" customHeight="1">
      <c r="B64" s="46" t="s">
        <v>1670</v>
      </c>
      <c r="C64" s="35" t="s">
        <v>586</v>
      </c>
      <c r="D64" s="36" t="s">
        <v>640</v>
      </c>
      <c r="E64" s="37">
        <v>43519</v>
      </c>
      <c r="F64" s="38" t="s">
        <v>1638</v>
      </c>
      <c r="G64" s="39">
        <v>1920</v>
      </c>
      <c r="H64" s="38">
        <f t="shared" si="9"/>
        <v>96</v>
      </c>
      <c r="I64" s="38">
        <f t="shared" si="10"/>
        <v>3</v>
      </c>
      <c r="J64" s="61"/>
      <c r="K64" s="40">
        <v>43611</v>
      </c>
      <c r="L64" s="41" t="s">
        <v>1684</v>
      </c>
      <c r="M64" s="42">
        <v>43601</v>
      </c>
      <c r="N64" s="43" t="s">
        <v>1652</v>
      </c>
      <c r="O64" s="42">
        <v>43605</v>
      </c>
      <c r="P64" s="45"/>
      <c r="Q64" s="62" t="s">
        <v>89</v>
      </c>
      <c r="R64" s="44" t="s">
        <v>1685</v>
      </c>
      <c r="S64" s="46" t="s">
        <v>980</v>
      </c>
    </row>
    <row r="65" spans="2:19" s="30" customFormat="1" ht="33" hidden="1" customHeight="1">
      <c r="B65" s="46" t="s">
        <v>1670</v>
      </c>
      <c r="C65" s="35" t="s">
        <v>713</v>
      </c>
      <c r="D65" s="36" t="s">
        <v>714</v>
      </c>
      <c r="E65" s="37">
        <v>43532</v>
      </c>
      <c r="F65" s="38" t="s">
        <v>1638</v>
      </c>
      <c r="G65" s="39">
        <v>2560</v>
      </c>
      <c r="H65" s="38">
        <f t="shared" si="9"/>
        <v>128</v>
      </c>
      <c r="I65" s="38">
        <f t="shared" si="10"/>
        <v>4</v>
      </c>
      <c r="J65" s="61"/>
      <c r="K65" s="40">
        <v>43639</v>
      </c>
      <c r="L65" s="41" t="s">
        <v>1083</v>
      </c>
      <c r="M65" s="42">
        <v>43634</v>
      </c>
      <c r="N65" s="43" t="s">
        <v>1084</v>
      </c>
      <c r="O65" s="42">
        <v>43639</v>
      </c>
      <c r="P65" s="45"/>
      <c r="Q65" s="62" t="s">
        <v>89</v>
      </c>
      <c r="R65" s="44" t="s">
        <v>1686</v>
      </c>
      <c r="S65" s="46"/>
    </row>
    <row r="66" spans="2:19" s="30" customFormat="1" ht="33" hidden="1" customHeight="1">
      <c r="B66" s="46" t="s">
        <v>1670</v>
      </c>
      <c r="C66" s="35" t="s">
        <v>1184</v>
      </c>
      <c r="D66" s="36" t="s">
        <v>1185</v>
      </c>
      <c r="E66" s="37">
        <v>43567</v>
      </c>
      <c r="F66" s="38" t="s">
        <v>1638</v>
      </c>
      <c r="G66" s="39">
        <v>2560</v>
      </c>
      <c r="H66" s="38">
        <f t="shared" si="9"/>
        <v>128</v>
      </c>
      <c r="I66" s="38">
        <f t="shared" si="10"/>
        <v>4</v>
      </c>
      <c r="J66" s="61"/>
      <c r="K66" s="40">
        <v>43674</v>
      </c>
      <c r="L66" s="41" t="s">
        <v>1687</v>
      </c>
      <c r="M66" s="42">
        <v>43669</v>
      </c>
      <c r="N66" s="43" t="s">
        <v>1688</v>
      </c>
      <c r="O66" s="42">
        <v>43674</v>
      </c>
      <c r="P66" s="45"/>
      <c r="Q66" s="62" t="s">
        <v>89</v>
      </c>
      <c r="R66" s="44" t="s">
        <v>1689</v>
      </c>
      <c r="S66" s="46"/>
    </row>
    <row r="67" spans="2:19" s="33" customFormat="1" ht="33" hidden="1" customHeight="1">
      <c r="B67" s="47" t="s">
        <v>38</v>
      </c>
      <c r="C67" s="48" t="s">
        <v>224</v>
      </c>
      <c r="D67" s="49" t="s">
        <v>328</v>
      </c>
      <c r="E67" s="50">
        <v>43420</v>
      </c>
      <c r="F67" s="52" t="s">
        <v>1690</v>
      </c>
      <c r="G67" s="64">
        <v>640</v>
      </c>
      <c r="H67" s="52">
        <f>SUBTOTAL(9,G67)/20</f>
        <v>0</v>
      </c>
      <c r="I67" s="52">
        <f>H67/32</f>
        <v>0</v>
      </c>
      <c r="J67" s="52"/>
      <c r="K67" s="53">
        <v>43520</v>
      </c>
      <c r="L67" s="54" t="s">
        <v>1691</v>
      </c>
      <c r="M67" s="55">
        <v>43515</v>
      </c>
      <c r="N67" s="56" t="s">
        <v>1643</v>
      </c>
      <c r="O67" s="55">
        <v>43155</v>
      </c>
      <c r="P67" s="58" t="s">
        <v>1692</v>
      </c>
      <c r="Q67" s="52"/>
      <c r="R67" s="63" t="s">
        <v>1693</v>
      </c>
      <c r="S67" s="47"/>
    </row>
    <row r="68" spans="2:19" s="30" customFormat="1" ht="33" hidden="1" customHeight="1">
      <c r="B68" s="46" t="s">
        <v>38</v>
      </c>
      <c r="C68" s="35" t="s">
        <v>225</v>
      </c>
      <c r="D68" s="36" t="s">
        <v>587</v>
      </c>
      <c r="E68" s="37">
        <v>43519</v>
      </c>
      <c r="F68" s="38" t="s">
        <v>1690</v>
      </c>
      <c r="G68" s="65">
        <v>640</v>
      </c>
      <c r="H68" s="38">
        <f>SUBTOTAL(9,G68)/20</f>
        <v>0</v>
      </c>
      <c r="I68" s="38">
        <f>H68/32</f>
        <v>0</v>
      </c>
      <c r="J68" s="38"/>
      <c r="K68" s="40">
        <v>43583</v>
      </c>
      <c r="L68" s="41" t="s">
        <v>565</v>
      </c>
      <c r="M68" s="42">
        <v>43578</v>
      </c>
      <c r="N68" s="43" t="s">
        <v>447</v>
      </c>
      <c r="O68" s="42">
        <v>43583</v>
      </c>
      <c r="P68" s="45"/>
      <c r="Q68" s="38"/>
      <c r="R68" s="66" t="s">
        <v>515</v>
      </c>
      <c r="S68" s="46"/>
    </row>
    <row r="69" spans="2:19" s="30" customFormat="1" ht="33" hidden="1" customHeight="1">
      <c r="B69" s="46" t="s">
        <v>38</v>
      </c>
      <c r="C69" s="35" t="s">
        <v>226</v>
      </c>
      <c r="D69" s="36" t="s">
        <v>1194</v>
      </c>
      <c r="E69" s="37">
        <v>43567</v>
      </c>
      <c r="F69" s="38" t="s">
        <v>214</v>
      </c>
      <c r="G69" s="65">
        <v>640</v>
      </c>
      <c r="H69" s="38">
        <f>SUBTOTAL(9,G69)/20</f>
        <v>0</v>
      </c>
      <c r="I69" s="38">
        <f>H69/32</f>
        <v>0</v>
      </c>
      <c r="J69" s="38"/>
      <c r="K69" s="40">
        <v>43667</v>
      </c>
      <c r="L69" s="41" t="s">
        <v>1325</v>
      </c>
      <c r="M69" s="42">
        <v>43662</v>
      </c>
      <c r="N69" s="43" t="s">
        <v>836</v>
      </c>
      <c r="O69" s="42">
        <v>43667</v>
      </c>
      <c r="P69" s="45"/>
      <c r="Q69" s="38"/>
      <c r="R69" s="66" t="s">
        <v>1196</v>
      </c>
      <c r="S69" s="46"/>
    </row>
    <row r="70" spans="2:19" s="33" customFormat="1" ht="33" hidden="1" customHeight="1">
      <c r="B70" s="47" t="s">
        <v>88</v>
      </c>
      <c r="C70" s="48" t="s">
        <v>331</v>
      </c>
      <c r="D70" s="49" t="s">
        <v>332</v>
      </c>
      <c r="E70" s="50">
        <v>43420</v>
      </c>
      <c r="F70" s="52" t="s">
        <v>214</v>
      </c>
      <c r="G70" s="64">
        <v>760</v>
      </c>
      <c r="H70" s="52">
        <f>SUBTOTAL(9,G70)/190</f>
        <v>0</v>
      </c>
      <c r="I70" s="52">
        <f>H70/4</f>
        <v>0</v>
      </c>
      <c r="J70" s="52"/>
      <c r="K70" s="53">
        <v>43520</v>
      </c>
      <c r="L70" s="54" t="s">
        <v>348</v>
      </c>
      <c r="M70" s="55">
        <v>43515</v>
      </c>
      <c r="N70" s="56" t="s">
        <v>347</v>
      </c>
      <c r="O70" s="55">
        <v>43155</v>
      </c>
      <c r="P70" s="58" t="s">
        <v>497</v>
      </c>
      <c r="Q70" s="52"/>
      <c r="R70" s="63" t="s">
        <v>333</v>
      </c>
      <c r="S70" s="47"/>
    </row>
    <row r="71" spans="2:19" s="30" customFormat="1" ht="33" hidden="1" customHeight="1">
      <c r="B71" s="46" t="s">
        <v>88</v>
      </c>
      <c r="C71" s="35" t="s">
        <v>431</v>
      </c>
      <c r="D71" s="36" t="s">
        <v>471</v>
      </c>
      <c r="E71" s="37">
        <v>43483</v>
      </c>
      <c r="F71" s="38" t="s">
        <v>214</v>
      </c>
      <c r="G71" s="65">
        <v>760</v>
      </c>
      <c r="H71" s="38">
        <f>SUBTOTAL(9,G71)/190</f>
        <v>0</v>
      </c>
      <c r="I71" s="38">
        <f>H71/4</f>
        <v>0</v>
      </c>
      <c r="J71" s="38"/>
      <c r="K71" s="40">
        <v>43569</v>
      </c>
      <c r="L71" s="41" t="s">
        <v>417</v>
      </c>
      <c r="M71" s="42">
        <v>43564</v>
      </c>
      <c r="N71" s="43" t="s">
        <v>1694</v>
      </c>
      <c r="O71" s="42">
        <v>43569</v>
      </c>
      <c r="P71" s="45"/>
      <c r="Q71" s="38"/>
      <c r="R71" s="66" t="s">
        <v>1695</v>
      </c>
      <c r="S71" s="46"/>
    </row>
    <row r="72" spans="2:19" s="30" customFormat="1" ht="33" hidden="1" customHeight="1">
      <c r="B72" s="46" t="s">
        <v>88</v>
      </c>
      <c r="C72" s="35" t="s">
        <v>523</v>
      </c>
      <c r="D72" s="36" t="s">
        <v>588</v>
      </c>
      <c r="E72" s="37">
        <v>43511</v>
      </c>
      <c r="F72" s="38" t="s">
        <v>1696</v>
      </c>
      <c r="G72" s="65">
        <v>760</v>
      </c>
      <c r="H72" s="38">
        <f>SUBTOTAL(9,G72)/190</f>
        <v>0</v>
      </c>
      <c r="I72" s="38">
        <f>H72/4</f>
        <v>0</v>
      </c>
      <c r="J72" s="38"/>
      <c r="K72" s="40">
        <v>43583</v>
      </c>
      <c r="L72" s="41" t="s">
        <v>565</v>
      </c>
      <c r="M72" s="42">
        <v>43578</v>
      </c>
      <c r="N72" s="43" t="s">
        <v>1697</v>
      </c>
      <c r="O72" s="42">
        <v>43583</v>
      </c>
      <c r="P72" s="45"/>
      <c r="Q72" s="38"/>
      <c r="R72" s="66" t="s">
        <v>1698</v>
      </c>
      <c r="S72" s="46"/>
    </row>
    <row r="73" spans="2:19" s="30" customFormat="1" ht="33" hidden="1" customHeight="1">
      <c r="B73" s="46" t="s">
        <v>88</v>
      </c>
      <c r="C73" s="35" t="s">
        <v>589</v>
      </c>
      <c r="D73" s="36" t="s">
        <v>590</v>
      </c>
      <c r="E73" s="37">
        <v>43519</v>
      </c>
      <c r="F73" s="38" t="s">
        <v>1699</v>
      </c>
      <c r="G73" s="65">
        <v>760</v>
      </c>
      <c r="H73" s="38">
        <f>SUBTOTAL(9,G73)/190</f>
        <v>0</v>
      </c>
      <c r="I73" s="38">
        <f>H73/4</f>
        <v>0</v>
      </c>
      <c r="J73" s="38"/>
      <c r="K73" s="40">
        <v>43597</v>
      </c>
      <c r="L73" s="41" t="s">
        <v>1700</v>
      </c>
      <c r="M73" s="42">
        <v>43592</v>
      </c>
      <c r="N73" s="43" t="s">
        <v>1701</v>
      </c>
      <c r="O73" s="42">
        <v>43597</v>
      </c>
      <c r="P73" s="45"/>
      <c r="Q73" s="38"/>
      <c r="R73" s="66" t="s">
        <v>1702</v>
      </c>
      <c r="S73" s="46"/>
    </row>
    <row r="74" spans="2:19" s="30" customFormat="1" ht="33" hidden="1" customHeight="1">
      <c r="B74" s="46" t="s">
        <v>88</v>
      </c>
      <c r="C74" s="35" t="s">
        <v>1703</v>
      </c>
      <c r="D74" s="36" t="s">
        <v>1207</v>
      </c>
      <c r="E74" s="37">
        <v>43567</v>
      </c>
      <c r="F74" s="38" t="s">
        <v>1699</v>
      </c>
      <c r="G74" s="65">
        <v>760</v>
      </c>
      <c r="H74" s="38">
        <f>SUBTOTAL(9,G74)/190</f>
        <v>0</v>
      </c>
      <c r="I74" s="38">
        <f>H74/4</f>
        <v>0</v>
      </c>
      <c r="J74" s="38"/>
      <c r="K74" s="40">
        <v>43667</v>
      </c>
      <c r="L74" s="41" t="s">
        <v>1704</v>
      </c>
      <c r="M74" s="42">
        <v>43662</v>
      </c>
      <c r="N74" s="43" t="s">
        <v>1705</v>
      </c>
      <c r="O74" s="42">
        <v>43667</v>
      </c>
      <c r="P74" s="45"/>
      <c r="Q74" s="38"/>
      <c r="R74" s="66" t="s">
        <v>1706</v>
      </c>
      <c r="S74" s="46"/>
    </row>
    <row r="75" spans="2:19" s="33" customFormat="1" ht="33" hidden="1" customHeight="1">
      <c r="B75" s="47" t="s">
        <v>83</v>
      </c>
      <c r="C75" s="48" t="s">
        <v>1707</v>
      </c>
      <c r="D75" s="49" t="s">
        <v>336</v>
      </c>
      <c r="E75" s="50">
        <v>43420</v>
      </c>
      <c r="F75" s="52" t="s">
        <v>77</v>
      </c>
      <c r="G75" s="51">
        <v>5760</v>
      </c>
      <c r="H75" s="52">
        <f>SUM(G75/240)</f>
        <v>24</v>
      </c>
      <c r="I75" s="52">
        <f t="shared" ref="I75:I84" si="11">SUM(H75/4)</f>
        <v>6</v>
      </c>
      <c r="J75" s="52"/>
      <c r="K75" s="53">
        <v>43148</v>
      </c>
      <c r="L75" s="54" t="s">
        <v>276</v>
      </c>
      <c r="M75" s="55">
        <v>43508</v>
      </c>
      <c r="N75" s="56" t="s">
        <v>1708</v>
      </c>
      <c r="O75" s="55">
        <v>43148</v>
      </c>
      <c r="P75" s="58"/>
      <c r="Q75" s="52"/>
      <c r="R75" s="118" t="s">
        <v>1709</v>
      </c>
      <c r="S75" s="47"/>
    </row>
    <row r="76" spans="2:19" s="33" customFormat="1" ht="33" hidden="1" customHeight="1">
      <c r="B76" s="47" t="s">
        <v>83</v>
      </c>
      <c r="C76" s="48" t="s">
        <v>1710</v>
      </c>
      <c r="D76" s="49" t="s">
        <v>1711</v>
      </c>
      <c r="E76" s="50">
        <v>43462</v>
      </c>
      <c r="F76" s="52" t="s">
        <v>77</v>
      </c>
      <c r="G76" s="51">
        <v>960</v>
      </c>
      <c r="H76" s="52">
        <f>SUM(G76/240)</f>
        <v>4</v>
      </c>
      <c r="I76" s="52">
        <f t="shared" si="11"/>
        <v>1</v>
      </c>
      <c r="J76" s="52"/>
      <c r="K76" s="53">
        <v>43148</v>
      </c>
      <c r="L76" s="54" t="s">
        <v>276</v>
      </c>
      <c r="M76" s="55">
        <v>43508</v>
      </c>
      <c r="N76" s="56" t="s">
        <v>1708</v>
      </c>
      <c r="O76" s="55">
        <v>43148</v>
      </c>
      <c r="P76" s="58"/>
      <c r="Q76" s="52"/>
      <c r="R76" s="118" t="s">
        <v>1709</v>
      </c>
      <c r="S76" s="47"/>
    </row>
    <row r="77" spans="2:19" s="33" customFormat="1" ht="33" hidden="1" customHeight="1">
      <c r="B77" s="47" t="s">
        <v>83</v>
      </c>
      <c r="C77" s="48" t="s">
        <v>1712</v>
      </c>
      <c r="D77" s="49" t="s">
        <v>1711</v>
      </c>
      <c r="E77" s="50">
        <v>43462</v>
      </c>
      <c r="F77" s="52" t="s">
        <v>77</v>
      </c>
      <c r="G77" s="51">
        <v>960</v>
      </c>
      <c r="H77" s="52">
        <f t="shared" ref="H77:H84" si="12">SUM(G77/240)</f>
        <v>4</v>
      </c>
      <c r="I77" s="52">
        <f t="shared" si="11"/>
        <v>1</v>
      </c>
      <c r="J77" s="52"/>
      <c r="K77" s="53">
        <v>43148</v>
      </c>
      <c r="L77" s="54" t="s">
        <v>1713</v>
      </c>
      <c r="M77" s="55">
        <v>43531</v>
      </c>
      <c r="N77" s="56" t="s">
        <v>568</v>
      </c>
      <c r="O77" s="55">
        <v>43535</v>
      </c>
      <c r="P77" s="58" t="s">
        <v>1714</v>
      </c>
      <c r="Q77" s="52"/>
      <c r="R77" s="118" t="s">
        <v>1709</v>
      </c>
      <c r="S77" s="47" t="s">
        <v>609</v>
      </c>
    </row>
    <row r="78" spans="2:19" s="33" customFormat="1" ht="33" hidden="1" customHeight="1">
      <c r="B78" s="47" t="s">
        <v>83</v>
      </c>
      <c r="C78" s="48" t="s">
        <v>1715</v>
      </c>
      <c r="D78" s="49" t="s">
        <v>1716</v>
      </c>
      <c r="E78" s="50">
        <v>43462</v>
      </c>
      <c r="F78" s="52" t="s">
        <v>77</v>
      </c>
      <c r="G78" s="51">
        <v>2880</v>
      </c>
      <c r="H78" s="52">
        <f t="shared" si="12"/>
        <v>12</v>
      </c>
      <c r="I78" s="52">
        <f t="shared" si="11"/>
        <v>3</v>
      </c>
      <c r="J78" s="52"/>
      <c r="K78" s="53">
        <v>43541</v>
      </c>
      <c r="L78" s="54" t="s">
        <v>1713</v>
      </c>
      <c r="M78" s="55">
        <v>43531</v>
      </c>
      <c r="N78" s="56" t="s">
        <v>568</v>
      </c>
      <c r="O78" s="55">
        <v>43535</v>
      </c>
      <c r="P78" s="58" t="s">
        <v>657</v>
      </c>
      <c r="Q78" s="52"/>
      <c r="R78" s="118" t="s">
        <v>486</v>
      </c>
      <c r="S78" s="47" t="s">
        <v>610</v>
      </c>
    </row>
    <row r="79" spans="2:19" s="33" customFormat="1" ht="33" hidden="1" customHeight="1">
      <c r="B79" s="47" t="s">
        <v>83</v>
      </c>
      <c r="C79" s="48" t="s">
        <v>232</v>
      </c>
      <c r="D79" s="49" t="s">
        <v>386</v>
      </c>
      <c r="E79" s="50">
        <v>43455</v>
      </c>
      <c r="F79" s="52" t="s">
        <v>77</v>
      </c>
      <c r="G79" s="51">
        <v>5760</v>
      </c>
      <c r="H79" s="52">
        <f t="shared" si="12"/>
        <v>24</v>
      </c>
      <c r="I79" s="52">
        <f t="shared" si="11"/>
        <v>6</v>
      </c>
      <c r="J79" s="52"/>
      <c r="K79" s="53">
        <v>43541</v>
      </c>
      <c r="L79" s="54" t="s">
        <v>1717</v>
      </c>
      <c r="M79" s="55">
        <v>43543</v>
      </c>
      <c r="N79" s="56" t="s">
        <v>1718</v>
      </c>
      <c r="O79" s="55">
        <v>43548</v>
      </c>
      <c r="P79" s="58" t="s">
        <v>1719</v>
      </c>
      <c r="Q79" s="52"/>
      <c r="R79" s="118" t="s">
        <v>1720</v>
      </c>
      <c r="S79" s="47"/>
    </row>
    <row r="80" spans="2:19" s="30" customFormat="1" ht="33" hidden="1" customHeight="1">
      <c r="B80" s="46" t="s">
        <v>83</v>
      </c>
      <c r="C80" s="35" t="s">
        <v>244</v>
      </c>
      <c r="D80" s="36" t="s">
        <v>722</v>
      </c>
      <c r="E80" s="37">
        <v>43483</v>
      </c>
      <c r="F80" s="38" t="s">
        <v>77</v>
      </c>
      <c r="G80" s="39">
        <v>6720</v>
      </c>
      <c r="H80" s="38">
        <f t="shared" si="12"/>
        <v>28</v>
      </c>
      <c r="I80" s="38">
        <f t="shared" si="11"/>
        <v>7</v>
      </c>
      <c r="J80" s="38"/>
      <c r="K80" s="40">
        <v>43569</v>
      </c>
      <c r="L80" s="41" t="s">
        <v>480</v>
      </c>
      <c r="M80" s="42">
        <v>43564</v>
      </c>
      <c r="N80" s="43" t="s">
        <v>646</v>
      </c>
      <c r="O80" s="42">
        <v>43569</v>
      </c>
      <c r="P80" s="45" t="s">
        <v>1721</v>
      </c>
      <c r="Q80" s="38"/>
      <c r="R80" s="115" t="s">
        <v>1722</v>
      </c>
      <c r="S80" s="46"/>
    </row>
    <row r="81" spans="2:19" s="30" customFormat="1" ht="33" hidden="1" customHeight="1">
      <c r="B81" s="46" t="s">
        <v>83</v>
      </c>
      <c r="C81" s="35" t="s">
        <v>1723</v>
      </c>
      <c r="D81" s="36" t="s">
        <v>472</v>
      </c>
      <c r="E81" s="37">
        <v>43483</v>
      </c>
      <c r="F81" s="38" t="s">
        <v>77</v>
      </c>
      <c r="G81" s="39">
        <v>5760</v>
      </c>
      <c r="H81" s="38">
        <f>SUM(G81/240)</f>
        <v>24</v>
      </c>
      <c r="I81" s="38">
        <f>SUM(H81/4)</f>
        <v>6</v>
      </c>
      <c r="J81" s="38"/>
      <c r="K81" s="40">
        <v>43583</v>
      </c>
      <c r="L81" s="41" t="s">
        <v>448</v>
      </c>
      <c r="M81" s="42">
        <v>43578</v>
      </c>
      <c r="N81" s="43" t="s">
        <v>1697</v>
      </c>
      <c r="O81" s="42">
        <v>43583</v>
      </c>
      <c r="P81" s="45" t="s">
        <v>1724</v>
      </c>
      <c r="Q81" s="38"/>
      <c r="R81" s="115" t="s">
        <v>1722</v>
      </c>
      <c r="S81" s="46"/>
    </row>
    <row r="82" spans="2:19" s="30" customFormat="1" ht="33" hidden="1" customHeight="1">
      <c r="B82" s="46" t="s">
        <v>83</v>
      </c>
      <c r="C82" s="35" t="s">
        <v>258</v>
      </c>
      <c r="D82" s="36" t="s">
        <v>591</v>
      </c>
      <c r="E82" s="37">
        <v>43519</v>
      </c>
      <c r="F82" s="38" t="s">
        <v>77</v>
      </c>
      <c r="G82" s="39">
        <v>5760</v>
      </c>
      <c r="H82" s="38">
        <f t="shared" si="12"/>
        <v>24</v>
      </c>
      <c r="I82" s="38">
        <f t="shared" si="11"/>
        <v>6</v>
      </c>
      <c r="J82" s="38"/>
      <c r="K82" s="40">
        <v>43605</v>
      </c>
      <c r="L82" s="41" t="s">
        <v>1725</v>
      </c>
      <c r="M82" s="42">
        <v>43601</v>
      </c>
      <c r="N82" s="43" t="s">
        <v>1726</v>
      </c>
      <c r="O82" s="42">
        <v>43605</v>
      </c>
      <c r="P82" s="45" t="s">
        <v>1727</v>
      </c>
      <c r="Q82" s="38"/>
      <c r="R82" s="115" t="s">
        <v>1728</v>
      </c>
      <c r="S82" s="46"/>
    </row>
    <row r="83" spans="2:19" s="30" customFormat="1" ht="33" hidden="1" customHeight="1">
      <c r="B83" s="46" t="s">
        <v>83</v>
      </c>
      <c r="C83" s="35" t="s">
        <v>321</v>
      </c>
      <c r="D83" s="36" t="s">
        <v>727</v>
      </c>
      <c r="E83" s="37">
        <v>43532</v>
      </c>
      <c r="F83" s="38" t="s">
        <v>77</v>
      </c>
      <c r="G83" s="39">
        <v>6720</v>
      </c>
      <c r="H83" s="38">
        <f t="shared" si="12"/>
        <v>28</v>
      </c>
      <c r="I83" s="38">
        <f t="shared" si="11"/>
        <v>7</v>
      </c>
      <c r="J83" s="38"/>
      <c r="K83" s="40">
        <v>43633</v>
      </c>
      <c r="L83" s="41" t="s">
        <v>1729</v>
      </c>
      <c r="M83" s="42">
        <v>43627</v>
      </c>
      <c r="N83" s="43" t="s">
        <v>1730</v>
      </c>
      <c r="O83" s="42">
        <v>43632</v>
      </c>
      <c r="P83" s="45"/>
      <c r="Q83" s="38"/>
      <c r="R83" s="115" t="s">
        <v>1731</v>
      </c>
      <c r="S83" s="46"/>
    </row>
    <row r="84" spans="2:19" s="30" customFormat="1" ht="33" hidden="1" customHeight="1">
      <c r="B84" s="46" t="s">
        <v>83</v>
      </c>
      <c r="C84" s="35" t="s">
        <v>324</v>
      </c>
      <c r="D84" s="36" t="s">
        <v>1234</v>
      </c>
      <c r="E84" s="37">
        <v>43567</v>
      </c>
      <c r="F84" s="38" t="s">
        <v>77</v>
      </c>
      <c r="G84" s="39">
        <v>5760</v>
      </c>
      <c r="H84" s="38">
        <f t="shared" si="12"/>
        <v>24</v>
      </c>
      <c r="I84" s="38">
        <f t="shared" si="11"/>
        <v>6</v>
      </c>
      <c r="J84" s="38"/>
      <c r="K84" s="40">
        <v>43667</v>
      </c>
      <c r="L84" s="41" t="s">
        <v>1326</v>
      </c>
      <c r="M84" s="42">
        <v>43662</v>
      </c>
      <c r="N84" s="43" t="s">
        <v>1705</v>
      </c>
      <c r="O84" s="42">
        <v>43667</v>
      </c>
      <c r="P84" s="45"/>
      <c r="Q84" s="38"/>
      <c r="R84" s="115" t="s">
        <v>1732</v>
      </c>
      <c r="S84" s="46"/>
    </row>
    <row r="85" spans="2:19" s="34" customFormat="1" ht="33" hidden="1" customHeight="1">
      <c r="B85" s="47" t="s">
        <v>210</v>
      </c>
      <c r="C85" s="48" t="s">
        <v>225</v>
      </c>
      <c r="D85" s="49" t="s">
        <v>433</v>
      </c>
      <c r="E85" s="50">
        <v>43473</v>
      </c>
      <c r="F85" s="52" t="s">
        <v>218</v>
      </c>
      <c r="G85" s="51">
        <v>1920</v>
      </c>
      <c r="H85" s="52">
        <f t="shared" ref="H85:H102" si="13">SUM(G85/20)</f>
        <v>96</v>
      </c>
      <c r="I85" s="52">
        <f t="shared" ref="I85:I102" si="14">SUM(H85/32)</f>
        <v>3</v>
      </c>
      <c r="J85" s="52"/>
      <c r="K85" s="53">
        <v>43520</v>
      </c>
      <c r="L85" s="54" t="s">
        <v>1733</v>
      </c>
      <c r="M85" s="55">
        <v>43515</v>
      </c>
      <c r="N85" s="56" t="s">
        <v>1734</v>
      </c>
      <c r="O85" s="55">
        <v>43520</v>
      </c>
      <c r="P85" s="58"/>
      <c r="Q85" s="52"/>
      <c r="R85" s="63" t="s">
        <v>211</v>
      </c>
      <c r="S85" s="52"/>
    </row>
    <row r="86" spans="2:19" s="34" customFormat="1" ht="33" hidden="1" customHeight="1">
      <c r="B86" s="47" t="s">
        <v>210</v>
      </c>
      <c r="C86" s="48" t="s">
        <v>226</v>
      </c>
      <c r="D86" s="49" t="s">
        <v>593</v>
      </c>
      <c r="E86" s="50">
        <v>43483</v>
      </c>
      <c r="F86" s="52" t="s">
        <v>218</v>
      </c>
      <c r="G86" s="51">
        <v>640</v>
      </c>
      <c r="H86" s="52">
        <f t="shared" si="13"/>
        <v>32</v>
      </c>
      <c r="I86" s="52">
        <f t="shared" si="14"/>
        <v>1</v>
      </c>
      <c r="J86" s="52"/>
      <c r="K86" s="53">
        <v>43534</v>
      </c>
      <c r="L86" s="54" t="s">
        <v>1735</v>
      </c>
      <c r="M86" s="55"/>
      <c r="N86" s="56"/>
      <c r="O86" s="55">
        <v>43520</v>
      </c>
      <c r="P86" s="58" t="s">
        <v>651</v>
      </c>
      <c r="Q86" s="52"/>
      <c r="R86" s="63" t="s">
        <v>211</v>
      </c>
      <c r="S86" s="52"/>
    </row>
    <row r="87" spans="2:19" s="34" customFormat="1" ht="33" hidden="1" customHeight="1">
      <c r="B87" s="47" t="s">
        <v>210</v>
      </c>
      <c r="C87" s="48" t="s">
        <v>226</v>
      </c>
      <c r="D87" s="49" t="s">
        <v>434</v>
      </c>
      <c r="E87" s="50">
        <v>43483</v>
      </c>
      <c r="F87" s="52" t="s">
        <v>218</v>
      </c>
      <c r="G87" s="51">
        <v>1920</v>
      </c>
      <c r="H87" s="52">
        <f t="shared" si="13"/>
        <v>96</v>
      </c>
      <c r="I87" s="52">
        <f t="shared" si="14"/>
        <v>3</v>
      </c>
      <c r="J87" s="52"/>
      <c r="K87" s="53">
        <v>43534</v>
      </c>
      <c r="L87" s="54" t="s">
        <v>1736</v>
      </c>
      <c r="M87" s="55">
        <v>43524</v>
      </c>
      <c r="N87" s="56" t="s">
        <v>1737</v>
      </c>
      <c r="O87" s="55">
        <v>43528</v>
      </c>
      <c r="P87" s="58" t="s">
        <v>1738</v>
      </c>
      <c r="Q87" s="52" t="s">
        <v>615</v>
      </c>
      <c r="R87" s="63" t="s">
        <v>211</v>
      </c>
      <c r="S87" s="52"/>
    </row>
    <row r="88" spans="2:19" s="34" customFormat="1" ht="33" hidden="1" customHeight="1">
      <c r="B88" s="47" t="s">
        <v>210</v>
      </c>
      <c r="C88" s="48" t="s">
        <v>226</v>
      </c>
      <c r="D88" s="49" t="s">
        <v>434</v>
      </c>
      <c r="E88" s="50">
        <v>43483</v>
      </c>
      <c r="F88" s="52" t="s">
        <v>218</v>
      </c>
      <c r="G88" s="51">
        <v>1280</v>
      </c>
      <c r="H88" s="52">
        <f t="shared" si="13"/>
        <v>64</v>
      </c>
      <c r="I88" s="52">
        <f t="shared" si="14"/>
        <v>2</v>
      </c>
      <c r="J88" s="52"/>
      <c r="K88" s="53">
        <v>43534</v>
      </c>
      <c r="L88" s="54" t="s">
        <v>1713</v>
      </c>
      <c r="M88" s="55">
        <v>43531</v>
      </c>
      <c r="N88" s="56" t="s">
        <v>568</v>
      </c>
      <c r="O88" s="55">
        <v>43535</v>
      </c>
      <c r="P88" s="58" t="s">
        <v>1739</v>
      </c>
      <c r="Q88" s="52" t="s">
        <v>614</v>
      </c>
      <c r="R88" s="63" t="s">
        <v>211</v>
      </c>
      <c r="S88" s="52" t="s">
        <v>1740</v>
      </c>
    </row>
    <row r="89" spans="2:19" s="34" customFormat="1" ht="33" hidden="1" customHeight="1">
      <c r="B89" s="47" t="s">
        <v>210</v>
      </c>
      <c r="C89" s="48" t="s">
        <v>233</v>
      </c>
      <c r="D89" s="49" t="s">
        <v>525</v>
      </c>
      <c r="E89" s="50">
        <v>43507</v>
      </c>
      <c r="F89" s="52" t="s">
        <v>218</v>
      </c>
      <c r="G89" s="51">
        <v>1920</v>
      </c>
      <c r="H89" s="52">
        <f t="shared" si="13"/>
        <v>96</v>
      </c>
      <c r="I89" s="52">
        <f t="shared" si="14"/>
        <v>3</v>
      </c>
      <c r="J89" s="52"/>
      <c r="K89" s="53">
        <v>43541</v>
      </c>
      <c r="L89" s="54" t="s">
        <v>1741</v>
      </c>
      <c r="M89" s="55">
        <v>43536</v>
      </c>
      <c r="N89" s="56" t="s">
        <v>1742</v>
      </c>
      <c r="O89" s="55">
        <v>43541</v>
      </c>
      <c r="P89" s="58" t="s">
        <v>1743</v>
      </c>
      <c r="Q89" s="52" t="s">
        <v>612</v>
      </c>
      <c r="R89" s="63" t="s">
        <v>211</v>
      </c>
      <c r="S89" s="52"/>
    </row>
    <row r="90" spans="2:19" s="34" customFormat="1" ht="33" hidden="1" customHeight="1">
      <c r="B90" s="47" t="s">
        <v>210</v>
      </c>
      <c r="C90" s="48" t="s">
        <v>1744</v>
      </c>
      <c r="D90" s="49" t="s">
        <v>525</v>
      </c>
      <c r="E90" s="50">
        <v>43519</v>
      </c>
      <c r="F90" s="52" t="s">
        <v>218</v>
      </c>
      <c r="G90" s="51">
        <v>1920</v>
      </c>
      <c r="H90" s="52">
        <f t="shared" si="13"/>
        <v>96</v>
      </c>
      <c r="I90" s="52">
        <f t="shared" si="14"/>
        <v>3</v>
      </c>
      <c r="J90" s="52"/>
      <c r="K90" s="53">
        <v>43555</v>
      </c>
      <c r="L90" s="54" t="s">
        <v>1745</v>
      </c>
      <c r="M90" s="55">
        <v>43550</v>
      </c>
      <c r="N90" s="56" t="s">
        <v>1746</v>
      </c>
      <c r="O90" s="55">
        <v>43555</v>
      </c>
      <c r="P90" s="58"/>
      <c r="Q90" s="52" t="s">
        <v>613</v>
      </c>
      <c r="R90" s="63" t="s">
        <v>211</v>
      </c>
      <c r="S90" s="52"/>
    </row>
    <row r="91" spans="2:19" s="32" customFormat="1" ht="33" hidden="1" customHeight="1">
      <c r="B91" s="46" t="s">
        <v>210</v>
      </c>
      <c r="C91" s="35" t="s">
        <v>285</v>
      </c>
      <c r="D91" s="36" t="s">
        <v>526</v>
      </c>
      <c r="E91" s="37">
        <v>43507</v>
      </c>
      <c r="F91" s="38" t="s">
        <v>218</v>
      </c>
      <c r="G91" s="39">
        <v>3200</v>
      </c>
      <c r="H91" s="38">
        <f t="shared" si="13"/>
        <v>160</v>
      </c>
      <c r="I91" s="38">
        <f t="shared" si="14"/>
        <v>5</v>
      </c>
      <c r="J91" s="38"/>
      <c r="K91" s="40">
        <v>43576</v>
      </c>
      <c r="L91" s="41" t="s">
        <v>503</v>
      </c>
      <c r="M91" s="42">
        <v>43571</v>
      </c>
      <c r="N91" s="43" t="s">
        <v>1747</v>
      </c>
      <c r="O91" s="42">
        <v>43576</v>
      </c>
      <c r="P91" s="45"/>
      <c r="Q91" s="38" t="s">
        <v>643</v>
      </c>
      <c r="R91" s="66" t="s">
        <v>211</v>
      </c>
      <c r="S91" s="38"/>
    </row>
    <row r="92" spans="2:19" s="32" customFormat="1" ht="33" hidden="1" customHeight="1">
      <c r="B92" s="46" t="s">
        <v>210</v>
      </c>
      <c r="C92" s="35" t="s">
        <v>1748</v>
      </c>
      <c r="D92" s="36" t="s">
        <v>526</v>
      </c>
      <c r="E92" s="37">
        <v>43507</v>
      </c>
      <c r="F92" s="38" t="s">
        <v>218</v>
      </c>
      <c r="G92" s="39">
        <v>640</v>
      </c>
      <c r="H92" s="38">
        <f>SUM(G92/20)</f>
        <v>32</v>
      </c>
      <c r="I92" s="38">
        <f>SUM(H92/32)</f>
        <v>1</v>
      </c>
      <c r="J92" s="38"/>
      <c r="K92" s="40">
        <v>43576</v>
      </c>
      <c r="L92" s="41" t="s">
        <v>448</v>
      </c>
      <c r="M92" s="42">
        <v>43578</v>
      </c>
      <c r="N92" s="43" t="s">
        <v>1697</v>
      </c>
      <c r="O92" s="42">
        <v>43583</v>
      </c>
      <c r="P92" s="45"/>
      <c r="Q92" s="38" t="s">
        <v>643</v>
      </c>
      <c r="R92" s="66" t="s">
        <v>211</v>
      </c>
      <c r="S92" s="38"/>
    </row>
    <row r="93" spans="2:19" s="32" customFormat="1" ht="33" hidden="1" customHeight="1">
      <c r="B93" s="46" t="s">
        <v>210</v>
      </c>
      <c r="C93" s="35" t="s">
        <v>331</v>
      </c>
      <c r="D93" s="36" t="s">
        <v>1749</v>
      </c>
      <c r="E93" s="37">
        <v>43519</v>
      </c>
      <c r="F93" s="38" t="s">
        <v>218</v>
      </c>
      <c r="G93" s="39">
        <v>3200</v>
      </c>
      <c r="H93" s="38">
        <f t="shared" si="13"/>
        <v>160</v>
      </c>
      <c r="I93" s="38">
        <f t="shared" si="14"/>
        <v>5</v>
      </c>
      <c r="J93" s="38"/>
      <c r="K93" s="40">
        <v>43562</v>
      </c>
      <c r="L93" s="41" t="s">
        <v>608</v>
      </c>
      <c r="M93" s="42">
        <v>43557</v>
      </c>
      <c r="N93" s="43" t="s">
        <v>1750</v>
      </c>
      <c r="O93" s="42">
        <v>43562</v>
      </c>
      <c r="P93" s="45"/>
      <c r="Q93" s="38" t="s">
        <v>642</v>
      </c>
      <c r="R93" s="66" t="s">
        <v>211</v>
      </c>
      <c r="S93" s="38"/>
    </row>
    <row r="94" spans="2:19" s="32" customFormat="1" ht="33" hidden="1" customHeight="1">
      <c r="B94" s="46" t="s">
        <v>210</v>
      </c>
      <c r="C94" s="35" t="s">
        <v>1751</v>
      </c>
      <c r="D94" s="36" t="s">
        <v>1749</v>
      </c>
      <c r="E94" s="37">
        <v>43519</v>
      </c>
      <c r="F94" s="38" t="s">
        <v>218</v>
      </c>
      <c r="G94" s="39">
        <v>640</v>
      </c>
      <c r="H94" s="38">
        <f>SUM(G94/20)</f>
        <v>32</v>
      </c>
      <c r="I94" s="38">
        <f>SUM(H94/32)</f>
        <v>1</v>
      </c>
      <c r="J94" s="38"/>
      <c r="K94" s="40">
        <v>43562</v>
      </c>
      <c r="L94" s="41" t="s">
        <v>480</v>
      </c>
      <c r="M94" s="42">
        <v>43564</v>
      </c>
      <c r="N94" s="43" t="s">
        <v>646</v>
      </c>
      <c r="O94" s="42">
        <v>43569</v>
      </c>
      <c r="P94" s="45"/>
      <c r="Q94" s="38" t="s">
        <v>642</v>
      </c>
      <c r="R94" s="66" t="s">
        <v>211</v>
      </c>
      <c r="S94" s="38"/>
    </row>
    <row r="95" spans="2:19" s="32" customFormat="1" ht="33" hidden="1" customHeight="1">
      <c r="B95" s="46" t="s">
        <v>210</v>
      </c>
      <c r="C95" s="35" t="s">
        <v>431</v>
      </c>
      <c r="D95" s="36" t="s">
        <v>1752</v>
      </c>
      <c r="E95" s="37">
        <v>43523</v>
      </c>
      <c r="F95" s="38" t="s">
        <v>218</v>
      </c>
      <c r="G95" s="39">
        <v>3200</v>
      </c>
      <c r="H95" s="38">
        <f t="shared" si="13"/>
        <v>160</v>
      </c>
      <c r="I95" s="38">
        <f t="shared" si="14"/>
        <v>5</v>
      </c>
      <c r="J95" s="38"/>
      <c r="K95" s="40">
        <v>43597</v>
      </c>
      <c r="L95" s="41" t="s">
        <v>605</v>
      </c>
      <c r="M95" s="42">
        <v>43594</v>
      </c>
      <c r="N95" s="43" t="s">
        <v>1753</v>
      </c>
      <c r="O95" s="42">
        <v>43598</v>
      </c>
      <c r="P95" s="45"/>
      <c r="Q95" s="38" t="s">
        <v>641</v>
      </c>
      <c r="R95" s="66" t="s">
        <v>211</v>
      </c>
      <c r="S95" s="38"/>
    </row>
    <row r="96" spans="2:19" s="32" customFormat="1" ht="33" hidden="1" customHeight="1">
      <c r="B96" s="46" t="s">
        <v>210</v>
      </c>
      <c r="C96" s="35" t="s">
        <v>1754</v>
      </c>
      <c r="D96" s="36" t="s">
        <v>1752</v>
      </c>
      <c r="E96" s="37">
        <v>43523</v>
      </c>
      <c r="F96" s="38" t="s">
        <v>218</v>
      </c>
      <c r="G96" s="39">
        <v>640</v>
      </c>
      <c r="H96" s="38">
        <f>SUM(G96/20)</f>
        <v>32</v>
      </c>
      <c r="I96" s="38">
        <f>SUM(H96/32)</f>
        <v>1</v>
      </c>
      <c r="J96" s="38"/>
      <c r="K96" s="40">
        <v>43618</v>
      </c>
      <c r="L96" s="41" t="s">
        <v>1755</v>
      </c>
      <c r="M96" s="42">
        <v>43613</v>
      </c>
      <c r="N96" s="43" t="s">
        <v>1756</v>
      </c>
      <c r="O96" s="42">
        <v>43618</v>
      </c>
      <c r="P96" s="45"/>
      <c r="Q96" s="38" t="s">
        <v>641</v>
      </c>
      <c r="R96" s="66" t="s">
        <v>211</v>
      </c>
      <c r="S96" s="38"/>
    </row>
    <row r="97" spans="2:19" s="32" customFormat="1" ht="33" hidden="1" customHeight="1">
      <c r="B97" s="46" t="s">
        <v>210</v>
      </c>
      <c r="C97" s="35" t="s">
        <v>1757</v>
      </c>
      <c r="D97" s="36" t="s">
        <v>739</v>
      </c>
      <c r="E97" s="37">
        <v>43532</v>
      </c>
      <c r="F97" s="38" t="s">
        <v>218</v>
      </c>
      <c r="G97" s="39">
        <v>2560</v>
      </c>
      <c r="H97" s="38">
        <f t="shared" ref="H97:H98" si="15">SUM(G97/20)</f>
        <v>128</v>
      </c>
      <c r="I97" s="38">
        <f t="shared" ref="I97:I98" si="16">SUM(H97/32)</f>
        <v>4</v>
      </c>
      <c r="J97" s="38"/>
      <c r="K97" s="40">
        <v>43618</v>
      </c>
      <c r="L97" s="41" t="s">
        <v>1755</v>
      </c>
      <c r="M97" s="42">
        <v>43613</v>
      </c>
      <c r="N97" s="43" t="s">
        <v>1756</v>
      </c>
      <c r="O97" s="42">
        <v>43618</v>
      </c>
      <c r="P97" s="45"/>
      <c r="Q97" s="38" t="s">
        <v>970</v>
      </c>
      <c r="R97" s="66" t="s">
        <v>211</v>
      </c>
      <c r="S97" s="38"/>
    </row>
    <row r="98" spans="2:19" s="32" customFormat="1" ht="33" hidden="1" customHeight="1">
      <c r="B98" s="46" t="s">
        <v>210</v>
      </c>
      <c r="C98" s="35" t="s">
        <v>589</v>
      </c>
      <c r="D98" s="36" t="s">
        <v>1260</v>
      </c>
      <c r="E98" s="37">
        <v>43558</v>
      </c>
      <c r="F98" s="38" t="s">
        <v>218</v>
      </c>
      <c r="G98" s="39">
        <v>3200</v>
      </c>
      <c r="H98" s="38">
        <f t="shared" si="15"/>
        <v>160</v>
      </c>
      <c r="I98" s="38">
        <f t="shared" si="16"/>
        <v>5</v>
      </c>
      <c r="J98" s="38"/>
      <c r="K98" s="40">
        <v>43639</v>
      </c>
      <c r="L98" s="41" t="s">
        <v>1758</v>
      </c>
      <c r="M98" s="42">
        <v>43634</v>
      </c>
      <c r="N98" s="43" t="s">
        <v>1759</v>
      </c>
      <c r="O98" s="42">
        <v>43639</v>
      </c>
      <c r="P98" s="45"/>
      <c r="Q98" s="38" t="s">
        <v>973</v>
      </c>
      <c r="R98" s="66" t="s">
        <v>211</v>
      </c>
      <c r="S98" s="38"/>
    </row>
    <row r="99" spans="2:19" s="34" customFormat="1" ht="33" hidden="1" customHeight="1">
      <c r="B99" s="47" t="s">
        <v>1760</v>
      </c>
      <c r="C99" s="48" t="s">
        <v>1761</v>
      </c>
      <c r="D99" s="49" t="s">
        <v>1762</v>
      </c>
      <c r="E99" s="50"/>
      <c r="F99" s="52" t="s">
        <v>1763</v>
      </c>
      <c r="G99" s="51">
        <v>640</v>
      </c>
      <c r="H99" s="52">
        <f t="shared" si="13"/>
        <v>32</v>
      </c>
      <c r="I99" s="52">
        <f t="shared" si="14"/>
        <v>1</v>
      </c>
      <c r="J99" s="52"/>
      <c r="K99" s="53">
        <v>43513</v>
      </c>
      <c r="L99" s="54" t="s">
        <v>276</v>
      </c>
      <c r="M99" s="55">
        <v>43508</v>
      </c>
      <c r="N99" s="56" t="s">
        <v>1708</v>
      </c>
      <c r="O99" s="55">
        <v>43513</v>
      </c>
      <c r="P99" s="58"/>
      <c r="Q99" s="52"/>
      <c r="R99" s="63" t="s">
        <v>211</v>
      </c>
      <c r="S99" s="52"/>
    </row>
    <row r="100" spans="2:19" s="34" customFormat="1" ht="33" hidden="1" customHeight="1">
      <c r="B100" s="47" t="s">
        <v>1760</v>
      </c>
      <c r="C100" s="48" t="s">
        <v>234</v>
      </c>
      <c r="D100" s="49" t="s">
        <v>1764</v>
      </c>
      <c r="E100" s="50">
        <v>43519</v>
      </c>
      <c r="F100" s="52" t="s">
        <v>1763</v>
      </c>
      <c r="G100" s="51">
        <v>1280</v>
      </c>
      <c r="H100" s="52">
        <f t="shared" si="13"/>
        <v>64</v>
      </c>
      <c r="I100" s="52">
        <f t="shared" si="14"/>
        <v>2</v>
      </c>
      <c r="J100" s="52"/>
      <c r="K100" s="53">
        <v>43576</v>
      </c>
      <c r="L100" s="54" t="s">
        <v>1745</v>
      </c>
      <c r="M100" s="55">
        <v>43550</v>
      </c>
      <c r="N100" s="56" t="s">
        <v>1746</v>
      </c>
      <c r="O100" s="55">
        <v>43555</v>
      </c>
      <c r="P100" s="58" t="s">
        <v>655</v>
      </c>
      <c r="Q100" s="52" t="s">
        <v>613</v>
      </c>
      <c r="R100" s="63" t="s">
        <v>211</v>
      </c>
      <c r="S100" s="52"/>
    </row>
    <row r="101" spans="2:19" s="32" customFormat="1" ht="33" hidden="1" customHeight="1">
      <c r="B101" s="46" t="s">
        <v>1765</v>
      </c>
      <c r="C101" s="35" t="s">
        <v>235</v>
      </c>
      <c r="D101" s="36" t="s">
        <v>744</v>
      </c>
      <c r="E101" s="37">
        <v>43532</v>
      </c>
      <c r="F101" s="38" t="s">
        <v>1766</v>
      </c>
      <c r="G101" s="39">
        <v>1280</v>
      </c>
      <c r="H101" s="38">
        <f t="shared" si="13"/>
        <v>64</v>
      </c>
      <c r="I101" s="38">
        <f t="shared" si="14"/>
        <v>2</v>
      </c>
      <c r="J101" s="38"/>
      <c r="K101" s="40">
        <v>43597</v>
      </c>
      <c r="L101" s="41" t="s">
        <v>605</v>
      </c>
      <c r="M101" s="42">
        <v>43594</v>
      </c>
      <c r="N101" s="43" t="s">
        <v>772</v>
      </c>
      <c r="O101" s="42">
        <v>43598</v>
      </c>
      <c r="P101" s="45"/>
      <c r="Q101" s="38" t="s">
        <v>641</v>
      </c>
      <c r="R101" s="66" t="s">
        <v>211</v>
      </c>
      <c r="S101" s="38"/>
    </row>
    <row r="102" spans="2:19" s="153" customFormat="1" ht="33" hidden="1" customHeight="1">
      <c r="B102" s="103" t="s">
        <v>1765</v>
      </c>
      <c r="C102" s="104" t="s">
        <v>1569</v>
      </c>
      <c r="D102" s="105"/>
      <c r="E102" s="106">
        <v>43581</v>
      </c>
      <c r="F102" s="107" t="s">
        <v>1766</v>
      </c>
      <c r="G102" s="108">
        <v>1280</v>
      </c>
      <c r="H102" s="107">
        <f t="shared" si="13"/>
        <v>64</v>
      </c>
      <c r="I102" s="107">
        <f t="shared" si="14"/>
        <v>2</v>
      </c>
      <c r="J102" s="107"/>
      <c r="K102" s="109">
        <v>43632</v>
      </c>
      <c r="L102" s="110" t="s">
        <v>807</v>
      </c>
      <c r="M102" s="111">
        <v>43627</v>
      </c>
      <c r="N102" s="112" t="s">
        <v>1730</v>
      </c>
      <c r="O102" s="111">
        <v>43632</v>
      </c>
      <c r="P102" s="113"/>
      <c r="Q102" s="107" t="s">
        <v>1810</v>
      </c>
      <c r="R102" s="116" t="s">
        <v>211</v>
      </c>
      <c r="S102" s="107"/>
    </row>
    <row r="103" spans="2:19" s="30" customFormat="1" ht="33" hidden="1" customHeight="1">
      <c r="B103" s="46" t="s">
        <v>1767</v>
      </c>
      <c r="C103" s="35" t="s">
        <v>225</v>
      </c>
      <c r="D103" s="36" t="s">
        <v>487</v>
      </c>
      <c r="E103" s="37">
        <v>43490</v>
      </c>
      <c r="F103" s="38" t="s">
        <v>1768</v>
      </c>
      <c r="G103" s="39">
        <v>1520</v>
      </c>
      <c r="H103" s="38">
        <f>SUM(G103/190)</f>
        <v>8</v>
      </c>
      <c r="I103" s="38">
        <f>SUM(H103/4)</f>
        <v>2</v>
      </c>
      <c r="J103" s="38"/>
      <c r="K103" s="40">
        <v>43569</v>
      </c>
      <c r="L103" s="41" t="s">
        <v>417</v>
      </c>
      <c r="M103" s="42">
        <v>43564</v>
      </c>
      <c r="N103" s="43" t="s">
        <v>1769</v>
      </c>
      <c r="O103" s="42">
        <v>43569</v>
      </c>
      <c r="P103" s="45"/>
      <c r="Q103" s="38"/>
      <c r="R103" s="66" t="s">
        <v>1770</v>
      </c>
      <c r="S103" s="46"/>
    </row>
    <row r="104" spans="2:19" s="30" customFormat="1" ht="33" hidden="1" customHeight="1">
      <c r="B104" s="46" t="s">
        <v>1767</v>
      </c>
      <c r="C104" s="35" t="s">
        <v>226</v>
      </c>
      <c r="D104" s="36" t="s">
        <v>833</v>
      </c>
      <c r="E104" s="37">
        <v>43546</v>
      </c>
      <c r="F104" s="38" t="s">
        <v>1768</v>
      </c>
      <c r="G104" s="39">
        <v>1520</v>
      </c>
      <c r="H104" s="38">
        <f>SUM(G104/190)</f>
        <v>8</v>
      </c>
      <c r="I104" s="38">
        <f>SUM(H104/4)</f>
        <v>2</v>
      </c>
      <c r="J104" s="38"/>
      <c r="K104" s="40">
        <v>43632</v>
      </c>
      <c r="L104" s="41" t="s">
        <v>1771</v>
      </c>
      <c r="M104" s="42">
        <v>43627</v>
      </c>
      <c r="N104" s="43" t="s">
        <v>1772</v>
      </c>
      <c r="O104" s="42">
        <v>43632</v>
      </c>
      <c r="P104" s="45"/>
      <c r="Q104" s="38"/>
      <c r="R104" s="66" t="s">
        <v>1773</v>
      </c>
      <c r="S104" s="46"/>
    </row>
    <row r="105" spans="2:19" s="33" customFormat="1" ht="33" hidden="1" customHeight="1">
      <c r="B105" s="47" t="s">
        <v>1774</v>
      </c>
      <c r="C105" s="48" t="s">
        <v>90</v>
      </c>
      <c r="D105" s="49" t="s">
        <v>1775</v>
      </c>
      <c r="E105" s="50"/>
      <c r="F105" s="47" t="s">
        <v>236</v>
      </c>
      <c r="G105" s="51">
        <v>800</v>
      </c>
      <c r="H105" s="52">
        <f t="shared" ref="H105:H117" si="17">SUM(G105/200)</f>
        <v>4</v>
      </c>
      <c r="I105" s="52">
        <f t="shared" ref="I105:I117" si="18">SUM(H105/4)</f>
        <v>1</v>
      </c>
      <c r="J105" s="52"/>
      <c r="K105" s="53">
        <v>43513</v>
      </c>
      <c r="L105" s="54" t="s">
        <v>1776</v>
      </c>
      <c r="M105" s="55">
        <v>43515</v>
      </c>
      <c r="N105" s="56" t="s">
        <v>1777</v>
      </c>
      <c r="O105" s="55">
        <v>43520</v>
      </c>
      <c r="P105" s="58" t="s">
        <v>1778</v>
      </c>
      <c r="Q105" s="52"/>
      <c r="R105" s="63"/>
      <c r="S105" s="47"/>
    </row>
    <row r="106" spans="2:19" s="33" customFormat="1" ht="33" hidden="1" customHeight="1">
      <c r="B106" s="47" t="s">
        <v>1774</v>
      </c>
      <c r="C106" s="48" t="s">
        <v>90</v>
      </c>
      <c r="D106" s="49" t="s">
        <v>1775</v>
      </c>
      <c r="E106" s="50"/>
      <c r="F106" s="47" t="s">
        <v>236</v>
      </c>
      <c r="G106" s="51">
        <v>1600</v>
      </c>
      <c r="H106" s="52">
        <f t="shared" si="17"/>
        <v>8</v>
      </c>
      <c r="I106" s="52">
        <f t="shared" si="18"/>
        <v>2</v>
      </c>
      <c r="J106" s="52"/>
      <c r="K106" s="53">
        <v>43520</v>
      </c>
      <c r="L106" s="54" t="s">
        <v>1776</v>
      </c>
      <c r="M106" s="55">
        <v>43515</v>
      </c>
      <c r="N106" s="56" t="s">
        <v>1777</v>
      </c>
      <c r="O106" s="55">
        <v>43520</v>
      </c>
      <c r="P106" s="58" t="s">
        <v>1779</v>
      </c>
      <c r="Q106" s="52"/>
      <c r="R106" s="63"/>
      <c r="S106" s="47"/>
    </row>
    <row r="107" spans="2:19" s="33" customFormat="1" ht="33" hidden="1" customHeight="1">
      <c r="B107" s="47" t="s">
        <v>1774</v>
      </c>
      <c r="C107" s="48" t="s">
        <v>1780</v>
      </c>
      <c r="D107" s="49" t="s">
        <v>1775</v>
      </c>
      <c r="E107" s="50"/>
      <c r="F107" s="47" t="s">
        <v>236</v>
      </c>
      <c r="G107" s="51">
        <v>2400</v>
      </c>
      <c r="H107" s="52">
        <f t="shared" si="17"/>
        <v>12</v>
      </c>
      <c r="I107" s="52">
        <f t="shared" si="18"/>
        <v>3</v>
      </c>
      <c r="J107" s="52"/>
      <c r="K107" s="53">
        <v>43527</v>
      </c>
      <c r="L107" s="54" t="s">
        <v>1781</v>
      </c>
      <c r="M107" s="55">
        <v>43531</v>
      </c>
      <c r="N107" s="56" t="s">
        <v>568</v>
      </c>
      <c r="O107" s="55">
        <v>43535</v>
      </c>
      <c r="P107" s="58"/>
      <c r="Q107" s="52"/>
      <c r="R107" s="63"/>
      <c r="S107" s="47" t="s">
        <v>1782</v>
      </c>
    </row>
    <row r="108" spans="2:19" s="33" customFormat="1" ht="33" hidden="1" customHeight="1">
      <c r="B108" s="47" t="s">
        <v>238</v>
      </c>
      <c r="C108" s="48" t="s">
        <v>1783</v>
      </c>
      <c r="D108" s="49" t="s">
        <v>435</v>
      </c>
      <c r="E108" s="50"/>
      <c r="F108" s="52" t="s">
        <v>236</v>
      </c>
      <c r="G108" s="51">
        <v>2400</v>
      </c>
      <c r="H108" s="52">
        <f t="shared" si="17"/>
        <v>12</v>
      </c>
      <c r="I108" s="52">
        <f t="shared" si="18"/>
        <v>3</v>
      </c>
      <c r="J108" s="52"/>
      <c r="K108" s="53">
        <v>43548</v>
      </c>
      <c r="L108" s="54" t="s">
        <v>1784</v>
      </c>
      <c r="M108" s="55">
        <v>43543</v>
      </c>
      <c r="N108" s="56" t="s">
        <v>1785</v>
      </c>
      <c r="O108" s="55">
        <v>43548</v>
      </c>
      <c r="P108" s="58"/>
      <c r="Q108" s="52"/>
      <c r="R108" s="63"/>
      <c r="S108" s="47"/>
    </row>
    <row r="109" spans="2:19" s="30" customFormat="1" ht="33" hidden="1" customHeight="1">
      <c r="B109" s="46" t="s">
        <v>238</v>
      </c>
      <c r="C109" s="35" t="s">
        <v>1786</v>
      </c>
      <c r="D109" s="36" t="s">
        <v>474</v>
      </c>
      <c r="E109" s="37"/>
      <c r="F109" s="38" t="s">
        <v>236</v>
      </c>
      <c r="G109" s="39">
        <v>3200</v>
      </c>
      <c r="H109" s="38">
        <f t="shared" si="17"/>
        <v>16</v>
      </c>
      <c r="I109" s="38">
        <f t="shared" si="18"/>
        <v>4</v>
      </c>
      <c r="J109" s="38"/>
      <c r="K109" s="40">
        <v>43562</v>
      </c>
      <c r="L109" s="41" t="s">
        <v>1787</v>
      </c>
      <c r="M109" s="42">
        <v>43557</v>
      </c>
      <c r="N109" s="43" t="s">
        <v>1788</v>
      </c>
      <c r="O109" s="42">
        <v>43562</v>
      </c>
      <c r="P109" s="45"/>
      <c r="Q109" s="38"/>
      <c r="R109" s="66"/>
      <c r="S109" s="46"/>
    </row>
    <row r="110" spans="2:19" s="30" customFormat="1" ht="33" hidden="1" customHeight="1">
      <c r="B110" s="46" t="s">
        <v>238</v>
      </c>
      <c r="C110" s="35" t="s">
        <v>1789</v>
      </c>
      <c r="D110" s="36" t="s">
        <v>475</v>
      </c>
      <c r="E110" s="37"/>
      <c r="F110" s="38" t="s">
        <v>236</v>
      </c>
      <c r="G110" s="39">
        <v>1600</v>
      </c>
      <c r="H110" s="38">
        <f t="shared" si="17"/>
        <v>8</v>
      </c>
      <c r="I110" s="38">
        <f t="shared" si="18"/>
        <v>2</v>
      </c>
      <c r="J110" s="38"/>
      <c r="K110" s="40">
        <v>43562</v>
      </c>
      <c r="L110" s="41" t="s">
        <v>1790</v>
      </c>
      <c r="M110" s="42">
        <v>43564</v>
      </c>
      <c r="N110" s="43" t="s">
        <v>1769</v>
      </c>
      <c r="O110" s="42">
        <v>43569</v>
      </c>
      <c r="P110" s="45"/>
      <c r="Q110" s="38"/>
      <c r="R110" s="66"/>
      <c r="S110" s="46"/>
    </row>
    <row r="111" spans="2:19" s="30" customFormat="1" ht="33" hidden="1" customHeight="1">
      <c r="B111" s="46" t="s">
        <v>238</v>
      </c>
      <c r="C111" s="35" t="s">
        <v>1791</v>
      </c>
      <c r="D111" s="36" t="s">
        <v>488</v>
      </c>
      <c r="E111" s="37">
        <v>43495</v>
      </c>
      <c r="F111" s="38" t="s">
        <v>236</v>
      </c>
      <c r="G111" s="39">
        <v>1600</v>
      </c>
      <c r="H111" s="38">
        <f t="shared" si="17"/>
        <v>8</v>
      </c>
      <c r="I111" s="38">
        <f t="shared" si="18"/>
        <v>2</v>
      </c>
      <c r="J111" s="38"/>
      <c r="K111" s="40">
        <v>43583</v>
      </c>
      <c r="L111" s="41" t="s">
        <v>1792</v>
      </c>
      <c r="M111" s="42">
        <v>43578</v>
      </c>
      <c r="N111" s="43" t="s">
        <v>1793</v>
      </c>
      <c r="O111" s="42">
        <v>43583</v>
      </c>
      <c r="P111" s="45"/>
      <c r="Q111" s="38"/>
      <c r="R111" s="66"/>
      <c r="S111" s="46"/>
    </row>
    <row r="112" spans="2:19" s="30" customFormat="1" ht="33" hidden="1" customHeight="1">
      <c r="B112" s="46" t="s">
        <v>238</v>
      </c>
      <c r="C112" s="35" t="s">
        <v>1794</v>
      </c>
      <c r="D112" s="36" t="s">
        <v>598</v>
      </c>
      <c r="E112" s="37">
        <v>43519</v>
      </c>
      <c r="F112" s="38" t="s">
        <v>236</v>
      </c>
      <c r="G112" s="39">
        <v>1600</v>
      </c>
      <c r="H112" s="38">
        <f t="shared" si="17"/>
        <v>8</v>
      </c>
      <c r="I112" s="38">
        <f t="shared" si="18"/>
        <v>2</v>
      </c>
      <c r="J112" s="38"/>
      <c r="K112" s="40">
        <v>43597</v>
      </c>
      <c r="L112" s="41" t="s">
        <v>1795</v>
      </c>
      <c r="M112" s="42">
        <v>43592</v>
      </c>
      <c r="N112" s="43" t="s">
        <v>1796</v>
      </c>
      <c r="O112" s="42">
        <v>43597</v>
      </c>
      <c r="P112" s="45"/>
      <c r="Q112" s="38"/>
      <c r="R112" s="66"/>
      <c r="S112" s="46"/>
    </row>
    <row r="113" spans="2:19" s="30" customFormat="1" ht="33" hidden="1" customHeight="1">
      <c r="B113" s="46" t="s">
        <v>238</v>
      </c>
      <c r="C113" s="35" t="s">
        <v>1797</v>
      </c>
      <c r="D113" s="36" t="s">
        <v>598</v>
      </c>
      <c r="E113" s="37">
        <v>43519</v>
      </c>
      <c r="F113" s="38" t="s">
        <v>236</v>
      </c>
      <c r="G113" s="39">
        <v>1600</v>
      </c>
      <c r="H113" s="38">
        <f t="shared" si="17"/>
        <v>8</v>
      </c>
      <c r="I113" s="38">
        <f t="shared" si="18"/>
        <v>2</v>
      </c>
      <c r="J113" s="38"/>
      <c r="K113" s="40">
        <v>43597</v>
      </c>
      <c r="L113" s="41" t="s">
        <v>1798</v>
      </c>
      <c r="M113" s="42">
        <v>43606</v>
      </c>
      <c r="N113" s="43" t="s">
        <v>1799</v>
      </c>
      <c r="O113" s="42">
        <v>43613</v>
      </c>
      <c r="P113" s="45"/>
      <c r="Q113" s="38"/>
      <c r="R113" s="66"/>
      <c r="S113" s="46"/>
    </row>
    <row r="114" spans="2:19" s="30" customFormat="1" ht="33" hidden="1" customHeight="1">
      <c r="B114" s="46" t="s">
        <v>238</v>
      </c>
      <c r="C114" s="35" t="s">
        <v>226</v>
      </c>
      <c r="D114" s="36" t="s">
        <v>749</v>
      </c>
      <c r="E114" s="37">
        <v>43532</v>
      </c>
      <c r="F114" s="38" t="s">
        <v>236</v>
      </c>
      <c r="G114" s="39">
        <v>3200</v>
      </c>
      <c r="H114" s="38">
        <f t="shared" si="17"/>
        <v>16</v>
      </c>
      <c r="I114" s="38">
        <f t="shared" si="18"/>
        <v>4</v>
      </c>
      <c r="J114" s="38"/>
      <c r="K114" s="40">
        <v>43625</v>
      </c>
      <c r="L114" s="41" t="s">
        <v>1800</v>
      </c>
      <c r="M114" s="42">
        <v>43620</v>
      </c>
      <c r="N114" s="43" t="s">
        <v>1801</v>
      </c>
      <c r="O114" s="42" t="s">
        <v>1802</v>
      </c>
      <c r="P114" s="45"/>
      <c r="Q114" s="38"/>
      <c r="R114" s="66"/>
      <c r="S114" s="46"/>
    </row>
    <row r="115" spans="2:19" s="30" customFormat="1" ht="33" hidden="1" customHeight="1">
      <c r="B115" s="46" t="s">
        <v>238</v>
      </c>
      <c r="C115" s="35" t="s">
        <v>233</v>
      </c>
      <c r="D115" s="36" t="s">
        <v>750</v>
      </c>
      <c r="E115" s="37">
        <v>43532</v>
      </c>
      <c r="F115" s="38" t="s">
        <v>236</v>
      </c>
      <c r="G115" s="39">
        <v>3200</v>
      </c>
      <c r="H115" s="38">
        <f t="shared" si="17"/>
        <v>16</v>
      </c>
      <c r="I115" s="38">
        <f t="shared" si="18"/>
        <v>4</v>
      </c>
      <c r="J115" s="38"/>
      <c r="K115" s="40">
        <v>43646</v>
      </c>
      <c r="L115" s="41" t="s">
        <v>1803</v>
      </c>
      <c r="M115" s="42">
        <v>43641</v>
      </c>
      <c r="N115" s="43" t="s">
        <v>1804</v>
      </c>
      <c r="O115" s="42">
        <v>43646</v>
      </c>
      <c r="P115" s="45"/>
      <c r="Q115" s="38"/>
      <c r="R115" s="66"/>
      <c r="S115" s="46"/>
    </row>
    <row r="116" spans="2:19" s="30" customFormat="1" ht="33" hidden="1" customHeight="1">
      <c r="B116" s="46" t="s">
        <v>238</v>
      </c>
      <c r="C116" s="35" t="s">
        <v>285</v>
      </c>
      <c r="D116" s="36" t="s">
        <v>1305</v>
      </c>
      <c r="E116" s="37">
        <v>43567</v>
      </c>
      <c r="F116" s="38" t="s">
        <v>236</v>
      </c>
      <c r="G116" s="39">
        <v>3200</v>
      </c>
      <c r="H116" s="38">
        <f t="shared" si="17"/>
        <v>16</v>
      </c>
      <c r="I116" s="38">
        <f t="shared" si="18"/>
        <v>4</v>
      </c>
      <c r="J116" s="38"/>
      <c r="K116" s="40">
        <v>43660</v>
      </c>
      <c r="L116" s="41" t="s">
        <v>1805</v>
      </c>
      <c r="M116" s="42">
        <v>43655</v>
      </c>
      <c r="N116" s="43" t="s">
        <v>1806</v>
      </c>
      <c r="O116" s="42">
        <v>43660</v>
      </c>
      <c r="P116" s="45"/>
      <c r="Q116" s="38"/>
      <c r="R116" s="66"/>
      <c r="S116" s="46"/>
    </row>
    <row r="117" spans="2:19" s="30" customFormat="1" ht="33" hidden="1" customHeight="1">
      <c r="B117" s="46" t="s">
        <v>238</v>
      </c>
      <c r="C117" s="35" t="s">
        <v>331</v>
      </c>
      <c r="D117" s="36" t="s">
        <v>1306</v>
      </c>
      <c r="E117" s="37">
        <v>43567</v>
      </c>
      <c r="F117" s="38" t="s">
        <v>236</v>
      </c>
      <c r="G117" s="39">
        <v>3200</v>
      </c>
      <c r="H117" s="38">
        <f t="shared" si="17"/>
        <v>16</v>
      </c>
      <c r="I117" s="38">
        <f t="shared" si="18"/>
        <v>4</v>
      </c>
      <c r="J117" s="38"/>
      <c r="K117" s="40">
        <v>43674</v>
      </c>
      <c r="L117" s="41" t="s">
        <v>1807</v>
      </c>
      <c r="M117" s="42">
        <v>43669</v>
      </c>
      <c r="N117" s="43" t="s">
        <v>1808</v>
      </c>
      <c r="O117" s="42">
        <v>43674</v>
      </c>
      <c r="P117" s="45"/>
      <c r="Q117" s="38"/>
      <c r="R117" s="66"/>
      <c r="S117" s="46"/>
    </row>
    <row r="118" spans="2:19" s="30" customFormat="1">
      <c r="C118" s="22"/>
      <c r="D118" s="23"/>
      <c r="G118" s="24"/>
      <c r="K118" s="25"/>
      <c r="M118" s="26"/>
      <c r="N118" s="28"/>
      <c r="O118" s="26"/>
      <c r="R118" s="27"/>
    </row>
    <row r="119" spans="2:19" s="30" customFormat="1">
      <c r="C119" s="22"/>
      <c r="D119" s="23"/>
      <c r="G119" s="24"/>
      <c r="I119" s="30" t="s">
        <v>1809</v>
      </c>
      <c r="K119" s="25"/>
      <c r="M119" s="26"/>
      <c r="N119" s="28"/>
      <c r="O119" s="26"/>
      <c r="R119" s="27"/>
    </row>
    <row r="120" spans="2:19" s="19" customFormat="1">
      <c r="B120"/>
      <c r="C120" s="15"/>
      <c r="D120" s="1"/>
      <c r="E120"/>
      <c r="F120"/>
      <c r="G120" s="11"/>
      <c r="H120"/>
      <c r="I120"/>
      <c r="J120"/>
      <c r="K120" s="13"/>
      <c r="L120"/>
      <c r="N120" s="28"/>
      <c r="P120"/>
      <c r="Q120"/>
      <c r="R120" s="17"/>
      <c r="S120"/>
    </row>
    <row r="121" spans="2:19" s="19" customFormat="1">
      <c r="B121"/>
      <c r="C121" s="15"/>
      <c r="D121" s="1"/>
      <c r="E121"/>
      <c r="F121"/>
      <c r="G121" s="11"/>
      <c r="H121"/>
      <c r="I121"/>
      <c r="J121"/>
      <c r="K121" s="13"/>
      <c r="L121"/>
      <c r="N121" s="28"/>
      <c r="P121"/>
      <c r="Q121"/>
      <c r="R121" s="17"/>
      <c r="S121"/>
    </row>
    <row r="122" spans="2:19" s="19" customFormat="1">
      <c r="B122"/>
      <c r="C122" s="15"/>
      <c r="D122" s="1"/>
      <c r="E122"/>
      <c r="F122"/>
      <c r="G122" s="11"/>
      <c r="H122"/>
      <c r="I122"/>
      <c r="J122"/>
      <c r="K122" s="13"/>
      <c r="L122"/>
      <c r="N122" s="28"/>
      <c r="P122"/>
      <c r="Q122"/>
      <c r="R122" s="17"/>
      <c r="S122"/>
    </row>
    <row r="123" spans="2:19" s="19" customFormat="1">
      <c r="B123"/>
      <c r="C123" s="15"/>
      <c r="D123" s="1"/>
      <c r="E123"/>
      <c r="F123"/>
      <c r="G123" s="11"/>
      <c r="H123"/>
      <c r="I123"/>
      <c r="J123"/>
      <c r="K123" s="13"/>
      <c r="L123"/>
      <c r="N123" s="28"/>
      <c r="P123"/>
      <c r="Q123"/>
      <c r="R123" s="17"/>
      <c r="S123"/>
    </row>
    <row r="124" spans="2:19" s="19" customFormat="1">
      <c r="B124"/>
      <c r="C124" s="15"/>
      <c r="D124" s="1"/>
      <c r="E124"/>
      <c r="F124"/>
      <c r="G124" s="11"/>
      <c r="H124"/>
      <c r="I124"/>
      <c r="J124"/>
      <c r="K124" s="13"/>
      <c r="L124"/>
      <c r="N124" s="28"/>
      <c r="P124"/>
      <c r="Q124"/>
      <c r="R124" s="17"/>
      <c r="S124"/>
    </row>
    <row r="125" spans="2:19" s="19" customFormat="1">
      <c r="B125"/>
      <c r="C125" s="15"/>
      <c r="D125" s="1"/>
      <c r="E125"/>
      <c r="F125"/>
      <c r="G125" s="11"/>
      <c r="H125"/>
      <c r="I125"/>
      <c r="J125"/>
      <c r="K125" s="13"/>
      <c r="L125"/>
      <c r="N125" s="28"/>
      <c r="P125"/>
      <c r="Q125"/>
      <c r="R125" s="17"/>
      <c r="S125"/>
    </row>
    <row r="126" spans="2:19">
      <c r="N126" s="28"/>
    </row>
    <row r="127" spans="2:19">
      <c r="N127" s="28"/>
    </row>
    <row r="128" spans="2:19">
      <c r="N128" s="28"/>
    </row>
    <row r="129" spans="2:19">
      <c r="N129" s="28"/>
    </row>
    <row r="130" spans="2:19">
      <c r="N130" s="28"/>
    </row>
    <row r="131" spans="2:19" s="19" customFormat="1">
      <c r="B131"/>
      <c r="C131" s="15"/>
      <c r="D131" s="1"/>
      <c r="E131"/>
      <c r="F131"/>
      <c r="G131" s="11"/>
      <c r="H131"/>
      <c r="I131"/>
      <c r="J131"/>
      <c r="K131" s="13"/>
      <c r="L131"/>
      <c r="N131" s="28"/>
      <c r="P131"/>
      <c r="Q131"/>
      <c r="R131" s="17"/>
      <c r="S131"/>
    </row>
    <row r="132" spans="2:19" s="19" customFormat="1">
      <c r="B132"/>
      <c r="C132" s="15"/>
      <c r="D132" s="1"/>
      <c r="E132"/>
      <c r="F132"/>
      <c r="G132" s="11"/>
      <c r="H132"/>
      <c r="I132"/>
      <c r="J132"/>
      <c r="K132" s="13"/>
      <c r="L132"/>
      <c r="N132" s="28"/>
      <c r="P132"/>
      <c r="Q132"/>
      <c r="R132" s="17"/>
      <c r="S132"/>
    </row>
    <row r="133" spans="2:19" s="19" customFormat="1">
      <c r="B133"/>
      <c r="C133" s="15"/>
      <c r="D133" s="1"/>
      <c r="E133"/>
      <c r="F133"/>
      <c r="G133" s="11"/>
      <c r="H133"/>
      <c r="I133"/>
      <c r="J133"/>
      <c r="K133" s="13"/>
      <c r="L133"/>
      <c r="N133" s="28"/>
      <c r="P133"/>
      <c r="Q133"/>
      <c r="R133" s="17"/>
      <c r="S133"/>
    </row>
    <row r="134" spans="2:19" s="19" customFormat="1">
      <c r="B134"/>
      <c r="C134" s="15"/>
      <c r="D134" s="1"/>
      <c r="E134"/>
      <c r="F134"/>
      <c r="G134" s="11"/>
      <c r="H134"/>
      <c r="I134"/>
      <c r="J134"/>
      <c r="K134" s="13"/>
      <c r="L134"/>
      <c r="N134" s="28"/>
      <c r="P134"/>
      <c r="Q134"/>
      <c r="R134" s="17"/>
      <c r="S134"/>
    </row>
    <row r="135" spans="2:19" s="19" customFormat="1">
      <c r="B135"/>
      <c r="C135" s="15"/>
      <c r="D135" s="1"/>
      <c r="E135"/>
      <c r="F135"/>
      <c r="G135" s="11"/>
      <c r="H135"/>
      <c r="I135"/>
      <c r="J135"/>
      <c r="K135" s="13"/>
      <c r="L135"/>
      <c r="N135" s="28"/>
      <c r="P135"/>
      <c r="Q135"/>
      <c r="R135" s="17"/>
      <c r="S135"/>
    </row>
    <row r="136" spans="2:19" s="19" customFormat="1">
      <c r="B136"/>
      <c r="C136" s="15"/>
      <c r="D136" s="1"/>
      <c r="E136"/>
      <c r="F136"/>
      <c r="G136" s="11"/>
      <c r="H136"/>
      <c r="I136"/>
      <c r="J136"/>
      <c r="K136" s="13"/>
      <c r="L136"/>
      <c r="N136" s="28"/>
      <c r="P136"/>
      <c r="Q136"/>
      <c r="R136" s="17"/>
      <c r="S136"/>
    </row>
  </sheetData>
  <autoFilter ref="B2:R117" xr:uid="{00000000-0009-0000-0000-00001F000000}">
    <filterColumn colId="0">
      <filters>
        <filter val="[Nitric Acid for UMC]"/>
      </filters>
    </filterColumn>
  </autoFilter>
  <phoneticPr fontId="1"/>
  <pageMargins left="0.23622047244094491" right="0.23622047244094491" top="0.35433070866141736" bottom="0.35433070866141736" header="0.31496062992125984" footer="0.31496062992125984"/>
  <pageSetup paperSize="9" scale="77" fitToHeight="0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50">
    <pageSetUpPr fitToPage="1"/>
  </sheetPr>
  <dimension ref="B1:S134"/>
  <sheetViews>
    <sheetView zoomScale="77" zoomScaleNormal="77" workbookViewId="0">
      <pane xSplit="3" ySplit="2" topLeftCell="D42" activePane="bottomRight" state="frozen"/>
      <selection activeCell="B70" sqref="B70"/>
      <selection pane="topRight" activeCell="B70" sqref="B70"/>
      <selection pane="bottomLeft" activeCell="B70" sqref="B70"/>
      <selection pane="bottomRight" activeCell="F46" sqref="F46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15.87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4.8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C2" s="14" t="s">
        <v>9</v>
      </c>
      <c r="D2" s="5" t="s">
        <v>0</v>
      </c>
      <c r="E2" s="6" t="s">
        <v>10</v>
      </c>
      <c r="F2" s="6" t="s">
        <v>11</v>
      </c>
      <c r="G2" s="10" t="s">
        <v>1</v>
      </c>
      <c r="H2" s="6" t="s">
        <v>15</v>
      </c>
      <c r="I2" s="6" t="s">
        <v>16</v>
      </c>
      <c r="J2" s="6" t="s">
        <v>12</v>
      </c>
      <c r="K2" s="12" t="s">
        <v>7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85</v>
      </c>
      <c r="Q2" s="6" t="s">
        <v>8</v>
      </c>
      <c r="R2" s="16" t="s">
        <v>6</v>
      </c>
      <c r="S2" s="16" t="s">
        <v>80</v>
      </c>
    </row>
    <row r="3" spans="2:19" s="33" customFormat="1" ht="33" customHeight="1">
      <c r="B3" s="47" t="s">
        <v>220</v>
      </c>
      <c r="C3" s="48" t="s">
        <v>396</v>
      </c>
      <c r="D3" s="49" t="s">
        <v>262</v>
      </c>
      <c r="E3" s="50">
        <v>43378</v>
      </c>
      <c r="F3" s="49" t="s">
        <v>79</v>
      </c>
      <c r="G3" s="51">
        <v>10000</v>
      </c>
      <c r="H3" s="52">
        <f t="shared" ref="H3:H29" si="0">SUM(G3/250)</f>
        <v>40</v>
      </c>
      <c r="I3" s="52">
        <f t="shared" ref="I3:I47" si="1">SUM(H3/4)</f>
        <v>10</v>
      </c>
      <c r="J3" s="49"/>
      <c r="K3" s="53">
        <v>43485</v>
      </c>
      <c r="L3" s="54" t="s">
        <v>419</v>
      </c>
      <c r="M3" s="55">
        <v>43500</v>
      </c>
      <c r="N3" s="56" t="s">
        <v>337</v>
      </c>
      <c r="O3" s="55">
        <v>43506</v>
      </c>
      <c r="P3" s="54"/>
      <c r="Q3" s="49"/>
      <c r="R3" s="57" t="s">
        <v>251</v>
      </c>
      <c r="S3" s="47" t="s">
        <v>418</v>
      </c>
    </row>
    <row r="4" spans="2:19" s="33" customFormat="1" ht="33" customHeight="1">
      <c r="B4" s="47" t="s">
        <v>220</v>
      </c>
      <c r="C4" s="48" t="s">
        <v>277</v>
      </c>
      <c r="D4" s="49" t="s">
        <v>289</v>
      </c>
      <c r="E4" s="50">
        <v>43392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43141</v>
      </c>
      <c r="L4" s="54" t="s">
        <v>266</v>
      </c>
      <c r="M4" s="55">
        <v>43500</v>
      </c>
      <c r="N4" s="56" t="s">
        <v>337</v>
      </c>
      <c r="O4" s="55">
        <v>43141</v>
      </c>
      <c r="P4" s="54"/>
      <c r="Q4" s="49"/>
      <c r="R4" s="57" t="s">
        <v>299</v>
      </c>
      <c r="S4" s="47"/>
    </row>
    <row r="5" spans="2:19" s="33" customFormat="1" ht="33" customHeight="1">
      <c r="B5" s="47" t="s">
        <v>78</v>
      </c>
      <c r="C5" s="48" t="s">
        <v>254</v>
      </c>
      <c r="D5" s="49" t="s">
        <v>264</v>
      </c>
      <c r="E5" s="50">
        <v>43378</v>
      </c>
      <c r="F5" s="49" t="s">
        <v>79</v>
      </c>
      <c r="G5" s="51">
        <v>20000</v>
      </c>
      <c r="H5" s="52">
        <f t="shared" si="0"/>
        <v>80</v>
      </c>
      <c r="I5" s="52">
        <f t="shared" si="1"/>
        <v>20</v>
      </c>
      <c r="J5" s="49"/>
      <c r="K5" s="53">
        <v>43141</v>
      </c>
      <c r="L5" s="54" t="s">
        <v>266</v>
      </c>
      <c r="M5" s="55">
        <v>43500</v>
      </c>
      <c r="N5" s="56" t="s">
        <v>337</v>
      </c>
      <c r="O5" s="55">
        <v>43141</v>
      </c>
      <c r="P5" s="54"/>
      <c r="Q5" s="49" t="s">
        <v>82</v>
      </c>
      <c r="R5" s="57" t="s">
        <v>300</v>
      </c>
      <c r="S5" s="47"/>
    </row>
    <row r="6" spans="2:19" s="33" customFormat="1" ht="33" customHeight="1">
      <c r="B6" s="47" t="s">
        <v>78</v>
      </c>
      <c r="C6" s="48" t="s">
        <v>301</v>
      </c>
      <c r="D6" s="49" t="s">
        <v>302</v>
      </c>
      <c r="E6" s="50">
        <v>43420</v>
      </c>
      <c r="F6" s="49" t="s">
        <v>63</v>
      </c>
      <c r="G6" s="51">
        <v>40000</v>
      </c>
      <c r="H6" s="52">
        <f t="shared" si="0"/>
        <v>160</v>
      </c>
      <c r="I6" s="52">
        <f t="shared" si="1"/>
        <v>40</v>
      </c>
      <c r="J6" s="49"/>
      <c r="K6" s="53">
        <v>43513</v>
      </c>
      <c r="L6" s="54" t="s">
        <v>340</v>
      </c>
      <c r="M6" s="55">
        <v>43504</v>
      </c>
      <c r="N6" s="56" t="s">
        <v>339</v>
      </c>
      <c r="O6" s="55">
        <v>43148</v>
      </c>
      <c r="P6" s="54"/>
      <c r="Q6" s="49" t="s">
        <v>82</v>
      </c>
      <c r="R6" s="57" t="s">
        <v>303</v>
      </c>
      <c r="S6" s="47"/>
    </row>
    <row r="7" spans="2:19" s="33" customFormat="1" ht="33" customHeight="1">
      <c r="B7" s="47" t="s">
        <v>220</v>
      </c>
      <c r="C7" s="48" t="s">
        <v>304</v>
      </c>
      <c r="D7" s="49" t="s">
        <v>305</v>
      </c>
      <c r="E7" s="50">
        <v>43420</v>
      </c>
      <c r="F7" s="49" t="s">
        <v>91</v>
      </c>
      <c r="G7" s="51">
        <v>10000</v>
      </c>
      <c r="H7" s="52">
        <f t="shared" si="0"/>
        <v>40</v>
      </c>
      <c r="I7" s="52">
        <f t="shared" si="1"/>
        <v>10</v>
      </c>
      <c r="J7" s="49"/>
      <c r="K7" s="53">
        <v>43155</v>
      </c>
      <c r="L7" s="54" t="s">
        <v>342</v>
      </c>
      <c r="M7" s="55">
        <v>43514</v>
      </c>
      <c r="N7" s="56" t="s">
        <v>341</v>
      </c>
      <c r="O7" s="55">
        <v>43155</v>
      </c>
      <c r="P7" s="54"/>
      <c r="Q7" s="49"/>
      <c r="R7" s="57" t="s">
        <v>358</v>
      </c>
      <c r="S7" s="47"/>
    </row>
    <row r="8" spans="2:19" s="33" customFormat="1" ht="33" customHeight="1">
      <c r="B8" s="47" t="s">
        <v>78</v>
      </c>
      <c r="C8" s="48" t="s">
        <v>306</v>
      </c>
      <c r="D8" s="49" t="s">
        <v>307</v>
      </c>
      <c r="E8" s="50">
        <v>43420</v>
      </c>
      <c r="F8" s="49" t="s">
        <v>240</v>
      </c>
      <c r="G8" s="51">
        <v>30000</v>
      </c>
      <c r="H8" s="52">
        <f t="shared" si="0"/>
        <v>120</v>
      </c>
      <c r="I8" s="52">
        <f t="shared" si="1"/>
        <v>30</v>
      </c>
      <c r="J8" s="49"/>
      <c r="K8" s="53">
        <v>43520</v>
      </c>
      <c r="L8" s="54" t="s">
        <v>342</v>
      </c>
      <c r="M8" s="55">
        <v>43514</v>
      </c>
      <c r="N8" s="56" t="s">
        <v>341</v>
      </c>
      <c r="O8" s="55">
        <v>43155</v>
      </c>
      <c r="P8" s="54"/>
      <c r="Q8" s="49" t="s">
        <v>82</v>
      </c>
      <c r="R8" s="57" t="s">
        <v>308</v>
      </c>
      <c r="S8" s="47"/>
    </row>
    <row r="9" spans="2:19" s="33" customFormat="1" ht="33" customHeight="1">
      <c r="B9" s="47" t="s">
        <v>220</v>
      </c>
      <c r="C9" s="48" t="s">
        <v>309</v>
      </c>
      <c r="D9" s="49" t="s">
        <v>310</v>
      </c>
      <c r="E9" s="50">
        <v>43420</v>
      </c>
      <c r="F9" s="49" t="s">
        <v>79</v>
      </c>
      <c r="G9" s="51">
        <v>7000</v>
      </c>
      <c r="H9" s="52">
        <f t="shared" si="0"/>
        <v>28</v>
      </c>
      <c r="I9" s="52">
        <f t="shared" si="1"/>
        <v>7</v>
      </c>
      <c r="J9" s="49"/>
      <c r="K9" s="53">
        <v>43541</v>
      </c>
      <c r="L9" s="54" t="s">
        <v>388</v>
      </c>
      <c r="M9" s="55">
        <v>43542</v>
      </c>
      <c r="N9" s="56" t="s">
        <v>649</v>
      </c>
      <c r="O9" s="55">
        <v>43183</v>
      </c>
      <c r="P9" s="54" t="s">
        <v>753</v>
      </c>
      <c r="Q9" s="49"/>
      <c r="R9" s="57" t="s">
        <v>420</v>
      </c>
      <c r="S9" s="47"/>
    </row>
    <row r="10" spans="2:19" s="33" customFormat="1" ht="33" customHeight="1">
      <c r="B10" s="47" t="s">
        <v>78</v>
      </c>
      <c r="C10" s="48" t="s">
        <v>311</v>
      </c>
      <c r="D10" s="49" t="s">
        <v>312</v>
      </c>
      <c r="E10" s="50">
        <v>43420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43169</v>
      </c>
      <c r="L10" s="54" t="s">
        <v>343</v>
      </c>
      <c r="M10" s="55">
        <v>43528</v>
      </c>
      <c r="N10" s="56" t="s">
        <v>439</v>
      </c>
      <c r="O10" s="55">
        <v>43534</v>
      </c>
      <c r="P10" s="54"/>
      <c r="Q10" s="49" t="s">
        <v>82</v>
      </c>
      <c r="R10" s="57" t="s">
        <v>313</v>
      </c>
      <c r="S10" s="47"/>
    </row>
    <row r="11" spans="2:19" s="33" customFormat="1" ht="33" customHeight="1">
      <c r="B11" s="47" t="s">
        <v>78</v>
      </c>
      <c r="C11" s="48" t="s">
        <v>374</v>
      </c>
      <c r="D11" s="49" t="s">
        <v>375</v>
      </c>
      <c r="E11" s="50">
        <v>43455</v>
      </c>
      <c r="F11" s="49" t="s">
        <v>79</v>
      </c>
      <c r="G11" s="51">
        <v>21000</v>
      </c>
      <c r="H11" s="52">
        <f t="shared" si="0"/>
        <v>84</v>
      </c>
      <c r="I11" s="52">
        <f t="shared" si="1"/>
        <v>21</v>
      </c>
      <c r="J11" s="49"/>
      <c r="K11" s="53">
        <v>43541</v>
      </c>
      <c r="L11" s="54" t="s">
        <v>388</v>
      </c>
      <c r="M11" s="55">
        <v>43542</v>
      </c>
      <c r="N11" s="56" t="s">
        <v>649</v>
      </c>
      <c r="O11" s="55">
        <v>43183</v>
      </c>
      <c r="P11" s="54" t="s">
        <v>754</v>
      </c>
      <c r="Q11" s="49" t="s">
        <v>82</v>
      </c>
      <c r="R11" s="57" t="s">
        <v>376</v>
      </c>
      <c r="S11" s="47"/>
    </row>
    <row r="12" spans="2:19" s="30" customFormat="1" ht="33" customHeight="1">
      <c r="B12" s="46" t="s">
        <v>220</v>
      </c>
      <c r="C12" s="35" t="s">
        <v>377</v>
      </c>
      <c r="D12" s="36" t="s">
        <v>378</v>
      </c>
      <c r="E12" s="37">
        <v>43455</v>
      </c>
      <c r="F12" s="36" t="s">
        <v>91</v>
      </c>
      <c r="G12" s="39">
        <v>14000</v>
      </c>
      <c r="H12" s="38">
        <f t="shared" ref="H12" si="2">SUM(G12/250)</f>
        <v>56</v>
      </c>
      <c r="I12" s="38">
        <f t="shared" si="1"/>
        <v>14</v>
      </c>
      <c r="J12" s="36"/>
      <c r="K12" s="40">
        <v>43548</v>
      </c>
      <c r="L12" s="41" t="s">
        <v>802</v>
      </c>
      <c r="M12" s="42">
        <v>43563</v>
      </c>
      <c r="N12" s="43" t="s">
        <v>438</v>
      </c>
      <c r="O12" s="42">
        <v>43569</v>
      </c>
      <c r="P12" s="41" t="s">
        <v>839</v>
      </c>
      <c r="Q12" s="36"/>
      <c r="R12" s="44" t="s">
        <v>379</v>
      </c>
      <c r="S12" s="46"/>
    </row>
    <row r="13" spans="2:19" s="33" customFormat="1" ht="33" customHeight="1">
      <c r="B13" s="47" t="s">
        <v>78</v>
      </c>
      <c r="C13" s="48" t="s">
        <v>380</v>
      </c>
      <c r="D13" s="49" t="s">
        <v>381</v>
      </c>
      <c r="E13" s="50">
        <v>43455</v>
      </c>
      <c r="F13" s="49" t="s">
        <v>240</v>
      </c>
      <c r="G13" s="51">
        <v>40000</v>
      </c>
      <c r="H13" s="52">
        <f t="shared" si="0"/>
        <v>160</v>
      </c>
      <c r="I13" s="52">
        <f t="shared" si="1"/>
        <v>40</v>
      </c>
      <c r="J13" s="49"/>
      <c r="K13" s="53">
        <v>43555</v>
      </c>
      <c r="L13" s="54" t="s">
        <v>389</v>
      </c>
      <c r="M13" s="55">
        <v>43549</v>
      </c>
      <c r="N13" s="56" t="s">
        <v>752</v>
      </c>
      <c r="O13" s="55">
        <v>43555</v>
      </c>
      <c r="P13" s="54" t="s">
        <v>755</v>
      </c>
      <c r="Q13" s="49" t="s">
        <v>82</v>
      </c>
      <c r="R13" s="57" t="s">
        <v>382</v>
      </c>
      <c r="S13" s="47"/>
    </row>
    <row r="14" spans="2:19" s="30" customFormat="1" ht="33" customHeight="1">
      <c r="B14" s="46" t="s">
        <v>220</v>
      </c>
      <c r="C14" s="35" t="s">
        <v>421</v>
      </c>
      <c r="D14" s="36" t="s">
        <v>453</v>
      </c>
      <c r="E14" s="37">
        <v>43483</v>
      </c>
      <c r="F14" s="36" t="s">
        <v>79</v>
      </c>
      <c r="G14" s="39">
        <v>20000</v>
      </c>
      <c r="H14" s="38">
        <f t="shared" si="0"/>
        <v>80</v>
      </c>
      <c r="I14" s="38">
        <f t="shared" si="1"/>
        <v>20</v>
      </c>
      <c r="J14" s="36"/>
      <c r="K14" s="40">
        <v>43576</v>
      </c>
      <c r="L14" s="41" t="s">
        <v>443</v>
      </c>
      <c r="M14" s="42">
        <v>43570</v>
      </c>
      <c r="N14" s="43" t="s">
        <v>440</v>
      </c>
      <c r="O14" s="42">
        <v>43576</v>
      </c>
      <c r="P14" s="41" t="s">
        <v>981</v>
      </c>
      <c r="Q14" s="36"/>
      <c r="R14" s="44" t="s">
        <v>454</v>
      </c>
      <c r="S14" s="46"/>
    </row>
    <row r="15" spans="2:19" s="30" customFormat="1" ht="33" customHeight="1">
      <c r="B15" s="46" t="s">
        <v>78</v>
      </c>
      <c r="C15" s="35" t="s">
        <v>422</v>
      </c>
      <c r="D15" s="36" t="s">
        <v>455</v>
      </c>
      <c r="E15" s="37">
        <v>43483</v>
      </c>
      <c r="F15" s="36" t="s">
        <v>91</v>
      </c>
      <c r="G15" s="39">
        <v>10000</v>
      </c>
      <c r="H15" s="38">
        <f>SUM(G15/250)</f>
        <v>40</v>
      </c>
      <c r="I15" s="38">
        <f t="shared" si="1"/>
        <v>10</v>
      </c>
      <c r="J15" s="36"/>
      <c r="K15" s="40">
        <v>43618</v>
      </c>
      <c r="L15" s="41" t="s">
        <v>442</v>
      </c>
      <c r="M15" s="42">
        <v>43612</v>
      </c>
      <c r="N15" s="43" t="s">
        <v>637</v>
      </c>
      <c r="O15" s="42">
        <v>43618</v>
      </c>
      <c r="P15" s="41"/>
      <c r="Q15" s="36" t="s">
        <v>82</v>
      </c>
      <c r="R15" s="44" t="s">
        <v>616</v>
      </c>
      <c r="S15" s="46"/>
    </row>
    <row r="16" spans="2:19" s="30" customFormat="1" ht="33" customHeight="1">
      <c r="B16" s="46" t="s">
        <v>78</v>
      </c>
      <c r="C16" s="35" t="s">
        <v>1330</v>
      </c>
      <c r="D16" s="36" t="s">
        <v>1337</v>
      </c>
      <c r="E16" s="37">
        <v>43483</v>
      </c>
      <c r="F16" s="36" t="s">
        <v>91</v>
      </c>
      <c r="G16" s="39">
        <v>20000</v>
      </c>
      <c r="H16" s="38">
        <f>SUM(G16/250)</f>
        <v>80</v>
      </c>
      <c r="I16" s="38">
        <f t="shared" si="1"/>
        <v>20</v>
      </c>
      <c r="J16" s="36"/>
      <c r="K16" s="40">
        <v>43618</v>
      </c>
      <c r="L16" s="41" t="s">
        <v>442</v>
      </c>
      <c r="M16" s="42">
        <v>43612</v>
      </c>
      <c r="N16" s="43" t="s">
        <v>637</v>
      </c>
      <c r="O16" s="42">
        <v>43618</v>
      </c>
      <c r="P16" s="41"/>
      <c r="Q16" s="36" t="s">
        <v>82</v>
      </c>
      <c r="R16" s="44" t="s">
        <v>616</v>
      </c>
      <c r="S16" s="46" t="s">
        <v>479</v>
      </c>
    </row>
    <row r="17" spans="2:19" s="30" customFormat="1" ht="33" customHeight="1">
      <c r="B17" s="46" t="s">
        <v>220</v>
      </c>
      <c r="C17" s="35" t="s">
        <v>617</v>
      </c>
      <c r="D17" s="36" t="s">
        <v>455</v>
      </c>
      <c r="E17" s="37">
        <v>43523</v>
      </c>
      <c r="F17" s="36" t="s">
        <v>91</v>
      </c>
      <c r="G17" s="39">
        <v>10000</v>
      </c>
      <c r="H17" s="38">
        <f>SUM(G17/250)</f>
        <v>40</v>
      </c>
      <c r="I17" s="38">
        <f t="shared" si="1"/>
        <v>10</v>
      </c>
      <c r="J17" s="36"/>
      <c r="K17" s="40">
        <v>43618</v>
      </c>
      <c r="L17" s="41" t="s">
        <v>638</v>
      </c>
      <c r="M17" s="42">
        <v>43612</v>
      </c>
      <c r="N17" s="43" t="s">
        <v>636</v>
      </c>
      <c r="O17" s="42">
        <v>43618</v>
      </c>
      <c r="P17" s="41"/>
      <c r="Q17" s="36"/>
      <c r="R17" s="44" t="s">
        <v>618</v>
      </c>
      <c r="S17" s="46"/>
    </row>
    <row r="18" spans="2:19" s="30" customFormat="1" ht="33" customHeight="1">
      <c r="B18" s="46" t="s">
        <v>78</v>
      </c>
      <c r="C18" s="35" t="s">
        <v>423</v>
      </c>
      <c r="D18" s="36" t="s">
        <v>457</v>
      </c>
      <c r="E18" s="37">
        <v>43483</v>
      </c>
      <c r="F18" s="36" t="s">
        <v>79</v>
      </c>
      <c r="G18" s="39">
        <v>20000</v>
      </c>
      <c r="H18" s="38">
        <f t="shared" si="0"/>
        <v>80</v>
      </c>
      <c r="I18" s="38">
        <f t="shared" si="1"/>
        <v>20</v>
      </c>
      <c r="J18" s="36"/>
      <c r="K18" s="40">
        <v>43576</v>
      </c>
      <c r="L18" s="41" t="s">
        <v>443</v>
      </c>
      <c r="M18" s="42">
        <v>43570</v>
      </c>
      <c r="N18" s="43" t="s">
        <v>440</v>
      </c>
      <c r="O18" s="42">
        <v>43576</v>
      </c>
      <c r="P18" s="41" t="s">
        <v>982</v>
      </c>
      <c r="Q18" s="36" t="s">
        <v>82</v>
      </c>
      <c r="R18" s="44" t="s">
        <v>424</v>
      </c>
      <c r="S18" s="46"/>
    </row>
    <row r="19" spans="2:19" s="30" customFormat="1" ht="33" customHeight="1">
      <c r="B19" s="46" t="s">
        <v>220</v>
      </c>
      <c r="C19" s="35" t="s">
        <v>425</v>
      </c>
      <c r="D19" s="36" t="s">
        <v>459</v>
      </c>
      <c r="E19" s="37">
        <v>43483</v>
      </c>
      <c r="F19" s="36" t="s">
        <v>79</v>
      </c>
      <c r="G19" s="39">
        <v>20000</v>
      </c>
      <c r="H19" s="38">
        <f t="shared" si="0"/>
        <v>80</v>
      </c>
      <c r="I19" s="38">
        <f t="shared" si="1"/>
        <v>20</v>
      </c>
      <c r="J19" s="36"/>
      <c r="K19" s="40">
        <v>43583</v>
      </c>
      <c r="L19" s="41" t="s">
        <v>444</v>
      </c>
      <c r="M19" s="42">
        <v>43577</v>
      </c>
      <c r="N19" s="43" t="s">
        <v>441</v>
      </c>
      <c r="O19" s="42">
        <v>43583</v>
      </c>
      <c r="P19" s="41" t="s">
        <v>1568</v>
      </c>
      <c r="Q19" s="36"/>
      <c r="R19" s="44" t="s">
        <v>426</v>
      </c>
      <c r="S19" s="46"/>
    </row>
    <row r="20" spans="2:19" s="30" customFormat="1" ht="33" customHeight="1">
      <c r="B20" s="46" t="s">
        <v>78</v>
      </c>
      <c r="C20" s="35" t="s">
        <v>462</v>
      </c>
      <c r="D20" s="36" t="s">
        <v>483</v>
      </c>
      <c r="E20" s="37">
        <v>43490</v>
      </c>
      <c r="F20" s="36" t="s">
        <v>79</v>
      </c>
      <c r="G20" s="39">
        <v>20000</v>
      </c>
      <c r="H20" s="38">
        <f t="shared" si="0"/>
        <v>80</v>
      </c>
      <c r="I20" s="38">
        <f t="shared" si="1"/>
        <v>20</v>
      </c>
      <c r="J20" s="36"/>
      <c r="K20" s="40">
        <v>43583</v>
      </c>
      <c r="L20" s="41" t="s">
        <v>444</v>
      </c>
      <c r="M20" s="42">
        <v>43577</v>
      </c>
      <c r="N20" s="43" t="s">
        <v>441</v>
      </c>
      <c r="O20" s="42">
        <v>43583</v>
      </c>
      <c r="P20" s="41" t="s">
        <v>983</v>
      </c>
      <c r="Q20" s="36" t="s">
        <v>82</v>
      </c>
      <c r="R20" s="44" t="s">
        <v>463</v>
      </c>
      <c r="S20" s="46"/>
    </row>
    <row r="21" spans="2:19" s="30" customFormat="1" ht="33" customHeight="1">
      <c r="B21" s="46" t="s">
        <v>78</v>
      </c>
      <c r="C21" s="35" t="s">
        <v>570</v>
      </c>
      <c r="D21" s="36" t="s">
        <v>571</v>
      </c>
      <c r="E21" s="37">
        <v>43519</v>
      </c>
      <c r="F21" s="36" t="s">
        <v>79</v>
      </c>
      <c r="G21" s="39">
        <v>20000</v>
      </c>
      <c r="H21" s="38">
        <f t="shared" si="0"/>
        <v>80</v>
      </c>
      <c r="I21" s="38">
        <f t="shared" si="1"/>
        <v>20</v>
      </c>
      <c r="J21" s="36"/>
      <c r="K21" s="40">
        <v>43590</v>
      </c>
      <c r="L21" s="41" t="s">
        <v>602</v>
      </c>
      <c r="M21" s="42">
        <v>43577</v>
      </c>
      <c r="N21" s="43" t="s">
        <v>441</v>
      </c>
      <c r="O21" s="42">
        <v>43583</v>
      </c>
      <c r="P21" s="41" t="s">
        <v>984</v>
      </c>
      <c r="Q21" s="36" t="s">
        <v>82</v>
      </c>
      <c r="R21" s="44" t="s">
        <v>572</v>
      </c>
      <c r="S21" s="46"/>
    </row>
    <row r="22" spans="2:19" s="30" customFormat="1" ht="33" customHeight="1">
      <c r="B22" s="46" t="s">
        <v>78</v>
      </c>
      <c r="C22" s="35" t="s">
        <v>573</v>
      </c>
      <c r="D22" s="36" t="s">
        <v>574</v>
      </c>
      <c r="E22" s="37">
        <v>43519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43604</v>
      </c>
      <c r="L22" s="41" t="s">
        <v>757</v>
      </c>
      <c r="M22" s="42">
        <v>43598</v>
      </c>
      <c r="N22" s="43" t="s">
        <v>756</v>
      </c>
      <c r="O22" s="42">
        <v>43604</v>
      </c>
      <c r="P22" s="41"/>
      <c r="Q22" s="36" t="s">
        <v>82</v>
      </c>
      <c r="R22" s="44" t="s">
        <v>575</v>
      </c>
      <c r="S22" s="46"/>
    </row>
    <row r="23" spans="2:19" s="30" customFormat="1" ht="33" customHeight="1">
      <c r="B23" s="46" t="s">
        <v>78</v>
      </c>
      <c r="C23" s="35" t="s">
        <v>576</v>
      </c>
      <c r="D23" s="36" t="s">
        <v>577</v>
      </c>
      <c r="E23" s="37">
        <v>43519</v>
      </c>
      <c r="F23" s="36" t="s">
        <v>79</v>
      </c>
      <c r="G23" s="39">
        <v>20000</v>
      </c>
      <c r="H23" s="38">
        <f t="shared" si="0"/>
        <v>80</v>
      </c>
      <c r="I23" s="38">
        <f t="shared" si="1"/>
        <v>20</v>
      </c>
      <c r="J23" s="36"/>
      <c r="K23" s="40">
        <v>43611</v>
      </c>
      <c r="L23" s="41" t="s">
        <v>604</v>
      </c>
      <c r="M23" s="42">
        <v>43605</v>
      </c>
      <c r="N23" s="43" t="s">
        <v>639</v>
      </c>
      <c r="O23" s="42">
        <v>43611</v>
      </c>
      <c r="P23" s="41"/>
      <c r="Q23" s="36" t="s">
        <v>82</v>
      </c>
      <c r="R23" s="44" t="s">
        <v>578</v>
      </c>
      <c r="S23" s="46"/>
    </row>
    <row r="24" spans="2:19" s="30" customFormat="1" ht="33" customHeight="1">
      <c r="B24" s="46" t="s">
        <v>78</v>
      </c>
      <c r="C24" s="35" t="s">
        <v>785</v>
      </c>
      <c r="D24" s="36" t="s">
        <v>577</v>
      </c>
      <c r="E24" s="37">
        <v>43519</v>
      </c>
      <c r="F24" s="36" t="s">
        <v>91</v>
      </c>
      <c r="G24" s="39">
        <v>10000</v>
      </c>
      <c r="H24" s="38">
        <f t="shared" si="0"/>
        <v>40</v>
      </c>
      <c r="I24" s="38">
        <f t="shared" si="1"/>
        <v>10</v>
      </c>
      <c r="J24" s="36"/>
      <c r="K24" s="40">
        <v>43598</v>
      </c>
      <c r="L24" s="41" t="s">
        <v>803</v>
      </c>
      <c r="M24" s="42">
        <v>43598</v>
      </c>
      <c r="N24" s="43" t="s">
        <v>804</v>
      </c>
      <c r="O24" s="42">
        <v>43604</v>
      </c>
      <c r="P24" s="41"/>
      <c r="Q24" s="36" t="s">
        <v>82</v>
      </c>
      <c r="R24" s="44" t="s">
        <v>786</v>
      </c>
      <c r="S24" s="46"/>
    </row>
    <row r="25" spans="2:19" s="30" customFormat="1" ht="33" customHeight="1">
      <c r="B25" s="46" t="s">
        <v>220</v>
      </c>
      <c r="C25" s="35" t="s">
        <v>579</v>
      </c>
      <c r="D25" s="36" t="s">
        <v>580</v>
      </c>
      <c r="E25" s="37">
        <v>43519</v>
      </c>
      <c r="F25" s="36" t="s">
        <v>79</v>
      </c>
      <c r="G25" s="39">
        <v>10000</v>
      </c>
      <c r="H25" s="38">
        <f t="shared" si="0"/>
        <v>40</v>
      </c>
      <c r="I25" s="38">
        <f t="shared" si="1"/>
        <v>10</v>
      </c>
      <c r="J25" s="36"/>
      <c r="K25" s="40">
        <v>43598</v>
      </c>
      <c r="L25" s="41" t="s">
        <v>803</v>
      </c>
      <c r="M25" s="42">
        <v>43598</v>
      </c>
      <c r="N25" s="43" t="s">
        <v>804</v>
      </c>
      <c r="O25" s="42">
        <v>43604</v>
      </c>
      <c r="P25" s="41"/>
      <c r="Q25" s="36"/>
      <c r="R25" s="44" t="s">
        <v>787</v>
      </c>
      <c r="S25" s="46"/>
    </row>
    <row r="26" spans="2:19" s="30" customFormat="1" ht="33" customHeight="1">
      <c r="B26" s="46" t="s">
        <v>78</v>
      </c>
      <c r="C26" s="35" t="s">
        <v>685</v>
      </c>
      <c r="D26" s="36" t="s">
        <v>686</v>
      </c>
      <c r="E26" s="37">
        <v>43532</v>
      </c>
      <c r="F26" s="36" t="s">
        <v>79</v>
      </c>
      <c r="G26" s="39">
        <v>20000</v>
      </c>
      <c r="H26" s="38">
        <f t="shared" si="0"/>
        <v>80</v>
      </c>
      <c r="I26" s="38">
        <f t="shared" si="1"/>
        <v>20</v>
      </c>
      <c r="J26" s="36"/>
      <c r="K26" s="40">
        <v>43625</v>
      </c>
      <c r="L26" s="41" t="s">
        <v>761</v>
      </c>
      <c r="M26" s="42">
        <v>43619</v>
      </c>
      <c r="N26" s="43" t="s">
        <v>758</v>
      </c>
      <c r="O26" s="42">
        <v>43625</v>
      </c>
      <c r="P26" s="41"/>
      <c r="Q26" s="36" t="s">
        <v>82</v>
      </c>
      <c r="R26" s="44" t="s">
        <v>687</v>
      </c>
      <c r="S26" s="46"/>
    </row>
    <row r="27" spans="2:19" s="30" customFormat="1" ht="33" customHeight="1">
      <c r="B27" s="46" t="s">
        <v>78</v>
      </c>
      <c r="C27" s="35" t="s">
        <v>1332</v>
      </c>
      <c r="D27" s="36" t="s">
        <v>1366</v>
      </c>
      <c r="E27" s="37">
        <v>43532</v>
      </c>
      <c r="F27" s="36" t="s">
        <v>79</v>
      </c>
      <c r="G27" s="39">
        <v>20000</v>
      </c>
      <c r="H27" s="38">
        <f t="shared" ref="H27" si="3">SUM(G27/250)</f>
        <v>80</v>
      </c>
      <c r="I27" s="38">
        <f t="shared" si="1"/>
        <v>20</v>
      </c>
      <c r="J27" s="36"/>
      <c r="K27" s="40">
        <v>43625</v>
      </c>
      <c r="L27" s="41" t="s">
        <v>761</v>
      </c>
      <c r="M27" s="42">
        <v>43619</v>
      </c>
      <c r="N27" s="43" t="s">
        <v>758</v>
      </c>
      <c r="O27" s="42">
        <v>43625</v>
      </c>
      <c r="P27" s="41"/>
      <c r="Q27" s="36" t="s">
        <v>82</v>
      </c>
      <c r="R27" s="44" t="s">
        <v>687</v>
      </c>
      <c r="S27" s="46" t="s">
        <v>479</v>
      </c>
    </row>
    <row r="28" spans="2:19" s="30" customFormat="1" ht="33" customHeight="1">
      <c r="B28" s="46" t="s">
        <v>220</v>
      </c>
      <c r="C28" s="35" t="s">
        <v>688</v>
      </c>
      <c r="D28" s="36" t="s">
        <v>689</v>
      </c>
      <c r="E28" s="37">
        <v>43532</v>
      </c>
      <c r="F28" s="36" t="s">
        <v>79</v>
      </c>
      <c r="G28" s="39">
        <v>20000</v>
      </c>
      <c r="H28" s="38">
        <f t="shared" si="0"/>
        <v>80</v>
      </c>
      <c r="I28" s="38">
        <f t="shared" si="1"/>
        <v>20</v>
      </c>
      <c r="J28" s="36"/>
      <c r="K28" s="40">
        <v>43632</v>
      </c>
      <c r="L28" s="41" t="s">
        <v>762</v>
      </c>
      <c r="M28" s="42">
        <v>43626</v>
      </c>
      <c r="N28" s="43" t="s">
        <v>759</v>
      </c>
      <c r="O28" s="42">
        <v>43632</v>
      </c>
      <c r="P28" s="41"/>
      <c r="Q28" s="36"/>
      <c r="R28" s="44" t="s">
        <v>690</v>
      </c>
      <c r="S28" s="46"/>
    </row>
    <row r="29" spans="2:19" s="30" customFormat="1" ht="33" customHeight="1">
      <c r="B29" s="46" t="s">
        <v>78</v>
      </c>
      <c r="C29" s="35" t="s">
        <v>691</v>
      </c>
      <c r="D29" s="36" t="s">
        <v>692</v>
      </c>
      <c r="E29" s="37">
        <v>43532</v>
      </c>
      <c r="F29" s="36" t="s">
        <v>79</v>
      </c>
      <c r="G29" s="39">
        <v>20000</v>
      </c>
      <c r="H29" s="38">
        <f t="shared" si="0"/>
        <v>80</v>
      </c>
      <c r="I29" s="38">
        <f t="shared" si="1"/>
        <v>20</v>
      </c>
      <c r="J29" s="36"/>
      <c r="K29" s="40">
        <v>43639</v>
      </c>
      <c r="L29" s="41" t="s">
        <v>763</v>
      </c>
      <c r="M29" s="42">
        <v>43633</v>
      </c>
      <c r="N29" s="43" t="s">
        <v>760</v>
      </c>
      <c r="O29" s="42">
        <v>43639</v>
      </c>
      <c r="P29" s="41"/>
      <c r="Q29" s="36" t="s">
        <v>82</v>
      </c>
      <c r="R29" s="44" t="s">
        <v>693</v>
      </c>
      <c r="S29" s="46"/>
    </row>
    <row r="30" spans="2:19" s="30" customFormat="1" ht="33" customHeight="1">
      <c r="B30" s="46" t="s">
        <v>220</v>
      </c>
      <c r="C30" s="35" t="s">
        <v>986</v>
      </c>
      <c r="D30" s="36" t="s">
        <v>1156</v>
      </c>
      <c r="E30" s="37">
        <v>43566</v>
      </c>
      <c r="F30" s="36" t="s">
        <v>79</v>
      </c>
      <c r="G30" s="39">
        <v>20000</v>
      </c>
      <c r="H30" s="38">
        <f t="shared" ref="H30:H39" si="4">SUM(G30/250)</f>
        <v>80</v>
      </c>
      <c r="I30" s="38">
        <f t="shared" si="1"/>
        <v>20</v>
      </c>
      <c r="J30" s="36"/>
      <c r="K30" s="40">
        <v>43611</v>
      </c>
      <c r="L30" s="41" t="s">
        <v>603</v>
      </c>
      <c r="M30" s="42">
        <v>43605</v>
      </c>
      <c r="N30" s="43" t="s">
        <v>1080</v>
      </c>
      <c r="O30" s="42">
        <v>43611</v>
      </c>
      <c r="P30" s="41"/>
      <c r="Q30" s="36"/>
      <c r="R30" s="44" t="s">
        <v>987</v>
      </c>
      <c r="S30" s="46"/>
    </row>
    <row r="31" spans="2:19" s="30" customFormat="1" ht="33" customHeight="1">
      <c r="B31" s="46" t="s">
        <v>78</v>
      </c>
      <c r="C31" s="35" t="s">
        <v>988</v>
      </c>
      <c r="D31" s="36" t="s">
        <v>1158</v>
      </c>
      <c r="E31" s="37">
        <v>43566</v>
      </c>
      <c r="F31" s="36" t="s">
        <v>79</v>
      </c>
      <c r="G31" s="39">
        <v>20000</v>
      </c>
      <c r="H31" s="38">
        <f t="shared" si="4"/>
        <v>80</v>
      </c>
      <c r="I31" s="38">
        <f t="shared" si="1"/>
        <v>20</v>
      </c>
      <c r="J31" s="36"/>
      <c r="K31" s="40">
        <v>43632</v>
      </c>
      <c r="L31" s="41" t="s">
        <v>1081</v>
      </c>
      <c r="M31" s="42">
        <v>43626</v>
      </c>
      <c r="N31" s="43" t="s">
        <v>1082</v>
      </c>
      <c r="O31" s="42">
        <v>43632</v>
      </c>
      <c r="P31" s="41"/>
      <c r="Q31" s="36" t="s">
        <v>82</v>
      </c>
      <c r="R31" s="44" t="s">
        <v>989</v>
      </c>
      <c r="S31" s="46"/>
    </row>
    <row r="32" spans="2:19" s="30" customFormat="1" ht="33" customHeight="1">
      <c r="B32" s="46" t="s">
        <v>78</v>
      </c>
      <c r="C32" s="35" t="s">
        <v>1160</v>
      </c>
      <c r="D32" s="36" t="s">
        <v>1161</v>
      </c>
      <c r="E32" s="37">
        <v>43567</v>
      </c>
      <c r="F32" s="36" t="s">
        <v>63</v>
      </c>
      <c r="G32" s="39">
        <v>40000</v>
      </c>
      <c r="H32" s="38">
        <f t="shared" si="4"/>
        <v>160</v>
      </c>
      <c r="I32" s="38">
        <f t="shared" si="1"/>
        <v>40</v>
      </c>
      <c r="J32" s="36"/>
      <c r="K32" s="40">
        <v>43646</v>
      </c>
      <c r="L32" s="41" t="s">
        <v>1316</v>
      </c>
      <c r="M32" s="42">
        <v>43640</v>
      </c>
      <c r="N32" s="43" t="s">
        <v>1308</v>
      </c>
      <c r="O32" s="42">
        <v>43646</v>
      </c>
      <c r="P32" s="41"/>
      <c r="Q32" s="36" t="s">
        <v>82</v>
      </c>
      <c r="R32" s="44" t="s">
        <v>1162</v>
      </c>
      <c r="S32" s="46"/>
    </row>
    <row r="33" spans="2:19" s="30" customFormat="1" ht="33" customHeight="1">
      <c r="B33" s="46" t="s">
        <v>220</v>
      </c>
      <c r="C33" s="35" t="s">
        <v>1163</v>
      </c>
      <c r="D33" s="36" t="s">
        <v>1164</v>
      </c>
      <c r="E33" s="37">
        <v>43567</v>
      </c>
      <c r="F33" s="36" t="s">
        <v>79</v>
      </c>
      <c r="G33" s="39">
        <v>20000</v>
      </c>
      <c r="H33" s="38">
        <f t="shared" si="4"/>
        <v>80</v>
      </c>
      <c r="I33" s="38">
        <f t="shared" si="1"/>
        <v>20</v>
      </c>
      <c r="J33" s="36"/>
      <c r="K33" s="40">
        <v>43646</v>
      </c>
      <c r="L33" s="41" t="s">
        <v>1316</v>
      </c>
      <c r="M33" s="42">
        <v>43640</v>
      </c>
      <c r="N33" s="43" t="s">
        <v>1308</v>
      </c>
      <c r="O33" s="42">
        <v>43646</v>
      </c>
      <c r="P33" s="41"/>
      <c r="Q33" s="36"/>
      <c r="R33" s="44" t="s">
        <v>1165</v>
      </c>
      <c r="S33" s="46"/>
    </row>
    <row r="34" spans="2:19" s="30" customFormat="1" ht="33" customHeight="1">
      <c r="B34" s="46" t="s">
        <v>78</v>
      </c>
      <c r="C34" s="35" t="s">
        <v>1166</v>
      </c>
      <c r="D34" s="36" t="s">
        <v>1167</v>
      </c>
      <c r="E34" s="37">
        <v>43567</v>
      </c>
      <c r="F34" s="36" t="s">
        <v>79</v>
      </c>
      <c r="G34" s="39">
        <v>20000</v>
      </c>
      <c r="H34" s="38">
        <f t="shared" si="4"/>
        <v>80</v>
      </c>
      <c r="I34" s="38">
        <f t="shared" si="1"/>
        <v>20</v>
      </c>
      <c r="J34" s="36"/>
      <c r="K34" s="40">
        <v>43653</v>
      </c>
      <c r="L34" s="41" t="s">
        <v>1317</v>
      </c>
      <c r="M34" s="42">
        <v>43647</v>
      </c>
      <c r="N34" s="43" t="s">
        <v>1309</v>
      </c>
      <c r="O34" s="42">
        <v>43653</v>
      </c>
      <c r="P34" s="41"/>
      <c r="Q34" s="36" t="s">
        <v>82</v>
      </c>
      <c r="R34" s="44" t="s">
        <v>1168</v>
      </c>
      <c r="S34" s="46"/>
    </row>
    <row r="35" spans="2:19" s="30" customFormat="1" ht="33" customHeight="1">
      <c r="B35" s="46" t="s">
        <v>78</v>
      </c>
      <c r="C35" s="35" t="s">
        <v>1169</v>
      </c>
      <c r="D35" s="36" t="s">
        <v>1170</v>
      </c>
      <c r="E35" s="37">
        <v>43567</v>
      </c>
      <c r="F35" s="36" t="s">
        <v>79</v>
      </c>
      <c r="G35" s="39">
        <v>20000</v>
      </c>
      <c r="H35" s="38">
        <f t="shared" si="4"/>
        <v>80</v>
      </c>
      <c r="I35" s="38">
        <f t="shared" si="1"/>
        <v>20</v>
      </c>
      <c r="J35" s="36"/>
      <c r="K35" s="40">
        <v>43660</v>
      </c>
      <c r="L35" s="41" t="s">
        <v>1318</v>
      </c>
      <c r="M35" s="42">
        <v>43654</v>
      </c>
      <c r="N35" s="43" t="s">
        <v>1310</v>
      </c>
      <c r="O35" s="42">
        <v>43660</v>
      </c>
      <c r="P35" s="41"/>
      <c r="Q35" s="36" t="s">
        <v>82</v>
      </c>
      <c r="R35" s="44" t="s">
        <v>1171</v>
      </c>
      <c r="S35" s="46"/>
    </row>
    <row r="36" spans="2:19" s="30" customFormat="1" ht="33" customHeight="1">
      <c r="B36" s="46" t="s">
        <v>78</v>
      </c>
      <c r="C36" s="35" t="s">
        <v>1172</v>
      </c>
      <c r="D36" s="36" t="s">
        <v>1173</v>
      </c>
      <c r="E36" s="37">
        <v>43567</v>
      </c>
      <c r="F36" s="36" t="s">
        <v>79</v>
      </c>
      <c r="G36" s="39">
        <v>20000</v>
      </c>
      <c r="H36" s="38">
        <f t="shared" si="4"/>
        <v>80</v>
      </c>
      <c r="I36" s="38">
        <f t="shared" si="1"/>
        <v>20</v>
      </c>
      <c r="J36" s="36"/>
      <c r="K36" s="40">
        <v>43667</v>
      </c>
      <c r="L36" s="41" t="s">
        <v>1320</v>
      </c>
      <c r="M36" s="42">
        <v>43658</v>
      </c>
      <c r="N36" s="43" t="s">
        <v>1311</v>
      </c>
      <c r="O36" s="42">
        <v>43667</v>
      </c>
      <c r="P36" s="41"/>
      <c r="Q36" s="36" t="s">
        <v>82</v>
      </c>
      <c r="R36" s="44" t="s">
        <v>1174</v>
      </c>
      <c r="S36" s="46"/>
    </row>
    <row r="37" spans="2:19" s="30" customFormat="1" ht="33" customHeight="1">
      <c r="B37" s="46" t="s">
        <v>220</v>
      </c>
      <c r="C37" s="35" t="s">
        <v>1175</v>
      </c>
      <c r="D37" s="36" t="s">
        <v>1176</v>
      </c>
      <c r="E37" s="37">
        <v>43567</v>
      </c>
      <c r="F37" s="36" t="s">
        <v>79</v>
      </c>
      <c r="G37" s="39">
        <v>20000</v>
      </c>
      <c r="H37" s="38">
        <f t="shared" si="4"/>
        <v>80</v>
      </c>
      <c r="I37" s="38">
        <f t="shared" si="1"/>
        <v>20</v>
      </c>
      <c r="J37" s="36"/>
      <c r="K37" s="40">
        <v>43667</v>
      </c>
      <c r="L37" s="41" t="s">
        <v>1319</v>
      </c>
      <c r="M37" s="42">
        <v>43658</v>
      </c>
      <c r="N37" s="43" t="s">
        <v>1311</v>
      </c>
      <c r="O37" s="42">
        <v>43667</v>
      </c>
      <c r="P37" s="41"/>
      <c r="Q37" s="36"/>
      <c r="R37" s="44" t="s">
        <v>1177</v>
      </c>
      <c r="S37" s="46"/>
    </row>
    <row r="38" spans="2:19" s="30" customFormat="1" ht="33" customHeight="1">
      <c r="B38" s="46" t="s">
        <v>78</v>
      </c>
      <c r="C38" s="35" t="s">
        <v>1178</v>
      </c>
      <c r="D38" s="36" t="s">
        <v>1179</v>
      </c>
      <c r="E38" s="37">
        <v>43567</v>
      </c>
      <c r="F38" s="36" t="s">
        <v>91</v>
      </c>
      <c r="G38" s="39">
        <v>10000</v>
      </c>
      <c r="H38" s="38">
        <f t="shared" si="4"/>
        <v>40</v>
      </c>
      <c r="I38" s="38">
        <f t="shared" si="1"/>
        <v>10</v>
      </c>
      <c r="J38" s="36"/>
      <c r="K38" s="40">
        <v>43674</v>
      </c>
      <c r="L38" s="41" t="s">
        <v>1322</v>
      </c>
      <c r="M38" s="42">
        <v>43668</v>
      </c>
      <c r="N38" s="43" t="s">
        <v>1312</v>
      </c>
      <c r="O38" s="42">
        <v>43674</v>
      </c>
      <c r="P38" s="41"/>
      <c r="Q38" s="36" t="s">
        <v>82</v>
      </c>
      <c r="R38" s="44" t="s">
        <v>1180</v>
      </c>
      <c r="S38" s="46"/>
    </row>
    <row r="39" spans="2:19" s="30" customFormat="1" ht="33" customHeight="1">
      <c r="B39" s="46" t="s">
        <v>220</v>
      </c>
      <c r="C39" s="35" t="s">
        <v>1181</v>
      </c>
      <c r="D39" s="36" t="s">
        <v>1182</v>
      </c>
      <c r="E39" s="37">
        <v>43567</v>
      </c>
      <c r="F39" s="36" t="s">
        <v>91</v>
      </c>
      <c r="G39" s="39">
        <v>10000</v>
      </c>
      <c r="H39" s="38">
        <f t="shared" si="4"/>
        <v>40</v>
      </c>
      <c r="I39" s="38">
        <f t="shared" si="1"/>
        <v>10</v>
      </c>
      <c r="J39" s="36"/>
      <c r="K39" s="40">
        <v>43674</v>
      </c>
      <c r="L39" s="41" t="s">
        <v>1321</v>
      </c>
      <c r="M39" s="42">
        <v>43668</v>
      </c>
      <c r="N39" s="43" t="s">
        <v>1312</v>
      </c>
      <c r="O39" s="42">
        <v>43674</v>
      </c>
      <c r="P39" s="41"/>
      <c r="Q39" s="36"/>
      <c r="R39" s="44" t="s">
        <v>1183</v>
      </c>
      <c r="S39" s="46"/>
    </row>
    <row r="40" spans="2:19" s="96" customFormat="1" ht="33" customHeight="1">
      <c r="B40" s="47" t="s">
        <v>17</v>
      </c>
      <c r="C40" s="48" t="s">
        <v>353</v>
      </c>
      <c r="D40" s="49" t="s">
        <v>383</v>
      </c>
      <c r="E40" s="50">
        <v>43434</v>
      </c>
      <c r="F40" s="52" t="s">
        <v>84</v>
      </c>
      <c r="G40" s="51">
        <v>9200</v>
      </c>
      <c r="H40" s="52">
        <f t="shared" ref="H40:H47" si="5">SUM(G40/230)</f>
        <v>40</v>
      </c>
      <c r="I40" s="52">
        <f t="shared" si="1"/>
        <v>10</v>
      </c>
      <c r="J40" s="49"/>
      <c r="K40" s="53">
        <v>43148</v>
      </c>
      <c r="L40" s="54" t="s">
        <v>276</v>
      </c>
      <c r="M40" s="55">
        <v>43508</v>
      </c>
      <c r="N40" s="56" t="s">
        <v>345</v>
      </c>
      <c r="O40" s="55">
        <v>43513</v>
      </c>
      <c r="P40" s="58"/>
      <c r="Q40" s="52" t="s">
        <v>82</v>
      </c>
      <c r="R40" s="57" t="s">
        <v>360</v>
      </c>
      <c r="S40" s="47"/>
    </row>
    <row r="41" spans="2:19" s="96" customFormat="1" ht="33" customHeight="1">
      <c r="B41" s="47" t="s">
        <v>17</v>
      </c>
      <c r="C41" s="48" t="s">
        <v>361</v>
      </c>
      <c r="D41" s="49" t="s">
        <v>384</v>
      </c>
      <c r="E41" s="50">
        <v>43441</v>
      </c>
      <c r="F41" s="52" t="s">
        <v>84</v>
      </c>
      <c r="G41" s="51">
        <v>9200</v>
      </c>
      <c r="H41" s="52">
        <f t="shared" si="5"/>
        <v>40</v>
      </c>
      <c r="I41" s="52">
        <f t="shared" si="1"/>
        <v>10</v>
      </c>
      <c r="J41" s="49"/>
      <c r="K41" s="53">
        <v>43548</v>
      </c>
      <c r="L41" s="54" t="s">
        <v>476</v>
      </c>
      <c r="M41" s="55">
        <v>43543</v>
      </c>
      <c r="N41" s="56" t="s">
        <v>400</v>
      </c>
      <c r="O41" s="55">
        <v>43548</v>
      </c>
      <c r="P41" s="58"/>
      <c r="Q41" s="52" t="s">
        <v>82</v>
      </c>
      <c r="R41" s="57" t="s">
        <v>362</v>
      </c>
      <c r="S41" s="47"/>
    </row>
    <row r="42" spans="2:19" s="67" customFormat="1" ht="33" customHeight="1">
      <c r="B42" s="46" t="s">
        <v>17</v>
      </c>
      <c r="C42" s="35" t="s">
        <v>427</v>
      </c>
      <c r="D42" s="36" t="s">
        <v>491</v>
      </c>
      <c r="E42" s="37">
        <v>43483</v>
      </c>
      <c r="F42" s="38" t="s">
        <v>84</v>
      </c>
      <c r="G42" s="39">
        <v>9200</v>
      </c>
      <c r="H42" s="38">
        <f t="shared" si="5"/>
        <v>40</v>
      </c>
      <c r="I42" s="38">
        <f t="shared" si="1"/>
        <v>10</v>
      </c>
      <c r="J42" s="36"/>
      <c r="K42" s="40">
        <v>43576</v>
      </c>
      <c r="L42" s="41" t="s">
        <v>446</v>
      </c>
      <c r="M42" s="42">
        <v>43571</v>
      </c>
      <c r="N42" s="43" t="s">
        <v>445</v>
      </c>
      <c r="O42" s="42">
        <v>43576</v>
      </c>
      <c r="P42" s="45"/>
      <c r="Q42" s="38" t="s">
        <v>82</v>
      </c>
      <c r="R42" s="44" t="s">
        <v>466</v>
      </c>
      <c r="S42" s="46"/>
    </row>
    <row r="43" spans="2:19" s="67" customFormat="1" ht="33" customHeight="1">
      <c r="B43" s="46" t="s">
        <v>17</v>
      </c>
      <c r="C43" s="35" t="s">
        <v>581</v>
      </c>
      <c r="D43" s="36" t="s">
        <v>582</v>
      </c>
      <c r="E43" s="37">
        <v>43519</v>
      </c>
      <c r="F43" s="38" t="s">
        <v>84</v>
      </c>
      <c r="G43" s="39">
        <v>9200</v>
      </c>
      <c r="H43" s="38">
        <f t="shared" si="5"/>
        <v>40</v>
      </c>
      <c r="I43" s="38">
        <f t="shared" si="1"/>
        <v>10</v>
      </c>
      <c r="J43" s="36"/>
      <c r="K43" s="40">
        <v>43632</v>
      </c>
      <c r="L43" s="41" t="s">
        <v>807</v>
      </c>
      <c r="M43" s="42">
        <v>43627</v>
      </c>
      <c r="N43" s="43" t="s">
        <v>769</v>
      </c>
      <c r="O43" s="42">
        <v>43632</v>
      </c>
      <c r="P43" s="45"/>
      <c r="Q43" s="38" t="s">
        <v>82</v>
      </c>
      <c r="R43" s="44" t="s">
        <v>825</v>
      </c>
      <c r="S43" s="46"/>
    </row>
    <row r="44" spans="2:19" s="67" customFormat="1" ht="33" customHeight="1">
      <c r="B44" s="46" t="s">
        <v>17</v>
      </c>
      <c r="C44" s="35" t="s">
        <v>694</v>
      </c>
      <c r="D44" s="36" t="s">
        <v>695</v>
      </c>
      <c r="E44" s="37">
        <v>43532</v>
      </c>
      <c r="F44" s="38" t="s">
        <v>13</v>
      </c>
      <c r="G44" s="39">
        <v>9200</v>
      </c>
      <c r="H44" s="38">
        <f t="shared" si="5"/>
        <v>40</v>
      </c>
      <c r="I44" s="38">
        <f t="shared" si="1"/>
        <v>10</v>
      </c>
      <c r="J44" s="36"/>
      <c r="K44" s="40">
        <v>43667</v>
      </c>
      <c r="L44" s="41" t="s">
        <v>837</v>
      </c>
      <c r="M44" s="42">
        <v>43662</v>
      </c>
      <c r="N44" s="43" t="s">
        <v>836</v>
      </c>
      <c r="O44" s="42">
        <v>43667</v>
      </c>
      <c r="P44" s="45"/>
      <c r="Q44" s="38" t="s">
        <v>82</v>
      </c>
      <c r="R44" s="44" t="s">
        <v>826</v>
      </c>
      <c r="S44" s="46"/>
    </row>
    <row r="45" spans="2:19" s="96" customFormat="1" ht="33" customHeight="1">
      <c r="B45" s="47" t="s">
        <v>33</v>
      </c>
      <c r="C45" s="48" t="s">
        <v>230</v>
      </c>
      <c r="D45" s="49" t="s">
        <v>231</v>
      </c>
      <c r="E45" s="50"/>
      <c r="F45" s="52"/>
      <c r="G45" s="51">
        <v>9200</v>
      </c>
      <c r="H45" s="52">
        <f t="shared" si="5"/>
        <v>40</v>
      </c>
      <c r="I45" s="52">
        <f t="shared" si="1"/>
        <v>10</v>
      </c>
      <c r="J45" s="49"/>
      <c r="K45" s="53">
        <v>43155</v>
      </c>
      <c r="L45" s="54" t="s">
        <v>365</v>
      </c>
      <c r="M45" s="55">
        <v>43515</v>
      </c>
      <c r="N45" s="56" t="s">
        <v>347</v>
      </c>
      <c r="O45" s="55">
        <v>43520</v>
      </c>
      <c r="P45" s="58" t="s">
        <v>364</v>
      </c>
      <c r="Q45" s="52"/>
      <c r="R45" s="57" t="s">
        <v>366</v>
      </c>
      <c r="S45" s="47" t="s">
        <v>216</v>
      </c>
    </row>
    <row r="46" spans="2:19" s="67" customFormat="1" ht="33" customHeight="1">
      <c r="B46" s="46" t="s">
        <v>81</v>
      </c>
      <c r="C46" s="35" t="s">
        <v>279</v>
      </c>
      <c r="D46" s="36" t="s">
        <v>288</v>
      </c>
      <c r="E46" s="37">
        <v>43392</v>
      </c>
      <c r="F46" s="38" t="s">
        <v>84</v>
      </c>
      <c r="G46" s="39">
        <v>11960</v>
      </c>
      <c r="H46" s="38">
        <f t="shared" si="5"/>
        <v>52</v>
      </c>
      <c r="I46" s="38">
        <f t="shared" si="1"/>
        <v>13</v>
      </c>
      <c r="J46" s="38"/>
      <c r="K46" s="40">
        <v>43597</v>
      </c>
      <c r="L46" s="41" t="s">
        <v>562</v>
      </c>
      <c r="M46" s="42">
        <v>43594</v>
      </c>
      <c r="N46" s="43" t="s">
        <v>561</v>
      </c>
      <c r="O46" s="42">
        <v>43598</v>
      </c>
      <c r="P46" s="45" t="s">
        <v>1567</v>
      </c>
      <c r="Q46" s="46"/>
      <c r="R46" s="44" t="s">
        <v>515</v>
      </c>
      <c r="S46" s="46"/>
    </row>
    <row r="47" spans="2:19" s="67" customFormat="1" ht="33" customHeight="1">
      <c r="B47" s="46" t="s">
        <v>81</v>
      </c>
      <c r="C47" s="35" t="s">
        <v>1328</v>
      </c>
      <c r="D47" s="36" t="s">
        <v>288</v>
      </c>
      <c r="E47" s="37">
        <v>43392</v>
      </c>
      <c r="F47" s="38" t="s">
        <v>84</v>
      </c>
      <c r="G47" s="39">
        <v>1840</v>
      </c>
      <c r="H47" s="38">
        <f t="shared" si="5"/>
        <v>8</v>
      </c>
      <c r="I47" s="38">
        <f t="shared" si="1"/>
        <v>2</v>
      </c>
      <c r="J47" s="38"/>
      <c r="K47" s="40">
        <v>43597</v>
      </c>
      <c r="L47" s="41" t="s">
        <v>773</v>
      </c>
      <c r="M47" s="42">
        <v>43601</v>
      </c>
      <c r="N47" s="43" t="s">
        <v>601</v>
      </c>
      <c r="O47" s="42">
        <v>43605</v>
      </c>
      <c r="P47" s="45" t="s">
        <v>1567</v>
      </c>
      <c r="Q47" s="46"/>
      <c r="R47" s="44" t="s">
        <v>515</v>
      </c>
      <c r="S47" s="46" t="s">
        <v>1329</v>
      </c>
    </row>
    <row r="48" spans="2:19" s="96" customFormat="1" ht="33" customHeight="1">
      <c r="B48" s="47" t="s">
        <v>81</v>
      </c>
      <c r="C48" s="48" t="s">
        <v>316</v>
      </c>
      <c r="D48" s="49" t="s">
        <v>317</v>
      </c>
      <c r="E48" s="50">
        <v>43420</v>
      </c>
      <c r="F48" s="52" t="s">
        <v>13</v>
      </c>
      <c r="G48" s="51">
        <v>18400</v>
      </c>
      <c r="H48" s="52">
        <f>SUM(G48/230)</f>
        <v>80</v>
      </c>
      <c r="I48" s="52">
        <f>SUM(H48/4)</f>
        <v>20</v>
      </c>
      <c r="J48" s="52"/>
      <c r="K48" s="53">
        <v>43525</v>
      </c>
      <c r="L48" s="54" t="s">
        <v>365</v>
      </c>
      <c r="M48" s="55">
        <v>43515</v>
      </c>
      <c r="N48" s="56" t="s">
        <v>347</v>
      </c>
      <c r="O48" s="55">
        <v>43520</v>
      </c>
      <c r="P48" s="58"/>
      <c r="Q48" s="47"/>
      <c r="R48" s="57" t="s">
        <v>349</v>
      </c>
      <c r="S48" s="47" t="s">
        <v>350</v>
      </c>
    </row>
    <row r="49" spans="2:19" s="67" customFormat="1" ht="33" customHeight="1">
      <c r="B49" s="46" t="s">
        <v>81</v>
      </c>
      <c r="C49" s="35" t="s">
        <v>318</v>
      </c>
      <c r="D49" s="36" t="s">
        <v>319</v>
      </c>
      <c r="E49" s="37">
        <v>43420</v>
      </c>
      <c r="F49" s="38" t="s">
        <v>13</v>
      </c>
      <c r="G49" s="39">
        <v>17940</v>
      </c>
      <c r="H49" s="38">
        <f>SUM(G49/230)</f>
        <v>78</v>
      </c>
      <c r="I49" s="38">
        <f>SUM(H49/4)</f>
        <v>19.5</v>
      </c>
      <c r="J49" s="38"/>
      <c r="K49" s="40">
        <v>43576</v>
      </c>
      <c r="L49" s="41" t="s">
        <v>480</v>
      </c>
      <c r="M49" s="42">
        <v>43564</v>
      </c>
      <c r="N49" s="43" t="s">
        <v>405</v>
      </c>
      <c r="O49" s="42">
        <v>43569</v>
      </c>
      <c r="P49" s="45"/>
      <c r="Q49" s="46"/>
      <c r="R49" s="44" t="s">
        <v>516</v>
      </c>
      <c r="S49" s="46" t="s">
        <v>391</v>
      </c>
    </row>
    <row r="50" spans="2:19" s="67" customFormat="1" ht="33" customHeight="1">
      <c r="B50" s="46" t="s">
        <v>81</v>
      </c>
      <c r="C50" s="35" t="s">
        <v>700</v>
      </c>
      <c r="D50" s="36" t="s">
        <v>701</v>
      </c>
      <c r="E50" s="37">
        <v>43532</v>
      </c>
      <c r="F50" s="38" t="s">
        <v>13</v>
      </c>
      <c r="G50" s="39">
        <v>13800</v>
      </c>
      <c r="H50" s="38">
        <f t="shared" ref="H50:H54" si="6">SUM(G50/230)</f>
        <v>60</v>
      </c>
      <c r="I50" s="38">
        <f t="shared" ref="I50:I54" si="7">SUM(H50/4)</f>
        <v>15</v>
      </c>
      <c r="J50" s="38"/>
      <c r="K50" s="40">
        <v>43625</v>
      </c>
      <c r="L50" s="41" t="s">
        <v>975</v>
      </c>
      <c r="M50" s="42">
        <v>43620</v>
      </c>
      <c r="N50" s="43" t="s">
        <v>768</v>
      </c>
      <c r="O50" s="42">
        <v>43625</v>
      </c>
      <c r="P50" s="45"/>
      <c r="Q50" s="46"/>
      <c r="R50" s="44" t="s">
        <v>850</v>
      </c>
      <c r="S50" s="46"/>
    </row>
    <row r="51" spans="2:19" s="67" customFormat="1" ht="33" customHeight="1">
      <c r="B51" s="46" t="s">
        <v>81</v>
      </c>
      <c r="C51" s="35" t="s">
        <v>702</v>
      </c>
      <c r="D51" s="36" t="s">
        <v>703</v>
      </c>
      <c r="E51" s="37">
        <v>43532</v>
      </c>
      <c r="F51" s="38" t="s">
        <v>13</v>
      </c>
      <c r="G51" s="39">
        <v>9200</v>
      </c>
      <c r="H51" s="38">
        <f t="shared" si="6"/>
        <v>40</v>
      </c>
      <c r="I51" s="38">
        <f t="shared" si="7"/>
        <v>10</v>
      </c>
      <c r="J51" s="38"/>
      <c r="K51" s="40">
        <v>43646</v>
      </c>
      <c r="L51" s="41" t="s">
        <v>976</v>
      </c>
      <c r="M51" s="42">
        <v>43641</v>
      </c>
      <c r="N51" s="43" t="s">
        <v>776</v>
      </c>
      <c r="O51" s="42">
        <v>43646</v>
      </c>
      <c r="P51" s="45"/>
      <c r="Q51" s="46"/>
      <c r="R51" s="44" t="s">
        <v>851</v>
      </c>
      <c r="S51" s="46"/>
    </row>
    <row r="52" spans="2:19" s="67" customFormat="1" ht="33" customHeight="1">
      <c r="B52" s="46" t="s">
        <v>81</v>
      </c>
      <c r="C52" s="35" t="s">
        <v>852</v>
      </c>
      <c r="D52" s="36"/>
      <c r="E52" s="37">
        <v>43558</v>
      </c>
      <c r="F52" s="38" t="s">
        <v>13</v>
      </c>
      <c r="G52" s="39">
        <v>9200</v>
      </c>
      <c r="H52" s="38">
        <f t="shared" si="6"/>
        <v>40</v>
      </c>
      <c r="I52" s="38">
        <f t="shared" si="7"/>
        <v>10</v>
      </c>
      <c r="J52" s="38"/>
      <c r="K52" s="40">
        <v>43646</v>
      </c>
      <c r="L52" s="41" t="s">
        <v>976</v>
      </c>
      <c r="M52" s="42">
        <v>43641</v>
      </c>
      <c r="N52" s="43" t="s">
        <v>776</v>
      </c>
      <c r="O52" s="42">
        <v>43646</v>
      </c>
      <c r="P52" s="45"/>
      <c r="Q52" s="46"/>
      <c r="R52" s="44" t="s">
        <v>851</v>
      </c>
      <c r="S52" s="46"/>
    </row>
    <row r="53" spans="2:19" s="67" customFormat="1" ht="33" customHeight="1">
      <c r="B53" s="122" t="s">
        <v>81</v>
      </c>
      <c r="C53" s="126" t="s">
        <v>1435</v>
      </c>
      <c r="D53" s="127" t="s">
        <v>1436</v>
      </c>
      <c r="E53" s="128">
        <v>43574</v>
      </c>
      <c r="F53" s="124" t="s">
        <v>13</v>
      </c>
      <c r="G53" s="129">
        <v>18400</v>
      </c>
      <c r="H53" s="124">
        <f t="shared" si="6"/>
        <v>80</v>
      </c>
      <c r="I53" s="124">
        <f t="shared" si="7"/>
        <v>20</v>
      </c>
      <c r="J53" s="124"/>
      <c r="K53" s="130">
        <v>43667</v>
      </c>
      <c r="L53" s="119" t="s">
        <v>1326</v>
      </c>
      <c r="M53" s="120">
        <v>43662</v>
      </c>
      <c r="N53" s="121" t="s">
        <v>836</v>
      </c>
      <c r="O53" s="120">
        <v>43667</v>
      </c>
      <c r="P53" s="123"/>
      <c r="Q53" s="122"/>
      <c r="R53" s="125" t="s">
        <v>1208</v>
      </c>
      <c r="S53" s="122"/>
    </row>
    <row r="54" spans="2:19" s="67" customFormat="1" ht="33" customHeight="1">
      <c r="B54" s="122" t="s">
        <v>704</v>
      </c>
      <c r="C54" s="126" t="s">
        <v>209</v>
      </c>
      <c r="D54" s="127" t="s">
        <v>705</v>
      </c>
      <c r="E54" s="128">
        <v>43532</v>
      </c>
      <c r="F54" s="124" t="s">
        <v>13</v>
      </c>
      <c r="G54" s="129">
        <v>920</v>
      </c>
      <c r="H54" s="124">
        <f t="shared" si="6"/>
        <v>4</v>
      </c>
      <c r="I54" s="124">
        <f t="shared" si="7"/>
        <v>1</v>
      </c>
      <c r="J54" s="124"/>
      <c r="K54" s="130">
        <v>43609</v>
      </c>
      <c r="L54" s="119" t="s">
        <v>773</v>
      </c>
      <c r="M54" s="120">
        <v>43601</v>
      </c>
      <c r="N54" s="121" t="s">
        <v>774</v>
      </c>
      <c r="O54" s="120">
        <v>43605</v>
      </c>
      <c r="P54" s="123"/>
      <c r="Q54" s="122"/>
      <c r="R54" s="125"/>
      <c r="S54" s="122" t="s">
        <v>706</v>
      </c>
    </row>
    <row r="55" spans="2:19" s="67" customFormat="1" ht="33" customHeight="1">
      <c r="B55" s="46" t="s">
        <v>517</v>
      </c>
      <c r="C55" s="35" t="s">
        <v>209</v>
      </c>
      <c r="D55" s="36" t="s">
        <v>583</v>
      </c>
      <c r="E55" s="37">
        <v>43511</v>
      </c>
      <c r="F55" s="38" t="s">
        <v>13</v>
      </c>
      <c r="G55" s="39">
        <v>460</v>
      </c>
      <c r="H55" s="38">
        <f>SUM(G55/230)</f>
        <v>2</v>
      </c>
      <c r="I55" s="38">
        <f>SUM(H55/4)</f>
        <v>0.5</v>
      </c>
      <c r="J55" s="38"/>
      <c r="K55" s="40">
        <v>43576</v>
      </c>
      <c r="L55" s="41" t="s">
        <v>480</v>
      </c>
      <c r="M55" s="42">
        <v>43564</v>
      </c>
      <c r="N55" s="43" t="s">
        <v>646</v>
      </c>
      <c r="O55" s="42">
        <v>43569</v>
      </c>
      <c r="P55" s="45"/>
      <c r="Q55" s="46"/>
      <c r="R55" s="44" t="s">
        <v>516</v>
      </c>
      <c r="S55" s="46"/>
    </row>
    <row r="56" spans="2:19" s="33" customFormat="1" ht="33" customHeight="1">
      <c r="B56" s="47" t="s">
        <v>222</v>
      </c>
      <c r="C56" s="48" t="s">
        <v>321</v>
      </c>
      <c r="D56" s="49" t="s">
        <v>322</v>
      </c>
      <c r="E56" s="50">
        <v>43420</v>
      </c>
      <c r="F56" s="52" t="s">
        <v>13</v>
      </c>
      <c r="G56" s="51">
        <v>3200</v>
      </c>
      <c r="H56" s="52">
        <f t="shared" ref="H56:H65" si="8">SUM(G56/20)</f>
        <v>160</v>
      </c>
      <c r="I56" s="52">
        <f t="shared" ref="I56:I65" si="9">SUM(H56/32)</f>
        <v>5</v>
      </c>
      <c r="J56" s="59"/>
      <c r="K56" s="53">
        <v>43513</v>
      </c>
      <c r="L56" s="54" t="s">
        <v>276</v>
      </c>
      <c r="M56" s="55">
        <v>43508</v>
      </c>
      <c r="N56" s="56" t="s">
        <v>345</v>
      </c>
      <c r="O56" s="55">
        <v>43148</v>
      </c>
      <c r="P56" s="58"/>
      <c r="Q56" s="60" t="s">
        <v>89</v>
      </c>
      <c r="R56" s="57" t="s">
        <v>323</v>
      </c>
      <c r="S56" s="47"/>
    </row>
    <row r="57" spans="2:19" s="33" customFormat="1" ht="33" customHeight="1">
      <c r="B57" s="47" t="s">
        <v>222</v>
      </c>
      <c r="C57" s="48" t="s">
        <v>324</v>
      </c>
      <c r="D57" s="49" t="s">
        <v>325</v>
      </c>
      <c r="E57" s="50">
        <v>43420</v>
      </c>
      <c r="F57" s="52" t="s">
        <v>13</v>
      </c>
      <c r="G57" s="51">
        <v>1920</v>
      </c>
      <c r="H57" s="52">
        <f t="shared" si="8"/>
        <v>96</v>
      </c>
      <c r="I57" s="52">
        <f t="shared" si="9"/>
        <v>3</v>
      </c>
      <c r="J57" s="59"/>
      <c r="K57" s="53">
        <v>43541</v>
      </c>
      <c r="L57" s="54" t="s">
        <v>501</v>
      </c>
      <c r="M57" s="55">
        <v>43531</v>
      </c>
      <c r="N57" s="56" t="s">
        <v>569</v>
      </c>
      <c r="O57" s="55">
        <v>43535</v>
      </c>
      <c r="P57" s="58"/>
      <c r="Q57" s="60" t="s">
        <v>89</v>
      </c>
      <c r="R57" s="57" t="s">
        <v>326</v>
      </c>
      <c r="S57" s="47" t="s">
        <v>645</v>
      </c>
    </row>
    <row r="58" spans="2:19" s="33" customFormat="1" ht="33" customHeight="1">
      <c r="B58" s="47" t="s">
        <v>222</v>
      </c>
      <c r="C58" s="48" t="s">
        <v>500</v>
      </c>
      <c r="D58" s="49" t="s">
        <v>325</v>
      </c>
      <c r="E58" s="50">
        <v>43420</v>
      </c>
      <c r="F58" s="52" t="s">
        <v>13</v>
      </c>
      <c r="G58" s="51">
        <v>1280</v>
      </c>
      <c r="H58" s="52">
        <f t="shared" si="8"/>
        <v>64</v>
      </c>
      <c r="I58" s="52">
        <f t="shared" si="9"/>
        <v>2</v>
      </c>
      <c r="J58" s="59"/>
      <c r="K58" s="53">
        <v>43541</v>
      </c>
      <c r="L58" s="54" t="s">
        <v>563</v>
      </c>
      <c r="M58" s="55">
        <v>43536</v>
      </c>
      <c r="N58" s="56" t="s">
        <v>346</v>
      </c>
      <c r="O58" s="55">
        <v>43541</v>
      </c>
      <c r="P58" s="58"/>
      <c r="Q58" s="60" t="s">
        <v>89</v>
      </c>
      <c r="R58" s="57" t="s">
        <v>326</v>
      </c>
      <c r="S58" s="47" t="s">
        <v>395</v>
      </c>
    </row>
    <row r="59" spans="2:19" s="33" customFormat="1" ht="33" customHeight="1">
      <c r="B59" s="47" t="s">
        <v>222</v>
      </c>
      <c r="C59" s="48" t="s">
        <v>430</v>
      </c>
      <c r="D59" s="49" t="s">
        <v>470</v>
      </c>
      <c r="E59" s="50">
        <v>43473</v>
      </c>
      <c r="F59" s="52" t="s">
        <v>13</v>
      </c>
      <c r="G59" s="51">
        <v>1920</v>
      </c>
      <c r="H59" s="52">
        <f t="shared" si="8"/>
        <v>96</v>
      </c>
      <c r="I59" s="52">
        <f t="shared" si="9"/>
        <v>3</v>
      </c>
      <c r="J59" s="59"/>
      <c r="K59" s="53">
        <v>43555</v>
      </c>
      <c r="L59" s="54" t="s">
        <v>644</v>
      </c>
      <c r="M59" s="55">
        <v>43550</v>
      </c>
      <c r="N59" s="56" t="s">
        <v>344</v>
      </c>
      <c r="O59" s="55">
        <v>43555</v>
      </c>
      <c r="P59" s="58"/>
      <c r="Q59" s="60" t="s">
        <v>89</v>
      </c>
      <c r="R59" s="57" t="s">
        <v>518</v>
      </c>
      <c r="S59" s="47"/>
    </row>
    <row r="60" spans="2:19" s="30" customFormat="1" ht="33" customHeight="1">
      <c r="B60" s="46" t="s">
        <v>222</v>
      </c>
      <c r="C60" s="35" t="s">
        <v>430</v>
      </c>
      <c r="D60" s="36" t="s">
        <v>470</v>
      </c>
      <c r="E60" s="37">
        <v>43473</v>
      </c>
      <c r="F60" s="38" t="s">
        <v>13</v>
      </c>
      <c r="G60" s="39">
        <v>1920</v>
      </c>
      <c r="H60" s="38">
        <f t="shared" si="8"/>
        <v>96</v>
      </c>
      <c r="I60" s="38">
        <f t="shared" si="9"/>
        <v>3</v>
      </c>
      <c r="J60" s="61"/>
      <c r="K60" s="40">
        <v>43555</v>
      </c>
      <c r="L60" s="41" t="s">
        <v>449</v>
      </c>
      <c r="M60" s="42">
        <v>43564</v>
      </c>
      <c r="N60" s="43" t="s">
        <v>405</v>
      </c>
      <c r="O60" s="42">
        <v>43569</v>
      </c>
      <c r="P60" s="45"/>
      <c r="Q60" s="62" t="s">
        <v>89</v>
      </c>
      <c r="R60" s="44" t="s">
        <v>518</v>
      </c>
      <c r="S60" s="46"/>
    </row>
    <row r="61" spans="2:19" s="30" customFormat="1" ht="33" customHeight="1">
      <c r="B61" s="46" t="s">
        <v>222</v>
      </c>
      <c r="C61" s="35" t="s">
        <v>519</v>
      </c>
      <c r="D61" s="36" t="s">
        <v>710</v>
      </c>
      <c r="E61" s="37">
        <v>43511</v>
      </c>
      <c r="F61" s="38" t="s">
        <v>13</v>
      </c>
      <c r="G61" s="39">
        <v>640</v>
      </c>
      <c r="H61" s="38">
        <f t="shared" si="8"/>
        <v>32</v>
      </c>
      <c r="I61" s="38">
        <f t="shared" si="9"/>
        <v>1</v>
      </c>
      <c r="J61" s="61"/>
      <c r="K61" s="40">
        <v>43555</v>
      </c>
      <c r="L61" s="41" t="s">
        <v>564</v>
      </c>
      <c r="M61" s="42">
        <v>43557</v>
      </c>
      <c r="N61" s="43" t="s">
        <v>403</v>
      </c>
      <c r="O61" s="42">
        <v>43562</v>
      </c>
      <c r="P61" s="45"/>
      <c r="Q61" s="62" t="s">
        <v>89</v>
      </c>
      <c r="R61" s="44" t="s">
        <v>518</v>
      </c>
      <c r="S61" s="46"/>
    </row>
    <row r="62" spans="2:19" s="30" customFormat="1" ht="33" customHeight="1">
      <c r="B62" s="46" t="s">
        <v>222</v>
      </c>
      <c r="C62" s="35" t="s">
        <v>520</v>
      </c>
      <c r="D62" s="36" t="s">
        <v>584</v>
      </c>
      <c r="E62" s="37">
        <v>43511</v>
      </c>
      <c r="F62" s="38" t="s">
        <v>13</v>
      </c>
      <c r="G62" s="39">
        <v>1920</v>
      </c>
      <c r="H62" s="38">
        <f t="shared" si="8"/>
        <v>96</v>
      </c>
      <c r="I62" s="38">
        <f t="shared" si="9"/>
        <v>3</v>
      </c>
      <c r="J62" s="61"/>
      <c r="K62" s="40">
        <v>43576</v>
      </c>
      <c r="L62" s="41" t="s">
        <v>503</v>
      </c>
      <c r="M62" s="42">
        <v>43571</v>
      </c>
      <c r="N62" s="43" t="s">
        <v>445</v>
      </c>
      <c r="O62" s="42">
        <v>43576</v>
      </c>
      <c r="P62" s="45"/>
      <c r="Q62" s="62" t="s">
        <v>89</v>
      </c>
      <c r="R62" s="44" t="s">
        <v>585</v>
      </c>
      <c r="S62" s="46"/>
    </row>
    <row r="63" spans="2:19" s="30" customFormat="1" ht="33" customHeight="1">
      <c r="B63" s="46" t="s">
        <v>222</v>
      </c>
      <c r="C63" s="35" t="s">
        <v>586</v>
      </c>
      <c r="D63" s="36" t="s">
        <v>640</v>
      </c>
      <c r="E63" s="37">
        <v>43519</v>
      </c>
      <c r="F63" s="38" t="s">
        <v>13</v>
      </c>
      <c r="G63" s="39">
        <v>1920</v>
      </c>
      <c r="H63" s="38">
        <f t="shared" si="8"/>
        <v>96</v>
      </c>
      <c r="I63" s="38">
        <f t="shared" si="9"/>
        <v>3</v>
      </c>
      <c r="J63" s="61"/>
      <c r="K63" s="40">
        <v>43611</v>
      </c>
      <c r="L63" s="41" t="s">
        <v>607</v>
      </c>
      <c r="M63" s="42">
        <v>43601</v>
      </c>
      <c r="N63" s="43" t="s">
        <v>601</v>
      </c>
      <c r="O63" s="42">
        <v>43605</v>
      </c>
      <c r="P63" s="45"/>
      <c r="Q63" s="62" t="s">
        <v>89</v>
      </c>
      <c r="R63" s="44" t="s">
        <v>790</v>
      </c>
      <c r="S63" s="46" t="s">
        <v>980</v>
      </c>
    </row>
    <row r="64" spans="2:19" s="30" customFormat="1" ht="33" customHeight="1">
      <c r="B64" s="46" t="s">
        <v>222</v>
      </c>
      <c r="C64" s="35" t="s">
        <v>713</v>
      </c>
      <c r="D64" s="36" t="s">
        <v>714</v>
      </c>
      <c r="E64" s="37">
        <v>43532</v>
      </c>
      <c r="F64" s="38" t="s">
        <v>13</v>
      </c>
      <c r="G64" s="39">
        <v>2560</v>
      </c>
      <c r="H64" s="38">
        <f t="shared" si="8"/>
        <v>128</v>
      </c>
      <c r="I64" s="38">
        <f t="shared" si="9"/>
        <v>4</v>
      </c>
      <c r="J64" s="61"/>
      <c r="K64" s="40">
        <v>43639</v>
      </c>
      <c r="L64" s="41" t="s">
        <v>1083</v>
      </c>
      <c r="M64" s="42">
        <v>43634</v>
      </c>
      <c r="N64" s="43" t="s">
        <v>1084</v>
      </c>
      <c r="O64" s="42">
        <v>43639</v>
      </c>
      <c r="P64" s="45"/>
      <c r="Q64" s="62" t="s">
        <v>89</v>
      </c>
      <c r="R64" s="44" t="s">
        <v>1026</v>
      </c>
      <c r="S64" s="46"/>
    </row>
    <row r="65" spans="2:19" s="30" customFormat="1" ht="33" customHeight="1">
      <c r="B65" s="46" t="s">
        <v>222</v>
      </c>
      <c r="C65" s="35" t="s">
        <v>1184</v>
      </c>
      <c r="D65" s="36" t="s">
        <v>1185</v>
      </c>
      <c r="E65" s="37">
        <v>43567</v>
      </c>
      <c r="F65" s="38" t="s">
        <v>13</v>
      </c>
      <c r="G65" s="39">
        <v>2560</v>
      </c>
      <c r="H65" s="38">
        <f t="shared" si="8"/>
        <v>128</v>
      </c>
      <c r="I65" s="38">
        <f t="shared" si="9"/>
        <v>4</v>
      </c>
      <c r="J65" s="61"/>
      <c r="K65" s="40">
        <v>43674</v>
      </c>
      <c r="L65" s="41" t="s">
        <v>1323</v>
      </c>
      <c r="M65" s="42">
        <v>43669</v>
      </c>
      <c r="N65" s="43" t="s">
        <v>1313</v>
      </c>
      <c r="O65" s="42">
        <v>43674</v>
      </c>
      <c r="P65" s="45"/>
      <c r="Q65" s="62" t="s">
        <v>89</v>
      </c>
      <c r="R65" s="44" t="s">
        <v>1186</v>
      </c>
      <c r="S65" s="46"/>
    </row>
    <row r="66" spans="2:19" s="33" customFormat="1" ht="33" customHeight="1">
      <c r="B66" s="47" t="s">
        <v>38</v>
      </c>
      <c r="C66" s="48" t="s">
        <v>224</v>
      </c>
      <c r="D66" s="49" t="s">
        <v>328</v>
      </c>
      <c r="E66" s="50">
        <v>43420</v>
      </c>
      <c r="F66" s="52" t="s">
        <v>14</v>
      </c>
      <c r="G66" s="64">
        <v>640</v>
      </c>
      <c r="H66" s="52">
        <f>SUBTOTAL(9,G66)/20</f>
        <v>32</v>
      </c>
      <c r="I66" s="52">
        <f>H66/32</f>
        <v>1</v>
      </c>
      <c r="J66" s="52"/>
      <c r="K66" s="53">
        <v>43520</v>
      </c>
      <c r="L66" s="54" t="s">
        <v>348</v>
      </c>
      <c r="M66" s="55">
        <v>43515</v>
      </c>
      <c r="N66" s="56" t="s">
        <v>347</v>
      </c>
      <c r="O66" s="55">
        <v>43155</v>
      </c>
      <c r="P66" s="58" t="s">
        <v>504</v>
      </c>
      <c r="Q66" s="52"/>
      <c r="R66" s="63" t="s">
        <v>329</v>
      </c>
      <c r="S66" s="47"/>
    </row>
    <row r="67" spans="2:19" s="30" customFormat="1" ht="33" customHeight="1">
      <c r="B67" s="46" t="s">
        <v>38</v>
      </c>
      <c r="C67" s="35" t="s">
        <v>225</v>
      </c>
      <c r="D67" s="36" t="s">
        <v>587</v>
      </c>
      <c r="E67" s="37">
        <v>43519</v>
      </c>
      <c r="F67" s="38" t="s">
        <v>14</v>
      </c>
      <c r="G67" s="65">
        <v>640</v>
      </c>
      <c r="H67" s="38">
        <f>SUBTOTAL(9,G67)/20</f>
        <v>32</v>
      </c>
      <c r="I67" s="38">
        <f>H67/32</f>
        <v>1</v>
      </c>
      <c r="J67" s="38"/>
      <c r="K67" s="40">
        <v>43583</v>
      </c>
      <c r="L67" s="41" t="s">
        <v>565</v>
      </c>
      <c r="M67" s="42">
        <v>43578</v>
      </c>
      <c r="N67" s="43" t="s">
        <v>447</v>
      </c>
      <c r="O67" s="42">
        <v>43583</v>
      </c>
      <c r="P67" s="45"/>
      <c r="Q67" s="38"/>
      <c r="R67" s="66" t="s">
        <v>515</v>
      </c>
      <c r="S67" s="46"/>
    </row>
    <row r="68" spans="2:19" s="30" customFormat="1" ht="33" customHeight="1">
      <c r="B68" s="46" t="s">
        <v>38</v>
      </c>
      <c r="C68" s="35" t="s">
        <v>226</v>
      </c>
      <c r="D68" s="36" t="s">
        <v>1194</v>
      </c>
      <c r="E68" s="37">
        <v>43567</v>
      </c>
      <c r="F68" s="38" t="s">
        <v>14</v>
      </c>
      <c r="G68" s="65">
        <v>640</v>
      </c>
      <c r="H68" s="38">
        <f>SUBTOTAL(9,G68)/20</f>
        <v>32</v>
      </c>
      <c r="I68" s="38">
        <f>H68/32</f>
        <v>1</v>
      </c>
      <c r="J68" s="38"/>
      <c r="K68" s="40">
        <v>43667</v>
      </c>
      <c r="L68" s="41" t="s">
        <v>1325</v>
      </c>
      <c r="M68" s="42">
        <v>43662</v>
      </c>
      <c r="N68" s="43" t="s">
        <v>836</v>
      </c>
      <c r="O68" s="42">
        <v>43667</v>
      </c>
      <c r="P68" s="45"/>
      <c r="Q68" s="38"/>
      <c r="R68" s="66" t="s">
        <v>1196</v>
      </c>
      <c r="S68" s="46"/>
    </row>
    <row r="69" spans="2:19" s="33" customFormat="1" ht="33" customHeight="1">
      <c r="B69" s="47" t="s">
        <v>88</v>
      </c>
      <c r="C69" s="48" t="s">
        <v>331</v>
      </c>
      <c r="D69" s="49" t="s">
        <v>332</v>
      </c>
      <c r="E69" s="50">
        <v>43420</v>
      </c>
      <c r="F69" s="52" t="s">
        <v>14</v>
      </c>
      <c r="G69" s="64">
        <v>760</v>
      </c>
      <c r="H69" s="52">
        <f>SUBTOTAL(9,G69)/190</f>
        <v>4</v>
      </c>
      <c r="I69" s="52">
        <f>H69/4</f>
        <v>1</v>
      </c>
      <c r="J69" s="52"/>
      <c r="K69" s="53">
        <v>43520</v>
      </c>
      <c r="L69" s="54" t="s">
        <v>348</v>
      </c>
      <c r="M69" s="55">
        <v>43515</v>
      </c>
      <c r="N69" s="56" t="s">
        <v>347</v>
      </c>
      <c r="O69" s="55">
        <v>43155</v>
      </c>
      <c r="P69" s="58" t="s">
        <v>497</v>
      </c>
      <c r="Q69" s="52"/>
      <c r="R69" s="63" t="s">
        <v>333</v>
      </c>
      <c r="S69" s="47"/>
    </row>
    <row r="70" spans="2:19" s="30" customFormat="1" ht="33" customHeight="1">
      <c r="B70" s="46" t="s">
        <v>88</v>
      </c>
      <c r="C70" s="35" t="s">
        <v>431</v>
      </c>
      <c r="D70" s="36" t="s">
        <v>471</v>
      </c>
      <c r="E70" s="37">
        <v>43483</v>
      </c>
      <c r="F70" s="38" t="s">
        <v>14</v>
      </c>
      <c r="G70" s="65">
        <v>760</v>
      </c>
      <c r="H70" s="38">
        <f>SUBTOTAL(9,G70)/190</f>
        <v>4</v>
      </c>
      <c r="I70" s="38">
        <f>H70/4</f>
        <v>1</v>
      </c>
      <c r="J70" s="38"/>
      <c r="K70" s="40">
        <v>43569</v>
      </c>
      <c r="L70" s="41" t="s">
        <v>417</v>
      </c>
      <c r="M70" s="42">
        <v>43564</v>
      </c>
      <c r="N70" s="43" t="s">
        <v>405</v>
      </c>
      <c r="O70" s="42">
        <v>43569</v>
      </c>
      <c r="P70" s="45"/>
      <c r="Q70" s="38"/>
      <c r="R70" s="66" t="s">
        <v>493</v>
      </c>
      <c r="S70" s="46"/>
    </row>
    <row r="71" spans="2:19" s="30" customFormat="1" ht="33" customHeight="1">
      <c r="B71" s="46" t="s">
        <v>88</v>
      </c>
      <c r="C71" s="35" t="s">
        <v>523</v>
      </c>
      <c r="D71" s="36" t="s">
        <v>588</v>
      </c>
      <c r="E71" s="37">
        <v>43511</v>
      </c>
      <c r="F71" s="38" t="s">
        <v>14</v>
      </c>
      <c r="G71" s="65">
        <v>760</v>
      </c>
      <c r="H71" s="38">
        <f>SUBTOTAL(9,G71)/190</f>
        <v>4</v>
      </c>
      <c r="I71" s="38">
        <f>H71/4</f>
        <v>1</v>
      </c>
      <c r="J71" s="38"/>
      <c r="K71" s="40">
        <v>43583</v>
      </c>
      <c r="L71" s="41" t="s">
        <v>565</v>
      </c>
      <c r="M71" s="42">
        <v>43578</v>
      </c>
      <c r="N71" s="43" t="s">
        <v>447</v>
      </c>
      <c r="O71" s="42">
        <v>43583</v>
      </c>
      <c r="P71" s="45"/>
      <c r="Q71" s="38"/>
      <c r="R71" s="66" t="s">
        <v>320</v>
      </c>
      <c r="S71" s="46"/>
    </row>
    <row r="72" spans="2:19" s="30" customFormat="1" ht="33" customHeight="1">
      <c r="B72" s="46" t="s">
        <v>88</v>
      </c>
      <c r="C72" s="35" t="s">
        <v>589</v>
      </c>
      <c r="D72" s="36" t="s">
        <v>590</v>
      </c>
      <c r="E72" s="37">
        <v>43519</v>
      </c>
      <c r="F72" s="38" t="s">
        <v>14</v>
      </c>
      <c r="G72" s="65">
        <v>760</v>
      </c>
      <c r="H72" s="38">
        <f>SUBTOTAL(9,G72)/190</f>
        <v>4</v>
      </c>
      <c r="I72" s="38">
        <f>H72/4</f>
        <v>1</v>
      </c>
      <c r="J72" s="38"/>
      <c r="K72" s="40">
        <v>43597</v>
      </c>
      <c r="L72" s="41" t="s">
        <v>606</v>
      </c>
      <c r="M72" s="42">
        <v>43592</v>
      </c>
      <c r="N72" s="43" t="s">
        <v>600</v>
      </c>
      <c r="O72" s="42">
        <v>43597</v>
      </c>
      <c r="P72" s="45"/>
      <c r="Q72" s="38"/>
      <c r="R72" s="66" t="s">
        <v>469</v>
      </c>
      <c r="S72" s="46"/>
    </row>
    <row r="73" spans="2:19" s="30" customFormat="1" ht="33" customHeight="1">
      <c r="B73" s="46" t="s">
        <v>88</v>
      </c>
      <c r="C73" s="35" t="s">
        <v>1333</v>
      </c>
      <c r="D73" s="36" t="s">
        <v>1207</v>
      </c>
      <c r="E73" s="37">
        <v>43567</v>
      </c>
      <c r="F73" s="38" t="s">
        <v>14</v>
      </c>
      <c r="G73" s="65">
        <v>760</v>
      </c>
      <c r="H73" s="38">
        <f>SUBTOTAL(9,G73)/190</f>
        <v>4</v>
      </c>
      <c r="I73" s="38">
        <f>H73/4</f>
        <v>1</v>
      </c>
      <c r="J73" s="38"/>
      <c r="K73" s="40">
        <v>43667</v>
      </c>
      <c r="L73" s="41" t="s">
        <v>1325</v>
      </c>
      <c r="M73" s="42">
        <v>43662</v>
      </c>
      <c r="N73" s="43" t="s">
        <v>836</v>
      </c>
      <c r="O73" s="42">
        <v>43667</v>
      </c>
      <c r="P73" s="45"/>
      <c r="Q73" s="38"/>
      <c r="R73" s="66" t="s">
        <v>1208</v>
      </c>
      <c r="S73" s="46"/>
    </row>
    <row r="74" spans="2:19" s="33" customFormat="1" ht="33" customHeight="1">
      <c r="B74" s="47" t="s">
        <v>83</v>
      </c>
      <c r="C74" s="48" t="s">
        <v>335</v>
      </c>
      <c r="D74" s="49" t="s">
        <v>336</v>
      </c>
      <c r="E74" s="50">
        <v>43420</v>
      </c>
      <c r="F74" s="52" t="s">
        <v>77</v>
      </c>
      <c r="G74" s="51">
        <v>5760</v>
      </c>
      <c r="H74" s="52">
        <f>SUM(G74/240)</f>
        <v>24</v>
      </c>
      <c r="I74" s="52">
        <f t="shared" ref="I74:I83" si="10">SUM(H74/4)</f>
        <v>6</v>
      </c>
      <c r="J74" s="52"/>
      <c r="K74" s="53">
        <v>43148</v>
      </c>
      <c r="L74" s="54" t="s">
        <v>276</v>
      </c>
      <c r="M74" s="55">
        <v>43508</v>
      </c>
      <c r="N74" s="56" t="s">
        <v>345</v>
      </c>
      <c r="O74" s="55">
        <v>43148</v>
      </c>
      <c r="P74" s="58"/>
      <c r="Q74" s="52"/>
      <c r="R74" s="118" t="s">
        <v>392</v>
      </c>
      <c r="S74" s="47"/>
    </row>
    <row r="75" spans="2:19" s="33" customFormat="1" ht="33" customHeight="1">
      <c r="B75" s="47" t="s">
        <v>83</v>
      </c>
      <c r="C75" s="48" t="s">
        <v>477</v>
      </c>
      <c r="D75" s="49" t="s">
        <v>415</v>
      </c>
      <c r="E75" s="50">
        <v>43462</v>
      </c>
      <c r="F75" s="52" t="s">
        <v>77</v>
      </c>
      <c r="G75" s="51">
        <v>960</v>
      </c>
      <c r="H75" s="52">
        <f>SUM(G75/240)</f>
        <v>4</v>
      </c>
      <c r="I75" s="52">
        <f t="shared" si="10"/>
        <v>1</v>
      </c>
      <c r="J75" s="52"/>
      <c r="K75" s="53">
        <v>43148</v>
      </c>
      <c r="L75" s="54" t="s">
        <v>276</v>
      </c>
      <c r="M75" s="55">
        <v>43508</v>
      </c>
      <c r="N75" s="56" t="s">
        <v>345</v>
      </c>
      <c r="O75" s="55">
        <v>43148</v>
      </c>
      <c r="P75" s="58"/>
      <c r="Q75" s="52"/>
      <c r="R75" s="118" t="s">
        <v>392</v>
      </c>
      <c r="S75" s="47"/>
    </row>
    <row r="76" spans="2:19" s="33" customFormat="1" ht="33" customHeight="1">
      <c r="B76" s="47" t="s">
        <v>83</v>
      </c>
      <c r="C76" s="48" t="s">
        <v>408</v>
      </c>
      <c r="D76" s="49" t="s">
        <v>415</v>
      </c>
      <c r="E76" s="50">
        <v>43462</v>
      </c>
      <c r="F76" s="52" t="s">
        <v>77</v>
      </c>
      <c r="G76" s="51">
        <v>960</v>
      </c>
      <c r="H76" s="52">
        <f t="shared" ref="H76:H83" si="11">SUM(G76/240)</f>
        <v>4</v>
      </c>
      <c r="I76" s="52">
        <f t="shared" si="10"/>
        <v>1</v>
      </c>
      <c r="J76" s="52"/>
      <c r="K76" s="53">
        <v>43148</v>
      </c>
      <c r="L76" s="54" t="s">
        <v>501</v>
      </c>
      <c r="M76" s="55">
        <v>43531</v>
      </c>
      <c r="N76" s="56" t="s">
        <v>568</v>
      </c>
      <c r="O76" s="55">
        <v>43535</v>
      </c>
      <c r="P76" s="58" t="s">
        <v>656</v>
      </c>
      <c r="Q76" s="52"/>
      <c r="R76" s="118" t="s">
        <v>392</v>
      </c>
      <c r="S76" s="47" t="s">
        <v>609</v>
      </c>
    </row>
    <row r="77" spans="2:19" s="33" customFormat="1" ht="33" customHeight="1">
      <c r="B77" s="47" t="s">
        <v>83</v>
      </c>
      <c r="C77" s="48" t="s">
        <v>478</v>
      </c>
      <c r="D77" s="49" t="s">
        <v>485</v>
      </c>
      <c r="E77" s="50">
        <v>43462</v>
      </c>
      <c r="F77" s="52" t="s">
        <v>77</v>
      </c>
      <c r="G77" s="51">
        <v>2880</v>
      </c>
      <c r="H77" s="52">
        <f t="shared" si="11"/>
        <v>12</v>
      </c>
      <c r="I77" s="52">
        <f t="shared" si="10"/>
        <v>3</v>
      </c>
      <c r="J77" s="52"/>
      <c r="K77" s="53">
        <v>43541</v>
      </c>
      <c r="L77" s="54" t="s">
        <v>501</v>
      </c>
      <c r="M77" s="55">
        <v>43531</v>
      </c>
      <c r="N77" s="56" t="s">
        <v>568</v>
      </c>
      <c r="O77" s="55">
        <v>43535</v>
      </c>
      <c r="P77" s="58" t="s">
        <v>657</v>
      </c>
      <c r="Q77" s="52"/>
      <c r="R77" s="118" t="s">
        <v>486</v>
      </c>
      <c r="S77" s="47" t="s">
        <v>610</v>
      </c>
    </row>
    <row r="78" spans="2:19" s="33" customFormat="1" ht="33" customHeight="1">
      <c r="B78" s="47" t="s">
        <v>83</v>
      </c>
      <c r="C78" s="48" t="s">
        <v>232</v>
      </c>
      <c r="D78" s="49" t="s">
        <v>386</v>
      </c>
      <c r="E78" s="50">
        <v>43455</v>
      </c>
      <c r="F78" s="52" t="s">
        <v>77</v>
      </c>
      <c r="G78" s="51">
        <v>5760</v>
      </c>
      <c r="H78" s="52">
        <f t="shared" si="11"/>
        <v>24</v>
      </c>
      <c r="I78" s="52">
        <f t="shared" si="10"/>
        <v>6</v>
      </c>
      <c r="J78" s="52"/>
      <c r="K78" s="53">
        <v>43541</v>
      </c>
      <c r="L78" s="54" t="s">
        <v>476</v>
      </c>
      <c r="M78" s="55">
        <v>43543</v>
      </c>
      <c r="N78" s="56" t="s">
        <v>400</v>
      </c>
      <c r="O78" s="55">
        <v>43548</v>
      </c>
      <c r="P78" s="58" t="s">
        <v>658</v>
      </c>
      <c r="Q78" s="52"/>
      <c r="R78" s="118" t="s">
        <v>387</v>
      </c>
      <c r="S78" s="47"/>
    </row>
    <row r="79" spans="2:19" s="30" customFormat="1" ht="33" customHeight="1">
      <c r="B79" s="46" t="s">
        <v>83</v>
      </c>
      <c r="C79" s="35" t="s">
        <v>244</v>
      </c>
      <c r="D79" s="36" t="s">
        <v>722</v>
      </c>
      <c r="E79" s="37">
        <v>43483</v>
      </c>
      <c r="F79" s="38" t="s">
        <v>77</v>
      </c>
      <c r="G79" s="39">
        <v>6720</v>
      </c>
      <c r="H79" s="38">
        <f t="shared" si="11"/>
        <v>28</v>
      </c>
      <c r="I79" s="38">
        <f t="shared" si="10"/>
        <v>7</v>
      </c>
      <c r="J79" s="38"/>
      <c r="K79" s="40">
        <v>43569</v>
      </c>
      <c r="L79" s="41" t="s">
        <v>480</v>
      </c>
      <c r="M79" s="42">
        <v>43564</v>
      </c>
      <c r="N79" s="43" t="s">
        <v>646</v>
      </c>
      <c r="O79" s="42">
        <v>43569</v>
      </c>
      <c r="P79" s="45" t="s">
        <v>659</v>
      </c>
      <c r="Q79" s="38"/>
      <c r="R79" s="115" t="s">
        <v>432</v>
      </c>
      <c r="S79" s="46"/>
    </row>
    <row r="80" spans="2:19" s="30" customFormat="1" ht="33" customHeight="1">
      <c r="B80" s="46" t="s">
        <v>83</v>
      </c>
      <c r="C80" s="35" t="s">
        <v>660</v>
      </c>
      <c r="D80" s="36" t="s">
        <v>472</v>
      </c>
      <c r="E80" s="37">
        <v>43483</v>
      </c>
      <c r="F80" s="38" t="s">
        <v>77</v>
      </c>
      <c r="G80" s="39">
        <v>5760</v>
      </c>
      <c r="H80" s="38">
        <f>SUM(G80/240)</f>
        <v>24</v>
      </c>
      <c r="I80" s="38">
        <f>SUM(H80/4)</f>
        <v>6</v>
      </c>
      <c r="J80" s="38"/>
      <c r="K80" s="40">
        <v>43583</v>
      </c>
      <c r="L80" s="41" t="s">
        <v>448</v>
      </c>
      <c r="M80" s="42">
        <v>43578</v>
      </c>
      <c r="N80" s="43" t="s">
        <v>447</v>
      </c>
      <c r="O80" s="42">
        <v>43583</v>
      </c>
      <c r="P80" s="45" t="s">
        <v>662</v>
      </c>
      <c r="Q80" s="38"/>
      <c r="R80" s="115" t="s">
        <v>432</v>
      </c>
      <c r="S80" s="46"/>
    </row>
    <row r="81" spans="2:19" s="30" customFormat="1" ht="33" customHeight="1">
      <c r="B81" s="46" t="s">
        <v>83</v>
      </c>
      <c r="C81" s="35" t="s">
        <v>258</v>
      </c>
      <c r="D81" s="36" t="s">
        <v>591</v>
      </c>
      <c r="E81" s="37">
        <v>43519</v>
      </c>
      <c r="F81" s="38" t="s">
        <v>77</v>
      </c>
      <c r="G81" s="39">
        <v>5760</v>
      </c>
      <c r="H81" s="38">
        <f t="shared" si="11"/>
        <v>24</v>
      </c>
      <c r="I81" s="38">
        <f t="shared" si="10"/>
        <v>6</v>
      </c>
      <c r="J81" s="38"/>
      <c r="K81" s="40">
        <v>43605</v>
      </c>
      <c r="L81" s="41" t="s">
        <v>607</v>
      </c>
      <c r="M81" s="42">
        <v>43601</v>
      </c>
      <c r="N81" s="43" t="s">
        <v>601</v>
      </c>
      <c r="O81" s="42">
        <v>43605</v>
      </c>
      <c r="P81" s="45" t="s">
        <v>663</v>
      </c>
      <c r="Q81" s="38"/>
      <c r="R81" s="115" t="s">
        <v>592</v>
      </c>
      <c r="S81" s="46"/>
    </row>
    <row r="82" spans="2:19" s="30" customFormat="1" ht="33" customHeight="1">
      <c r="B82" s="46" t="s">
        <v>83</v>
      </c>
      <c r="C82" s="35" t="s">
        <v>321</v>
      </c>
      <c r="D82" s="36" t="s">
        <v>727</v>
      </c>
      <c r="E82" s="37">
        <v>43532</v>
      </c>
      <c r="F82" s="38" t="s">
        <v>77</v>
      </c>
      <c r="G82" s="39">
        <v>6720</v>
      </c>
      <c r="H82" s="38">
        <f t="shared" si="11"/>
        <v>28</v>
      </c>
      <c r="I82" s="38">
        <f t="shared" si="10"/>
        <v>7</v>
      </c>
      <c r="J82" s="38"/>
      <c r="K82" s="40">
        <v>43633</v>
      </c>
      <c r="L82" s="41" t="s">
        <v>770</v>
      </c>
      <c r="M82" s="42">
        <v>43627</v>
      </c>
      <c r="N82" s="43" t="s">
        <v>769</v>
      </c>
      <c r="O82" s="42">
        <v>43632</v>
      </c>
      <c r="P82" s="45"/>
      <c r="Q82" s="38"/>
      <c r="R82" s="115" t="s">
        <v>728</v>
      </c>
      <c r="S82" s="46"/>
    </row>
    <row r="83" spans="2:19" s="30" customFormat="1" ht="33" customHeight="1">
      <c r="B83" s="46" t="s">
        <v>83</v>
      </c>
      <c r="C83" s="35" t="s">
        <v>324</v>
      </c>
      <c r="D83" s="36" t="s">
        <v>1234</v>
      </c>
      <c r="E83" s="37">
        <v>43567</v>
      </c>
      <c r="F83" s="38" t="s">
        <v>77</v>
      </c>
      <c r="G83" s="39">
        <v>5760</v>
      </c>
      <c r="H83" s="38">
        <f t="shared" si="11"/>
        <v>24</v>
      </c>
      <c r="I83" s="38">
        <f t="shared" si="10"/>
        <v>6</v>
      </c>
      <c r="J83" s="38"/>
      <c r="K83" s="40">
        <v>43667</v>
      </c>
      <c r="L83" s="41" t="s">
        <v>1326</v>
      </c>
      <c r="M83" s="42">
        <v>43662</v>
      </c>
      <c r="N83" s="43" t="s">
        <v>836</v>
      </c>
      <c r="O83" s="42">
        <v>43667</v>
      </c>
      <c r="P83" s="45"/>
      <c r="Q83" s="38"/>
      <c r="R83" s="115" t="s">
        <v>1235</v>
      </c>
      <c r="S83" s="46"/>
    </row>
    <row r="84" spans="2:19" s="34" customFormat="1" ht="33" customHeight="1">
      <c r="B84" s="47" t="s">
        <v>210</v>
      </c>
      <c r="C84" s="48" t="s">
        <v>225</v>
      </c>
      <c r="D84" s="49" t="s">
        <v>433</v>
      </c>
      <c r="E84" s="50">
        <v>43473</v>
      </c>
      <c r="F84" s="52" t="s">
        <v>218</v>
      </c>
      <c r="G84" s="51">
        <v>1920</v>
      </c>
      <c r="H84" s="52">
        <f t="shared" ref="H84:H100" si="12">SUM(G84/20)</f>
        <v>96</v>
      </c>
      <c r="I84" s="52">
        <f t="shared" ref="I84:I100" si="13">SUM(H84/32)</f>
        <v>3</v>
      </c>
      <c r="J84" s="52"/>
      <c r="K84" s="53">
        <v>43520</v>
      </c>
      <c r="L84" s="54" t="s">
        <v>365</v>
      </c>
      <c r="M84" s="55">
        <v>43515</v>
      </c>
      <c r="N84" s="56" t="s">
        <v>347</v>
      </c>
      <c r="O84" s="55">
        <v>43520</v>
      </c>
      <c r="P84" s="58"/>
      <c r="Q84" s="52"/>
      <c r="R84" s="63" t="s">
        <v>211</v>
      </c>
      <c r="S84" s="52"/>
    </row>
    <row r="85" spans="2:19" s="34" customFormat="1" ht="33" customHeight="1">
      <c r="B85" s="47" t="s">
        <v>210</v>
      </c>
      <c r="C85" s="48" t="s">
        <v>226</v>
      </c>
      <c r="D85" s="49" t="s">
        <v>593</v>
      </c>
      <c r="E85" s="50">
        <v>43483</v>
      </c>
      <c r="F85" s="52" t="s">
        <v>218</v>
      </c>
      <c r="G85" s="51">
        <v>640</v>
      </c>
      <c r="H85" s="52">
        <f t="shared" si="12"/>
        <v>32</v>
      </c>
      <c r="I85" s="52">
        <f t="shared" si="13"/>
        <v>1</v>
      </c>
      <c r="J85" s="52"/>
      <c r="K85" s="53">
        <v>43534</v>
      </c>
      <c r="L85" s="54" t="s">
        <v>566</v>
      </c>
      <c r="M85" s="55"/>
      <c r="N85" s="56"/>
      <c r="O85" s="55">
        <v>43520</v>
      </c>
      <c r="P85" s="58" t="s">
        <v>651</v>
      </c>
      <c r="Q85" s="52"/>
      <c r="R85" s="63" t="s">
        <v>211</v>
      </c>
      <c r="S85" s="52"/>
    </row>
    <row r="86" spans="2:19" s="34" customFormat="1" ht="33" customHeight="1">
      <c r="B86" s="47" t="s">
        <v>210</v>
      </c>
      <c r="C86" s="48" t="s">
        <v>226</v>
      </c>
      <c r="D86" s="49" t="s">
        <v>434</v>
      </c>
      <c r="E86" s="50">
        <v>43483</v>
      </c>
      <c r="F86" s="52" t="s">
        <v>218</v>
      </c>
      <c r="G86" s="51">
        <v>1920</v>
      </c>
      <c r="H86" s="52">
        <f t="shared" si="12"/>
        <v>96</v>
      </c>
      <c r="I86" s="52">
        <f t="shared" si="13"/>
        <v>3</v>
      </c>
      <c r="J86" s="52"/>
      <c r="K86" s="53">
        <v>43534</v>
      </c>
      <c r="L86" s="54" t="s">
        <v>567</v>
      </c>
      <c r="M86" s="55">
        <v>43524</v>
      </c>
      <c r="N86" s="56" t="s">
        <v>594</v>
      </c>
      <c r="O86" s="55">
        <v>43528</v>
      </c>
      <c r="P86" s="58" t="s">
        <v>652</v>
      </c>
      <c r="Q86" s="52" t="s">
        <v>615</v>
      </c>
      <c r="R86" s="63" t="s">
        <v>211</v>
      </c>
      <c r="S86" s="52"/>
    </row>
    <row r="87" spans="2:19" s="34" customFormat="1" ht="33" customHeight="1">
      <c r="B87" s="47" t="s">
        <v>210</v>
      </c>
      <c r="C87" s="48" t="s">
        <v>226</v>
      </c>
      <c r="D87" s="49" t="s">
        <v>434</v>
      </c>
      <c r="E87" s="50">
        <v>43483</v>
      </c>
      <c r="F87" s="52" t="s">
        <v>218</v>
      </c>
      <c r="G87" s="51">
        <v>1280</v>
      </c>
      <c r="H87" s="52">
        <f t="shared" si="12"/>
        <v>64</v>
      </c>
      <c r="I87" s="52">
        <f t="shared" si="13"/>
        <v>2</v>
      </c>
      <c r="J87" s="52"/>
      <c r="K87" s="53">
        <v>43534</v>
      </c>
      <c r="L87" s="54" t="s">
        <v>501</v>
      </c>
      <c r="M87" s="55">
        <v>43531</v>
      </c>
      <c r="N87" s="56" t="s">
        <v>568</v>
      </c>
      <c r="O87" s="55">
        <v>43535</v>
      </c>
      <c r="P87" s="58" t="s">
        <v>653</v>
      </c>
      <c r="Q87" s="52" t="s">
        <v>614</v>
      </c>
      <c r="R87" s="63" t="s">
        <v>211</v>
      </c>
      <c r="S87" s="52" t="s">
        <v>611</v>
      </c>
    </row>
    <row r="88" spans="2:19" s="34" customFormat="1" ht="33" customHeight="1">
      <c r="B88" s="47" t="s">
        <v>210</v>
      </c>
      <c r="C88" s="48" t="s">
        <v>233</v>
      </c>
      <c r="D88" s="49" t="s">
        <v>525</v>
      </c>
      <c r="E88" s="50">
        <v>43507</v>
      </c>
      <c r="F88" s="52" t="s">
        <v>218</v>
      </c>
      <c r="G88" s="51">
        <v>1920</v>
      </c>
      <c r="H88" s="52">
        <f t="shared" si="12"/>
        <v>96</v>
      </c>
      <c r="I88" s="52">
        <f t="shared" si="13"/>
        <v>3</v>
      </c>
      <c r="J88" s="52"/>
      <c r="K88" s="53">
        <v>43541</v>
      </c>
      <c r="L88" s="54" t="s">
        <v>502</v>
      </c>
      <c r="M88" s="55">
        <v>43536</v>
      </c>
      <c r="N88" s="56" t="s">
        <v>346</v>
      </c>
      <c r="O88" s="55">
        <v>43541</v>
      </c>
      <c r="P88" s="58" t="s">
        <v>654</v>
      </c>
      <c r="Q88" s="52" t="s">
        <v>612</v>
      </c>
      <c r="R88" s="63" t="s">
        <v>211</v>
      </c>
      <c r="S88" s="52"/>
    </row>
    <row r="89" spans="2:19" s="34" customFormat="1" ht="33" customHeight="1">
      <c r="B89" s="47" t="s">
        <v>210</v>
      </c>
      <c r="C89" s="48" t="s">
        <v>595</v>
      </c>
      <c r="D89" s="49" t="s">
        <v>525</v>
      </c>
      <c r="E89" s="50">
        <v>43519</v>
      </c>
      <c r="F89" s="52" t="s">
        <v>218</v>
      </c>
      <c r="G89" s="51">
        <v>1920</v>
      </c>
      <c r="H89" s="52">
        <f t="shared" si="12"/>
        <v>96</v>
      </c>
      <c r="I89" s="52">
        <f t="shared" si="13"/>
        <v>3</v>
      </c>
      <c r="J89" s="52"/>
      <c r="K89" s="53">
        <v>43555</v>
      </c>
      <c r="L89" s="54" t="s">
        <v>644</v>
      </c>
      <c r="M89" s="55">
        <v>43550</v>
      </c>
      <c r="N89" s="56" t="s">
        <v>344</v>
      </c>
      <c r="O89" s="55">
        <v>43555</v>
      </c>
      <c r="P89" s="58"/>
      <c r="Q89" s="52" t="s">
        <v>613</v>
      </c>
      <c r="R89" s="63" t="s">
        <v>211</v>
      </c>
      <c r="S89" s="52"/>
    </row>
    <row r="90" spans="2:19" s="32" customFormat="1" ht="33" customHeight="1">
      <c r="B90" s="46" t="s">
        <v>210</v>
      </c>
      <c r="C90" s="35" t="s">
        <v>285</v>
      </c>
      <c r="D90" s="36" t="s">
        <v>526</v>
      </c>
      <c r="E90" s="37">
        <v>43507</v>
      </c>
      <c r="F90" s="38" t="s">
        <v>218</v>
      </c>
      <c r="G90" s="39">
        <v>3200</v>
      </c>
      <c r="H90" s="38">
        <f t="shared" si="12"/>
        <v>160</v>
      </c>
      <c r="I90" s="38">
        <f t="shared" si="13"/>
        <v>5</v>
      </c>
      <c r="J90" s="38"/>
      <c r="K90" s="40">
        <v>43576</v>
      </c>
      <c r="L90" s="41" t="s">
        <v>503</v>
      </c>
      <c r="M90" s="42">
        <v>43571</v>
      </c>
      <c r="N90" s="43" t="s">
        <v>445</v>
      </c>
      <c r="O90" s="42">
        <v>43576</v>
      </c>
      <c r="P90" s="45"/>
      <c r="Q90" s="38" t="s">
        <v>643</v>
      </c>
      <c r="R90" s="66" t="s">
        <v>211</v>
      </c>
      <c r="S90" s="38"/>
    </row>
    <row r="91" spans="2:19" s="32" customFormat="1" ht="33" customHeight="1">
      <c r="B91" s="46" t="s">
        <v>210</v>
      </c>
      <c r="C91" s="35" t="s">
        <v>650</v>
      </c>
      <c r="D91" s="36" t="s">
        <v>526</v>
      </c>
      <c r="E91" s="37">
        <v>43507</v>
      </c>
      <c r="F91" s="38" t="s">
        <v>218</v>
      </c>
      <c r="G91" s="39">
        <v>640</v>
      </c>
      <c r="H91" s="38">
        <f>SUM(G91/20)</f>
        <v>32</v>
      </c>
      <c r="I91" s="38">
        <f>SUM(H91/32)</f>
        <v>1</v>
      </c>
      <c r="J91" s="38"/>
      <c r="K91" s="40">
        <v>43576</v>
      </c>
      <c r="L91" s="41" t="s">
        <v>448</v>
      </c>
      <c r="M91" s="42">
        <v>43578</v>
      </c>
      <c r="N91" s="43" t="s">
        <v>447</v>
      </c>
      <c r="O91" s="42">
        <v>43583</v>
      </c>
      <c r="P91" s="45"/>
      <c r="Q91" s="38" t="s">
        <v>643</v>
      </c>
      <c r="R91" s="66" t="s">
        <v>211</v>
      </c>
      <c r="S91" s="38"/>
    </row>
    <row r="92" spans="2:19" s="32" customFormat="1" ht="33" customHeight="1">
      <c r="B92" s="46" t="s">
        <v>210</v>
      </c>
      <c r="C92" s="35" t="s">
        <v>331</v>
      </c>
      <c r="D92" s="36" t="s">
        <v>632</v>
      </c>
      <c r="E92" s="37">
        <v>43519</v>
      </c>
      <c r="F92" s="38" t="s">
        <v>218</v>
      </c>
      <c r="G92" s="39">
        <v>3200</v>
      </c>
      <c r="H92" s="38">
        <f t="shared" si="12"/>
        <v>160</v>
      </c>
      <c r="I92" s="38">
        <f t="shared" si="13"/>
        <v>5</v>
      </c>
      <c r="J92" s="38"/>
      <c r="K92" s="40">
        <v>43562</v>
      </c>
      <c r="L92" s="41" t="s">
        <v>608</v>
      </c>
      <c r="M92" s="42">
        <v>43557</v>
      </c>
      <c r="N92" s="43" t="s">
        <v>403</v>
      </c>
      <c r="O92" s="42">
        <v>43562</v>
      </c>
      <c r="P92" s="45"/>
      <c r="Q92" s="38" t="s">
        <v>642</v>
      </c>
      <c r="R92" s="66" t="s">
        <v>211</v>
      </c>
      <c r="S92" s="38"/>
    </row>
    <row r="93" spans="2:19" s="32" customFormat="1" ht="33" customHeight="1">
      <c r="B93" s="46" t="s">
        <v>210</v>
      </c>
      <c r="C93" s="35" t="s">
        <v>647</v>
      </c>
      <c r="D93" s="36" t="s">
        <v>632</v>
      </c>
      <c r="E93" s="37">
        <v>43519</v>
      </c>
      <c r="F93" s="38" t="s">
        <v>218</v>
      </c>
      <c r="G93" s="39">
        <v>640</v>
      </c>
      <c r="H93" s="38">
        <f>SUM(G93/20)</f>
        <v>32</v>
      </c>
      <c r="I93" s="38">
        <f>SUM(H93/32)</f>
        <v>1</v>
      </c>
      <c r="J93" s="38"/>
      <c r="K93" s="40">
        <v>43562</v>
      </c>
      <c r="L93" s="41" t="s">
        <v>480</v>
      </c>
      <c r="M93" s="42">
        <v>43564</v>
      </c>
      <c r="N93" s="43" t="s">
        <v>646</v>
      </c>
      <c r="O93" s="42">
        <v>43569</v>
      </c>
      <c r="P93" s="45"/>
      <c r="Q93" s="38" t="s">
        <v>642</v>
      </c>
      <c r="R93" s="66" t="s">
        <v>211</v>
      </c>
      <c r="S93" s="38"/>
    </row>
    <row r="94" spans="2:19" s="32" customFormat="1" ht="33" customHeight="1">
      <c r="B94" s="46" t="s">
        <v>210</v>
      </c>
      <c r="C94" s="35" t="s">
        <v>431</v>
      </c>
      <c r="D94" s="36" t="s">
        <v>633</v>
      </c>
      <c r="E94" s="37">
        <v>43523</v>
      </c>
      <c r="F94" s="38" t="s">
        <v>218</v>
      </c>
      <c r="G94" s="39">
        <v>3200</v>
      </c>
      <c r="H94" s="38">
        <f t="shared" si="12"/>
        <v>160</v>
      </c>
      <c r="I94" s="38">
        <f t="shared" si="13"/>
        <v>5</v>
      </c>
      <c r="J94" s="38"/>
      <c r="K94" s="40">
        <v>43597</v>
      </c>
      <c r="L94" s="41" t="s">
        <v>605</v>
      </c>
      <c r="M94" s="42">
        <v>43594</v>
      </c>
      <c r="N94" s="43" t="s">
        <v>561</v>
      </c>
      <c r="O94" s="42">
        <v>43598</v>
      </c>
      <c r="P94" s="45"/>
      <c r="Q94" s="38" t="s">
        <v>641</v>
      </c>
      <c r="R94" s="66" t="s">
        <v>211</v>
      </c>
      <c r="S94" s="38"/>
    </row>
    <row r="95" spans="2:19" s="32" customFormat="1" ht="33" customHeight="1">
      <c r="B95" s="46" t="s">
        <v>210</v>
      </c>
      <c r="C95" s="35" t="s">
        <v>648</v>
      </c>
      <c r="D95" s="36" t="s">
        <v>633</v>
      </c>
      <c r="E95" s="37">
        <v>43523</v>
      </c>
      <c r="F95" s="38" t="s">
        <v>218</v>
      </c>
      <c r="G95" s="39">
        <v>640</v>
      </c>
      <c r="H95" s="38">
        <f>SUM(G95/20)</f>
        <v>32</v>
      </c>
      <c r="I95" s="38">
        <f>SUM(H95/32)</f>
        <v>1</v>
      </c>
      <c r="J95" s="38"/>
      <c r="K95" s="40">
        <v>43618</v>
      </c>
      <c r="L95" s="41" t="s">
        <v>977</v>
      </c>
      <c r="M95" s="42">
        <v>43613</v>
      </c>
      <c r="N95" s="43" t="s">
        <v>766</v>
      </c>
      <c r="O95" s="42">
        <v>43618</v>
      </c>
      <c r="P95" s="45"/>
      <c r="Q95" s="38" t="s">
        <v>641</v>
      </c>
      <c r="R95" s="66" t="s">
        <v>211</v>
      </c>
      <c r="S95" s="38"/>
    </row>
    <row r="96" spans="2:19" s="32" customFormat="1" ht="33" customHeight="1">
      <c r="B96" s="46" t="s">
        <v>210</v>
      </c>
      <c r="C96" s="35" t="s">
        <v>738</v>
      </c>
      <c r="D96" s="36" t="s">
        <v>739</v>
      </c>
      <c r="E96" s="37">
        <v>43532</v>
      </c>
      <c r="F96" s="38" t="s">
        <v>218</v>
      </c>
      <c r="G96" s="39">
        <v>2560</v>
      </c>
      <c r="H96" s="38">
        <f t="shared" ref="H96:H97" si="14">SUM(G96/20)</f>
        <v>128</v>
      </c>
      <c r="I96" s="38">
        <f t="shared" ref="I96:I97" si="15">SUM(H96/32)</f>
        <v>4</v>
      </c>
      <c r="J96" s="38"/>
      <c r="K96" s="40">
        <v>43618</v>
      </c>
      <c r="L96" s="41" t="s">
        <v>977</v>
      </c>
      <c r="M96" s="42">
        <v>43613</v>
      </c>
      <c r="N96" s="43" t="s">
        <v>766</v>
      </c>
      <c r="O96" s="42">
        <v>43618</v>
      </c>
      <c r="P96" s="45"/>
      <c r="Q96" s="38" t="s">
        <v>970</v>
      </c>
      <c r="R96" s="66" t="s">
        <v>211</v>
      </c>
      <c r="S96" s="38"/>
    </row>
    <row r="97" spans="2:19" s="32" customFormat="1" ht="33" customHeight="1">
      <c r="B97" s="46" t="s">
        <v>210</v>
      </c>
      <c r="C97" s="35" t="s">
        <v>589</v>
      </c>
      <c r="D97" s="36" t="s">
        <v>1260</v>
      </c>
      <c r="E97" s="37">
        <v>43558</v>
      </c>
      <c r="F97" s="38" t="s">
        <v>218</v>
      </c>
      <c r="G97" s="39">
        <v>3200</v>
      </c>
      <c r="H97" s="38">
        <f t="shared" si="14"/>
        <v>160</v>
      </c>
      <c r="I97" s="38">
        <f t="shared" si="15"/>
        <v>5</v>
      </c>
      <c r="J97" s="38"/>
      <c r="K97" s="40">
        <v>43639</v>
      </c>
      <c r="L97" s="41" t="s">
        <v>978</v>
      </c>
      <c r="M97" s="42">
        <v>43634</v>
      </c>
      <c r="N97" s="43" t="s">
        <v>764</v>
      </c>
      <c r="O97" s="42">
        <v>43639</v>
      </c>
      <c r="P97" s="45"/>
      <c r="Q97" s="38" t="s">
        <v>973</v>
      </c>
      <c r="R97" s="66" t="s">
        <v>211</v>
      </c>
      <c r="S97" s="38"/>
    </row>
    <row r="98" spans="2:19" s="34" customFormat="1" ht="33" customHeight="1">
      <c r="B98" s="47" t="s">
        <v>215</v>
      </c>
      <c r="C98" s="48" t="s">
        <v>207</v>
      </c>
      <c r="D98" s="49" t="s">
        <v>416</v>
      </c>
      <c r="E98" s="50"/>
      <c r="F98" s="52" t="s">
        <v>228</v>
      </c>
      <c r="G98" s="51">
        <v>640</v>
      </c>
      <c r="H98" s="52">
        <f t="shared" si="12"/>
        <v>32</v>
      </c>
      <c r="I98" s="52">
        <f t="shared" si="13"/>
        <v>1</v>
      </c>
      <c r="J98" s="52"/>
      <c r="K98" s="53">
        <v>43513</v>
      </c>
      <c r="L98" s="54" t="s">
        <v>276</v>
      </c>
      <c r="M98" s="55">
        <v>43508</v>
      </c>
      <c r="N98" s="56" t="s">
        <v>345</v>
      </c>
      <c r="O98" s="55">
        <v>43513</v>
      </c>
      <c r="P98" s="58"/>
      <c r="Q98" s="52"/>
      <c r="R98" s="63" t="s">
        <v>211</v>
      </c>
      <c r="S98" s="52"/>
    </row>
    <row r="99" spans="2:19" s="34" customFormat="1" ht="33" customHeight="1">
      <c r="B99" s="47" t="s">
        <v>215</v>
      </c>
      <c r="C99" s="48" t="s">
        <v>234</v>
      </c>
      <c r="D99" s="49" t="s">
        <v>635</v>
      </c>
      <c r="E99" s="50">
        <v>43519</v>
      </c>
      <c r="F99" s="52" t="s">
        <v>228</v>
      </c>
      <c r="G99" s="51">
        <v>1280</v>
      </c>
      <c r="H99" s="52">
        <f t="shared" si="12"/>
        <v>64</v>
      </c>
      <c r="I99" s="52">
        <f t="shared" si="13"/>
        <v>2</v>
      </c>
      <c r="J99" s="52"/>
      <c r="K99" s="53">
        <v>43576</v>
      </c>
      <c r="L99" s="54" t="s">
        <v>644</v>
      </c>
      <c r="M99" s="55">
        <v>43550</v>
      </c>
      <c r="N99" s="56" t="s">
        <v>344</v>
      </c>
      <c r="O99" s="55">
        <v>43555</v>
      </c>
      <c r="P99" s="58" t="s">
        <v>655</v>
      </c>
      <c r="Q99" s="52" t="s">
        <v>613</v>
      </c>
      <c r="R99" s="63" t="s">
        <v>211</v>
      </c>
      <c r="S99" s="52"/>
    </row>
    <row r="100" spans="2:19" s="32" customFormat="1" ht="33" customHeight="1">
      <c r="B100" s="46" t="s">
        <v>215</v>
      </c>
      <c r="C100" s="35" t="s">
        <v>235</v>
      </c>
      <c r="D100" s="36" t="s">
        <v>744</v>
      </c>
      <c r="E100" s="37">
        <v>43532</v>
      </c>
      <c r="F100" s="38" t="s">
        <v>228</v>
      </c>
      <c r="G100" s="39">
        <v>1280</v>
      </c>
      <c r="H100" s="38">
        <f t="shared" si="12"/>
        <v>64</v>
      </c>
      <c r="I100" s="38">
        <f t="shared" si="13"/>
        <v>2</v>
      </c>
      <c r="J100" s="38"/>
      <c r="K100" s="40">
        <v>43597</v>
      </c>
      <c r="L100" s="41" t="s">
        <v>605</v>
      </c>
      <c r="M100" s="42">
        <v>43594</v>
      </c>
      <c r="N100" s="43" t="s">
        <v>772</v>
      </c>
      <c r="O100" s="42">
        <v>43598</v>
      </c>
      <c r="P100" s="45"/>
      <c r="Q100" s="38" t="s">
        <v>641</v>
      </c>
      <c r="R100" s="66" t="s">
        <v>211</v>
      </c>
      <c r="S100" s="38"/>
    </row>
    <row r="101" spans="2:19" s="30" customFormat="1" ht="33" customHeight="1">
      <c r="B101" s="46" t="s">
        <v>86</v>
      </c>
      <c r="C101" s="35" t="s">
        <v>225</v>
      </c>
      <c r="D101" s="36" t="s">
        <v>487</v>
      </c>
      <c r="E101" s="37">
        <v>43490</v>
      </c>
      <c r="F101" s="38" t="s">
        <v>87</v>
      </c>
      <c r="G101" s="39">
        <v>1520</v>
      </c>
      <c r="H101" s="38">
        <f>SUM(G101/190)</f>
        <v>8</v>
      </c>
      <c r="I101" s="38">
        <f>SUM(H101/4)</f>
        <v>2</v>
      </c>
      <c r="J101" s="38"/>
      <c r="K101" s="40">
        <v>43569</v>
      </c>
      <c r="L101" s="41" t="s">
        <v>417</v>
      </c>
      <c r="M101" s="42">
        <v>43564</v>
      </c>
      <c r="N101" s="43" t="s">
        <v>405</v>
      </c>
      <c r="O101" s="42">
        <v>43569</v>
      </c>
      <c r="P101" s="45"/>
      <c r="Q101" s="38"/>
      <c r="R101" s="66" t="s">
        <v>495</v>
      </c>
      <c r="S101" s="46"/>
    </row>
    <row r="102" spans="2:19" s="30" customFormat="1" ht="33" customHeight="1">
      <c r="B102" s="46" t="s">
        <v>86</v>
      </c>
      <c r="C102" s="35" t="s">
        <v>226</v>
      </c>
      <c r="D102" s="36" t="s">
        <v>833</v>
      </c>
      <c r="E102" s="37">
        <v>43546</v>
      </c>
      <c r="F102" s="38" t="s">
        <v>87</v>
      </c>
      <c r="G102" s="39">
        <v>1520</v>
      </c>
      <c r="H102" s="38">
        <f>SUM(G102/190)</f>
        <v>8</v>
      </c>
      <c r="I102" s="38">
        <f>SUM(H102/4)</f>
        <v>2</v>
      </c>
      <c r="J102" s="38"/>
      <c r="K102" s="40">
        <v>43632</v>
      </c>
      <c r="L102" s="41" t="s">
        <v>838</v>
      </c>
      <c r="M102" s="42">
        <v>43627</v>
      </c>
      <c r="N102" s="43" t="s">
        <v>769</v>
      </c>
      <c r="O102" s="42">
        <v>43632</v>
      </c>
      <c r="P102" s="45"/>
      <c r="Q102" s="38"/>
      <c r="R102" s="66" t="s">
        <v>928</v>
      </c>
      <c r="S102" s="46"/>
    </row>
    <row r="103" spans="2:19" s="33" customFormat="1" ht="33" customHeight="1">
      <c r="B103" s="47" t="s">
        <v>223</v>
      </c>
      <c r="C103" s="48" t="s">
        <v>90</v>
      </c>
      <c r="D103" s="49" t="s">
        <v>237</v>
      </c>
      <c r="E103" s="50"/>
      <c r="F103" s="47" t="s">
        <v>236</v>
      </c>
      <c r="G103" s="51">
        <v>800</v>
      </c>
      <c r="H103" s="52">
        <f t="shared" ref="H103:H115" si="16">SUM(G103/200)</f>
        <v>4</v>
      </c>
      <c r="I103" s="52">
        <f t="shared" ref="I103:I115" si="17">SUM(H103/4)</f>
        <v>1</v>
      </c>
      <c r="J103" s="52"/>
      <c r="K103" s="53">
        <v>43513</v>
      </c>
      <c r="L103" s="54" t="s">
        <v>348</v>
      </c>
      <c r="M103" s="55">
        <v>43515</v>
      </c>
      <c r="N103" s="56" t="s">
        <v>347</v>
      </c>
      <c r="O103" s="55">
        <v>43520</v>
      </c>
      <c r="P103" s="58" t="s">
        <v>505</v>
      </c>
      <c r="Q103" s="52"/>
      <c r="R103" s="63"/>
      <c r="S103" s="47"/>
    </row>
    <row r="104" spans="2:19" s="33" customFormat="1" ht="33" customHeight="1">
      <c r="B104" s="47" t="s">
        <v>223</v>
      </c>
      <c r="C104" s="48" t="s">
        <v>90</v>
      </c>
      <c r="D104" s="49" t="s">
        <v>237</v>
      </c>
      <c r="E104" s="50"/>
      <c r="F104" s="47" t="s">
        <v>236</v>
      </c>
      <c r="G104" s="51">
        <v>1600</v>
      </c>
      <c r="H104" s="52">
        <f t="shared" si="16"/>
        <v>8</v>
      </c>
      <c r="I104" s="52">
        <f t="shared" si="17"/>
        <v>2</v>
      </c>
      <c r="J104" s="52"/>
      <c r="K104" s="53">
        <v>43520</v>
      </c>
      <c r="L104" s="54" t="s">
        <v>348</v>
      </c>
      <c r="M104" s="55">
        <v>43515</v>
      </c>
      <c r="N104" s="56" t="s">
        <v>347</v>
      </c>
      <c r="O104" s="55">
        <v>43520</v>
      </c>
      <c r="P104" s="58" t="s">
        <v>506</v>
      </c>
      <c r="Q104" s="52"/>
      <c r="R104" s="63"/>
      <c r="S104" s="47"/>
    </row>
    <row r="105" spans="2:19" s="33" customFormat="1" ht="33" customHeight="1">
      <c r="B105" s="47" t="s">
        <v>223</v>
      </c>
      <c r="C105" s="48" t="s">
        <v>399</v>
      </c>
      <c r="D105" s="49" t="s">
        <v>237</v>
      </c>
      <c r="E105" s="50"/>
      <c r="F105" s="47" t="s">
        <v>236</v>
      </c>
      <c r="G105" s="51">
        <v>2400</v>
      </c>
      <c r="H105" s="52">
        <f t="shared" si="16"/>
        <v>12</v>
      </c>
      <c r="I105" s="52">
        <f t="shared" si="17"/>
        <v>3</v>
      </c>
      <c r="J105" s="52"/>
      <c r="K105" s="53">
        <v>43527</v>
      </c>
      <c r="L105" s="54" t="s">
        <v>402</v>
      </c>
      <c r="M105" s="55">
        <v>43531</v>
      </c>
      <c r="N105" s="56" t="s">
        <v>568</v>
      </c>
      <c r="O105" s="55">
        <v>43535</v>
      </c>
      <c r="P105" s="58"/>
      <c r="Q105" s="52"/>
      <c r="R105" s="63"/>
      <c r="S105" s="47" t="s">
        <v>611</v>
      </c>
    </row>
    <row r="106" spans="2:19" s="33" customFormat="1" ht="33" customHeight="1">
      <c r="B106" s="47" t="s">
        <v>238</v>
      </c>
      <c r="C106" s="48" t="s">
        <v>227</v>
      </c>
      <c r="D106" s="49" t="s">
        <v>435</v>
      </c>
      <c r="E106" s="50"/>
      <c r="F106" s="52" t="s">
        <v>236</v>
      </c>
      <c r="G106" s="51">
        <v>2400</v>
      </c>
      <c r="H106" s="52">
        <f t="shared" si="16"/>
        <v>12</v>
      </c>
      <c r="I106" s="52">
        <f t="shared" si="17"/>
        <v>3</v>
      </c>
      <c r="J106" s="52"/>
      <c r="K106" s="53">
        <v>43548</v>
      </c>
      <c r="L106" s="54" t="s">
        <v>401</v>
      </c>
      <c r="M106" s="55">
        <v>43543</v>
      </c>
      <c r="N106" s="56" t="s">
        <v>400</v>
      </c>
      <c r="O106" s="55">
        <v>43548</v>
      </c>
      <c r="P106" s="58"/>
      <c r="Q106" s="52"/>
      <c r="R106" s="63"/>
      <c r="S106" s="47"/>
    </row>
    <row r="107" spans="2:19" s="30" customFormat="1" ht="33" customHeight="1">
      <c r="B107" s="46" t="s">
        <v>238</v>
      </c>
      <c r="C107" s="35" t="s">
        <v>274</v>
      </c>
      <c r="D107" s="36" t="s">
        <v>474</v>
      </c>
      <c r="E107" s="37"/>
      <c r="F107" s="38" t="s">
        <v>236</v>
      </c>
      <c r="G107" s="39">
        <v>3200</v>
      </c>
      <c r="H107" s="38">
        <f t="shared" si="16"/>
        <v>16</v>
      </c>
      <c r="I107" s="38">
        <f t="shared" si="17"/>
        <v>4</v>
      </c>
      <c r="J107" s="38"/>
      <c r="K107" s="40">
        <v>43562</v>
      </c>
      <c r="L107" s="41" t="s">
        <v>406</v>
      </c>
      <c r="M107" s="42">
        <v>43557</v>
      </c>
      <c r="N107" s="43" t="s">
        <v>403</v>
      </c>
      <c r="O107" s="42">
        <v>43562</v>
      </c>
      <c r="P107" s="45"/>
      <c r="Q107" s="38"/>
      <c r="R107" s="66"/>
      <c r="S107" s="46"/>
    </row>
    <row r="108" spans="2:19" s="30" customFormat="1" ht="33" customHeight="1">
      <c r="B108" s="46" t="s">
        <v>238</v>
      </c>
      <c r="C108" s="35" t="s">
        <v>404</v>
      </c>
      <c r="D108" s="36" t="s">
        <v>475</v>
      </c>
      <c r="E108" s="37"/>
      <c r="F108" s="38" t="s">
        <v>236</v>
      </c>
      <c r="G108" s="39">
        <v>1600</v>
      </c>
      <c r="H108" s="38">
        <f t="shared" si="16"/>
        <v>8</v>
      </c>
      <c r="I108" s="38">
        <f t="shared" si="17"/>
        <v>2</v>
      </c>
      <c r="J108" s="38"/>
      <c r="K108" s="40">
        <v>43562</v>
      </c>
      <c r="L108" s="41" t="s">
        <v>407</v>
      </c>
      <c r="M108" s="42">
        <v>43564</v>
      </c>
      <c r="N108" s="43" t="s">
        <v>405</v>
      </c>
      <c r="O108" s="42">
        <v>43569</v>
      </c>
      <c r="P108" s="45"/>
      <c r="Q108" s="38"/>
      <c r="R108" s="66"/>
      <c r="S108" s="46"/>
    </row>
    <row r="109" spans="2:19" s="30" customFormat="1" ht="33" customHeight="1">
      <c r="B109" s="46" t="s">
        <v>238</v>
      </c>
      <c r="C109" s="35" t="s">
        <v>490</v>
      </c>
      <c r="D109" s="36" t="s">
        <v>488</v>
      </c>
      <c r="E109" s="37">
        <v>43495</v>
      </c>
      <c r="F109" s="38" t="s">
        <v>236</v>
      </c>
      <c r="G109" s="39">
        <v>1600</v>
      </c>
      <c r="H109" s="38">
        <f t="shared" si="16"/>
        <v>8</v>
      </c>
      <c r="I109" s="38">
        <f t="shared" si="17"/>
        <v>2</v>
      </c>
      <c r="J109" s="38"/>
      <c r="K109" s="40">
        <v>43583</v>
      </c>
      <c r="L109" s="41" t="s">
        <v>481</v>
      </c>
      <c r="M109" s="42">
        <v>43578</v>
      </c>
      <c r="N109" s="43" t="s">
        <v>447</v>
      </c>
      <c r="O109" s="42">
        <v>43583</v>
      </c>
      <c r="P109" s="45"/>
      <c r="Q109" s="38"/>
      <c r="R109" s="66"/>
      <c r="S109" s="46"/>
    </row>
    <row r="110" spans="2:19" s="30" customFormat="1" ht="33" customHeight="1">
      <c r="B110" s="46" t="s">
        <v>238</v>
      </c>
      <c r="C110" s="35" t="s">
        <v>597</v>
      </c>
      <c r="D110" s="36" t="s">
        <v>598</v>
      </c>
      <c r="E110" s="37">
        <v>43519</v>
      </c>
      <c r="F110" s="38" t="s">
        <v>236</v>
      </c>
      <c r="G110" s="39">
        <v>1600</v>
      </c>
      <c r="H110" s="38">
        <f t="shared" si="16"/>
        <v>8</v>
      </c>
      <c r="I110" s="38">
        <f t="shared" si="17"/>
        <v>2</v>
      </c>
      <c r="J110" s="38"/>
      <c r="K110" s="40">
        <v>43597</v>
      </c>
      <c r="L110" s="41" t="s">
        <v>606</v>
      </c>
      <c r="M110" s="42">
        <v>43592</v>
      </c>
      <c r="N110" s="43" t="s">
        <v>600</v>
      </c>
      <c r="O110" s="42">
        <v>43597</v>
      </c>
      <c r="P110" s="45"/>
      <c r="Q110" s="38"/>
      <c r="R110" s="66"/>
      <c r="S110" s="46"/>
    </row>
    <row r="111" spans="2:19" s="30" customFormat="1" ht="33" customHeight="1">
      <c r="B111" s="46" t="s">
        <v>238</v>
      </c>
      <c r="C111" s="35" t="s">
        <v>1085</v>
      </c>
      <c r="D111" s="36" t="s">
        <v>598</v>
      </c>
      <c r="E111" s="37">
        <v>43519</v>
      </c>
      <c r="F111" s="38" t="s">
        <v>236</v>
      </c>
      <c r="G111" s="39">
        <v>1600</v>
      </c>
      <c r="H111" s="38">
        <f t="shared" si="16"/>
        <v>8</v>
      </c>
      <c r="I111" s="38">
        <f t="shared" si="17"/>
        <v>2</v>
      </c>
      <c r="J111" s="38"/>
      <c r="K111" s="40">
        <v>43597</v>
      </c>
      <c r="L111" s="41" t="s">
        <v>1086</v>
      </c>
      <c r="M111" s="42">
        <v>43606</v>
      </c>
      <c r="N111" s="43" t="s">
        <v>599</v>
      </c>
      <c r="O111" s="42">
        <v>43613</v>
      </c>
      <c r="P111" s="45"/>
      <c r="Q111" s="38"/>
      <c r="R111" s="66"/>
      <c r="S111" s="46"/>
    </row>
    <row r="112" spans="2:19" s="30" customFormat="1" ht="33" customHeight="1">
      <c r="B112" s="46" t="s">
        <v>238</v>
      </c>
      <c r="C112" s="35" t="s">
        <v>226</v>
      </c>
      <c r="D112" s="36" t="s">
        <v>749</v>
      </c>
      <c r="E112" s="37">
        <v>43532</v>
      </c>
      <c r="F112" s="38" t="s">
        <v>236</v>
      </c>
      <c r="G112" s="39">
        <v>3200</v>
      </c>
      <c r="H112" s="38">
        <f t="shared" si="16"/>
        <v>16</v>
      </c>
      <c r="I112" s="38">
        <f t="shared" si="17"/>
        <v>4</v>
      </c>
      <c r="J112" s="38"/>
      <c r="K112" s="40">
        <v>43625</v>
      </c>
      <c r="L112" s="41" t="s">
        <v>777</v>
      </c>
      <c r="M112" s="42">
        <v>43620</v>
      </c>
      <c r="N112" s="43" t="s">
        <v>768</v>
      </c>
      <c r="O112" s="42" t="s">
        <v>775</v>
      </c>
      <c r="P112" s="45"/>
      <c r="Q112" s="38"/>
      <c r="R112" s="66"/>
      <c r="S112" s="46"/>
    </row>
    <row r="113" spans="2:19" s="30" customFormat="1" ht="33" customHeight="1">
      <c r="B113" s="46" t="s">
        <v>238</v>
      </c>
      <c r="C113" s="35" t="s">
        <v>233</v>
      </c>
      <c r="D113" s="36" t="s">
        <v>750</v>
      </c>
      <c r="E113" s="37">
        <v>43532</v>
      </c>
      <c r="F113" s="38" t="s">
        <v>236</v>
      </c>
      <c r="G113" s="39">
        <v>3200</v>
      </c>
      <c r="H113" s="38">
        <f t="shared" si="16"/>
        <v>16</v>
      </c>
      <c r="I113" s="38">
        <f t="shared" si="17"/>
        <v>4</v>
      </c>
      <c r="J113" s="38"/>
      <c r="K113" s="40">
        <v>43646</v>
      </c>
      <c r="L113" s="41" t="s">
        <v>778</v>
      </c>
      <c r="M113" s="42">
        <v>43641</v>
      </c>
      <c r="N113" s="43" t="s">
        <v>776</v>
      </c>
      <c r="O113" s="42">
        <v>43646</v>
      </c>
      <c r="P113" s="45"/>
      <c r="Q113" s="38"/>
      <c r="R113" s="66"/>
      <c r="S113" s="46"/>
    </row>
    <row r="114" spans="2:19" s="30" customFormat="1" ht="33" customHeight="1">
      <c r="B114" s="46" t="s">
        <v>238</v>
      </c>
      <c r="C114" s="35" t="s">
        <v>285</v>
      </c>
      <c r="D114" s="36" t="s">
        <v>1305</v>
      </c>
      <c r="E114" s="37">
        <v>43567</v>
      </c>
      <c r="F114" s="38" t="s">
        <v>236</v>
      </c>
      <c r="G114" s="39">
        <v>3200</v>
      </c>
      <c r="H114" s="38">
        <f t="shared" si="16"/>
        <v>16</v>
      </c>
      <c r="I114" s="38">
        <f t="shared" si="17"/>
        <v>4</v>
      </c>
      <c r="J114" s="38"/>
      <c r="K114" s="40">
        <v>43660</v>
      </c>
      <c r="L114" s="41" t="s">
        <v>1327</v>
      </c>
      <c r="M114" s="42">
        <v>43655</v>
      </c>
      <c r="N114" s="43" t="s">
        <v>1315</v>
      </c>
      <c r="O114" s="42">
        <v>43660</v>
      </c>
      <c r="P114" s="45"/>
      <c r="Q114" s="38"/>
      <c r="R114" s="66"/>
      <c r="S114" s="46"/>
    </row>
    <row r="115" spans="2:19" s="30" customFormat="1" ht="33" customHeight="1">
      <c r="B115" s="46" t="s">
        <v>238</v>
      </c>
      <c r="C115" s="35" t="s">
        <v>331</v>
      </c>
      <c r="D115" s="36" t="s">
        <v>1306</v>
      </c>
      <c r="E115" s="37">
        <v>43567</v>
      </c>
      <c r="F115" s="38" t="s">
        <v>236</v>
      </c>
      <c r="G115" s="39">
        <v>3200</v>
      </c>
      <c r="H115" s="38">
        <f t="shared" si="16"/>
        <v>16</v>
      </c>
      <c r="I115" s="38">
        <f t="shared" si="17"/>
        <v>4</v>
      </c>
      <c r="J115" s="38"/>
      <c r="K115" s="40">
        <v>43674</v>
      </c>
      <c r="L115" s="41" t="s">
        <v>1324</v>
      </c>
      <c r="M115" s="42">
        <v>43669</v>
      </c>
      <c r="N115" s="43" t="s">
        <v>1313</v>
      </c>
      <c r="O115" s="42">
        <v>43674</v>
      </c>
      <c r="P115" s="45"/>
      <c r="Q115" s="38"/>
      <c r="R115" s="66"/>
      <c r="S115" s="46"/>
    </row>
    <row r="116" spans="2:19" s="30" customFormat="1">
      <c r="C116" s="22"/>
      <c r="D116" s="23"/>
      <c r="G116" s="24"/>
      <c r="K116" s="25"/>
      <c r="M116" s="26"/>
      <c r="N116" s="28"/>
      <c r="O116" s="26"/>
      <c r="R116" s="27"/>
    </row>
    <row r="117" spans="2:19" s="30" customFormat="1">
      <c r="C117" s="22"/>
      <c r="D117" s="23"/>
      <c r="G117" s="24"/>
      <c r="I117" s="30" t="s">
        <v>292</v>
      </c>
      <c r="K117" s="25"/>
      <c r="M117" s="26"/>
      <c r="N117" s="28"/>
      <c r="O117" s="26"/>
      <c r="R117" s="27"/>
    </row>
    <row r="118" spans="2:19" s="19" customFormat="1">
      <c r="B118"/>
      <c r="C118" s="15"/>
      <c r="D118" s="1"/>
      <c r="E118"/>
      <c r="F118"/>
      <c r="G118" s="11"/>
      <c r="H118"/>
      <c r="I118"/>
      <c r="J118"/>
      <c r="K118" s="13"/>
      <c r="L118"/>
      <c r="N118" s="28"/>
      <c r="P118"/>
      <c r="Q118"/>
      <c r="R118" s="17"/>
      <c r="S118"/>
    </row>
    <row r="119" spans="2:19" s="19" customFormat="1">
      <c r="B119"/>
      <c r="C119" s="15"/>
      <c r="D119" s="1"/>
      <c r="E119"/>
      <c r="F119"/>
      <c r="G119" s="11"/>
      <c r="H119"/>
      <c r="I119"/>
      <c r="J119"/>
      <c r="K119" s="13"/>
      <c r="L119"/>
      <c r="N119" s="28"/>
      <c r="P119"/>
      <c r="Q119"/>
      <c r="R119" s="17"/>
      <c r="S119"/>
    </row>
    <row r="120" spans="2:19" s="19" customFormat="1">
      <c r="B120"/>
      <c r="C120" s="15"/>
      <c r="D120" s="1"/>
      <c r="E120"/>
      <c r="F120"/>
      <c r="G120" s="11"/>
      <c r="H120"/>
      <c r="I120"/>
      <c r="J120"/>
      <c r="K120" s="13"/>
      <c r="L120"/>
      <c r="N120" s="28"/>
      <c r="P120"/>
      <c r="Q120"/>
      <c r="R120" s="17"/>
      <c r="S120"/>
    </row>
    <row r="121" spans="2:19" s="19" customFormat="1">
      <c r="B121"/>
      <c r="C121" s="15"/>
      <c r="D121" s="1"/>
      <c r="E121"/>
      <c r="F121"/>
      <c r="G121" s="11"/>
      <c r="H121"/>
      <c r="I121"/>
      <c r="J121"/>
      <c r="K121" s="13"/>
      <c r="L121"/>
      <c r="N121" s="28"/>
      <c r="P121"/>
      <c r="Q121"/>
      <c r="R121" s="17"/>
      <c r="S121"/>
    </row>
    <row r="122" spans="2:19" s="19" customFormat="1">
      <c r="B122"/>
      <c r="C122" s="15"/>
      <c r="D122" s="1"/>
      <c r="E122"/>
      <c r="F122"/>
      <c r="G122" s="11"/>
      <c r="H122"/>
      <c r="I122"/>
      <c r="J122"/>
      <c r="K122" s="13"/>
      <c r="L122"/>
      <c r="N122" s="28"/>
      <c r="P122"/>
      <c r="Q122"/>
      <c r="R122" s="17"/>
      <c r="S122"/>
    </row>
    <row r="123" spans="2:19" s="19" customFormat="1">
      <c r="B123"/>
      <c r="C123" s="15"/>
      <c r="D123" s="1"/>
      <c r="E123"/>
      <c r="F123"/>
      <c r="G123" s="11"/>
      <c r="H123"/>
      <c r="I123"/>
      <c r="J123"/>
      <c r="K123" s="13"/>
      <c r="L123"/>
      <c r="N123" s="28"/>
      <c r="P123"/>
      <c r="Q123"/>
      <c r="R123" s="17"/>
      <c r="S123"/>
    </row>
    <row r="124" spans="2:19">
      <c r="N124" s="28"/>
    </row>
    <row r="125" spans="2:19">
      <c r="N125" s="28"/>
    </row>
    <row r="126" spans="2:19">
      <c r="N126" s="28"/>
    </row>
    <row r="127" spans="2:19">
      <c r="N127" s="28"/>
    </row>
    <row r="128" spans="2:19">
      <c r="N128" s="28"/>
    </row>
    <row r="129" spans="2:19" s="19" customFormat="1">
      <c r="B129"/>
      <c r="C129" s="15"/>
      <c r="D129" s="1"/>
      <c r="E129"/>
      <c r="F129"/>
      <c r="G129" s="11"/>
      <c r="H129"/>
      <c r="I129"/>
      <c r="J129"/>
      <c r="K129" s="13"/>
      <c r="L129"/>
      <c r="N129" s="28"/>
      <c r="P129"/>
      <c r="Q129"/>
      <c r="R129" s="17"/>
      <c r="S129"/>
    </row>
    <row r="130" spans="2:19" s="19" customFormat="1">
      <c r="B130"/>
      <c r="C130" s="15"/>
      <c r="D130" s="1"/>
      <c r="E130"/>
      <c r="F130"/>
      <c r="G130" s="11"/>
      <c r="H130"/>
      <c r="I130"/>
      <c r="J130"/>
      <c r="K130" s="13"/>
      <c r="L130"/>
      <c r="N130" s="28"/>
      <c r="P130"/>
      <c r="Q130"/>
      <c r="R130" s="17"/>
      <c r="S130"/>
    </row>
    <row r="131" spans="2:19" s="19" customFormat="1">
      <c r="B131"/>
      <c r="C131" s="15"/>
      <c r="D131" s="1"/>
      <c r="E131"/>
      <c r="F131"/>
      <c r="G131" s="11"/>
      <c r="H131"/>
      <c r="I131"/>
      <c r="J131"/>
      <c r="K131" s="13"/>
      <c r="L131"/>
      <c r="N131" s="28"/>
      <c r="P131"/>
      <c r="Q131"/>
      <c r="R131" s="17"/>
      <c r="S131"/>
    </row>
    <row r="132" spans="2:19" s="19" customFormat="1">
      <c r="B132"/>
      <c r="C132" s="15"/>
      <c r="D132" s="1"/>
      <c r="E132"/>
      <c r="F132"/>
      <c r="G132" s="11"/>
      <c r="H132"/>
      <c r="I132"/>
      <c r="J132"/>
      <c r="K132" s="13"/>
      <c r="L132"/>
      <c r="N132" s="28"/>
      <c r="P132"/>
      <c r="Q132"/>
      <c r="R132" s="17"/>
      <c r="S132"/>
    </row>
    <row r="133" spans="2:19" s="19" customFormat="1">
      <c r="B133"/>
      <c r="C133" s="15"/>
      <c r="D133" s="1"/>
      <c r="E133"/>
      <c r="F133"/>
      <c r="G133" s="11"/>
      <c r="H133"/>
      <c r="I133"/>
      <c r="J133"/>
      <c r="K133" s="13"/>
      <c r="L133"/>
      <c r="N133" s="28"/>
      <c r="P133"/>
      <c r="Q133"/>
      <c r="R133" s="17"/>
      <c r="S133"/>
    </row>
    <row r="134" spans="2:19" s="19" customFormat="1">
      <c r="B134"/>
      <c r="C134" s="15"/>
      <c r="D134" s="1"/>
      <c r="E134"/>
      <c r="F134"/>
      <c r="G134" s="11"/>
      <c r="H134"/>
      <c r="I134"/>
      <c r="J134"/>
      <c r="K134" s="13"/>
      <c r="L134"/>
      <c r="N134" s="28"/>
      <c r="P134"/>
      <c r="Q134"/>
      <c r="R134" s="17"/>
      <c r="S134"/>
    </row>
  </sheetData>
  <autoFilter ref="B2:R115" xr:uid="{00000000-0009-0000-0000-000020000000}"/>
  <phoneticPr fontId="1"/>
  <pageMargins left="0.23622047244094491" right="0.23622047244094491" top="0.35433070866141736" bottom="0.35433070866141736" header="0.31496062992125984" footer="0.31496062992125984"/>
  <pageSetup paperSize="9" scale="94" fitToHeight="0"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9">
    <pageSetUpPr fitToPage="1"/>
  </sheetPr>
  <dimension ref="B1:S135"/>
  <sheetViews>
    <sheetView zoomScale="77" zoomScaleNormal="77" workbookViewId="0">
      <pane xSplit="3" ySplit="2" topLeftCell="D48" activePane="bottomRight" state="frozen"/>
      <selection activeCell="B70" sqref="B70"/>
      <selection pane="topRight" activeCell="B70" sqref="B70"/>
      <selection pane="bottomLeft" activeCell="B70" sqref="B70"/>
      <selection pane="bottomRight" activeCell="B55" sqref="B55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15.87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4.8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C2" s="14" t="s">
        <v>9</v>
      </c>
      <c r="D2" s="5" t="s">
        <v>0</v>
      </c>
      <c r="E2" s="6" t="s">
        <v>294</v>
      </c>
      <c r="F2" s="6" t="s">
        <v>11</v>
      </c>
      <c r="G2" s="10" t="s">
        <v>1</v>
      </c>
      <c r="H2" s="6" t="s">
        <v>15</v>
      </c>
      <c r="I2" s="6" t="s">
        <v>16</v>
      </c>
      <c r="J2" s="6" t="s">
        <v>12</v>
      </c>
      <c r="K2" s="12" t="s">
        <v>296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507</v>
      </c>
      <c r="Q2" s="6" t="s">
        <v>8</v>
      </c>
      <c r="R2" s="16" t="s">
        <v>6</v>
      </c>
      <c r="S2" s="16" t="s">
        <v>409</v>
      </c>
    </row>
    <row r="3" spans="2:19" s="33" customFormat="1" ht="33" customHeight="1">
      <c r="B3" s="47" t="s">
        <v>220</v>
      </c>
      <c r="C3" s="48" t="s">
        <v>396</v>
      </c>
      <c r="D3" s="49" t="s">
        <v>262</v>
      </c>
      <c r="E3" s="50">
        <v>43378</v>
      </c>
      <c r="F3" s="49" t="s">
        <v>79</v>
      </c>
      <c r="G3" s="51">
        <v>10000</v>
      </c>
      <c r="H3" s="52">
        <f t="shared" ref="H3:H29" si="0">SUM(G3/250)</f>
        <v>40</v>
      </c>
      <c r="I3" s="52">
        <f t="shared" ref="I3:I47" si="1">SUM(H3/4)</f>
        <v>10</v>
      </c>
      <c r="J3" s="49"/>
      <c r="K3" s="53">
        <v>43485</v>
      </c>
      <c r="L3" s="54" t="s">
        <v>419</v>
      </c>
      <c r="M3" s="55">
        <v>43500</v>
      </c>
      <c r="N3" s="56" t="s">
        <v>337</v>
      </c>
      <c r="O3" s="55">
        <v>43506</v>
      </c>
      <c r="P3" s="54"/>
      <c r="Q3" s="49"/>
      <c r="R3" s="57" t="s">
        <v>510</v>
      </c>
      <c r="S3" s="47" t="s">
        <v>418</v>
      </c>
    </row>
    <row r="4" spans="2:19" s="33" customFormat="1" ht="33" customHeight="1">
      <c r="B4" s="47" t="s">
        <v>220</v>
      </c>
      <c r="C4" s="48" t="s">
        <v>277</v>
      </c>
      <c r="D4" s="49" t="s">
        <v>413</v>
      </c>
      <c r="E4" s="50">
        <v>43392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43141</v>
      </c>
      <c r="L4" s="54" t="s">
        <v>338</v>
      </c>
      <c r="M4" s="55">
        <v>43500</v>
      </c>
      <c r="N4" s="56" t="s">
        <v>337</v>
      </c>
      <c r="O4" s="55">
        <v>43141</v>
      </c>
      <c r="P4" s="54"/>
      <c r="Q4" s="49"/>
      <c r="R4" s="57" t="s">
        <v>299</v>
      </c>
      <c r="S4" s="47"/>
    </row>
    <row r="5" spans="2:19" s="33" customFormat="1" ht="33" customHeight="1">
      <c r="B5" s="47" t="s">
        <v>78</v>
      </c>
      <c r="C5" s="48" t="s">
        <v>254</v>
      </c>
      <c r="D5" s="49" t="s">
        <v>264</v>
      </c>
      <c r="E5" s="50">
        <v>43378</v>
      </c>
      <c r="F5" s="49" t="s">
        <v>79</v>
      </c>
      <c r="G5" s="51">
        <v>20000</v>
      </c>
      <c r="H5" s="52">
        <f t="shared" si="0"/>
        <v>80</v>
      </c>
      <c r="I5" s="52">
        <f t="shared" si="1"/>
        <v>20</v>
      </c>
      <c r="J5" s="49"/>
      <c r="K5" s="53">
        <v>43141</v>
      </c>
      <c r="L5" s="54" t="s">
        <v>338</v>
      </c>
      <c r="M5" s="55">
        <v>43500</v>
      </c>
      <c r="N5" s="56" t="s">
        <v>337</v>
      </c>
      <c r="O5" s="55">
        <v>43141</v>
      </c>
      <c r="P5" s="54"/>
      <c r="Q5" s="49" t="s">
        <v>82</v>
      </c>
      <c r="R5" s="57" t="s">
        <v>300</v>
      </c>
      <c r="S5" s="47"/>
    </row>
    <row r="6" spans="2:19" s="33" customFormat="1" ht="33" customHeight="1">
      <c r="B6" s="47" t="s">
        <v>78</v>
      </c>
      <c r="C6" s="48" t="s">
        <v>301</v>
      </c>
      <c r="D6" s="49" t="s">
        <v>302</v>
      </c>
      <c r="E6" s="50">
        <v>43420</v>
      </c>
      <c r="F6" s="49" t="s">
        <v>63</v>
      </c>
      <c r="G6" s="51">
        <v>40000</v>
      </c>
      <c r="H6" s="52">
        <f t="shared" si="0"/>
        <v>160</v>
      </c>
      <c r="I6" s="52">
        <f t="shared" si="1"/>
        <v>40</v>
      </c>
      <c r="J6" s="49"/>
      <c r="K6" s="53">
        <v>43513</v>
      </c>
      <c r="L6" s="54" t="s">
        <v>340</v>
      </c>
      <c r="M6" s="55">
        <v>43504</v>
      </c>
      <c r="N6" s="56" t="s">
        <v>511</v>
      </c>
      <c r="O6" s="55">
        <v>43148</v>
      </c>
      <c r="P6" s="54"/>
      <c r="Q6" s="49" t="s">
        <v>82</v>
      </c>
      <c r="R6" s="57" t="s">
        <v>672</v>
      </c>
      <c r="S6" s="47"/>
    </row>
    <row r="7" spans="2:19" s="33" customFormat="1" ht="33" customHeight="1">
      <c r="B7" s="47" t="s">
        <v>220</v>
      </c>
      <c r="C7" s="48" t="s">
        <v>304</v>
      </c>
      <c r="D7" s="49" t="s">
        <v>305</v>
      </c>
      <c r="E7" s="50">
        <v>43420</v>
      </c>
      <c r="F7" s="49" t="s">
        <v>508</v>
      </c>
      <c r="G7" s="51">
        <v>10000</v>
      </c>
      <c r="H7" s="52">
        <f t="shared" si="0"/>
        <v>40</v>
      </c>
      <c r="I7" s="52">
        <f t="shared" si="1"/>
        <v>10</v>
      </c>
      <c r="J7" s="49"/>
      <c r="K7" s="53">
        <v>43155</v>
      </c>
      <c r="L7" s="54" t="s">
        <v>342</v>
      </c>
      <c r="M7" s="55">
        <v>43514</v>
      </c>
      <c r="N7" s="56" t="s">
        <v>512</v>
      </c>
      <c r="O7" s="55">
        <v>43155</v>
      </c>
      <c r="P7" s="54"/>
      <c r="Q7" s="49"/>
      <c r="R7" s="57" t="s">
        <v>358</v>
      </c>
      <c r="S7" s="47"/>
    </row>
    <row r="8" spans="2:19" s="33" customFormat="1" ht="33" customHeight="1">
      <c r="B8" s="47" t="s">
        <v>78</v>
      </c>
      <c r="C8" s="48" t="s">
        <v>306</v>
      </c>
      <c r="D8" s="49" t="s">
        <v>307</v>
      </c>
      <c r="E8" s="50">
        <v>43420</v>
      </c>
      <c r="F8" s="49" t="s">
        <v>509</v>
      </c>
      <c r="G8" s="51">
        <v>30000</v>
      </c>
      <c r="H8" s="52">
        <f t="shared" si="0"/>
        <v>120</v>
      </c>
      <c r="I8" s="52">
        <f t="shared" si="1"/>
        <v>30</v>
      </c>
      <c r="J8" s="49"/>
      <c r="K8" s="53">
        <v>43520</v>
      </c>
      <c r="L8" s="54" t="s">
        <v>342</v>
      </c>
      <c r="M8" s="55">
        <v>43514</v>
      </c>
      <c r="N8" s="56" t="s">
        <v>512</v>
      </c>
      <c r="O8" s="55">
        <v>43155</v>
      </c>
      <c r="P8" s="54"/>
      <c r="Q8" s="49" t="s">
        <v>82</v>
      </c>
      <c r="R8" s="57" t="s">
        <v>359</v>
      </c>
      <c r="S8" s="47"/>
    </row>
    <row r="9" spans="2:19" s="33" customFormat="1" ht="33" customHeight="1">
      <c r="B9" s="47" t="s">
        <v>220</v>
      </c>
      <c r="C9" s="48" t="s">
        <v>309</v>
      </c>
      <c r="D9" s="49" t="s">
        <v>310</v>
      </c>
      <c r="E9" s="50">
        <v>43420</v>
      </c>
      <c r="F9" s="49" t="s">
        <v>79</v>
      </c>
      <c r="G9" s="51">
        <v>7000</v>
      </c>
      <c r="H9" s="52">
        <f t="shared" si="0"/>
        <v>28</v>
      </c>
      <c r="I9" s="52">
        <f t="shared" si="1"/>
        <v>7</v>
      </c>
      <c r="J9" s="49"/>
      <c r="K9" s="53">
        <v>43541</v>
      </c>
      <c r="L9" s="54" t="s">
        <v>388</v>
      </c>
      <c r="M9" s="55">
        <v>43542</v>
      </c>
      <c r="N9" s="56" t="s">
        <v>649</v>
      </c>
      <c r="O9" s="55">
        <v>43183</v>
      </c>
      <c r="P9" s="54" t="s">
        <v>753</v>
      </c>
      <c r="Q9" s="49"/>
      <c r="R9" s="57" t="s">
        <v>420</v>
      </c>
      <c r="S9" s="47"/>
    </row>
    <row r="10" spans="2:19" s="33" customFormat="1" ht="33" customHeight="1">
      <c r="B10" s="47" t="s">
        <v>78</v>
      </c>
      <c r="C10" s="48" t="s">
        <v>311</v>
      </c>
      <c r="D10" s="49" t="s">
        <v>312</v>
      </c>
      <c r="E10" s="50">
        <v>43420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43169</v>
      </c>
      <c r="L10" s="54" t="s">
        <v>528</v>
      </c>
      <c r="M10" s="55">
        <v>43528</v>
      </c>
      <c r="N10" s="56" t="s">
        <v>529</v>
      </c>
      <c r="O10" s="55">
        <v>43534</v>
      </c>
      <c r="P10" s="54"/>
      <c r="Q10" s="49" t="s">
        <v>82</v>
      </c>
      <c r="R10" s="57" t="s">
        <v>373</v>
      </c>
      <c r="S10" s="47"/>
    </row>
    <row r="11" spans="2:19" s="33" customFormat="1" ht="33" customHeight="1">
      <c r="B11" s="47" t="s">
        <v>78</v>
      </c>
      <c r="C11" s="48" t="s">
        <v>374</v>
      </c>
      <c r="D11" s="49" t="s">
        <v>375</v>
      </c>
      <c r="E11" s="50">
        <v>43455</v>
      </c>
      <c r="F11" s="49" t="s">
        <v>79</v>
      </c>
      <c r="G11" s="51">
        <v>21000</v>
      </c>
      <c r="H11" s="52">
        <f t="shared" si="0"/>
        <v>84</v>
      </c>
      <c r="I11" s="52">
        <f t="shared" si="1"/>
        <v>21</v>
      </c>
      <c r="J11" s="49"/>
      <c r="K11" s="53">
        <v>43541</v>
      </c>
      <c r="L11" s="54" t="s">
        <v>388</v>
      </c>
      <c r="M11" s="55">
        <v>43542</v>
      </c>
      <c r="N11" s="56" t="s">
        <v>649</v>
      </c>
      <c r="O11" s="55">
        <v>43183</v>
      </c>
      <c r="P11" s="54" t="s">
        <v>754</v>
      </c>
      <c r="Q11" s="49" t="s">
        <v>82</v>
      </c>
      <c r="R11" s="57" t="s">
        <v>376</v>
      </c>
      <c r="S11" s="47"/>
    </row>
    <row r="12" spans="2:19" s="30" customFormat="1" ht="33" customHeight="1">
      <c r="B12" s="46" t="s">
        <v>220</v>
      </c>
      <c r="C12" s="35" t="s">
        <v>377</v>
      </c>
      <c r="D12" s="36" t="s">
        <v>378</v>
      </c>
      <c r="E12" s="37">
        <v>43455</v>
      </c>
      <c r="F12" s="36" t="s">
        <v>508</v>
      </c>
      <c r="G12" s="39">
        <v>14000</v>
      </c>
      <c r="H12" s="38">
        <f t="shared" ref="H12" si="2">SUM(G12/250)</f>
        <v>56</v>
      </c>
      <c r="I12" s="38">
        <f t="shared" si="1"/>
        <v>14</v>
      </c>
      <c r="J12" s="36"/>
      <c r="K12" s="40">
        <v>43548</v>
      </c>
      <c r="L12" s="41" t="s">
        <v>802</v>
      </c>
      <c r="M12" s="42">
        <v>43563</v>
      </c>
      <c r="N12" s="43" t="s">
        <v>438</v>
      </c>
      <c r="O12" s="42">
        <v>43569</v>
      </c>
      <c r="P12" s="41" t="s">
        <v>1334</v>
      </c>
      <c r="Q12" s="36"/>
      <c r="R12" s="44" t="s">
        <v>379</v>
      </c>
      <c r="S12" s="46"/>
    </row>
    <row r="13" spans="2:19" s="33" customFormat="1" ht="33" customHeight="1">
      <c r="B13" s="47" t="s">
        <v>78</v>
      </c>
      <c r="C13" s="48" t="s">
        <v>380</v>
      </c>
      <c r="D13" s="49" t="s">
        <v>381</v>
      </c>
      <c r="E13" s="50">
        <v>43455</v>
      </c>
      <c r="F13" s="49" t="s">
        <v>509</v>
      </c>
      <c r="G13" s="51">
        <v>40000</v>
      </c>
      <c r="H13" s="52">
        <f t="shared" si="0"/>
        <v>160</v>
      </c>
      <c r="I13" s="52">
        <f t="shared" si="1"/>
        <v>40</v>
      </c>
      <c r="J13" s="49"/>
      <c r="K13" s="53">
        <v>43555</v>
      </c>
      <c r="L13" s="54" t="s">
        <v>389</v>
      </c>
      <c r="M13" s="55">
        <v>43549</v>
      </c>
      <c r="N13" s="56" t="s">
        <v>752</v>
      </c>
      <c r="O13" s="55">
        <v>43555</v>
      </c>
      <c r="P13" s="54" t="s">
        <v>755</v>
      </c>
      <c r="Q13" s="49" t="s">
        <v>82</v>
      </c>
      <c r="R13" s="57" t="s">
        <v>382</v>
      </c>
      <c r="S13" s="47"/>
    </row>
    <row r="14" spans="2:19" s="30" customFormat="1" ht="33" customHeight="1">
      <c r="B14" s="46" t="s">
        <v>220</v>
      </c>
      <c r="C14" s="35" t="s">
        <v>421</v>
      </c>
      <c r="D14" s="36" t="s">
        <v>453</v>
      </c>
      <c r="E14" s="37">
        <v>43483</v>
      </c>
      <c r="F14" s="36" t="s">
        <v>79</v>
      </c>
      <c r="G14" s="39">
        <v>20000</v>
      </c>
      <c r="H14" s="38">
        <f t="shared" si="0"/>
        <v>80</v>
      </c>
      <c r="I14" s="38">
        <f t="shared" si="1"/>
        <v>20</v>
      </c>
      <c r="J14" s="36"/>
      <c r="K14" s="40">
        <v>43576</v>
      </c>
      <c r="L14" s="41" t="s">
        <v>443</v>
      </c>
      <c r="M14" s="42">
        <v>43570</v>
      </c>
      <c r="N14" s="43" t="s">
        <v>440</v>
      </c>
      <c r="O14" s="42">
        <v>43576</v>
      </c>
      <c r="P14" s="41" t="s">
        <v>1335</v>
      </c>
      <c r="Q14" s="36"/>
      <c r="R14" s="44" t="s">
        <v>530</v>
      </c>
      <c r="S14" s="46"/>
    </row>
    <row r="15" spans="2:19" s="30" customFormat="1" ht="33" customHeight="1">
      <c r="B15" s="46" t="s">
        <v>78</v>
      </c>
      <c r="C15" s="35" t="s">
        <v>422</v>
      </c>
      <c r="D15" s="36" t="s">
        <v>455</v>
      </c>
      <c r="E15" s="37">
        <v>43483</v>
      </c>
      <c r="F15" s="36" t="s">
        <v>508</v>
      </c>
      <c r="G15" s="39">
        <v>10000</v>
      </c>
      <c r="H15" s="38">
        <f>SUM(G15/250)</f>
        <v>40</v>
      </c>
      <c r="I15" s="38">
        <f t="shared" si="1"/>
        <v>10</v>
      </c>
      <c r="J15" s="36"/>
      <c r="K15" s="40">
        <v>43618</v>
      </c>
      <c r="L15" s="41" t="s">
        <v>442</v>
      </c>
      <c r="M15" s="42">
        <v>43612</v>
      </c>
      <c r="N15" s="43" t="s">
        <v>677</v>
      </c>
      <c r="O15" s="42">
        <v>43618</v>
      </c>
      <c r="P15" s="41"/>
      <c r="Q15" s="36" t="s">
        <v>82</v>
      </c>
      <c r="R15" s="44" t="s">
        <v>616</v>
      </c>
      <c r="S15" s="46"/>
    </row>
    <row r="16" spans="2:19" s="30" customFormat="1" ht="33" customHeight="1">
      <c r="B16" s="122" t="s">
        <v>78</v>
      </c>
      <c r="C16" s="126" t="s">
        <v>1336</v>
      </c>
      <c r="D16" s="105" t="s">
        <v>1337</v>
      </c>
      <c r="E16" s="128">
        <v>43483</v>
      </c>
      <c r="F16" s="127" t="s">
        <v>508</v>
      </c>
      <c r="G16" s="129">
        <v>20000</v>
      </c>
      <c r="H16" s="124">
        <f>SUM(G16/250)</f>
        <v>80</v>
      </c>
      <c r="I16" s="124">
        <f t="shared" ref="I16" si="3">SUM(H16/4)</f>
        <v>20</v>
      </c>
      <c r="J16" s="127"/>
      <c r="K16" s="130">
        <v>43618</v>
      </c>
      <c r="L16" s="119" t="s">
        <v>442</v>
      </c>
      <c r="M16" s="120">
        <v>43612</v>
      </c>
      <c r="N16" s="121" t="s">
        <v>677</v>
      </c>
      <c r="O16" s="120">
        <v>43618</v>
      </c>
      <c r="P16" s="119"/>
      <c r="Q16" s="127" t="s">
        <v>82</v>
      </c>
      <c r="R16" s="125" t="s">
        <v>616</v>
      </c>
      <c r="S16" s="122" t="s">
        <v>479</v>
      </c>
    </row>
    <row r="17" spans="2:19" s="30" customFormat="1" ht="33" customHeight="1">
      <c r="B17" s="46" t="s">
        <v>220</v>
      </c>
      <c r="C17" s="35" t="s">
        <v>1338</v>
      </c>
      <c r="D17" s="36" t="s">
        <v>455</v>
      </c>
      <c r="E17" s="37">
        <v>43523</v>
      </c>
      <c r="F17" s="36" t="s">
        <v>1339</v>
      </c>
      <c r="G17" s="39">
        <v>10000</v>
      </c>
      <c r="H17" s="38">
        <f>SUM(G17/250)</f>
        <v>40</v>
      </c>
      <c r="I17" s="38">
        <f t="shared" si="1"/>
        <v>10</v>
      </c>
      <c r="J17" s="36"/>
      <c r="K17" s="40">
        <v>43618</v>
      </c>
      <c r="L17" s="41" t="s">
        <v>638</v>
      </c>
      <c r="M17" s="42">
        <v>43612</v>
      </c>
      <c r="N17" s="43" t="s">
        <v>636</v>
      </c>
      <c r="O17" s="42">
        <v>43618</v>
      </c>
      <c r="P17" s="41"/>
      <c r="Q17" s="36"/>
      <c r="R17" s="44" t="s">
        <v>1340</v>
      </c>
      <c r="S17" s="46"/>
    </row>
    <row r="18" spans="2:19" s="30" customFormat="1" ht="33" customHeight="1">
      <c r="B18" s="46" t="s">
        <v>78</v>
      </c>
      <c r="C18" s="35" t="s">
        <v>423</v>
      </c>
      <c r="D18" s="36" t="s">
        <v>457</v>
      </c>
      <c r="E18" s="37">
        <v>43483</v>
      </c>
      <c r="F18" s="36" t="s">
        <v>79</v>
      </c>
      <c r="G18" s="39">
        <v>20000</v>
      </c>
      <c r="H18" s="38">
        <f t="shared" si="0"/>
        <v>80</v>
      </c>
      <c r="I18" s="38">
        <f t="shared" si="1"/>
        <v>20</v>
      </c>
      <c r="J18" s="36"/>
      <c r="K18" s="40">
        <v>43576</v>
      </c>
      <c r="L18" s="41" t="s">
        <v>1341</v>
      </c>
      <c r="M18" s="42">
        <v>43570</v>
      </c>
      <c r="N18" s="43" t="s">
        <v>1342</v>
      </c>
      <c r="O18" s="42">
        <v>43576</v>
      </c>
      <c r="P18" s="41" t="s">
        <v>1343</v>
      </c>
      <c r="Q18" s="36" t="s">
        <v>82</v>
      </c>
      <c r="R18" s="44" t="s">
        <v>1344</v>
      </c>
      <c r="S18" s="46"/>
    </row>
    <row r="19" spans="2:19" s="30" customFormat="1" ht="33" customHeight="1">
      <c r="B19" s="46" t="s">
        <v>220</v>
      </c>
      <c r="C19" s="35" t="s">
        <v>425</v>
      </c>
      <c r="D19" s="36" t="s">
        <v>459</v>
      </c>
      <c r="E19" s="37">
        <v>43483</v>
      </c>
      <c r="F19" s="36" t="s">
        <v>79</v>
      </c>
      <c r="G19" s="39">
        <v>20000</v>
      </c>
      <c r="H19" s="38">
        <f t="shared" si="0"/>
        <v>80</v>
      </c>
      <c r="I19" s="38">
        <f t="shared" si="1"/>
        <v>20</v>
      </c>
      <c r="J19" s="36"/>
      <c r="K19" s="40">
        <v>43583</v>
      </c>
      <c r="L19" s="41" t="s">
        <v>1345</v>
      </c>
      <c r="M19" s="42">
        <v>43577</v>
      </c>
      <c r="N19" s="43" t="s">
        <v>1346</v>
      </c>
      <c r="O19" s="42">
        <v>43583</v>
      </c>
      <c r="P19" s="41"/>
      <c r="Q19" s="36"/>
      <c r="R19" s="44" t="s">
        <v>1347</v>
      </c>
      <c r="S19" s="46"/>
    </row>
    <row r="20" spans="2:19" s="30" customFormat="1" ht="33" customHeight="1">
      <c r="B20" s="46" t="s">
        <v>78</v>
      </c>
      <c r="C20" s="35" t="s">
        <v>462</v>
      </c>
      <c r="D20" s="36" t="s">
        <v>483</v>
      </c>
      <c r="E20" s="37">
        <v>43490</v>
      </c>
      <c r="F20" s="36" t="s">
        <v>79</v>
      </c>
      <c r="G20" s="39">
        <v>20000</v>
      </c>
      <c r="H20" s="38">
        <f t="shared" si="0"/>
        <v>80</v>
      </c>
      <c r="I20" s="38">
        <f t="shared" si="1"/>
        <v>20</v>
      </c>
      <c r="J20" s="36"/>
      <c r="K20" s="40">
        <v>43583</v>
      </c>
      <c r="L20" s="41" t="s">
        <v>1345</v>
      </c>
      <c r="M20" s="42">
        <v>43577</v>
      </c>
      <c r="N20" s="43" t="s">
        <v>1346</v>
      </c>
      <c r="O20" s="42">
        <v>43583</v>
      </c>
      <c r="P20" s="41" t="s">
        <v>1348</v>
      </c>
      <c r="Q20" s="36" t="s">
        <v>82</v>
      </c>
      <c r="R20" s="44" t="s">
        <v>1349</v>
      </c>
      <c r="S20" s="46"/>
    </row>
    <row r="21" spans="2:19" s="30" customFormat="1" ht="33" customHeight="1">
      <c r="B21" s="46" t="s">
        <v>78</v>
      </c>
      <c r="C21" s="35" t="s">
        <v>570</v>
      </c>
      <c r="D21" s="36" t="s">
        <v>571</v>
      </c>
      <c r="E21" s="37">
        <v>43519</v>
      </c>
      <c r="F21" s="36" t="s">
        <v>79</v>
      </c>
      <c r="G21" s="39">
        <v>20000</v>
      </c>
      <c r="H21" s="38">
        <f t="shared" si="0"/>
        <v>80</v>
      </c>
      <c r="I21" s="38">
        <f t="shared" si="1"/>
        <v>20</v>
      </c>
      <c r="J21" s="36"/>
      <c r="K21" s="40">
        <v>43590</v>
      </c>
      <c r="L21" s="41" t="s">
        <v>602</v>
      </c>
      <c r="M21" s="42">
        <v>43577</v>
      </c>
      <c r="N21" s="43" t="s">
        <v>1346</v>
      </c>
      <c r="O21" s="42">
        <v>43583</v>
      </c>
      <c r="P21" s="41" t="s">
        <v>1350</v>
      </c>
      <c r="Q21" s="36" t="s">
        <v>82</v>
      </c>
      <c r="R21" s="44" t="s">
        <v>1351</v>
      </c>
      <c r="S21" s="46"/>
    </row>
    <row r="22" spans="2:19" s="30" customFormat="1" ht="33" customHeight="1">
      <c r="B22" s="46" t="s">
        <v>78</v>
      </c>
      <c r="C22" s="35" t="s">
        <v>573</v>
      </c>
      <c r="D22" s="36" t="s">
        <v>574</v>
      </c>
      <c r="E22" s="37">
        <v>43519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43604</v>
      </c>
      <c r="L22" s="41" t="s">
        <v>1352</v>
      </c>
      <c r="M22" s="42">
        <v>43598</v>
      </c>
      <c r="N22" s="43" t="s">
        <v>1353</v>
      </c>
      <c r="O22" s="42">
        <v>43604</v>
      </c>
      <c r="P22" s="41"/>
      <c r="Q22" s="36" t="s">
        <v>82</v>
      </c>
      <c r="R22" s="44" t="s">
        <v>1354</v>
      </c>
      <c r="S22" s="46"/>
    </row>
    <row r="23" spans="2:19" s="30" customFormat="1" ht="33" customHeight="1">
      <c r="B23" s="46" t="s">
        <v>78</v>
      </c>
      <c r="C23" s="35" t="s">
        <v>576</v>
      </c>
      <c r="D23" s="36" t="s">
        <v>577</v>
      </c>
      <c r="E23" s="37">
        <v>43519</v>
      </c>
      <c r="F23" s="36" t="s">
        <v>79</v>
      </c>
      <c r="G23" s="39">
        <v>20000</v>
      </c>
      <c r="H23" s="38">
        <f t="shared" si="0"/>
        <v>80</v>
      </c>
      <c r="I23" s="38">
        <f t="shared" si="1"/>
        <v>20</v>
      </c>
      <c r="J23" s="36"/>
      <c r="K23" s="40">
        <v>43611</v>
      </c>
      <c r="L23" s="41" t="s">
        <v>1355</v>
      </c>
      <c r="M23" s="42">
        <v>43605</v>
      </c>
      <c r="N23" s="43" t="s">
        <v>1356</v>
      </c>
      <c r="O23" s="42">
        <v>43611</v>
      </c>
      <c r="P23" s="41"/>
      <c r="Q23" s="36" t="s">
        <v>82</v>
      </c>
      <c r="R23" s="44" t="s">
        <v>1357</v>
      </c>
      <c r="S23" s="46"/>
    </row>
    <row r="24" spans="2:19" s="30" customFormat="1" ht="33" customHeight="1">
      <c r="B24" s="46" t="s">
        <v>78</v>
      </c>
      <c r="C24" s="35" t="s">
        <v>1358</v>
      </c>
      <c r="D24" s="36" t="s">
        <v>577</v>
      </c>
      <c r="E24" s="37">
        <v>43519</v>
      </c>
      <c r="F24" s="36" t="s">
        <v>1359</v>
      </c>
      <c r="G24" s="39">
        <v>10000</v>
      </c>
      <c r="H24" s="38">
        <f t="shared" si="0"/>
        <v>40</v>
      </c>
      <c r="I24" s="38">
        <f t="shared" si="1"/>
        <v>10</v>
      </c>
      <c r="J24" s="36"/>
      <c r="K24" s="40">
        <v>43598</v>
      </c>
      <c r="L24" s="41" t="s">
        <v>803</v>
      </c>
      <c r="M24" s="42">
        <v>43598</v>
      </c>
      <c r="N24" s="43" t="s">
        <v>804</v>
      </c>
      <c r="O24" s="42">
        <v>43604</v>
      </c>
      <c r="P24" s="41"/>
      <c r="Q24" s="36" t="s">
        <v>82</v>
      </c>
      <c r="R24" s="44" t="s">
        <v>1360</v>
      </c>
      <c r="S24" s="46"/>
    </row>
    <row r="25" spans="2:19" s="30" customFormat="1" ht="33" customHeight="1">
      <c r="B25" s="46" t="s">
        <v>220</v>
      </c>
      <c r="C25" s="35" t="s">
        <v>579</v>
      </c>
      <c r="D25" s="36" t="s">
        <v>580</v>
      </c>
      <c r="E25" s="37">
        <v>43519</v>
      </c>
      <c r="F25" s="36" t="s">
        <v>79</v>
      </c>
      <c r="G25" s="39">
        <v>10000</v>
      </c>
      <c r="H25" s="38">
        <f t="shared" si="0"/>
        <v>40</v>
      </c>
      <c r="I25" s="38">
        <f t="shared" si="1"/>
        <v>10</v>
      </c>
      <c r="J25" s="36"/>
      <c r="K25" s="40">
        <v>43598</v>
      </c>
      <c r="L25" s="41" t="s">
        <v>803</v>
      </c>
      <c r="M25" s="42">
        <v>43598</v>
      </c>
      <c r="N25" s="43" t="s">
        <v>804</v>
      </c>
      <c r="O25" s="42">
        <v>43604</v>
      </c>
      <c r="P25" s="41"/>
      <c r="Q25" s="36"/>
      <c r="R25" s="44" t="s">
        <v>1361</v>
      </c>
      <c r="S25" s="46"/>
    </row>
    <row r="26" spans="2:19" s="30" customFormat="1" ht="33" customHeight="1">
      <c r="B26" s="46" t="s">
        <v>78</v>
      </c>
      <c r="C26" s="35" t="s">
        <v>685</v>
      </c>
      <c r="D26" s="36" t="s">
        <v>686</v>
      </c>
      <c r="E26" s="37">
        <v>43532</v>
      </c>
      <c r="F26" s="36" t="s">
        <v>79</v>
      </c>
      <c r="G26" s="39">
        <v>20000</v>
      </c>
      <c r="H26" s="38">
        <f t="shared" si="0"/>
        <v>80</v>
      </c>
      <c r="I26" s="38">
        <f t="shared" si="1"/>
        <v>20</v>
      </c>
      <c r="J26" s="36"/>
      <c r="K26" s="40">
        <v>43625</v>
      </c>
      <c r="L26" s="41" t="s">
        <v>1362</v>
      </c>
      <c r="M26" s="42">
        <v>43619</v>
      </c>
      <c r="N26" s="43" t="s">
        <v>1363</v>
      </c>
      <c r="O26" s="42">
        <v>43625</v>
      </c>
      <c r="P26" s="41"/>
      <c r="Q26" s="36" t="s">
        <v>82</v>
      </c>
      <c r="R26" s="44" t="s">
        <v>1364</v>
      </c>
      <c r="S26" s="46"/>
    </row>
    <row r="27" spans="2:19" s="30" customFormat="1" ht="33" customHeight="1">
      <c r="B27" s="122" t="s">
        <v>78</v>
      </c>
      <c r="C27" s="126" t="s">
        <v>1365</v>
      </c>
      <c r="D27" s="105" t="s">
        <v>1366</v>
      </c>
      <c r="E27" s="128">
        <v>43532</v>
      </c>
      <c r="F27" s="127" t="s">
        <v>79</v>
      </c>
      <c r="G27" s="129">
        <v>20000</v>
      </c>
      <c r="H27" s="124">
        <f t="shared" ref="H27" si="4">SUM(G27/250)</f>
        <v>80</v>
      </c>
      <c r="I27" s="124">
        <f t="shared" ref="I27" si="5">SUM(H27/4)</f>
        <v>20</v>
      </c>
      <c r="J27" s="127"/>
      <c r="K27" s="130">
        <v>43625</v>
      </c>
      <c r="L27" s="119" t="s">
        <v>1362</v>
      </c>
      <c r="M27" s="120">
        <v>43619</v>
      </c>
      <c r="N27" s="121" t="s">
        <v>1363</v>
      </c>
      <c r="O27" s="120">
        <v>43625</v>
      </c>
      <c r="P27" s="119"/>
      <c r="Q27" s="127" t="s">
        <v>82</v>
      </c>
      <c r="R27" s="125" t="s">
        <v>1364</v>
      </c>
      <c r="S27" s="122" t="s">
        <v>479</v>
      </c>
    </row>
    <row r="28" spans="2:19" s="30" customFormat="1" ht="33" customHeight="1">
      <c r="B28" s="46" t="s">
        <v>220</v>
      </c>
      <c r="C28" s="35" t="s">
        <v>688</v>
      </c>
      <c r="D28" s="36" t="s">
        <v>689</v>
      </c>
      <c r="E28" s="37">
        <v>43532</v>
      </c>
      <c r="F28" s="36" t="s">
        <v>79</v>
      </c>
      <c r="G28" s="39">
        <v>20000</v>
      </c>
      <c r="H28" s="38">
        <f t="shared" si="0"/>
        <v>80</v>
      </c>
      <c r="I28" s="38">
        <f t="shared" si="1"/>
        <v>20</v>
      </c>
      <c r="J28" s="36"/>
      <c r="K28" s="40">
        <v>43632</v>
      </c>
      <c r="L28" s="41" t="s">
        <v>1367</v>
      </c>
      <c r="M28" s="42">
        <v>43626</v>
      </c>
      <c r="N28" s="43" t="s">
        <v>1368</v>
      </c>
      <c r="O28" s="42">
        <v>43632</v>
      </c>
      <c r="P28" s="41"/>
      <c r="Q28" s="36"/>
      <c r="R28" s="44" t="s">
        <v>1369</v>
      </c>
      <c r="S28" s="46"/>
    </row>
    <row r="29" spans="2:19" s="30" customFormat="1" ht="33" customHeight="1">
      <c r="B29" s="46" t="s">
        <v>78</v>
      </c>
      <c r="C29" s="35" t="s">
        <v>691</v>
      </c>
      <c r="D29" s="36" t="s">
        <v>692</v>
      </c>
      <c r="E29" s="37">
        <v>43532</v>
      </c>
      <c r="F29" s="36" t="s">
        <v>79</v>
      </c>
      <c r="G29" s="39">
        <v>20000</v>
      </c>
      <c r="H29" s="38">
        <f t="shared" si="0"/>
        <v>80</v>
      </c>
      <c r="I29" s="38">
        <f t="shared" si="1"/>
        <v>20</v>
      </c>
      <c r="J29" s="36"/>
      <c r="K29" s="40">
        <v>43639</v>
      </c>
      <c r="L29" s="41" t="s">
        <v>1370</v>
      </c>
      <c r="M29" s="42">
        <v>43633</v>
      </c>
      <c r="N29" s="43" t="s">
        <v>1371</v>
      </c>
      <c r="O29" s="42">
        <v>43639</v>
      </c>
      <c r="P29" s="41"/>
      <c r="Q29" s="36" t="s">
        <v>82</v>
      </c>
      <c r="R29" s="44" t="s">
        <v>1372</v>
      </c>
      <c r="S29" s="46"/>
    </row>
    <row r="30" spans="2:19" s="30" customFormat="1" ht="33" customHeight="1">
      <c r="B30" s="46" t="s">
        <v>220</v>
      </c>
      <c r="C30" s="35" t="s">
        <v>986</v>
      </c>
      <c r="D30" s="36" t="s">
        <v>1373</v>
      </c>
      <c r="E30" s="37">
        <v>43566</v>
      </c>
      <c r="F30" s="36" t="s">
        <v>79</v>
      </c>
      <c r="G30" s="39">
        <v>20000</v>
      </c>
      <c r="H30" s="38">
        <f t="shared" ref="H30:H39" si="6">SUM(G30/250)</f>
        <v>80</v>
      </c>
      <c r="I30" s="38">
        <f t="shared" si="1"/>
        <v>20</v>
      </c>
      <c r="J30" s="36"/>
      <c r="K30" s="40">
        <v>43611</v>
      </c>
      <c r="L30" s="41" t="s">
        <v>603</v>
      </c>
      <c r="M30" s="42">
        <v>43605</v>
      </c>
      <c r="N30" s="43" t="s">
        <v>1080</v>
      </c>
      <c r="O30" s="42">
        <v>43611</v>
      </c>
      <c r="P30" s="41"/>
      <c r="Q30" s="36"/>
      <c r="R30" s="44" t="s">
        <v>1374</v>
      </c>
      <c r="S30" s="46"/>
    </row>
    <row r="31" spans="2:19" s="30" customFormat="1" ht="33" customHeight="1">
      <c r="B31" s="46" t="s">
        <v>78</v>
      </c>
      <c r="C31" s="35" t="s">
        <v>988</v>
      </c>
      <c r="D31" s="36" t="s">
        <v>1375</v>
      </c>
      <c r="E31" s="37">
        <v>43566</v>
      </c>
      <c r="F31" s="36" t="s">
        <v>79</v>
      </c>
      <c r="G31" s="39">
        <v>20000</v>
      </c>
      <c r="H31" s="38">
        <f t="shared" si="6"/>
        <v>80</v>
      </c>
      <c r="I31" s="38">
        <f t="shared" si="1"/>
        <v>20</v>
      </c>
      <c r="J31" s="36"/>
      <c r="K31" s="40">
        <v>43632</v>
      </c>
      <c r="L31" s="41" t="s">
        <v>1081</v>
      </c>
      <c r="M31" s="42">
        <v>43626</v>
      </c>
      <c r="N31" s="43" t="s">
        <v>1082</v>
      </c>
      <c r="O31" s="42">
        <v>43632</v>
      </c>
      <c r="P31" s="41"/>
      <c r="Q31" s="36" t="s">
        <v>82</v>
      </c>
      <c r="R31" s="44" t="s">
        <v>1376</v>
      </c>
      <c r="S31" s="46"/>
    </row>
    <row r="32" spans="2:19" s="30" customFormat="1" ht="33" customHeight="1">
      <c r="B32" s="122" t="s">
        <v>78</v>
      </c>
      <c r="C32" s="126" t="s">
        <v>1160</v>
      </c>
      <c r="D32" s="127" t="s">
        <v>1161</v>
      </c>
      <c r="E32" s="128">
        <v>43567</v>
      </c>
      <c r="F32" s="127" t="s">
        <v>1377</v>
      </c>
      <c r="G32" s="129">
        <v>40000</v>
      </c>
      <c r="H32" s="124">
        <f t="shared" si="6"/>
        <v>160</v>
      </c>
      <c r="I32" s="124">
        <f t="shared" si="1"/>
        <v>40</v>
      </c>
      <c r="J32" s="127"/>
      <c r="K32" s="130">
        <v>43646</v>
      </c>
      <c r="L32" s="119" t="s">
        <v>1378</v>
      </c>
      <c r="M32" s="120">
        <v>43640</v>
      </c>
      <c r="N32" s="121" t="s">
        <v>1379</v>
      </c>
      <c r="O32" s="120">
        <v>43646</v>
      </c>
      <c r="P32" s="119"/>
      <c r="Q32" s="127" t="s">
        <v>82</v>
      </c>
      <c r="R32" s="125" t="s">
        <v>1380</v>
      </c>
      <c r="S32" s="122"/>
    </row>
    <row r="33" spans="2:19" s="30" customFormat="1" ht="33" customHeight="1">
      <c r="B33" s="122" t="s">
        <v>220</v>
      </c>
      <c r="C33" s="126" t="s">
        <v>1163</v>
      </c>
      <c r="D33" s="127" t="s">
        <v>1164</v>
      </c>
      <c r="E33" s="128">
        <v>43567</v>
      </c>
      <c r="F33" s="127" t="s">
        <v>79</v>
      </c>
      <c r="G33" s="129">
        <v>20000</v>
      </c>
      <c r="H33" s="124">
        <f t="shared" si="6"/>
        <v>80</v>
      </c>
      <c r="I33" s="124">
        <f t="shared" si="1"/>
        <v>20</v>
      </c>
      <c r="J33" s="127"/>
      <c r="K33" s="130">
        <v>43646</v>
      </c>
      <c r="L33" s="119" t="s">
        <v>1378</v>
      </c>
      <c r="M33" s="120">
        <v>43640</v>
      </c>
      <c r="N33" s="121" t="s">
        <v>1379</v>
      </c>
      <c r="O33" s="120">
        <v>43646</v>
      </c>
      <c r="P33" s="119"/>
      <c r="Q33" s="127"/>
      <c r="R33" s="125" t="s">
        <v>1381</v>
      </c>
      <c r="S33" s="122"/>
    </row>
    <row r="34" spans="2:19" s="30" customFormat="1" ht="33" customHeight="1">
      <c r="B34" s="122" t="s">
        <v>78</v>
      </c>
      <c r="C34" s="126" t="s">
        <v>1166</v>
      </c>
      <c r="D34" s="127" t="s">
        <v>1167</v>
      </c>
      <c r="E34" s="128">
        <v>43567</v>
      </c>
      <c r="F34" s="127" t="s">
        <v>79</v>
      </c>
      <c r="G34" s="129">
        <v>20000</v>
      </c>
      <c r="H34" s="124">
        <f t="shared" si="6"/>
        <v>80</v>
      </c>
      <c r="I34" s="124">
        <f t="shared" si="1"/>
        <v>20</v>
      </c>
      <c r="J34" s="127"/>
      <c r="K34" s="130">
        <v>43653</v>
      </c>
      <c r="L34" s="119" t="s">
        <v>1382</v>
      </c>
      <c r="M34" s="120">
        <v>43647</v>
      </c>
      <c r="N34" s="121" t="s">
        <v>1383</v>
      </c>
      <c r="O34" s="120">
        <v>43653</v>
      </c>
      <c r="P34" s="119"/>
      <c r="Q34" s="127" t="s">
        <v>82</v>
      </c>
      <c r="R34" s="125" t="s">
        <v>1384</v>
      </c>
      <c r="S34" s="122"/>
    </row>
    <row r="35" spans="2:19" s="30" customFormat="1" ht="33" customHeight="1">
      <c r="B35" s="122" t="s">
        <v>78</v>
      </c>
      <c r="C35" s="126" t="s">
        <v>1169</v>
      </c>
      <c r="D35" s="127" t="s">
        <v>1170</v>
      </c>
      <c r="E35" s="128">
        <v>43567</v>
      </c>
      <c r="F35" s="127" t="s">
        <v>79</v>
      </c>
      <c r="G35" s="129">
        <v>20000</v>
      </c>
      <c r="H35" s="124">
        <f t="shared" si="6"/>
        <v>80</v>
      </c>
      <c r="I35" s="124">
        <f t="shared" si="1"/>
        <v>20</v>
      </c>
      <c r="J35" s="127"/>
      <c r="K35" s="130">
        <v>43660</v>
      </c>
      <c r="L35" s="119" t="s">
        <v>1385</v>
      </c>
      <c r="M35" s="120">
        <v>43654</v>
      </c>
      <c r="N35" s="121" t="s">
        <v>1386</v>
      </c>
      <c r="O35" s="120">
        <v>43660</v>
      </c>
      <c r="P35" s="119"/>
      <c r="Q35" s="127" t="s">
        <v>82</v>
      </c>
      <c r="R35" s="125" t="s">
        <v>1387</v>
      </c>
      <c r="S35" s="122"/>
    </row>
    <row r="36" spans="2:19" s="30" customFormat="1" ht="33" customHeight="1">
      <c r="B36" s="122" t="s">
        <v>78</v>
      </c>
      <c r="C36" s="126" t="s">
        <v>1172</v>
      </c>
      <c r="D36" s="127" t="s">
        <v>1173</v>
      </c>
      <c r="E36" s="128">
        <v>43567</v>
      </c>
      <c r="F36" s="127" t="s">
        <v>79</v>
      </c>
      <c r="G36" s="129">
        <v>20000</v>
      </c>
      <c r="H36" s="124">
        <f t="shared" si="6"/>
        <v>80</v>
      </c>
      <c r="I36" s="124">
        <f t="shared" si="1"/>
        <v>20</v>
      </c>
      <c r="J36" s="127"/>
      <c r="K36" s="130">
        <v>43667</v>
      </c>
      <c r="L36" s="119" t="s">
        <v>1388</v>
      </c>
      <c r="M36" s="120">
        <v>43658</v>
      </c>
      <c r="N36" s="121" t="s">
        <v>1389</v>
      </c>
      <c r="O36" s="120">
        <v>43667</v>
      </c>
      <c r="P36" s="119"/>
      <c r="Q36" s="127" t="s">
        <v>82</v>
      </c>
      <c r="R36" s="125" t="s">
        <v>1390</v>
      </c>
      <c r="S36" s="122"/>
    </row>
    <row r="37" spans="2:19" s="30" customFormat="1" ht="33" customHeight="1">
      <c r="B37" s="122" t="s">
        <v>220</v>
      </c>
      <c r="C37" s="126" t="s">
        <v>1175</v>
      </c>
      <c r="D37" s="127" t="s">
        <v>1176</v>
      </c>
      <c r="E37" s="128">
        <v>43567</v>
      </c>
      <c r="F37" s="127" t="s">
        <v>79</v>
      </c>
      <c r="G37" s="129">
        <v>20000</v>
      </c>
      <c r="H37" s="124">
        <f t="shared" si="6"/>
        <v>80</v>
      </c>
      <c r="I37" s="124">
        <f t="shared" si="1"/>
        <v>20</v>
      </c>
      <c r="J37" s="127"/>
      <c r="K37" s="130">
        <v>43667</v>
      </c>
      <c r="L37" s="119" t="s">
        <v>1319</v>
      </c>
      <c r="M37" s="120">
        <v>43658</v>
      </c>
      <c r="N37" s="121" t="s">
        <v>1389</v>
      </c>
      <c r="O37" s="120">
        <v>43667</v>
      </c>
      <c r="P37" s="119"/>
      <c r="Q37" s="127"/>
      <c r="R37" s="125" t="s">
        <v>1391</v>
      </c>
      <c r="S37" s="122"/>
    </row>
    <row r="38" spans="2:19" s="30" customFormat="1" ht="33" customHeight="1">
      <c r="B38" s="122" t="s">
        <v>78</v>
      </c>
      <c r="C38" s="126" t="s">
        <v>1178</v>
      </c>
      <c r="D38" s="127" t="s">
        <v>1179</v>
      </c>
      <c r="E38" s="128">
        <v>43567</v>
      </c>
      <c r="F38" s="127" t="s">
        <v>1359</v>
      </c>
      <c r="G38" s="129">
        <v>10000</v>
      </c>
      <c r="H38" s="124">
        <f t="shared" si="6"/>
        <v>40</v>
      </c>
      <c r="I38" s="124">
        <f t="shared" si="1"/>
        <v>10</v>
      </c>
      <c r="J38" s="127"/>
      <c r="K38" s="130">
        <v>43674</v>
      </c>
      <c r="L38" s="119" t="s">
        <v>1392</v>
      </c>
      <c r="M38" s="120">
        <v>43668</v>
      </c>
      <c r="N38" s="121" t="s">
        <v>1393</v>
      </c>
      <c r="O38" s="120">
        <v>43674</v>
      </c>
      <c r="P38" s="119"/>
      <c r="Q38" s="127" t="s">
        <v>82</v>
      </c>
      <c r="R38" s="125" t="s">
        <v>1394</v>
      </c>
      <c r="S38" s="122"/>
    </row>
    <row r="39" spans="2:19" s="30" customFormat="1" ht="33" customHeight="1">
      <c r="B39" s="122" t="s">
        <v>220</v>
      </c>
      <c r="C39" s="126" t="s">
        <v>1181</v>
      </c>
      <c r="D39" s="127" t="s">
        <v>1182</v>
      </c>
      <c r="E39" s="128">
        <v>43567</v>
      </c>
      <c r="F39" s="127" t="s">
        <v>1359</v>
      </c>
      <c r="G39" s="129">
        <v>10000</v>
      </c>
      <c r="H39" s="124">
        <f t="shared" si="6"/>
        <v>40</v>
      </c>
      <c r="I39" s="124">
        <f t="shared" si="1"/>
        <v>10</v>
      </c>
      <c r="J39" s="127"/>
      <c r="K39" s="130">
        <v>43674</v>
      </c>
      <c r="L39" s="119" t="s">
        <v>1321</v>
      </c>
      <c r="M39" s="120">
        <v>43668</v>
      </c>
      <c r="N39" s="121" t="s">
        <v>1393</v>
      </c>
      <c r="O39" s="120">
        <v>43674</v>
      </c>
      <c r="P39" s="119"/>
      <c r="Q39" s="127"/>
      <c r="R39" s="125" t="s">
        <v>1395</v>
      </c>
      <c r="S39" s="122"/>
    </row>
    <row r="40" spans="2:19" s="96" customFormat="1" ht="33" customHeight="1">
      <c r="B40" s="47" t="s">
        <v>17</v>
      </c>
      <c r="C40" s="48" t="s">
        <v>353</v>
      </c>
      <c r="D40" s="49" t="s">
        <v>383</v>
      </c>
      <c r="E40" s="50">
        <v>43434</v>
      </c>
      <c r="F40" s="52" t="s">
        <v>84</v>
      </c>
      <c r="G40" s="51">
        <v>9200</v>
      </c>
      <c r="H40" s="52">
        <f t="shared" ref="H40:H48" si="7">SUM(G40/230)</f>
        <v>40</v>
      </c>
      <c r="I40" s="52">
        <f t="shared" si="1"/>
        <v>10</v>
      </c>
      <c r="J40" s="49"/>
      <c r="K40" s="53">
        <v>43148</v>
      </c>
      <c r="L40" s="54" t="s">
        <v>276</v>
      </c>
      <c r="M40" s="55">
        <v>43508</v>
      </c>
      <c r="N40" s="56" t="s">
        <v>1396</v>
      </c>
      <c r="O40" s="55">
        <v>43513</v>
      </c>
      <c r="P40" s="58"/>
      <c r="Q40" s="52" t="s">
        <v>82</v>
      </c>
      <c r="R40" s="57" t="s">
        <v>1397</v>
      </c>
      <c r="S40" s="47"/>
    </row>
    <row r="41" spans="2:19" s="96" customFormat="1" ht="33" customHeight="1">
      <c r="B41" s="47" t="s">
        <v>17</v>
      </c>
      <c r="C41" s="48" t="s">
        <v>361</v>
      </c>
      <c r="D41" s="49" t="s">
        <v>384</v>
      </c>
      <c r="E41" s="50">
        <v>43441</v>
      </c>
      <c r="F41" s="52" t="s">
        <v>84</v>
      </c>
      <c r="G41" s="51">
        <v>9200</v>
      </c>
      <c r="H41" s="52">
        <f t="shared" si="7"/>
        <v>40</v>
      </c>
      <c r="I41" s="52">
        <f t="shared" si="1"/>
        <v>10</v>
      </c>
      <c r="J41" s="49"/>
      <c r="K41" s="53">
        <v>43548</v>
      </c>
      <c r="L41" s="54" t="s">
        <v>1398</v>
      </c>
      <c r="M41" s="55">
        <v>43543</v>
      </c>
      <c r="N41" s="56" t="s">
        <v>1399</v>
      </c>
      <c r="O41" s="55">
        <v>43548</v>
      </c>
      <c r="P41" s="58"/>
      <c r="Q41" s="52" t="s">
        <v>82</v>
      </c>
      <c r="R41" s="57" t="s">
        <v>1400</v>
      </c>
      <c r="S41" s="47"/>
    </row>
    <row r="42" spans="2:19" s="67" customFormat="1" ht="33" customHeight="1">
      <c r="B42" s="46" t="s">
        <v>17</v>
      </c>
      <c r="C42" s="35" t="s">
        <v>427</v>
      </c>
      <c r="D42" s="36" t="s">
        <v>1401</v>
      </c>
      <c r="E42" s="37">
        <v>43483</v>
      </c>
      <c r="F42" s="38" t="s">
        <v>84</v>
      </c>
      <c r="G42" s="39">
        <v>9200</v>
      </c>
      <c r="H42" s="38">
        <f t="shared" si="7"/>
        <v>40</v>
      </c>
      <c r="I42" s="38">
        <f t="shared" si="1"/>
        <v>10</v>
      </c>
      <c r="J42" s="36"/>
      <c r="K42" s="40">
        <v>43576</v>
      </c>
      <c r="L42" s="41" t="s">
        <v>1402</v>
      </c>
      <c r="M42" s="42">
        <v>43571</v>
      </c>
      <c r="N42" s="43" t="s">
        <v>1403</v>
      </c>
      <c r="O42" s="42">
        <v>43576</v>
      </c>
      <c r="P42" s="45"/>
      <c r="Q42" s="38" t="s">
        <v>82</v>
      </c>
      <c r="R42" s="44" t="s">
        <v>1404</v>
      </c>
      <c r="S42" s="46"/>
    </row>
    <row r="43" spans="2:19" s="67" customFormat="1" ht="33" customHeight="1">
      <c r="B43" s="46" t="s">
        <v>17</v>
      </c>
      <c r="C43" s="35" t="s">
        <v>581</v>
      </c>
      <c r="D43" s="36" t="s">
        <v>582</v>
      </c>
      <c r="E43" s="37">
        <v>43519</v>
      </c>
      <c r="F43" s="38" t="s">
        <v>84</v>
      </c>
      <c r="G43" s="39">
        <v>9200</v>
      </c>
      <c r="H43" s="38">
        <f t="shared" si="7"/>
        <v>40</v>
      </c>
      <c r="I43" s="38">
        <f t="shared" si="1"/>
        <v>10</v>
      </c>
      <c r="J43" s="36"/>
      <c r="K43" s="40">
        <v>43632</v>
      </c>
      <c r="L43" s="41" t="s">
        <v>807</v>
      </c>
      <c r="M43" s="42">
        <v>43627</v>
      </c>
      <c r="N43" s="43" t="s">
        <v>1405</v>
      </c>
      <c r="O43" s="42">
        <v>43632</v>
      </c>
      <c r="P43" s="45"/>
      <c r="Q43" s="38" t="s">
        <v>82</v>
      </c>
      <c r="R43" s="44" t="s">
        <v>1406</v>
      </c>
      <c r="S43" s="46"/>
    </row>
    <row r="44" spans="2:19" s="67" customFormat="1" ht="33" customHeight="1">
      <c r="B44" s="46" t="s">
        <v>17</v>
      </c>
      <c r="C44" s="35" t="s">
        <v>694</v>
      </c>
      <c r="D44" s="36" t="s">
        <v>695</v>
      </c>
      <c r="E44" s="37">
        <v>43532</v>
      </c>
      <c r="F44" s="38" t="s">
        <v>1407</v>
      </c>
      <c r="G44" s="39">
        <v>9200</v>
      </c>
      <c r="H44" s="38">
        <f t="shared" si="7"/>
        <v>40</v>
      </c>
      <c r="I44" s="38">
        <f t="shared" si="1"/>
        <v>10</v>
      </c>
      <c r="J44" s="36"/>
      <c r="K44" s="40">
        <v>43667</v>
      </c>
      <c r="L44" s="41" t="s">
        <v>1408</v>
      </c>
      <c r="M44" s="42">
        <v>43662</v>
      </c>
      <c r="N44" s="43" t="s">
        <v>1409</v>
      </c>
      <c r="O44" s="42">
        <v>43667</v>
      </c>
      <c r="P44" s="45"/>
      <c r="Q44" s="38" t="s">
        <v>82</v>
      </c>
      <c r="R44" s="44" t="s">
        <v>1410</v>
      </c>
      <c r="S44" s="46"/>
    </row>
    <row r="45" spans="2:19" s="96" customFormat="1" ht="33" customHeight="1">
      <c r="B45" s="47" t="s">
        <v>33</v>
      </c>
      <c r="C45" s="48" t="s">
        <v>230</v>
      </c>
      <c r="D45" s="49" t="s">
        <v>231</v>
      </c>
      <c r="E45" s="50"/>
      <c r="F45" s="52"/>
      <c r="G45" s="51">
        <v>9200</v>
      </c>
      <c r="H45" s="52">
        <f t="shared" si="7"/>
        <v>40</v>
      </c>
      <c r="I45" s="52">
        <f t="shared" si="1"/>
        <v>10</v>
      </c>
      <c r="J45" s="49"/>
      <c r="K45" s="53">
        <v>43155</v>
      </c>
      <c r="L45" s="54" t="s">
        <v>1411</v>
      </c>
      <c r="M45" s="55">
        <v>43515</v>
      </c>
      <c r="N45" s="56" t="s">
        <v>1412</v>
      </c>
      <c r="O45" s="55">
        <v>43520</v>
      </c>
      <c r="P45" s="58" t="s">
        <v>1413</v>
      </c>
      <c r="Q45" s="52"/>
      <c r="R45" s="57" t="s">
        <v>1414</v>
      </c>
      <c r="S45" s="47" t="s">
        <v>216</v>
      </c>
    </row>
    <row r="46" spans="2:19" s="67" customFormat="1" ht="33" customHeight="1">
      <c r="B46" s="46" t="s">
        <v>33</v>
      </c>
      <c r="C46" s="35" t="s">
        <v>255</v>
      </c>
      <c r="D46" s="36" t="s">
        <v>269</v>
      </c>
      <c r="E46" s="37">
        <v>43378</v>
      </c>
      <c r="F46" s="38" t="s">
        <v>84</v>
      </c>
      <c r="G46" s="39">
        <v>18400</v>
      </c>
      <c r="H46" s="38">
        <f t="shared" si="7"/>
        <v>80</v>
      </c>
      <c r="I46" s="38">
        <f t="shared" si="1"/>
        <v>20</v>
      </c>
      <c r="J46" s="36"/>
      <c r="K46" s="141" t="s">
        <v>1415</v>
      </c>
      <c r="L46" s="142"/>
      <c r="M46" s="143"/>
      <c r="N46" s="144"/>
      <c r="O46" s="143"/>
      <c r="P46" s="45"/>
      <c r="Q46" s="38"/>
      <c r="R46" s="44" t="s">
        <v>1416</v>
      </c>
      <c r="S46" s="46"/>
    </row>
    <row r="47" spans="2:19" s="67" customFormat="1" ht="33" customHeight="1">
      <c r="B47" s="46" t="s">
        <v>81</v>
      </c>
      <c r="C47" s="35" t="s">
        <v>279</v>
      </c>
      <c r="D47" s="36" t="s">
        <v>1417</v>
      </c>
      <c r="E47" s="37">
        <v>43392</v>
      </c>
      <c r="F47" s="38" t="s">
        <v>84</v>
      </c>
      <c r="G47" s="129">
        <v>11960</v>
      </c>
      <c r="H47" s="124">
        <f t="shared" si="7"/>
        <v>52</v>
      </c>
      <c r="I47" s="124">
        <f t="shared" si="1"/>
        <v>13</v>
      </c>
      <c r="J47" s="38"/>
      <c r="K47" s="40">
        <v>43597</v>
      </c>
      <c r="L47" s="41" t="s">
        <v>1418</v>
      </c>
      <c r="M47" s="42">
        <v>43594</v>
      </c>
      <c r="N47" s="43" t="s">
        <v>1419</v>
      </c>
      <c r="O47" s="42">
        <v>43598</v>
      </c>
      <c r="P47" s="45"/>
      <c r="Q47" s="46"/>
      <c r="R47" s="44" t="s">
        <v>1420</v>
      </c>
      <c r="S47" s="46"/>
    </row>
    <row r="48" spans="2:19" s="67" customFormat="1" ht="33" customHeight="1">
      <c r="B48" s="122" t="s">
        <v>81</v>
      </c>
      <c r="C48" s="126" t="s">
        <v>1421</v>
      </c>
      <c r="D48" s="127" t="s">
        <v>1417</v>
      </c>
      <c r="E48" s="128">
        <v>43392</v>
      </c>
      <c r="F48" s="124" t="s">
        <v>84</v>
      </c>
      <c r="G48" s="129">
        <v>1840</v>
      </c>
      <c r="H48" s="124">
        <f t="shared" si="7"/>
        <v>8</v>
      </c>
      <c r="I48" s="124">
        <f t="shared" ref="I48" si="8">SUM(H48/4)</f>
        <v>2</v>
      </c>
      <c r="J48" s="124"/>
      <c r="K48" s="130">
        <v>43597</v>
      </c>
      <c r="L48" s="119" t="s">
        <v>773</v>
      </c>
      <c r="M48" s="120">
        <v>43601</v>
      </c>
      <c r="N48" s="121" t="s">
        <v>1422</v>
      </c>
      <c r="O48" s="120">
        <v>43605</v>
      </c>
      <c r="P48" s="123"/>
      <c r="Q48" s="122"/>
      <c r="R48" s="125" t="s">
        <v>1420</v>
      </c>
      <c r="S48" s="122" t="s">
        <v>1329</v>
      </c>
    </row>
    <row r="49" spans="2:19" s="96" customFormat="1" ht="33" customHeight="1">
      <c r="B49" s="47" t="s">
        <v>81</v>
      </c>
      <c r="C49" s="48" t="s">
        <v>316</v>
      </c>
      <c r="D49" s="49" t="s">
        <v>317</v>
      </c>
      <c r="E49" s="50">
        <v>43420</v>
      </c>
      <c r="F49" s="52" t="s">
        <v>1407</v>
      </c>
      <c r="G49" s="51">
        <v>18400</v>
      </c>
      <c r="H49" s="52">
        <f>SUM(G49/230)</f>
        <v>80</v>
      </c>
      <c r="I49" s="52">
        <f>SUM(H49/4)</f>
        <v>20</v>
      </c>
      <c r="J49" s="52"/>
      <c r="K49" s="53">
        <v>43525</v>
      </c>
      <c r="L49" s="54" t="s">
        <v>1411</v>
      </c>
      <c r="M49" s="55">
        <v>43515</v>
      </c>
      <c r="N49" s="56" t="s">
        <v>1412</v>
      </c>
      <c r="O49" s="55">
        <v>43520</v>
      </c>
      <c r="P49" s="58" t="s">
        <v>1423</v>
      </c>
      <c r="Q49" s="47"/>
      <c r="R49" s="57" t="s">
        <v>1424</v>
      </c>
      <c r="S49" s="47" t="s">
        <v>350</v>
      </c>
    </row>
    <row r="50" spans="2:19" s="67" customFormat="1" ht="33" customHeight="1">
      <c r="B50" s="46" t="s">
        <v>81</v>
      </c>
      <c r="C50" s="35" t="s">
        <v>318</v>
      </c>
      <c r="D50" s="36" t="s">
        <v>319</v>
      </c>
      <c r="E50" s="37">
        <v>43420</v>
      </c>
      <c r="F50" s="38" t="s">
        <v>1407</v>
      </c>
      <c r="G50" s="39">
        <v>17940</v>
      </c>
      <c r="H50" s="38">
        <f>SUM(G50/230)</f>
        <v>78</v>
      </c>
      <c r="I50" s="38">
        <f>SUM(H50/4)</f>
        <v>19.5</v>
      </c>
      <c r="J50" s="38"/>
      <c r="K50" s="40">
        <v>43576</v>
      </c>
      <c r="L50" s="41" t="s">
        <v>480</v>
      </c>
      <c r="M50" s="42">
        <v>43564</v>
      </c>
      <c r="N50" s="43" t="s">
        <v>1425</v>
      </c>
      <c r="O50" s="42">
        <v>43569</v>
      </c>
      <c r="P50" s="45"/>
      <c r="Q50" s="46"/>
      <c r="R50" s="44" t="s">
        <v>1426</v>
      </c>
      <c r="S50" s="46" t="s">
        <v>1427</v>
      </c>
    </row>
    <row r="51" spans="2:19" s="67" customFormat="1" ht="33" customHeight="1">
      <c r="B51" s="46" t="s">
        <v>81</v>
      </c>
      <c r="C51" s="35" t="s">
        <v>1428</v>
      </c>
      <c r="D51" s="36" t="s">
        <v>701</v>
      </c>
      <c r="E51" s="37">
        <v>43532</v>
      </c>
      <c r="F51" s="38" t="s">
        <v>1407</v>
      </c>
      <c r="G51" s="39">
        <v>13800</v>
      </c>
      <c r="H51" s="38">
        <f t="shared" ref="H51:H55" si="9">SUM(G51/230)</f>
        <v>60</v>
      </c>
      <c r="I51" s="38">
        <f t="shared" ref="I51:I55" si="10">SUM(H51/4)</f>
        <v>15</v>
      </c>
      <c r="J51" s="38"/>
      <c r="K51" s="40">
        <v>43625</v>
      </c>
      <c r="L51" s="41" t="s">
        <v>1429</v>
      </c>
      <c r="M51" s="42">
        <v>43620</v>
      </c>
      <c r="N51" s="43" t="s">
        <v>1430</v>
      </c>
      <c r="O51" s="42">
        <v>43625</v>
      </c>
      <c r="P51" s="45"/>
      <c r="Q51" s="46"/>
      <c r="R51" s="44" t="s">
        <v>1431</v>
      </c>
      <c r="S51" s="46"/>
    </row>
    <row r="52" spans="2:19" s="67" customFormat="1" ht="33" customHeight="1">
      <c r="B52" s="46" t="s">
        <v>81</v>
      </c>
      <c r="C52" s="35" t="s">
        <v>702</v>
      </c>
      <c r="D52" s="36" t="s">
        <v>703</v>
      </c>
      <c r="E52" s="37">
        <v>43532</v>
      </c>
      <c r="F52" s="38" t="s">
        <v>1407</v>
      </c>
      <c r="G52" s="39">
        <v>9200</v>
      </c>
      <c r="H52" s="38">
        <f t="shared" si="9"/>
        <v>40</v>
      </c>
      <c r="I52" s="38">
        <f t="shared" si="10"/>
        <v>10</v>
      </c>
      <c r="J52" s="38"/>
      <c r="K52" s="40">
        <v>43646</v>
      </c>
      <c r="L52" s="41" t="s">
        <v>1432</v>
      </c>
      <c r="M52" s="42">
        <v>43641</v>
      </c>
      <c r="N52" s="43" t="s">
        <v>1433</v>
      </c>
      <c r="O52" s="42">
        <v>43646</v>
      </c>
      <c r="P52" s="45"/>
      <c r="Q52" s="46"/>
      <c r="R52" s="44" t="s">
        <v>1434</v>
      </c>
      <c r="S52" s="46"/>
    </row>
    <row r="53" spans="2:19" s="67" customFormat="1" ht="33" customHeight="1">
      <c r="B53" s="46" t="s">
        <v>81</v>
      </c>
      <c r="C53" s="35" t="s">
        <v>852</v>
      </c>
      <c r="D53" s="36"/>
      <c r="E53" s="37">
        <v>43558</v>
      </c>
      <c r="F53" s="38" t="s">
        <v>1407</v>
      </c>
      <c r="G53" s="39">
        <v>9200</v>
      </c>
      <c r="H53" s="38">
        <f t="shared" si="9"/>
        <v>40</v>
      </c>
      <c r="I53" s="38">
        <f t="shared" si="10"/>
        <v>10</v>
      </c>
      <c r="J53" s="38"/>
      <c r="K53" s="40">
        <v>43646</v>
      </c>
      <c r="L53" s="41" t="s">
        <v>1432</v>
      </c>
      <c r="M53" s="42">
        <v>43641</v>
      </c>
      <c r="N53" s="43" t="s">
        <v>1433</v>
      </c>
      <c r="O53" s="42">
        <v>43646</v>
      </c>
      <c r="P53" s="45"/>
      <c r="Q53" s="46"/>
      <c r="R53" s="44" t="s">
        <v>1434</v>
      </c>
      <c r="S53" s="46"/>
    </row>
    <row r="54" spans="2:19" s="117" customFormat="1" ht="33" customHeight="1">
      <c r="B54" s="103" t="s">
        <v>81</v>
      </c>
      <c r="C54" s="104" t="s">
        <v>1435</v>
      </c>
      <c r="D54" s="105" t="s">
        <v>1436</v>
      </c>
      <c r="E54" s="106">
        <v>43574</v>
      </c>
      <c r="F54" s="107" t="s">
        <v>1407</v>
      </c>
      <c r="G54" s="108">
        <v>18400</v>
      </c>
      <c r="H54" s="107">
        <f t="shared" si="9"/>
        <v>80</v>
      </c>
      <c r="I54" s="107">
        <f t="shared" si="10"/>
        <v>20</v>
      </c>
      <c r="J54" s="107"/>
      <c r="K54" s="109">
        <v>43667</v>
      </c>
      <c r="L54" s="110" t="s">
        <v>1326</v>
      </c>
      <c r="M54" s="111">
        <v>43662</v>
      </c>
      <c r="N54" s="112" t="s">
        <v>1566</v>
      </c>
      <c r="O54" s="111">
        <v>43667</v>
      </c>
      <c r="P54" s="113"/>
      <c r="Q54" s="103"/>
      <c r="R54" s="114" t="s">
        <v>1437</v>
      </c>
      <c r="S54" s="103"/>
    </row>
    <row r="55" spans="2:19" s="67" customFormat="1" ht="33" customHeight="1">
      <c r="B55" s="135" t="s">
        <v>1438</v>
      </c>
      <c r="C55" s="136" t="s">
        <v>1439</v>
      </c>
      <c r="D55" s="137" t="s">
        <v>705</v>
      </c>
      <c r="E55" s="138">
        <v>43532</v>
      </c>
      <c r="F55" s="139" t="s">
        <v>1407</v>
      </c>
      <c r="G55" s="140">
        <v>920</v>
      </c>
      <c r="H55" s="139">
        <f t="shared" si="9"/>
        <v>4</v>
      </c>
      <c r="I55" s="139">
        <f t="shared" si="10"/>
        <v>1</v>
      </c>
      <c r="J55" s="139"/>
      <c r="K55" s="141">
        <v>43609</v>
      </c>
      <c r="L55" s="142" t="s">
        <v>773</v>
      </c>
      <c r="M55" s="143">
        <v>43601</v>
      </c>
      <c r="N55" s="144" t="s">
        <v>774</v>
      </c>
      <c r="O55" s="143">
        <v>43605</v>
      </c>
      <c r="P55" s="145"/>
      <c r="Q55" s="135"/>
      <c r="R55" s="146"/>
      <c r="S55" s="135" t="s">
        <v>1440</v>
      </c>
    </row>
    <row r="56" spans="2:19" s="67" customFormat="1" ht="33" customHeight="1">
      <c r="B56" s="46" t="s">
        <v>1441</v>
      </c>
      <c r="C56" s="35" t="s">
        <v>1439</v>
      </c>
      <c r="D56" s="36" t="s">
        <v>1442</v>
      </c>
      <c r="E56" s="37">
        <v>43511</v>
      </c>
      <c r="F56" s="38" t="s">
        <v>1407</v>
      </c>
      <c r="G56" s="39">
        <v>460</v>
      </c>
      <c r="H56" s="38">
        <f>SUM(G56/230)</f>
        <v>2</v>
      </c>
      <c r="I56" s="38">
        <f>SUM(H56/4)</f>
        <v>0.5</v>
      </c>
      <c r="J56" s="38"/>
      <c r="K56" s="40">
        <v>43576</v>
      </c>
      <c r="L56" s="41" t="s">
        <v>480</v>
      </c>
      <c r="M56" s="42">
        <v>43564</v>
      </c>
      <c r="N56" s="43" t="s">
        <v>646</v>
      </c>
      <c r="O56" s="42">
        <v>43569</v>
      </c>
      <c r="P56" s="45"/>
      <c r="Q56" s="46"/>
      <c r="R56" s="44" t="s">
        <v>1426</v>
      </c>
      <c r="S56" s="46"/>
    </row>
    <row r="57" spans="2:19" s="33" customFormat="1" ht="33" customHeight="1">
      <c r="B57" s="47" t="s">
        <v>1443</v>
      </c>
      <c r="C57" s="48" t="s">
        <v>321</v>
      </c>
      <c r="D57" s="49" t="s">
        <v>322</v>
      </c>
      <c r="E57" s="50">
        <v>43420</v>
      </c>
      <c r="F57" s="52" t="s">
        <v>1407</v>
      </c>
      <c r="G57" s="51">
        <v>3200</v>
      </c>
      <c r="H57" s="52">
        <f t="shared" ref="H57:H66" si="11">SUM(G57/20)</f>
        <v>160</v>
      </c>
      <c r="I57" s="52">
        <f t="shared" ref="I57:I66" si="12">SUM(H57/32)</f>
        <v>5</v>
      </c>
      <c r="J57" s="59"/>
      <c r="K57" s="53">
        <v>43513</v>
      </c>
      <c r="L57" s="54" t="s">
        <v>276</v>
      </c>
      <c r="M57" s="55">
        <v>43508</v>
      </c>
      <c r="N57" s="56" t="s">
        <v>1396</v>
      </c>
      <c r="O57" s="55">
        <v>43148</v>
      </c>
      <c r="P57" s="58"/>
      <c r="Q57" s="60" t="s">
        <v>89</v>
      </c>
      <c r="R57" s="57" t="s">
        <v>1444</v>
      </c>
      <c r="S57" s="47"/>
    </row>
    <row r="58" spans="2:19" s="33" customFormat="1" ht="33" customHeight="1">
      <c r="B58" s="47" t="s">
        <v>1443</v>
      </c>
      <c r="C58" s="48" t="s">
        <v>324</v>
      </c>
      <c r="D58" s="49" t="s">
        <v>325</v>
      </c>
      <c r="E58" s="50">
        <v>43420</v>
      </c>
      <c r="F58" s="52" t="s">
        <v>1407</v>
      </c>
      <c r="G58" s="51">
        <v>1920</v>
      </c>
      <c r="H58" s="52">
        <f t="shared" si="11"/>
        <v>96</v>
      </c>
      <c r="I58" s="52">
        <f t="shared" si="12"/>
        <v>3</v>
      </c>
      <c r="J58" s="59"/>
      <c r="K58" s="53">
        <v>43541</v>
      </c>
      <c r="L58" s="54" t="s">
        <v>1445</v>
      </c>
      <c r="M58" s="55">
        <v>43531</v>
      </c>
      <c r="N58" s="56" t="s">
        <v>1446</v>
      </c>
      <c r="O58" s="55">
        <v>43535</v>
      </c>
      <c r="P58" s="58"/>
      <c r="Q58" s="60" t="s">
        <v>89</v>
      </c>
      <c r="R58" s="57" t="s">
        <v>1447</v>
      </c>
      <c r="S58" s="47" t="s">
        <v>645</v>
      </c>
    </row>
    <row r="59" spans="2:19" s="33" customFormat="1" ht="33" customHeight="1">
      <c r="B59" s="47" t="s">
        <v>1443</v>
      </c>
      <c r="C59" s="48" t="s">
        <v>1448</v>
      </c>
      <c r="D59" s="49" t="s">
        <v>325</v>
      </c>
      <c r="E59" s="50">
        <v>43420</v>
      </c>
      <c r="F59" s="52" t="s">
        <v>1407</v>
      </c>
      <c r="G59" s="51">
        <v>1280</v>
      </c>
      <c r="H59" s="52">
        <f t="shared" si="11"/>
        <v>64</v>
      </c>
      <c r="I59" s="52">
        <f t="shared" si="12"/>
        <v>2</v>
      </c>
      <c r="J59" s="59"/>
      <c r="K59" s="53">
        <v>43541</v>
      </c>
      <c r="L59" s="54" t="s">
        <v>563</v>
      </c>
      <c r="M59" s="55">
        <v>43536</v>
      </c>
      <c r="N59" s="56" t="s">
        <v>1449</v>
      </c>
      <c r="O59" s="55">
        <v>43541</v>
      </c>
      <c r="P59" s="58"/>
      <c r="Q59" s="60" t="s">
        <v>89</v>
      </c>
      <c r="R59" s="57" t="s">
        <v>1447</v>
      </c>
      <c r="S59" s="47" t="s">
        <v>395</v>
      </c>
    </row>
    <row r="60" spans="2:19" s="33" customFormat="1" ht="33" customHeight="1">
      <c r="B60" s="47" t="s">
        <v>1443</v>
      </c>
      <c r="C60" s="48" t="s">
        <v>430</v>
      </c>
      <c r="D60" s="49" t="s">
        <v>470</v>
      </c>
      <c r="E60" s="50">
        <v>43473</v>
      </c>
      <c r="F60" s="52" t="s">
        <v>1407</v>
      </c>
      <c r="G60" s="51">
        <v>1920</v>
      </c>
      <c r="H60" s="52">
        <f t="shared" si="11"/>
        <v>96</v>
      </c>
      <c r="I60" s="52">
        <f t="shared" si="12"/>
        <v>3</v>
      </c>
      <c r="J60" s="59"/>
      <c r="K60" s="53">
        <v>43555</v>
      </c>
      <c r="L60" s="54" t="s">
        <v>1450</v>
      </c>
      <c r="M60" s="55">
        <v>43550</v>
      </c>
      <c r="N60" s="56" t="s">
        <v>1451</v>
      </c>
      <c r="O60" s="55">
        <v>43555</v>
      </c>
      <c r="P60" s="58"/>
      <c r="Q60" s="60" t="s">
        <v>89</v>
      </c>
      <c r="R60" s="57" t="s">
        <v>1452</v>
      </c>
      <c r="S60" s="47"/>
    </row>
    <row r="61" spans="2:19" s="30" customFormat="1" ht="33" customHeight="1">
      <c r="B61" s="46" t="s">
        <v>1443</v>
      </c>
      <c r="C61" s="35" t="s">
        <v>430</v>
      </c>
      <c r="D61" s="36" t="s">
        <v>470</v>
      </c>
      <c r="E61" s="37">
        <v>43473</v>
      </c>
      <c r="F61" s="38" t="s">
        <v>1407</v>
      </c>
      <c r="G61" s="39">
        <v>1920</v>
      </c>
      <c r="H61" s="38">
        <f t="shared" si="11"/>
        <v>96</v>
      </c>
      <c r="I61" s="38">
        <f t="shared" si="12"/>
        <v>3</v>
      </c>
      <c r="J61" s="61"/>
      <c r="K61" s="40">
        <v>43555</v>
      </c>
      <c r="L61" s="41" t="s">
        <v>1453</v>
      </c>
      <c r="M61" s="42">
        <v>43564</v>
      </c>
      <c r="N61" s="43" t="s">
        <v>1425</v>
      </c>
      <c r="O61" s="42">
        <v>43569</v>
      </c>
      <c r="P61" s="45"/>
      <c r="Q61" s="62" t="s">
        <v>89</v>
      </c>
      <c r="R61" s="44" t="s">
        <v>1452</v>
      </c>
      <c r="S61" s="46"/>
    </row>
    <row r="62" spans="2:19" s="30" customFormat="1" ht="33" customHeight="1">
      <c r="B62" s="46" t="s">
        <v>1443</v>
      </c>
      <c r="C62" s="35" t="s">
        <v>519</v>
      </c>
      <c r="D62" s="36" t="s">
        <v>710</v>
      </c>
      <c r="E62" s="37">
        <v>43511</v>
      </c>
      <c r="F62" s="38" t="s">
        <v>1407</v>
      </c>
      <c r="G62" s="39">
        <v>640</v>
      </c>
      <c r="H62" s="38">
        <f t="shared" si="11"/>
        <v>32</v>
      </c>
      <c r="I62" s="38">
        <f t="shared" si="12"/>
        <v>1</v>
      </c>
      <c r="J62" s="61"/>
      <c r="K62" s="40">
        <v>43555</v>
      </c>
      <c r="L62" s="41" t="s">
        <v>1454</v>
      </c>
      <c r="M62" s="42">
        <v>43557</v>
      </c>
      <c r="N62" s="43" t="s">
        <v>1455</v>
      </c>
      <c r="O62" s="42">
        <v>43562</v>
      </c>
      <c r="P62" s="45"/>
      <c r="Q62" s="62" t="s">
        <v>89</v>
      </c>
      <c r="R62" s="44" t="s">
        <v>1452</v>
      </c>
      <c r="S62" s="46"/>
    </row>
    <row r="63" spans="2:19" s="30" customFormat="1" ht="33" customHeight="1">
      <c r="B63" s="46" t="s">
        <v>1443</v>
      </c>
      <c r="C63" s="35" t="s">
        <v>520</v>
      </c>
      <c r="D63" s="36" t="s">
        <v>584</v>
      </c>
      <c r="E63" s="37">
        <v>43511</v>
      </c>
      <c r="F63" s="38" t="s">
        <v>1407</v>
      </c>
      <c r="G63" s="39">
        <v>1920</v>
      </c>
      <c r="H63" s="38">
        <f t="shared" si="11"/>
        <v>96</v>
      </c>
      <c r="I63" s="38">
        <f t="shared" si="12"/>
        <v>3</v>
      </c>
      <c r="J63" s="61"/>
      <c r="K63" s="40">
        <v>43576</v>
      </c>
      <c r="L63" s="41" t="s">
        <v>503</v>
      </c>
      <c r="M63" s="42">
        <v>43571</v>
      </c>
      <c r="N63" s="43" t="s">
        <v>1403</v>
      </c>
      <c r="O63" s="42">
        <v>43576</v>
      </c>
      <c r="P63" s="45"/>
      <c r="Q63" s="62" t="s">
        <v>89</v>
      </c>
      <c r="R63" s="44" t="s">
        <v>1456</v>
      </c>
      <c r="S63" s="46"/>
    </row>
    <row r="64" spans="2:19" s="30" customFormat="1" ht="33" customHeight="1">
      <c r="B64" s="46" t="s">
        <v>1443</v>
      </c>
      <c r="C64" s="35" t="s">
        <v>586</v>
      </c>
      <c r="D64" s="36" t="s">
        <v>640</v>
      </c>
      <c r="E64" s="37">
        <v>43519</v>
      </c>
      <c r="F64" s="38" t="s">
        <v>1407</v>
      </c>
      <c r="G64" s="39">
        <v>1920</v>
      </c>
      <c r="H64" s="38">
        <f t="shared" si="11"/>
        <v>96</v>
      </c>
      <c r="I64" s="38">
        <f t="shared" si="12"/>
        <v>3</v>
      </c>
      <c r="J64" s="61"/>
      <c r="K64" s="40">
        <v>43611</v>
      </c>
      <c r="L64" s="41" t="s">
        <v>1457</v>
      </c>
      <c r="M64" s="42">
        <v>43601</v>
      </c>
      <c r="N64" s="43" t="s">
        <v>1422</v>
      </c>
      <c r="O64" s="42">
        <v>43605</v>
      </c>
      <c r="P64" s="45"/>
      <c r="Q64" s="62" t="s">
        <v>89</v>
      </c>
      <c r="R64" s="44" t="s">
        <v>1458</v>
      </c>
      <c r="S64" s="46" t="s">
        <v>980</v>
      </c>
    </row>
    <row r="65" spans="2:19" s="30" customFormat="1" ht="33" customHeight="1">
      <c r="B65" s="46" t="s">
        <v>1443</v>
      </c>
      <c r="C65" s="35" t="s">
        <v>713</v>
      </c>
      <c r="D65" s="36" t="s">
        <v>714</v>
      </c>
      <c r="E65" s="37">
        <v>43532</v>
      </c>
      <c r="F65" s="38" t="s">
        <v>1407</v>
      </c>
      <c r="G65" s="39">
        <v>2560</v>
      </c>
      <c r="H65" s="38">
        <f t="shared" si="11"/>
        <v>128</v>
      </c>
      <c r="I65" s="38">
        <f t="shared" si="12"/>
        <v>4</v>
      </c>
      <c r="J65" s="61"/>
      <c r="K65" s="40">
        <v>43639</v>
      </c>
      <c r="L65" s="41" t="s">
        <v>1083</v>
      </c>
      <c r="M65" s="42">
        <v>43634</v>
      </c>
      <c r="N65" s="43" t="s">
        <v>1084</v>
      </c>
      <c r="O65" s="42">
        <v>43639</v>
      </c>
      <c r="P65" s="45"/>
      <c r="Q65" s="62" t="s">
        <v>89</v>
      </c>
      <c r="R65" s="44" t="s">
        <v>1459</v>
      </c>
      <c r="S65" s="46"/>
    </row>
    <row r="66" spans="2:19" s="30" customFormat="1" ht="33" customHeight="1">
      <c r="B66" s="122" t="s">
        <v>1443</v>
      </c>
      <c r="C66" s="126" t="s">
        <v>1184</v>
      </c>
      <c r="D66" s="127" t="s">
        <v>1185</v>
      </c>
      <c r="E66" s="128">
        <v>43567</v>
      </c>
      <c r="F66" s="124" t="s">
        <v>1407</v>
      </c>
      <c r="G66" s="129">
        <v>2560</v>
      </c>
      <c r="H66" s="124">
        <f t="shared" si="11"/>
        <v>128</v>
      </c>
      <c r="I66" s="124">
        <f t="shared" si="12"/>
        <v>4</v>
      </c>
      <c r="J66" s="131"/>
      <c r="K66" s="130">
        <v>43674</v>
      </c>
      <c r="L66" s="119" t="s">
        <v>1460</v>
      </c>
      <c r="M66" s="120">
        <v>43669</v>
      </c>
      <c r="N66" s="121" t="s">
        <v>1461</v>
      </c>
      <c r="O66" s="120">
        <v>43674</v>
      </c>
      <c r="P66" s="123"/>
      <c r="Q66" s="132" t="s">
        <v>89</v>
      </c>
      <c r="R66" s="125" t="s">
        <v>1462</v>
      </c>
      <c r="S66" s="122"/>
    </row>
    <row r="67" spans="2:19" s="33" customFormat="1" ht="33" customHeight="1">
      <c r="B67" s="47" t="s">
        <v>38</v>
      </c>
      <c r="C67" s="48" t="s">
        <v>224</v>
      </c>
      <c r="D67" s="49" t="s">
        <v>328</v>
      </c>
      <c r="E67" s="50">
        <v>43420</v>
      </c>
      <c r="F67" s="52" t="s">
        <v>1463</v>
      </c>
      <c r="G67" s="64">
        <v>640</v>
      </c>
      <c r="H67" s="52">
        <f>SUBTOTAL(9,G67)/20</f>
        <v>32</v>
      </c>
      <c r="I67" s="52">
        <f>H67/32</f>
        <v>1</v>
      </c>
      <c r="J67" s="52"/>
      <c r="K67" s="53">
        <v>43520</v>
      </c>
      <c r="L67" s="54" t="s">
        <v>1464</v>
      </c>
      <c r="M67" s="55">
        <v>43515</v>
      </c>
      <c r="N67" s="56" t="s">
        <v>1412</v>
      </c>
      <c r="O67" s="55">
        <v>43155</v>
      </c>
      <c r="P67" s="58" t="s">
        <v>1465</v>
      </c>
      <c r="Q67" s="52"/>
      <c r="R67" s="63" t="s">
        <v>1466</v>
      </c>
      <c r="S67" s="47"/>
    </row>
    <row r="68" spans="2:19" s="30" customFormat="1" ht="33" customHeight="1">
      <c r="B68" s="46" t="s">
        <v>38</v>
      </c>
      <c r="C68" s="35" t="s">
        <v>225</v>
      </c>
      <c r="D68" s="36" t="s">
        <v>587</v>
      </c>
      <c r="E68" s="37">
        <v>43519</v>
      </c>
      <c r="F68" s="38" t="s">
        <v>1463</v>
      </c>
      <c r="G68" s="65">
        <v>640</v>
      </c>
      <c r="H68" s="38">
        <f>SUBTOTAL(9,G68)/20</f>
        <v>32</v>
      </c>
      <c r="I68" s="38">
        <f>H68/32</f>
        <v>1</v>
      </c>
      <c r="J68" s="38"/>
      <c r="K68" s="40">
        <v>43583</v>
      </c>
      <c r="L68" s="41" t="s">
        <v>565</v>
      </c>
      <c r="M68" s="42">
        <v>43578</v>
      </c>
      <c r="N68" s="43" t="s">
        <v>1467</v>
      </c>
      <c r="O68" s="42">
        <v>43583</v>
      </c>
      <c r="P68" s="45"/>
      <c r="Q68" s="38"/>
      <c r="R68" s="66" t="s">
        <v>1420</v>
      </c>
      <c r="S68" s="46"/>
    </row>
    <row r="69" spans="2:19" s="30" customFormat="1" ht="33" customHeight="1">
      <c r="B69" s="122" t="s">
        <v>38</v>
      </c>
      <c r="C69" s="126" t="s">
        <v>226</v>
      </c>
      <c r="D69" s="127" t="s">
        <v>1194</v>
      </c>
      <c r="E69" s="128">
        <v>43567</v>
      </c>
      <c r="F69" s="124" t="s">
        <v>1463</v>
      </c>
      <c r="G69" s="152">
        <v>640</v>
      </c>
      <c r="H69" s="124">
        <f>SUBTOTAL(9,G69)/20</f>
        <v>32</v>
      </c>
      <c r="I69" s="124">
        <f>H69/32</f>
        <v>1</v>
      </c>
      <c r="J69" s="124"/>
      <c r="K69" s="130">
        <v>43667</v>
      </c>
      <c r="L69" s="119" t="s">
        <v>1468</v>
      </c>
      <c r="M69" s="120">
        <v>43662</v>
      </c>
      <c r="N69" s="121" t="s">
        <v>1409</v>
      </c>
      <c r="O69" s="120">
        <v>43667</v>
      </c>
      <c r="P69" s="123"/>
      <c r="Q69" s="124"/>
      <c r="R69" s="134" t="s">
        <v>1469</v>
      </c>
      <c r="S69" s="122"/>
    </row>
    <row r="70" spans="2:19" s="33" customFormat="1" ht="33" customHeight="1">
      <c r="B70" s="47" t="s">
        <v>88</v>
      </c>
      <c r="C70" s="48" t="s">
        <v>331</v>
      </c>
      <c r="D70" s="49" t="s">
        <v>332</v>
      </c>
      <c r="E70" s="50">
        <v>43420</v>
      </c>
      <c r="F70" s="52" t="s">
        <v>1463</v>
      </c>
      <c r="G70" s="64">
        <v>760</v>
      </c>
      <c r="H70" s="52">
        <f>SUBTOTAL(9,G70)/190</f>
        <v>4</v>
      </c>
      <c r="I70" s="52">
        <f>H70/4</f>
        <v>1</v>
      </c>
      <c r="J70" s="52"/>
      <c r="K70" s="53">
        <v>43520</v>
      </c>
      <c r="L70" s="54" t="s">
        <v>1464</v>
      </c>
      <c r="M70" s="55">
        <v>43515</v>
      </c>
      <c r="N70" s="56" t="s">
        <v>1412</v>
      </c>
      <c r="O70" s="55">
        <v>43155</v>
      </c>
      <c r="P70" s="58" t="s">
        <v>1470</v>
      </c>
      <c r="Q70" s="52"/>
      <c r="R70" s="63" t="s">
        <v>1471</v>
      </c>
      <c r="S70" s="47"/>
    </row>
    <row r="71" spans="2:19" s="30" customFormat="1" ht="33" customHeight="1">
      <c r="B71" s="46" t="s">
        <v>88</v>
      </c>
      <c r="C71" s="35" t="s">
        <v>431</v>
      </c>
      <c r="D71" s="36" t="s">
        <v>471</v>
      </c>
      <c r="E71" s="37">
        <v>43483</v>
      </c>
      <c r="F71" s="38" t="s">
        <v>1463</v>
      </c>
      <c r="G71" s="65">
        <v>760</v>
      </c>
      <c r="H71" s="38">
        <f>SUBTOTAL(9,G71)/190</f>
        <v>4</v>
      </c>
      <c r="I71" s="38">
        <f>H71/4</f>
        <v>1</v>
      </c>
      <c r="J71" s="38"/>
      <c r="K71" s="40">
        <v>43569</v>
      </c>
      <c r="L71" s="41" t="s">
        <v>417</v>
      </c>
      <c r="M71" s="42">
        <v>43564</v>
      </c>
      <c r="N71" s="43" t="s">
        <v>1425</v>
      </c>
      <c r="O71" s="42">
        <v>43569</v>
      </c>
      <c r="P71" s="45"/>
      <c r="Q71" s="38"/>
      <c r="R71" s="66" t="s">
        <v>1472</v>
      </c>
      <c r="S71" s="46"/>
    </row>
    <row r="72" spans="2:19" s="30" customFormat="1" ht="33" customHeight="1">
      <c r="B72" s="46" t="s">
        <v>88</v>
      </c>
      <c r="C72" s="35" t="s">
        <v>523</v>
      </c>
      <c r="D72" s="36" t="s">
        <v>588</v>
      </c>
      <c r="E72" s="37">
        <v>43511</v>
      </c>
      <c r="F72" s="38" t="s">
        <v>1463</v>
      </c>
      <c r="G72" s="65">
        <v>760</v>
      </c>
      <c r="H72" s="38">
        <f>SUBTOTAL(9,G72)/190</f>
        <v>4</v>
      </c>
      <c r="I72" s="38">
        <f>H72/4</f>
        <v>1</v>
      </c>
      <c r="J72" s="38"/>
      <c r="K72" s="40">
        <v>43583</v>
      </c>
      <c r="L72" s="41" t="s">
        <v>565</v>
      </c>
      <c r="M72" s="42">
        <v>43578</v>
      </c>
      <c r="N72" s="43" t="s">
        <v>1467</v>
      </c>
      <c r="O72" s="42">
        <v>43583</v>
      </c>
      <c r="P72" s="45"/>
      <c r="Q72" s="38"/>
      <c r="R72" s="66" t="s">
        <v>1473</v>
      </c>
      <c r="S72" s="46"/>
    </row>
    <row r="73" spans="2:19" s="30" customFormat="1" ht="33" customHeight="1">
      <c r="B73" s="46" t="s">
        <v>88</v>
      </c>
      <c r="C73" s="35" t="s">
        <v>589</v>
      </c>
      <c r="D73" s="36" t="s">
        <v>590</v>
      </c>
      <c r="E73" s="37">
        <v>43519</v>
      </c>
      <c r="F73" s="38" t="s">
        <v>1463</v>
      </c>
      <c r="G73" s="65">
        <v>760</v>
      </c>
      <c r="H73" s="38">
        <f>SUBTOTAL(9,G73)/190</f>
        <v>4</v>
      </c>
      <c r="I73" s="38">
        <f>H73/4</f>
        <v>1</v>
      </c>
      <c r="J73" s="38"/>
      <c r="K73" s="40">
        <v>43597</v>
      </c>
      <c r="L73" s="41" t="s">
        <v>1474</v>
      </c>
      <c r="M73" s="42">
        <v>43592</v>
      </c>
      <c r="N73" s="43" t="s">
        <v>1475</v>
      </c>
      <c r="O73" s="42">
        <v>43597</v>
      </c>
      <c r="P73" s="45"/>
      <c r="Q73" s="38"/>
      <c r="R73" s="66" t="s">
        <v>1476</v>
      </c>
      <c r="S73" s="46"/>
    </row>
    <row r="74" spans="2:19" s="30" customFormat="1" ht="33" customHeight="1">
      <c r="B74" s="122" t="s">
        <v>88</v>
      </c>
      <c r="C74" s="126" t="s">
        <v>1477</v>
      </c>
      <c r="D74" s="127" t="s">
        <v>1207</v>
      </c>
      <c r="E74" s="128">
        <v>43567</v>
      </c>
      <c r="F74" s="124" t="s">
        <v>1463</v>
      </c>
      <c r="G74" s="152">
        <v>760</v>
      </c>
      <c r="H74" s="124">
        <f>SUBTOTAL(9,G74)/190</f>
        <v>4</v>
      </c>
      <c r="I74" s="124">
        <f>H74/4</f>
        <v>1</v>
      </c>
      <c r="J74" s="124"/>
      <c r="K74" s="130">
        <v>43667</v>
      </c>
      <c r="L74" s="119" t="s">
        <v>1468</v>
      </c>
      <c r="M74" s="120">
        <v>43662</v>
      </c>
      <c r="N74" s="121" t="s">
        <v>1409</v>
      </c>
      <c r="O74" s="120">
        <v>43667</v>
      </c>
      <c r="P74" s="123"/>
      <c r="Q74" s="124"/>
      <c r="R74" s="134" t="s">
        <v>1437</v>
      </c>
      <c r="S74" s="122"/>
    </row>
    <row r="75" spans="2:19" s="33" customFormat="1" ht="33" customHeight="1">
      <c r="B75" s="47" t="s">
        <v>83</v>
      </c>
      <c r="C75" s="48" t="s">
        <v>1478</v>
      </c>
      <c r="D75" s="49" t="s">
        <v>336</v>
      </c>
      <c r="E75" s="50">
        <v>43420</v>
      </c>
      <c r="F75" s="52" t="s">
        <v>77</v>
      </c>
      <c r="G75" s="51">
        <v>5760</v>
      </c>
      <c r="H75" s="52">
        <f>SUM(G75/240)</f>
        <v>24</v>
      </c>
      <c r="I75" s="52">
        <f t="shared" ref="I75:I84" si="13">SUM(H75/4)</f>
        <v>6</v>
      </c>
      <c r="J75" s="52"/>
      <c r="K75" s="53">
        <v>43148</v>
      </c>
      <c r="L75" s="54" t="s">
        <v>276</v>
      </c>
      <c r="M75" s="55">
        <v>43508</v>
      </c>
      <c r="N75" s="56" t="s">
        <v>1396</v>
      </c>
      <c r="O75" s="55">
        <v>43148</v>
      </c>
      <c r="P75" s="58"/>
      <c r="Q75" s="52"/>
      <c r="R75" s="118" t="s">
        <v>1479</v>
      </c>
      <c r="S75" s="47"/>
    </row>
    <row r="76" spans="2:19" s="33" customFormat="1" ht="33" customHeight="1">
      <c r="B76" s="47" t="s">
        <v>83</v>
      </c>
      <c r="C76" s="48" t="s">
        <v>1480</v>
      </c>
      <c r="D76" s="49" t="s">
        <v>1481</v>
      </c>
      <c r="E76" s="50">
        <v>43462</v>
      </c>
      <c r="F76" s="52" t="s">
        <v>77</v>
      </c>
      <c r="G76" s="51">
        <v>960</v>
      </c>
      <c r="H76" s="52">
        <f>SUM(G76/240)</f>
        <v>4</v>
      </c>
      <c r="I76" s="52">
        <f t="shared" si="13"/>
        <v>1</v>
      </c>
      <c r="J76" s="52"/>
      <c r="K76" s="53">
        <v>43148</v>
      </c>
      <c r="L76" s="54" t="s">
        <v>276</v>
      </c>
      <c r="M76" s="55">
        <v>43508</v>
      </c>
      <c r="N76" s="56" t="s">
        <v>1396</v>
      </c>
      <c r="O76" s="55">
        <v>43148</v>
      </c>
      <c r="P76" s="58"/>
      <c r="Q76" s="52"/>
      <c r="R76" s="118" t="s">
        <v>1479</v>
      </c>
      <c r="S76" s="47"/>
    </row>
    <row r="77" spans="2:19" s="33" customFormat="1" ht="33" customHeight="1">
      <c r="B77" s="47" t="s">
        <v>83</v>
      </c>
      <c r="C77" s="48" t="s">
        <v>1482</v>
      </c>
      <c r="D77" s="49" t="s">
        <v>1481</v>
      </c>
      <c r="E77" s="50">
        <v>43462</v>
      </c>
      <c r="F77" s="52" t="s">
        <v>77</v>
      </c>
      <c r="G77" s="51">
        <v>960</v>
      </c>
      <c r="H77" s="52">
        <f t="shared" ref="H77:H84" si="14">SUM(G77/240)</f>
        <v>4</v>
      </c>
      <c r="I77" s="52">
        <f t="shared" si="13"/>
        <v>1</v>
      </c>
      <c r="J77" s="52"/>
      <c r="K77" s="53">
        <v>43148</v>
      </c>
      <c r="L77" s="54" t="s">
        <v>1445</v>
      </c>
      <c r="M77" s="55">
        <v>43531</v>
      </c>
      <c r="N77" s="56" t="s">
        <v>568</v>
      </c>
      <c r="O77" s="55">
        <v>43535</v>
      </c>
      <c r="P77" s="58" t="s">
        <v>1483</v>
      </c>
      <c r="Q77" s="52"/>
      <c r="R77" s="118" t="s">
        <v>1479</v>
      </c>
      <c r="S77" s="47" t="s">
        <v>609</v>
      </c>
    </row>
    <row r="78" spans="2:19" s="33" customFormat="1" ht="33" customHeight="1">
      <c r="B78" s="47" t="s">
        <v>83</v>
      </c>
      <c r="C78" s="48" t="s">
        <v>1484</v>
      </c>
      <c r="D78" s="49" t="s">
        <v>1485</v>
      </c>
      <c r="E78" s="50">
        <v>43462</v>
      </c>
      <c r="F78" s="52" t="s">
        <v>77</v>
      </c>
      <c r="G78" s="51">
        <v>2880</v>
      </c>
      <c r="H78" s="52">
        <f t="shared" si="14"/>
        <v>12</v>
      </c>
      <c r="I78" s="52">
        <f t="shared" si="13"/>
        <v>3</v>
      </c>
      <c r="J78" s="52"/>
      <c r="K78" s="53">
        <v>43541</v>
      </c>
      <c r="L78" s="54" t="s">
        <v>1445</v>
      </c>
      <c r="M78" s="55">
        <v>43531</v>
      </c>
      <c r="N78" s="56" t="s">
        <v>568</v>
      </c>
      <c r="O78" s="55">
        <v>43535</v>
      </c>
      <c r="P78" s="58" t="s">
        <v>657</v>
      </c>
      <c r="Q78" s="52"/>
      <c r="R78" s="118" t="s">
        <v>486</v>
      </c>
      <c r="S78" s="47" t="s">
        <v>610</v>
      </c>
    </row>
    <row r="79" spans="2:19" s="33" customFormat="1" ht="33" customHeight="1">
      <c r="B79" s="47" t="s">
        <v>83</v>
      </c>
      <c r="C79" s="48" t="s">
        <v>232</v>
      </c>
      <c r="D79" s="49" t="s">
        <v>386</v>
      </c>
      <c r="E79" s="50">
        <v>43455</v>
      </c>
      <c r="F79" s="52" t="s">
        <v>77</v>
      </c>
      <c r="G79" s="51">
        <v>5760</v>
      </c>
      <c r="H79" s="52">
        <f t="shared" si="14"/>
        <v>24</v>
      </c>
      <c r="I79" s="52">
        <f t="shared" si="13"/>
        <v>6</v>
      </c>
      <c r="J79" s="52"/>
      <c r="K79" s="53">
        <v>43541</v>
      </c>
      <c r="L79" s="54" t="s">
        <v>1398</v>
      </c>
      <c r="M79" s="55">
        <v>43543</v>
      </c>
      <c r="N79" s="56" t="s">
        <v>1399</v>
      </c>
      <c r="O79" s="55">
        <v>43548</v>
      </c>
      <c r="P79" s="58" t="s">
        <v>1486</v>
      </c>
      <c r="Q79" s="52"/>
      <c r="R79" s="118" t="s">
        <v>1487</v>
      </c>
      <c r="S79" s="47"/>
    </row>
    <row r="80" spans="2:19" s="30" customFormat="1" ht="33" customHeight="1">
      <c r="B80" s="46" t="s">
        <v>83</v>
      </c>
      <c r="C80" s="35" t="s">
        <v>244</v>
      </c>
      <c r="D80" s="36" t="s">
        <v>722</v>
      </c>
      <c r="E80" s="37">
        <v>43483</v>
      </c>
      <c r="F80" s="38" t="s">
        <v>77</v>
      </c>
      <c r="G80" s="39">
        <v>6720</v>
      </c>
      <c r="H80" s="38">
        <f t="shared" si="14"/>
        <v>28</v>
      </c>
      <c r="I80" s="38">
        <f t="shared" si="13"/>
        <v>7</v>
      </c>
      <c r="J80" s="38"/>
      <c r="K80" s="40">
        <v>43569</v>
      </c>
      <c r="L80" s="41" t="s">
        <v>480</v>
      </c>
      <c r="M80" s="42">
        <v>43564</v>
      </c>
      <c r="N80" s="43" t="s">
        <v>646</v>
      </c>
      <c r="O80" s="42">
        <v>43569</v>
      </c>
      <c r="P80" s="45" t="s">
        <v>1488</v>
      </c>
      <c r="Q80" s="38"/>
      <c r="R80" s="115" t="s">
        <v>1489</v>
      </c>
      <c r="S80" s="46"/>
    </row>
    <row r="81" spans="2:19" s="30" customFormat="1" ht="33" customHeight="1">
      <c r="B81" s="46" t="s">
        <v>83</v>
      </c>
      <c r="C81" s="35" t="s">
        <v>1490</v>
      </c>
      <c r="D81" s="36" t="s">
        <v>472</v>
      </c>
      <c r="E81" s="37">
        <v>43483</v>
      </c>
      <c r="F81" s="38" t="s">
        <v>77</v>
      </c>
      <c r="G81" s="39">
        <v>5760</v>
      </c>
      <c r="H81" s="38">
        <f>SUM(G81/240)</f>
        <v>24</v>
      </c>
      <c r="I81" s="38">
        <f>SUM(H81/4)</f>
        <v>6</v>
      </c>
      <c r="J81" s="38"/>
      <c r="K81" s="40">
        <v>43583</v>
      </c>
      <c r="L81" s="41" t="s">
        <v>448</v>
      </c>
      <c r="M81" s="42">
        <v>43578</v>
      </c>
      <c r="N81" s="43" t="s">
        <v>1467</v>
      </c>
      <c r="O81" s="42">
        <v>43583</v>
      </c>
      <c r="P81" s="45" t="s">
        <v>1491</v>
      </c>
      <c r="Q81" s="38"/>
      <c r="R81" s="115" t="s">
        <v>1489</v>
      </c>
      <c r="S81" s="46"/>
    </row>
    <row r="82" spans="2:19" s="30" customFormat="1" ht="33" customHeight="1">
      <c r="B82" s="46" t="s">
        <v>83</v>
      </c>
      <c r="C82" s="35" t="s">
        <v>258</v>
      </c>
      <c r="D82" s="36" t="s">
        <v>591</v>
      </c>
      <c r="E82" s="37">
        <v>43519</v>
      </c>
      <c r="F82" s="38" t="s">
        <v>77</v>
      </c>
      <c r="G82" s="39">
        <v>5760</v>
      </c>
      <c r="H82" s="38">
        <f t="shared" si="14"/>
        <v>24</v>
      </c>
      <c r="I82" s="38">
        <f t="shared" si="13"/>
        <v>6</v>
      </c>
      <c r="J82" s="38"/>
      <c r="K82" s="40">
        <v>43605</v>
      </c>
      <c r="L82" s="41" t="s">
        <v>1457</v>
      </c>
      <c r="M82" s="42">
        <v>43601</v>
      </c>
      <c r="N82" s="43" t="s">
        <v>1422</v>
      </c>
      <c r="O82" s="42">
        <v>43605</v>
      </c>
      <c r="P82" s="45" t="s">
        <v>1492</v>
      </c>
      <c r="Q82" s="38"/>
      <c r="R82" s="115" t="s">
        <v>1493</v>
      </c>
      <c r="S82" s="46"/>
    </row>
    <row r="83" spans="2:19" s="30" customFormat="1" ht="33" customHeight="1">
      <c r="B83" s="46" t="s">
        <v>83</v>
      </c>
      <c r="C83" s="35" t="s">
        <v>321</v>
      </c>
      <c r="D83" s="36" t="s">
        <v>727</v>
      </c>
      <c r="E83" s="37">
        <v>43532</v>
      </c>
      <c r="F83" s="38" t="s">
        <v>77</v>
      </c>
      <c r="G83" s="39">
        <v>6720</v>
      </c>
      <c r="H83" s="38">
        <f t="shared" si="14"/>
        <v>28</v>
      </c>
      <c r="I83" s="38">
        <f t="shared" si="13"/>
        <v>7</v>
      </c>
      <c r="J83" s="38"/>
      <c r="K83" s="40">
        <v>43633</v>
      </c>
      <c r="L83" s="41" t="s">
        <v>1494</v>
      </c>
      <c r="M83" s="42">
        <v>43627</v>
      </c>
      <c r="N83" s="43" t="s">
        <v>1405</v>
      </c>
      <c r="O83" s="42">
        <v>43632</v>
      </c>
      <c r="P83" s="45"/>
      <c r="Q83" s="38"/>
      <c r="R83" s="115" t="s">
        <v>1495</v>
      </c>
      <c r="S83" s="46"/>
    </row>
    <row r="84" spans="2:19" s="30" customFormat="1" ht="33" customHeight="1">
      <c r="B84" s="122" t="s">
        <v>83</v>
      </c>
      <c r="C84" s="126" t="s">
        <v>324</v>
      </c>
      <c r="D84" s="127" t="s">
        <v>1234</v>
      </c>
      <c r="E84" s="128">
        <v>43567</v>
      </c>
      <c r="F84" s="124" t="s">
        <v>77</v>
      </c>
      <c r="G84" s="129">
        <v>5760</v>
      </c>
      <c r="H84" s="124">
        <f t="shared" si="14"/>
        <v>24</v>
      </c>
      <c r="I84" s="124">
        <f t="shared" si="13"/>
        <v>6</v>
      </c>
      <c r="J84" s="124"/>
      <c r="K84" s="130">
        <v>43667</v>
      </c>
      <c r="L84" s="119" t="s">
        <v>1326</v>
      </c>
      <c r="M84" s="120">
        <v>43662</v>
      </c>
      <c r="N84" s="121" t="s">
        <v>1409</v>
      </c>
      <c r="O84" s="120">
        <v>43667</v>
      </c>
      <c r="P84" s="123"/>
      <c r="Q84" s="124"/>
      <c r="R84" s="133" t="s">
        <v>1496</v>
      </c>
      <c r="S84" s="122"/>
    </row>
    <row r="85" spans="2:19" s="34" customFormat="1" ht="33" customHeight="1">
      <c r="B85" s="47" t="s">
        <v>210</v>
      </c>
      <c r="C85" s="48" t="s">
        <v>225</v>
      </c>
      <c r="D85" s="49" t="s">
        <v>433</v>
      </c>
      <c r="E85" s="50">
        <v>43473</v>
      </c>
      <c r="F85" s="52" t="s">
        <v>218</v>
      </c>
      <c r="G85" s="51">
        <v>1920</v>
      </c>
      <c r="H85" s="52">
        <f t="shared" ref="H85:H101" si="15">SUM(G85/20)</f>
        <v>96</v>
      </c>
      <c r="I85" s="52">
        <f t="shared" ref="I85:I101" si="16">SUM(H85/32)</f>
        <v>3</v>
      </c>
      <c r="J85" s="52"/>
      <c r="K85" s="53">
        <v>43520</v>
      </c>
      <c r="L85" s="54" t="s">
        <v>1411</v>
      </c>
      <c r="M85" s="55">
        <v>43515</v>
      </c>
      <c r="N85" s="56" t="s">
        <v>1412</v>
      </c>
      <c r="O85" s="55">
        <v>43520</v>
      </c>
      <c r="P85" s="58"/>
      <c r="Q85" s="52"/>
      <c r="R85" s="63" t="s">
        <v>211</v>
      </c>
      <c r="S85" s="52"/>
    </row>
    <row r="86" spans="2:19" s="34" customFormat="1" ht="33" customHeight="1">
      <c r="B86" s="47" t="s">
        <v>210</v>
      </c>
      <c r="C86" s="48" t="s">
        <v>226</v>
      </c>
      <c r="D86" s="49" t="s">
        <v>593</v>
      </c>
      <c r="E86" s="50">
        <v>43483</v>
      </c>
      <c r="F86" s="52" t="s">
        <v>218</v>
      </c>
      <c r="G86" s="51">
        <v>640</v>
      </c>
      <c r="H86" s="52">
        <f t="shared" si="15"/>
        <v>32</v>
      </c>
      <c r="I86" s="52">
        <f t="shared" si="16"/>
        <v>1</v>
      </c>
      <c r="J86" s="52"/>
      <c r="K86" s="53">
        <v>43534</v>
      </c>
      <c r="L86" s="54" t="s">
        <v>1497</v>
      </c>
      <c r="M86" s="55"/>
      <c r="N86" s="56"/>
      <c r="O86" s="55">
        <v>43520</v>
      </c>
      <c r="P86" s="58" t="s">
        <v>651</v>
      </c>
      <c r="Q86" s="52"/>
      <c r="R86" s="63" t="s">
        <v>211</v>
      </c>
      <c r="S86" s="52"/>
    </row>
    <row r="87" spans="2:19" s="34" customFormat="1" ht="33" customHeight="1">
      <c r="B87" s="47" t="s">
        <v>210</v>
      </c>
      <c r="C87" s="48" t="s">
        <v>226</v>
      </c>
      <c r="D87" s="49" t="s">
        <v>434</v>
      </c>
      <c r="E87" s="50">
        <v>43483</v>
      </c>
      <c r="F87" s="52" t="s">
        <v>218</v>
      </c>
      <c r="G87" s="51">
        <v>1920</v>
      </c>
      <c r="H87" s="52">
        <f t="shared" si="15"/>
        <v>96</v>
      </c>
      <c r="I87" s="52">
        <f t="shared" si="16"/>
        <v>3</v>
      </c>
      <c r="J87" s="52"/>
      <c r="K87" s="53">
        <v>43534</v>
      </c>
      <c r="L87" s="54" t="s">
        <v>1498</v>
      </c>
      <c r="M87" s="55">
        <v>43524</v>
      </c>
      <c r="N87" s="56" t="s">
        <v>1499</v>
      </c>
      <c r="O87" s="55">
        <v>43528</v>
      </c>
      <c r="P87" s="58" t="s">
        <v>1500</v>
      </c>
      <c r="Q87" s="52" t="s">
        <v>615</v>
      </c>
      <c r="R87" s="63" t="s">
        <v>211</v>
      </c>
      <c r="S87" s="52"/>
    </row>
    <row r="88" spans="2:19" s="34" customFormat="1" ht="33" customHeight="1">
      <c r="B88" s="47" t="s">
        <v>210</v>
      </c>
      <c r="C88" s="48" t="s">
        <v>226</v>
      </c>
      <c r="D88" s="49" t="s">
        <v>434</v>
      </c>
      <c r="E88" s="50">
        <v>43483</v>
      </c>
      <c r="F88" s="52" t="s">
        <v>218</v>
      </c>
      <c r="G88" s="51">
        <v>1280</v>
      </c>
      <c r="H88" s="52">
        <f t="shared" si="15"/>
        <v>64</v>
      </c>
      <c r="I88" s="52">
        <f t="shared" si="16"/>
        <v>2</v>
      </c>
      <c r="J88" s="52"/>
      <c r="K88" s="53">
        <v>43534</v>
      </c>
      <c r="L88" s="54" t="s">
        <v>1445</v>
      </c>
      <c r="M88" s="55">
        <v>43531</v>
      </c>
      <c r="N88" s="56" t="s">
        <v>568</v>
      </c>
      <c r="O88" s="55">
        <v>43535</v>
      </c>
      <c r="P88" s="58" t="s">
        <v>1501</v>
      </c>
      <c r="Q88" s="52" t="s">
        <v>614</v>
      </c>
      <c r="R88" s="63" t="s">
        <v>211</v>
      </c>
      <c r="S88" s="52" t="s">
        <v>1502</v>
      </c>
    </row>
    <row r="89" spans="2:19" s="34" customFormat="1" ht="33" customHeight="1">
      <c r="B89" s="47" t="s">
        <v>210</v>
      </c>
      <c r="C89" s="48" t="s">
        <v>233</v>
      </c>
      <c r="D89" s="49" t="s">
        <v>525</v>
      </c>
      <c r="E89" s="50">
        <v>43507</v>
      </c>
      <c r="F89" s="52" t="s">
        <v>218</v>
      </c>
      <c r="G89" s="51">
        <v>1920</v>
      </c>
      <c r="H89" s="52">
        <f t="shared" si="15"/>
        <v>96</v>
      </c>
      <c r="I89" s="52">
        <f t="shared" si="16"/>
        <v>3</v>
      </c>
      <c r="J89" s="52"/>
      <c r="K89" s="53">
        <v>43541</v>
      </c>
      <c r="L89" s="54" t="s">
        <v>1503</v>
      </c>
      <c r="M89" s="55">
        <v>43536</v>
      </c>
      <c r="N89" s="56" t="s">
        <v>1449</v>
      </c>
      <c r="O89" s="55">
        <v>43541</v>
      </c>
      <c r="P89" s="58" t="s">
        <v>1504</v>
      </c>
      <c r="Q89" s="52" t="s">
        <v>612</v>
      </c>
      <c r="R89" s="63" t="s">
        <v>211</v>
      </c>
      <c r="S89" s="52"/>
    </row>
    <row r="90" spans="2:19" s="34" customFormat="1" ht="33" customHeight="1">
      <c r="B90" s="47" t="s">
        <v>210</v>
      </c>
      <c r="C90" s="48" t="s">
        <v>1505</v>
      </c>
      <c r="D90" s="49" t="s">
        <v>525</v>
      </c>
      <c r="E90" s="50">
        <v>43519</v>
      </c>
      <c r="F90" s="52" t="s">
        <v>218</v>
      </c>
      <c r="G90" s="51">
        <v>1920</v>
      </c>
      <c r="H90" s="52">
        <f t="shared" si="15"/>
        <v>96</v>
      </c>
      <c r="I90" s="52">
        <f t="shared" si="16"/>
        <v>3</v>
      </c>
      <c r="J90" s="52"/>
      <c r="K90" s="53">
        <v>43555</v>
      </c>
      <c r="L90" s="54" t="s">
        <v>1450</v>
      </c>
      <c r="M90" s="55">
        <v>43550</v>
      </c>
      <c r="N90" s="56" t="s">
        <v>1451</v>
      </c>
      <c r="O90" s="55">
        <v>43555</v>
      </c>
      <c r="P90" s="58"/>
      <c r="Q90" s="52" t="s">
        <v>613</v>
      </c>
      <c r="R90" s="63" t="s">
        <v>211</v>
      </c>
      <c r="S90" s="52"/>
    </row>
    <row r="91" spans="2:19" s="32" customFormat="1" ht="33" customHeight="1">
      <c r="B91" s="46" t="s">
        <v>210</v>
      </c>
      <c r="C91" s="35" t="s">
        <v>285</v>
      </c>
      <c r="D91" s="36" t="s">
        <v>526</v>
      </c>
      <c r="E91" s="37">
        <v>43507</v>
      </c>
      <c r="F91" s="38" t="s">
        <v>218</v>
      </c>
      <c r="G91" s="39">
        <v>3200</v>
      </c>
      <c r="H91" s="38">
        <f t="shared" si="15"/>
        <v>160</v>
      </c>
      <c r="I91" s="38">
        <f t="shared" si="16"/>
        <v>5</v>
      </c>
      <c r="J91" s="38"/>
      <c r="K91" s="40">
        <v>43576</v>
      </c>
      <c r="L91" s="41" t="s">
        <v>503</v>
      </c>
      <c r="M91" s="42">
        <v>43571</v>
      </c>
      <c r="N91" s="43" t="s">
        <v>1403</v>
      </c>
      <c r="O91" s="42">
        <v>43576</v>
      </c>
      <c r="P91" s="45"/>
      <c r="Q91" s="38" t="s">
        <v>643</v>
      </c>
      <c r="R91" s="66" t="s">
        <v>211</v>
      </c>
      <c r="S91" s="38"/>
    </row>
    <row r="92" spans="2:19" s="32" customFormat="1" ht="33" customHeight="1">
      <c r="B92" s="46" t="s">
        <v>210</v>
      </c>
      <c r="C92" s="35" t="s">
        <v>1506</v>
      </c>
      <c r="D92" s="36" t="s">
        <v>526</v>
      </c>
      <c r="E92" s="37">
        <v>43507</v>
      </c>
      <c r="F92" s="38" t="s">
        <v>218</v>
      </c>
      <c r="G92" s="39">
        <v>640</v>
      </c>
      <c r="H92" s="38">
        <f>SUM(G92/20)</f>
        <v>32</v>
      </c>
      <c r="I92" s="38">
        <f>SUM(H92/32)</f>
        <v>1</v>
      </c>
      <c r="J92" s="38"/>
      <c r="K92" s="40">
        <v>43576</v>
      </c>
      <c r="L92" s="41" t="s">
        <v>448</v>
      </c>
      <c r="M92" s="42">
        <v>43578</v>
      </c>
      <c r="N92" s="43" t="s">
        <v>1467</v>
      </c>
      <c r="O92" s="42">
        <v>43583</v>
      </c>
      <c r="P92" s="45"/>
      <c r="Q92" s="38" t="s">
        <v>643</v>
      </c>
      <c r="R92" s="66" t="s">
        <v>211</v>
      </c>
      <c r="S92" s="38"/>
    </row>
    <row r="93" spans="2:19" s="32" customFormat="1" ht="33" customHeight="1">
      <c r="B93" s="46" t="s">
        <v>210</v>
      </c>
      <c r="C93" s="35" t="s">
        <v>331</v>
      </c>
      <c r="D93" s="36" t="s">
        <v>1507</v>
      </c>
      <c r="E93" s="37">
        <v>43519</v>
      </c>
      <c r="F93" s="38" t="s">
        <v>218</v>
      </c>
      <c r="G93" s="39">
        <v>3200</v>
      </c>
      <c r="H93" s="38">
        <f t="shared" si="15"/>
        <v>160</v>
      </c>
      <c r="I93" s="38">
        <f t="shared" si="16"/>
        <v>5</v>
      </c>
      <c r="J93" s="38"/>
      <c r="K93" s="40">
        <v>43562</v>
      </c>
      <c r="L93" s="41" t="s">
        <v>608</v>
      </c>
      <c r="M93" s="42">
        <v>43557</v>
      </c>
      <c r="N93" s="43" t="s">
        <v>1455</v>
      </c>
      <c r="O93" s="42">
        <v>43562</v>
      </c>
      <c r="P93" s="45"/>
      <c r="Q93" s="38" t="s">
        <v>642</v>
      </c>
      <c r="R93" s="66" t="s">
        <v>211</v>
      </c>
      <c r="S93" s="38"/>
    </row>
    <row r="94" spans="2:19" s="32" customFormat="1" ht="33" customHeight="1">
      <c r="B94" s="46" t="s">
        <v>210</v>
      </c>
      <c r="C94" s="35" t="s">
        <v>1508</v>
      </c>
      <c r="D94" s="36" t="s">
        <v>1507</v>
      </c>
      <c r="E94" s="37">
        <v>43519</v>
      </c>
      <c r="F94" s="38" t="s">
        <v>218</v>
      </c>
      <c r="G94" s="39">
        <v>640</v>
      </c>
      <c r="H94" s="38">
        <f>SUM(G94/20)</f>
        <v>32</v>
      </c>
      <c r="I94" s="38">
        <f>SUM(H94/32)</f>
        <v>1</v>
      </c>
      <c r="J94" s="38"/>
      <c r="K94" s="40">
        <v>43562</v>
      </c>
      <c r="L94" s="41" t="s">
        <v>480</v>
      </c>
      <c r="M94" s="42">
        <v>43564</v>
      </c>
      <c r="N94" s="43" t="s">
        <v>646</v>
      </c>
      <c r="O94" s="42">
        <v>43569</v>
      </c>
      <c r="P94" s="45"/>
      <c r="Q94" s="38" t="s">
        <v>642</v>
      </c>
      <c r="R94" s="66" t="s">
        <v>211</v>
      </c>
      <c r="S94" s="38"/>
    </row>
    <row r="95" spans="2:19" s="32" customFormat="1" ht="33" customHeight="1">
      <c r="B95" s="46" t="s">
        <v>210</v>
      </c>
      <c r="C95" s="35" t="s">
        <v>431</v>
      </c>
      <c r="D95" s="36" t="s">
        <v>1509</v>
      </c>
      <c r="E95" s="37">
        <v>43523</v>
      </c>
      <c r="F95" s="38" t="s">
        <v>218</v>
      </c>
      <c r="G95" s="39">
        <v>3200</v>
      </c>
      <c r="H95" s="38">
        <f t="shared" si="15"/>
        <v>160</v>
      </c>
      <c r="I95" s="38">
        <f t="shared" si="16"/>
        <v>5</v>
      </c>
      <c r="J95" s="38"/>
      <c r="K95" s="40">
        <v>43597</v>
      </c>
      <c r="L95" s="41" t="s">
        <v>605</v>
      </c>
      <c r="M95" s="42">
        <v>43594</v>
      </c>
      <c r="N95" s="43" t="s">
        <v>1419</v>
      </c>
      <c r="O95" s="42">
        <v>43598</v>
      </c>
      <c r="P95" s="45"/>
      <c r="Q95" s="38" t="s">
        <v>641</v>
      </c>
      <c r="R95" s="66" t="s">
        <v>211</v>
      </c>
      <c r="S95" s="38"/>
    </row>
    <row r="96" spans="2:19" s="32" customFormat="1" ht="33" customHeight="1">
      <c r="B96" s="46" t="s">
        <v>210</v>
      </c>
      <c r="C96" s="35" t="s">
        <v>1510</v>
      </c>
      <c r="D96" s="36" t="s">
        <v>1509</v>
      </c>
      <c r="E96" s="37">
        <v>43523</v>
      </c>
      <c r="F96" s="38" t="s">
        <v>218</v>
      </c>
      <c r="G96" s="39">
        <v>640</v>
      </c>
      <c r="H96" s="38">
        <f>SUM(G96/20)</f>
        <v>32</v>
      </c>
      <c r="I96" s="38">
        <f>SUM(H96/32)</f>
        <v>1</v>
      </c>
      <c r="J96" s="38"/>
      <c r="K96" s="40">
        <v>43618</v>
      </c>
      <c r="L96" s="41" t="s">
        <v>1511</v>
      </c>
      <c r="M96" s="42">
        <v>43613</v>
      </c>
      <c r="N96" s="43" t="s">
        <v>1512</v>
      </c>
      <c r="O96" s="42">
        <v>43618</v>
      </c>
      <c r="P96" s="45"/>
      <c r="Q96" s="38" t="s">
        <v>641</v>
      </c>
      <c r="R96" s="66" t="s">
        <v>211</v>
      </c>
      <c r="S96" s="38"/>
    </row>
    <row r="97" spans="2:19" s="32" customFormat="1" ht="33" customHeight="1">
      <c r="B97" s="46" t="s">
        <v>210</v>
      </c>
      <c r="C97" s="35" t="s">
        <v>1513</v>
      </c>
      <c r="D97" s="36" t="s">
        <v>739</v>
      </c>
      <c r="E97" s="37">
        <v>43532</v>
      </c>
      <c r="F97" s="38" t="s">
        <v>218</v>
      </c>
      <c r="G97" s="39">
        <v>2560</v>
      </c>
      <c r="H97" s="38">
        <f t="shared" ref="H97:H98" si="17">SUM(G97/20)</f>
        <v>128</v>
      </c>
      <c r="I97" s="38">
        <f t="shared" ref="I97:I98" si="18">SUM(H97/32)</f>
        <v>4</v>
      </c>
      <c r="J97" s="38"/>
      <c r="K97" s="40">
        <v>43618</v>
      </c>
      <c r="L97" s="41" t="s">
        <v>1511</v>
      </c>
      <c r="M97" s="42">
        <v>43613</v>
      </c>
      <c r="N97" s="43" t="s">
        <v>1512</v>
      </c>
      <c r="O97" s="42">
        <v>43618</v>
      </c>
      <c r="P97" s="45"/>
      <c r="Q97" s="38" t="s">
        <v>970</v>
      </c>
      <c r="R97" s="66" t="s">
        <v>211</v>
      </c>
      <c r="S97" s="38"/>
    </row>
    <row r="98" spans="2:19" s="32" customFormat="1" ht="33" customHeight="1">
      <c r="B98" s="46" t="s">
        <v>210</v>
      </c>
      <c r="C98" s="35" t="s">
        <v>589</v>
      </c>
      <c r="D98" s="36" t="s">
        <v>1260</v>
      </c>
      <c r="E98" s="37">
        <v>43558</v>
      </c>
      <c r="F98" s="38" t="s">
        <v>218</v>
      </c>
      <c r="G98" s="39">
        <v>3200</v>
      </c>
      <c r="H98" s="38">
        <f t="shared" si="17"/>
        <v>160</v>
      </c>
      <c r="I98" s="38">
        <f t="shared" si="18"/>
        <v>5</v>
      </c>
      <c r="J98" s="38"/>
      <c r="K98" s="40">
        <v>43639</v>
      </c>
      <c r="L98" s="41" t="s">
        <v>1514</v>
      </c>
      <c r="M98" s="42">
        <v>43634</v>
      </c>
      <c r="N98" s="43" t="s">
        <v>1515</v>
      </c>
      <c r="O98" s="42">
        <v>43639</v>
      </c>
      <c r="P98" s="45"/>
      <c r="Q98" s="38" t="s">
        <v>973</v>
      </c>
      <c r="R98" s="66" t="s">
        <v>211</v>
      </c>
      <c r="S98" s="38"/>
    </row>
    <row r="99" spans="2:19" s="34" customFormat="1" ht="33" customHeight="1">
      <c r="B99" s="47" t="s">
        <v>1516</v>
      </c>
      <c r="C99" s="48" t="s">
        <v>1517</v>
      </c>
      <c r="D99" s="49" t="s">
        <v>1518</v>
      </c>
      <c r="E99" s="50"/>
      <c r="F99" s="52" t="s">
        <v>1519</v>
      </c>
      <c r="G99" s="51">
        <v>640</v>
      </c>
      <c r="H99" s="52">
        <f t="shared" si="15"/>
        <v>32</v>
      </c>
      <c r="I99" s="52">
        <f t="shared" si="16"/>
        <v>1</v>
      </c>
      <c r="J99" s="52"/>
      <c r="K99" s="53">
        <v>43513</v>
      </c>
      <c r="L99" s="54" t="s">
        <v>276</v>
      </c>
      <c r="M99" s="55">
        <v>43508</v>
      </c>
      <c r="N99" s="56" t="s">
        <v>1396</v>
      </c>
      <c r="O99" s="55">
        <v>43513</v>
      </c>
      <c r="P99" s="58"/>
      <c r="Q99" s="52"/>
      <c r="R99" s="63" t="s">
        <v>211</v>
      </c>
      <c r="S99" s="52"/>
    </row>
    <row r="100" spans="2:19" s="34" customFormat="1" ht="33" customHeight="1">
      <c r="B100" s="47" t="s">
        <v>1516</v>
      </c>
      <c r="C100" s="48" t="s">
        <v>234</v>
      </c>
      <c r="D100" s="49" t="s">
        <v>1520</v>
      </c>
      <c r="E100" s="50">
        <v>43519</v>
      </c>
      <c r="F100" s="52" t="s">
        <v>1519</v>
      </c>
      <c r="G100" s="51">
        <v>1280</v>
      </c>
      <c r="H100" s="52">
        <f t="shared" si="15"/>
        <v>64</v>
      </c>
      <c r="I100" s="52">
        <f t="shared" si="16"/>
        <v>2</v>
      </c>
      <c r="J100" s="52"/>
      <c r="K100" s="53">
        <v>43576</v>
      </c>
      <c r="L100" s="54" t="s">
        <v>1450</v>
      </c>
      <c r="M100" s="55">
        <v>43550</v>
      </c>
      <c r="N100" s="56" t="s">
        <v>1451</v>
      </c>
      <c r="O100" s="55">
        <v>43555</v>
      </c>
      <c r="P100" s="58" t="s">
        <v>655</v>
      </c>
      <c r="Q100" s="52" t="s">
        <v>613</v>
      </c>
      <c r="R100" s="63" t="s">
        <v>211</v>
      </c>
      <c r="S100" s="52"/>
    </row>
    <row r="101" spans="2:19" s="32" customFormat="1" ht="33" customHeight="1">
      <c r="B101" s="46" t="s">
        <v>1521</v>
      </c>
      <c r="C101" s="35" t="s">
        <v>235</v>
      </c>
      <c r="D101" s="36" t="s">
        <v>744</v>
      </c>
      <c r="E101" s="37">
        <v>43532</v>
      </c>
      <c r="F101" s="38" t="s">
        <v>1522</v>
      </c>
      <c r="G101" s="39">
        <v>1280</v>
      </c>
      <c r="H101" s="38">
        <f t="shared" si="15"/>
        <v>64</v>
      </c>
      <c r="I101" s="38">
        <f t="shared" si="16"/>
        <v>2</v>
      </c>
      <c r="J101" s="38"/>
      <c r="K101" s="40">
        <v>43597</v>
      </c>
      <c r="L101" s="41" t="s">
        <v>605</v>
      </c>
      <c r="M101" s="42">
        <v>43594</v>
      </c>
      <c r="N101" s="43" t="s">
        <v>772</v>
      </c>
      <c r="O101" s="42">
        <v>43598</v>
      </c>
      <c r="P101" s="45"/>
      <c r="Q101" s="38" t="s">
        <v>641</v>
      </c>
      <c r="R101" s="66" t="s">
        <v>211</v>
      </c>
      <c r="S101" s="38"/>
    </row>
    <row r="102" spans="2:19" s="30" customFormat="1" ht="33" customHeight="1">
      <c r="B102" s="46" t="s">
        <v>1523</v>
      </c>
      <c r="C102" s="35" t="s">
        <v>225</v>
      </c>
      <c r="D102" s="36" t="s">
        <v>487</v>
      </c>
      <c r="E102" s="37">
        <v>43490</v>
      </c>
      <c r="F102" s="38" t="s">
        <v>1524</v>
      </c>
      <c r="G102" s="39">
        <v>1520</v>
      </c>
      <c r="H102" s="38">
        <f>SUM(G102/190)</f>
        <v>8</v>
      </c>
      <c r="I102" s="38">
        <f>SUM(H102/4)</f>
        <v>2</v>
      </c>
      <c r="J102" s="38"/>
      <c r="K102" s="40">
        <v>43569</v>
      </c>
      <c r="L102" s="41" t="s">
        <v>417</v>
      </c>
      <c r="M102" s="42">
        <v>43564</v>
      </c>
      <c r="N102" s="43" t="s">
        <v>1525</v>
      </c>
      <c r="O102" s="42">
        <v>43569</v>
      </c>
      <c r="P102" s="45"/>
      <c r="Q102" s="38"/>
      <c r="R102" s="66" t="s">
        <v>1526</v>
      </c>
      <c r="S102" s="46"/>
    </row>
    <row r="103" spans="2:19" s="30" customFormat="1" ht="33" customHeight="1">
      <c r="B103" s="46" t="s">
        <v>1523</v>
      </c>
      <c r="C103" s="35" t="s">
        <v>226</v>
      </c>
      <c r="D103" s="36" t="s">
        <v>833</v>
      </c>
      <c r="E103" s="37">
        <v>43546</v>
      </c>
      <c r="F103" s="38" t="s">
        <v>1524</v>
      </c>
      <c r="G103" s="39">
        <v>1520</v>
      </c>
      <c r="H103" s="38">
        <f>SUM(G103/190)</f>
        <v>8</v>
      </c>
      <c r="I103" s="38">
        <f>SUM(H103/4)</f>
        <v>2</v>
      </c>
      <c r="J103" s="38"/>
      <c r="K103" s="40">
        <v>43632</v>
      </c>
      <c r="L103" s="41" t="s">
        <v>1527</v>
      </c>
      <c r="M103" s="42">
        <v>43627</v>
      </c>
      <c r="N103" s="43" t="s">
        <v>1528</v>
      </c>
      <c r="O103" s="42">
        <v>43632</v>
      </c>
      <c r="P103" s="45"/>
      <c r="Q103" s="38"/>
      <c r="R103" s="66" t="s">
        <v>1529</v>
      </c>
      <c r="S103" s="46"/>
    </row>
    <row r="104" spans="2:19" s="33" customFormat="1" ht="33" customHeight="1">
      <c r="B104" s="47" t="s">
        <v>1530</v>
      </c>
      <c r="C104" s="48" t="s">
        <v>90</v>
      </c>
      <c r="D104" s="49" t="s">
        <v>1531</v>
      </c>
      <c r="E104" s="50"/>
      <c r="F104" s="47" t="s">
        <v>236</v>
      </c>
      <c r="G104" s="51">
        <v>800</v>
      </c>
      <c r="H104" s="52">
        <f t="shared" ref="H104:H116" si="19">SUM(G104/200)</f>
        <v>4</v>
      </c>
      <c r="I104" s="52">
        <f t="shared" ref="I104:I116" si="20">SUM(H104/4)</f>
        <v>1</v>
      </c>
      <c r="J104" s="52"/>
      <c r="K104" s="53">
        <v>43513</v>
      </c>
      <c r="L104" s="54" t="s">
        <v>1532</v>
      </c>
      <c r="M104" s="55">
        <v>43515</v>
      </c>
      <c r="N104" s="56" t="s">
        <v>1533</v>
      </c>
      <c r="O104" s="55">
        <v>43520</v>
      </c>
      <c r="P104" s="58" t="s">
        <v>1534</v>
      </c>
      <c r="Q104" s="52"/>
      <c r="R104" s="63"/>
      <c r="S104" s="47"/>
    </row>
    <row r="105" spans="2:19" s="33" customFormat="1" ht="33" customHeight="1">
      <c r="B105" s="47" t="s">
        <v>1530</v>
      </c>
      <c r="C105" s="48" t="s">
        <v>90</v>
      </c>
      <c r="D105" s="49" t="s">
        <v>1531</v>
      </c>
      <c r="E105" s="50"/>
      <c r="F105" s="47" t="s">
        <v>236</v>
      </c>
      <c r="G105" s="51">
        <v>1600</v>
      </c>
      <c r="H105" s="52">
        <f t="shared" si="19"/>
        <v>8</v>
      </c>
      <c r="I105" s="52">
        <f t="shared" si="20"/>
        <v>2</v>
      </c>
      <c r="J105" s="52"/>
      <c r="K105" s="53">
        <v>43520</v>
      </c>
      <c r="L105" s="54" t="s">
        <v>1532</v>
      </c>
      <c r="M105" s="55">
        <v>43515</v>
      </c>
      <c r="N105" s="56" t="s">
        <v>1533</v>
      </c>
      <c r="O105" s="55">
        <v>43520</v>
      </c>
      <c r="P105" s="58" t="s">
        <v>1535</v>
      </c>
      <c r="Q105" s="52"/>
      <c r="R105" s="63"/>
      <c r="S105" s="47"/>
    </row>
    <row r="106" spans="2:19" s="33" customFormat="1" ht="33" customHeight="1">
      <c r="B106" s="47" t="s">
        <v>1530</v>
      </c>
      <c r="C106" s="48" t="s">
        <v>1536</v>
      </c>
      <c r="D106" s="49" t="s">
        <v>1531</v>
      </c>
      <c r="E106" s="50"/>
      <c r="F106" s="47" t="s">
        <v>236</v>
      </c>
      <c r="G106" s="51">
        <v>2400</v>
      </c>
      <c r="H106" s="52">
        <f t="shared" si="19"/>
        <v>12</v>
      </c>
      <c r="I106" s="52">
        <f t="shared" si="20"/>
        <v>3</v>
      </c>
      <c r="J106" s="52"/>
      <c r="K106" s="53">
        <v>43527</v>
      </c>
      <c r="L106" s="54" t="s">
        <v>1537</v>
      </c>
      <c r="M106" s="55">
        <v>43531</v>
      </c>
      <c r="N106" s="56" t="s">
        <v>568</v>
      </c>
      <c r="O106" s="55">
        <v>43535</v>
      </c>
      <c r="P106" s="58"/>
      <c r="Q106" s="52"/>
      <c r="R106" s="63"/>
      <c r="S106" s="47" t="s">
        <v>1538</v>
      </c>
    </row>
    <row r="107" spans="2:19" s="33" customFormat="1" ht="33" customHeight="1">
      <c r="B107" s="47" t="s">
        <v>238</v>
      </c>
      <c r="C107" s="48" t="s">
        <v>1539</v>
      </c>
      <c r="D107" s="49" t="s">
        <v>435</v>
      </c>
      <c r="E107" s="50"/>
      <c r="F107" s="52" t="s">
        <v>236</v>
      </c>
      <c r="G107" s="51">
        <v>2400</v>
      </c>
      <c r="H107" s="52">
        <f t="shared" si="19"/>
        <v>12</v>
      </c>
      <c r="I107" s="52">
        <f t="shared" si="20"/>
        <v>3</v>
      </c>
      <c r="J107" s="52"/>
      <c r="K107" s="53">
        <v>43548</v>
      </c>
      <c r="L107" s="54" t="s">
        <v>1540</v>
      </c>
      <c r="M107" s="55">
        <v>43543</v>
      </c>
      <c r="N107" s="56" t="s">
        <v>1541</v>
      </c>
      <c r="O107" s="55">
        <v>43548</v>
      </c>
      <c r="P107" s="58"/>
      <c r="Q107" s="52"/>
      <c r="R107" s="63"/>
      <c r="S107" s="47"/>
    </row>
    <row r="108" spans="2:19" s="30" customFormat="1" ht="33" customHeight="1">
      <c r="B108" s="46" t="s">
        <v>238</v>
      </c>
      <c r="C108" s="35" t="s">
        <v>1542</v>
      </c>
      <c r="D108" s="36" t="s">
        <v>474</v>
      </c>
      <c r="E108" s="37"/>
      <c r="F108" s="38" t="s">
        <v>236</v>
      </c>
      <c r="G108" s="39">
        <v>3200</v>
      </c>
      <c r="H108" s="38">
        <f t="shared" si="19"/>
        <v>16</v>
      </c>
      <c r="I108" s="38">
        <f t="shared" si="20"/>
        <v>4</v>
      </c>
      <c r="J108" s="38"/>
      <c r="K108" s="40">
        <v>43562</v>
      </c>
      <c r="L108" s="41" t="s">
        <v>1543</v>
      </c>
      <c r="M108" s="42">
        <v>43557</v>
      </c>
      <c r="N108" s="43" t="s">
        <v>1544</v>
      </c>
      <c r="O108" s="42">
        <v>43562</v>
      </c>
      <c r="P108" s="45"/>
      <c r="Q108" s="38"/>
      <c r="R108" s="66"/>
      <c r="S108" s="46"/>
    </row>
    <row r="109" spans="2:19" s="30" customFormat="1" ht="33" customHeight="1">
      <c r="B109" s="46" t="s">
        <v>238</v>
      </c>
      <c r="C109" s="35" t="s">
        <v>1545</v>
      </c>
      <c r="D109" s="36" t="s">
        <v>475</v>
      </c>
      <c r="E109" s="37"/>
      <c r="F109" s="38" t="s">
        <v>236</v>
      </c>
      <c r="G109" s="39">
        <v>1600</v>
      </c>
      <c r="H109" s="38">
        <f t="shared" si="19"/>
        <v>8</v>
      </c>
      <c r="I109" s="38">
        <f t="shared" si="20"/>
        <v>2</v>
      </c>
      <c r="J109" s="38"/>
      <c r="K109" s="40">
        <v>43562</v>
      </c>
      <c r="L109" s="41" t="s">
        <v>1546</v>
      </c>
      <c r="M109" s="42">
        <v>43564</v>
      </c>
      <c r="N109" s="43" t="s">
        <v>1525</v>
      </c>
      <c r="O109" s="42">
        <v>43569</v>
      </c>
      <c r="P109" s="45"/>
      <c r="Q109" s="38"/>
      <c r="R109" s="66"/>
      <c r="S109" s="46"/>
    </row>
    <row r="110" spans="2:19" s="30" customFormat="1" ht="33" customHeight="1">
      <c r="B110" s="46" t="s">
        <v>238</v>
      </c>
      <c r="C110" s="35" t="s">
        <v>1547</v>
      </c>
      <c r="D110" s="36" t="s">
        <v>488</v>
      </c>
      <c r="E110" s="37">
        <v>43495</v>
      </c>
      <c r="F110" s="38" t="s">
        <v>236</v>
      </c>
      <c r="G110" s="39">
        <v>1600</v>
      </c>
      <c r="H110" s="38">
        <f t="shared" si="19"/>
        <v>8</v>
      </c>
      <c r="I110" s="38">
        <f t="shared" si="20"/>
        <v>2</v>
      </c>
      <c r="J110" s="38"/>
      <c r="K110" s="40">
        <v>43583</v>
      </c>
      <c r="L110" s="41" t="s">
        <v>1548</v>
      </c>
      <c r="M110" s="42">
        <v>43578</v>
      </c>
      <c r="N110" s="43" t="s">
        <v>1549</v>
      </c>
      <c r="O110" s="42">
        <v>43583</v>
      </c>
      <c r="P110" s="45"/>
      <c r="Q110" s="38"/>
      <c r="R110" s="66"/>
      <c r="S110" s="46"/>
    </row>
    <row r="111" spans="2:19" s="30" customFormat="1" ht="33" customHeight="1">
      <c r="B111" s="46" t="s">
        <v>238</v>
      </c>
      <c r="C111" s="35" t="s">
        <v>1550</v>
      </c>
      <c r="D111" s="36" t="s">
        <v>598</v>
      </c>
      <c r="E111" s="37">
        <v>43519</v>
      </c>
      <c r="F111" s="38" t="s">
        <v>236</v>
      </c>
      <c r="G111" s="129">
        <v>1600</v>
      </c>
      <c r="H111" s="38">
        <f t="shared" si="19"/>
        <v>8</v>
      </c>
      <c r="I111" s="38">
        <f t="shared" si="20"/>
        <v>2</v>
      </c>
      <c r="J111" s="38"/>
      <c r="K111" s="40">
        <v>43597</v>
      </c>
      <c r="L111" s="41" t="s">
        <v>1551</v>
      </c>
      <c r="M111" s="42">
        <v>43592</v>
      </c>
      <c r="N111" s="43" t="s">
        <v>1552</v>
      </c>
      <c r="O111" s="42">
        <v>43597</v>
      </c>
      <c r="P111" s="45"/>
      <c r="Q111" s="38"/>
      <c r="R111" s="66"/>
      <c r="S111" s="46"/>
    </row>
    <row r="112" spans="2:19" s="30" customFormat="1" ht="33" customHeight="1">
      <c r="B112" s="122" t="s">
        <v>238</v>
      </c>
      <c r="C112" s="126" t="s">
        <v>1553</v>
      </c>
      <c r="D112" s="127" t="s">
        <v>598</v>
      </c>
      <c r="E112" s="128">
        <v>43519</v>
      </c>
      <c r="F112" s="124" t="s">
        <v>236</v>
      </c>
      <c r="G112" s="129">
        <v>1600</v>
      </c>
      <c r="H112" s="124">
        <f t="shared" si="19"/>
        <v>8</v>
      </c>
      <c r="I112" s="124">
        <f t="shared" si="20"/>
        <v>2</v>
      </c>
      <c r="J112" s="124"/>
      <c r="K112" s="130">
        <v>43597</v>
      </c>
      <c r="L112" s="119" t="s">
        <v>1554</v>
      </c>
      <c r="M112" s="120">
        <v>43606</v>
      </c>
      <c r="N112" s="121" t="s">
        <v>1555</v>
      </c>
      <c r="O112" s="120">
        <v>43613</v>
      </c>
      <c r="P112" s="123"/>
      <c r="Q112" s="124"/>
      <c r="R112" s="134"/>
      <c r="S112" s="122"/>
    </row>
    <row r="113" spans="2:19" s="30" customFormat="1" ht="33" customHeight="1">
      <c r="B113" s="46" t="s">
        <v>238</v>
      </c>
      <c r="C113" s="35" t="s">
        <v>226</v>
      </c>
      <c r="D113" s="36" t="s">
        <v>749</v>
      </c>
      <c r="E113" s="37">
        <v>43532</v>
      </c>
      <c r="F113" s="38" t="s">
        <v>236</v>
      </c>
      <c r="G113" s="39">
        <v>3200</v>
      </c>
      <c r="H113" s="38">
        <f t="shared" si="19"/>
        <v>16</v>
      </c>
      <c r="I113" s="38">
        <f t="shared" si="20"/>
        <v>4</v>
      </c>
      <c r="J113" s="38"/>
      <c r="K113" s="40">
        <v>43625</v>
      </c>
      <c r="L113" s="41" t="s">
        <v>1556</v>
      </c>
      <c r="M113" s="42">
        <v>43620</v>
      </c>
      <c r="N113" s="43" t="s">
        <v>1557</v>
      </c>
      <c r="O113" s="42" t="s">
        <v>1558</v>
      </c>
      <c r="P113" s="45"/>
      <c r="Q113" s="38"/>
      <c r="R113" s="66"/>
      <c r="S113" s="46"/>
    </row>
    <row r="114" spans="2:19" s="30" customFormat="1" ht="33" customHeight="1">
      <c r="B114" s="46" t="s">
        <v>238</v>
      </c>
      <c r="C114" s="35" t="s">
        <v>233</v>
      </c>
      <c r="D114" s="36" t="s">
        <v>750</v>
      </c>
      <c r="E114" s="37">
        <v>43532</v>
      </c>
      <c r="F114" s="38" t="s">
        <v>236</v>
      </c>
      <c r="G114" s="39">
        <v>3200</v>
      </c>
      <c r="H114" s="38">
        <f t="shared" si="19"/>
        <v>16</v>
      </c>
      <c r="I114" s="38">
        <f t="shared" si="20"/>
        <v>4</v>
      </c>
      <c r="J114" s="38"/>
      <c r="K114" s="40">
        <v>43646</v>
      </c>
      <c r="L114" s="41" t="s">
        <v>1559</v>
      </c>
      <c r="M114" s="42">
        <v>43641</v>
      </c>
      <c r="N114" s="43" t="s">
        <v>1560</v>
      </c>
      <c r="O114" s="42">
        <v>43646</v>
      </c>
      <c r="P114" s="45"/>
      <c r="Q114" s="38"/>
      <c r="R114" s="66"/>
      <c r="S114" s="46"/>
    </row>
    <row r="115" spans="2:19" s="30" customFormat="1" ht="33" customHeight="1">
      <c r="B115" s="122" t="s">
        <v>238</v>
      </c>
      <c r="C115" s="126" t="s">
        <v>285</v>
      </c>
      <c r="D115" s="127" t="s">
        <v>1305</v>
      </c>
      <c r="E115" s="128">
        <v>43567</v>
      </c>
      <c r="F115" s="124" t="s">
        <v>236</v>
      </c>
      <c r="G115" s="129">
        <v>3200</v>
      </c>
      <c r="H115" s="124">
        <f t="shared" si="19"/>
        <v>16</v>
      </c>
      <c r="I115" s="124">
        <f t="shared" si="20"/>
        <v>4</v>
      </c>
      <c r="J115" s="124"/>
      <c r="K115" s="130">
        <v>43660</v>
      </c>
      <c r="L115" s="119" t="s">
        <v>1561</v>
      </c>
      <c r="M115" s="120">
        <v>43655</v>
      </c>
      <c r="N115" s="121" t="s">
        <v>1562</v>
      </c>
      <c r="O115" s="120">
        <v>43660</v>
      </c>
      <c r="P115" s="123"/>
      <c r="Q115" s="124"/>
      <c r="R115" s="134"/>
      <c r="S115" s="122"/>
    </row>
    <row r="116" spans="2:19" s="30" customFormat="1" ht="33" customHeight="1">
      <c r="B116" s="122" t="s">
        <v>238</v>
      </c>
      <c r="C116" s="126" t="s">
        <v>331</v>
      </c>
      <c r="D116" s="127" t="s">
        <v>1306</v>
      </c>
      <c r="E116" s="128">
        <v>43567</v>
      </c>
      <c r="F116" s="124" t="s">
        <v>236</v>
      </c>
      <c r="G116" s="129">
        <v>3200</v>
      </c>
      <c r="H116" s="124">
        <f t="shared" si="19"/>
        <v>16</v>
      </c>
      <c r="I116" s="124">
        <f t="shared" si="20"/>
        <v>4</v>
      </c>
      <c r="J116" s="124"/>
      <c r="K116" s="130">
        <v>43674</v>
      </c>
      <c r="L116" s="119" t="s">
        <v>1563</v>
      </c>
      <c r="M116" s="120">
        <v>43669</v>
      </c>
      <c r="N116" s="121" t="s">
        <v>1564</v>
      </c>
      <c r="O116" s="120">
        <v>43674</v>
      </c>
      <c r="P116" s="123"/>
      <c r="Q116" s="124"/>
      <c r="R116" s="134"/>
      <c r="S116" s="122"/>
    </row>
    <row r="117" spans="2:19" s="30" customFormat="1">
      <c r="C117" s="22"/>
      <c r="D117" s="23"/>
      <c r="G117" s="24"/>
      <c r="K117" s="25"/>
      <c r="M117" s="26"/>
      <c r="N117" s="28"/>
      <c r="O117" s="26"/>
      <c r="R117" s="27"/>
    </row>
    <row r="118" spans="2:19" s="30" customFormat="1">
      <c r="C118" s="22"/>
      <c r="D118" s="23"/>
      <c r="G118" s="24"/>
      <c r="I118" s="30" t="s">
        <v>1565</v>
      </c>
      <c r="K118" s="25"/>
      <c r="M118" s="26"/>
      <c r="N118" s="28"/>
      <c r="O118" s="26"/>
      <c r="R118" s="27"/>
    </row>
    <row r="119" spans="2:19" s="19" customFormat="1">
      <c r="B119"/>
      <c r="C119" s="15"/>
      <c r="D119" s="1"/>
      <c r="E119"/>
      <c r="F119"/>
      <c r="G119" s="11"/>
      <c r="H119"/>
      <c r="I119"/>
      <c r="J119"/>
      <c r="K119" s="13"/>
      <c r="L119"/>
      <c r="N119" s="28"/>
      <c r="P119"/>
      <c r="Q119"/>
      <c r="R119" s="17"/>
      <c r="S119"/>
    </row>
    <row r="120" spans="2:19" s="19" customFormat="1">
      <c r="B120"/>
      <c r="C120" s="15"/>
      <c r="D120" s="1"/>
      <c r="E120"/>
      <c r="F120"/>
      <c r="G120" s="11"/>
      <c r="H120"/>
      <c r="I120"/>
      <c r="J120"/>
      <c r="K120" s="13"/>
      <c r="L120"/>
      <c r="N120" s="28"/>
      <c r="P120"/>
      <c r="Q120"/>
      <c r="R120" s="17"/>
      <c r="S120"/>
    </row>
    <row r="121" spans="2:19" s="19" customFormat="1">
      <c r="B121"/>
      <c r="C121" s="15"/>
      <c r="D121" s="1"/>
      <c r="E121"/>
      <c r="F121"/>
      <c r="G121" s="11"/>
      <c r="H121"/>
      <c r="I121"/>
      <c r="J121"/>
      <c r="K121" s="13"/>
      <c r="L121"/>
      <c r="N121" s="28"/>
      <c r="P121"/>
      <c r="Q121"/>
      <c r="R121" s="17"/>
      <c r="S121"/>
    </row>
    <row r="122" spans="2:19" s="19" customFormat="1">
      <c r="B122"/>
      <c r="C122" s="15"/>
      <c r="D122" s="1"/>
      <c r="E122"/>
      <c r="F122"/>
      <c r="G122" s="11"/>
      <c r="H122"/>
      <c r="I122"/>
      <c r="J122"/>
      <c r="K122" s="13"/>
      <c r="L122"/>
      <c r="N122" s="28"/>
      <c r="P122"/>
      <c r="Q122"/>
      <c r="R122" s="17"/>
      <c r="S122"/>
    </row>
    <row r="123" spans="2:19" s="19" customFormat="1">
      <c r="B123"/>
      <c r="C123" s="15"/>
      <c r="D123" s="1"/>
      <c r="E123"/>
      <c r="F123"/>
      <c r="G123" s="11"/>
      <c r="H123"/>
      <c r="I123"/>
      <c r="J123"/>
      <c r="K123" s="13"/>
      <c r="L123"/>
      <c r="N123" s="28"/>
      <c r="P123"/>
      <c r="Q123"/>
      <c r="R123" s="17"/>
      <c r="S123"/>
    </row>
    <row r="124" spans="2:19" s="19" customFormat="1">
      <c r="B124"/>
      <c r="C124" s="15"/>
      <c r="D124" s="1"/>
      <c r="E124"/>
      <c r="F124"/>
      <c r="G124" s="11"/>
      <c r="H124"/>
      <c r="I124"/>
      <c r="J124"/>
      <c r="K124" s="13"/>
      <c r="L124"/>
      <c r="N124" s="28"/>
      <c r="P124"/>
      <c r="Q124"/>
      <c r="R124" s="17"/>
      <c r="S124"/>
    </row>
    <row r="125" spans="2:19">
      <c r="N125" s="28"/>
    </row>
    <row r="126" spans="2:19">
      <c r="N126" s="28"/>
    </row>
    <row r="127" spans="2:19">
      <c r="N127" s="28"/>
    </row>
    <row r="128" spans="2:19">
      <c r="N128" s="28"/>
    </row>
    <row r="129" spans="2:19">
      <c r="N129" s="28"/>
    </row>
    <row r="130" spans="2:19" s="19" customFormat="1">
      <c r="B130"/>
      <c r="C130" s="15"/>
      <c r="D130" s="1"/>
      <c r="E130"/>
      <c r="F130"/>
      <c r="G130" s="11"/>
      <c r="H130"/>
      <c r="I130"/>
      <c r="J130"/>
      <c r="K130" s="13"/>
      <c r="L130"/>
      <c r="N130" s="28"/>
      <c r="P130"/>
      <c r="Q130"/>
      <c r="R130" s="17"/>
      <c r="S130"/>
    </row>
    <row r="131" spans="2:19" s="19" customFormat="1">
      <c r="B131"/>
      <c r="C131" s="15"/>
      <c r="D131" s="1"/>
      <c r="E131"/>
      <c r="F131"/>
      <c r="G131" s="11"/>
      <c r="H131"/>
      <c r="I131"/>
      <c r="J131"/>
      <c r="K131" s="13"/>
      <c r="L131"/>
      <c r="N131" s="28"/>
      <c r="P131"/>
      <c r="Q131"/>
      <c r="R131" s="17"/>
      <c r="S131"/>
    </row>
    <row r="132" spans="2:19" s="19" customFormat="1">
      <c r="B132"/>
      <c r="C132" s="15"/>
      <c r="D132" s="1"/>
      <c r="E132"/>
      <c r="F132"/>
      <c r="G132" s="11"/>
      <c r="H132"/>
      <c r="I132"/>
      <c r="J132"/>
      <c r="K132" s="13"/>
      <c r="L132"/>
      <c r="N132" s="28"/>
      <c r="P132"/>
      <c r="Q132"/>
      <c r="R132" s="17"/>
      <c r="S132"/>
    </row>
    <row r="133" spans="2:19" s="19" customFormat="1">
      <c r="B133"/>
      <c r="C133" s="15"/>
      <c r="D133" s="1"/>
      <c r="E133"/>
      <c r="F133"/>
      <c r="G133" s="11"/>
      <c r="H133"/>
      <c r="I133"/>
      <c r="J133"/>
      <c r="K133" s="13"/>
      <c r="L133"/>
      <c r="N133" s="28"/>
      <c r="P133"/>
      <c r="Q133"/>
      <c r="R133" s="17"/>
      <c r="S133"/>
    </row>
    <row r="134" spans="2:19" s="19" customFormat="1">
      <c r="B134"/>
      <c r="C134" s="15"/>
      <c r="D134" s="1"/>
      <c r="E134"/>
      <c r="F134"/>
      <c r="G134" s="11"/>
      <c r="H134"/>
      <c r="I134"/>
      <c r="J134"/>
      <c r="K134" s="13"/>
      <c r="L134"/>
      <c r="N134" s="28"/>
      <c r="P134"/>
      <c r="Q134"/>
      <c r="R134" s="17"/>
      <c r="S134"/>
    </row>
    <row r="135" spans="2:19" s="19" customFormat="1">
      <c r="B135"/>
      <c r="C135" s="15"/>
      <c r="D135" s="1"/>
      <c r="E135"/>
      <c r="F135"/>
      <c r="G135" s="11"/>
      <c r="H135"/>
      <c r="I135"/>
      <c r="J135"/>
      <c r="K135" s="13"/>
      <c r="L135"/>
      <c r="N135" s="28"/>
      <c r="P135"/>
      <c r="Q135"/>
      <c r="R135" s="17"/>
      <c r="S135"/>
    </row>
  </sheetData>
  <autoFilter ref="B2:R116" xr:uid="{00000000-0009-0000-0000-000021000000}"/>
  <phoneticPr fontId="1"/>
  <pageMargins left="0.23622047244094491" right="0.23622047244094491" top="0.35433070866141736" bottom="0.35433070866141736" header="0.31496062992125984" footer="0.31496062992125984"/>
  <pageSetup paperSize="9" scale="94" fitToHeight="0" orientation="landscape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48">
    <pageSetUpPr fitToPage="1"/>
  </sheetPr>
  <dimension ref="B1:S134"/>
  <sheetViews>
    <sheetView zoomScale="77" zoomScaleNormal="77" workbookViewId="0">
      <pane xSplit="3" ySplit="2" topLeftCell="D63" activePane="bottomRight" state="frozen"/>
      <selection activeCell="B70" sqref="B70"/>
      <selection pane="topRight" activeCell="B70" sqref="B70"/>
      <selection pane="bottomLeft" activeCell="B70" sqref="B70"/>
      <selection pane="bottomRight" activeCell="N32" sqref="N32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15.87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4.8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C2" s="14" t="s">
        <v>664</v>
      </c>
      <c r="D2" s="5" t="s">
        <v>0</v>
      </c>
      <c r="E2" s="6" t="s">
        <v>665</v>
      </c>
      <c r="F2" s="6" t="s">
        <v>779</v>
      </c>
      <c r="G2" s="10" t="s">
        <v>1</v>
      </c>
      <c r="H2" s="6" t="s">
        <v>15</v>
      </c>
      <c r="I2" s="6" t="s">
        <v>16</v>
      </c>
      <c r="J2" s="6" t="s">
        <v>780</v>
      </c>
      <c r="K2" s="12" t="s">
        <v>666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667</v>
      </c>
      <c r="Q2" s="6" t="s">
        <v>668</v>
      </c>
      <c r="R2" s="16" t="s">
        <v>6</v>
      </c>
      <c r="S2" s="16" t="s">
        <v>669</v>
      </c>
    </row>
    <row r="3" spans="2:19" s="33" customFormat="1" ht="33" customHeight="1">
      <c r="B3" s="47" t="s">
        <v>220</v>
      </c>
      <c r="C3" s="48" t="s">
        <v>670</v>
      </c>
      <c r="D3" s="49" t="s">
        <v>262</v>
      </c>
      <c r="E3" s="50">
        <v>43378</v>
      </c>
      <c r="F3" s="49" t="s">
        <v>79</v>
      </c>
      <c r="G3" s="51">
        <v>10000</v>
      </c>
      <c r="H3" s="52">
        <f t="shared" ref="H3:H29" si="0">SUM(G3/250)</f>
        <v>40</v>
      </c>
      <c r="I3" s="52">
        <f t="shared" ref="I3:I47" si="1">SUM(H3/4)</f>
        <v>10</v>
      </c>
      <c r="J3" s="49"/>
      <c r="K3" s="53">
        <v>43485</v>
      </c>
      <c r="L3" s="54" t="s">
        <v>419</v>
      </c>
      <c r="M3" s="55">
        <v>43500</v>
      </c>
      <c r="N3" s="56" t="s">
        <v>1087</v>
      </c>
      <c r="O3" s="55">
        <v>43506</v>
      </c>
      <c r="P3" s="54"/>
      <c r="Q3" s="49"/>
      <c r="R3" s="57" t="s">
        <v>1088</v>
      </c>
      <c r="S3" s="47" t="s">
        <v>418</v>
      </c>
    </row>
    <row r="4" spans="2:19" s="33" customFormat="1" ht="33" customHeight="1">
      <c r="B4" s="47" t="s">
        <v>220</v>
      </c>
      <c r="C4" s="48" t="s">
        <v>1089</v>
      </c>
      <c r="D4" s="49" t="s">
        <v>1090</v>
      </c>
      <c r="E4" s="50">
        <v>43392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43141</v>
      </c>
      <c r="L4" s="54" t="s">
        <v>1091</v>
      </c>
      <c r="M4" s="55">
        <v>43500</v>
      </c>
      <c r="N4" s="56" t="s">
        <v>1087</v>
      </c>
      <c r="O4" s="55">
        <v>43141</v>
      </c>
      <c r="P4" s="54"/>
      <c r="Q4" s="49"/>
      <c r="R4" s="57" t="s">
        <v>1092</v>
      </c>
      <c r="S4" s="47"/>
    </row>
    <row r="5" spans="2:19" s="33" customFormat="1" ht="33" customHeight="1">
      <c r="B5" s="47" t="s">
        <v>78</v>
      </c>
      <c r="C5" s="48" t="s">
        <v>254</v>
      </c>
      <c r="D5" s="49" t="s">
        <v>264</v>
      </c>
      <c r="E5" s="50">
        <v>43378</v>
      </c>
      <c r="F5" s="49" t="s">
        <v>79</v>
      </c>
      <c r="G5" s="51">
        <v>20000</v>
      </c>
      <c r="H5" s="52">
        <f t="shared" si="0"/>
        <v>80</v>
      </c>
      <c r="I5" s="52">
        <f t="shared" si="1"/>
        <v>20</v>
      </c>
      <c r="J5" s="49"/>
      <c r="K5" s="53">
        <v>43141</v>
      </c>
      <c r="L5" s="54" t="s">
        <v>1091</v>
      </c>
      <c r="M5" s="55">
        <v>43500</v>
      </c>
      <c r="N5" s="56" t="s">
        <v>1087</v>
      </c>
      <c r="O5" s="55">
        <v>43141</v>
      </c>
      <c r="P5" s="54"/>
      <c r="Q5" s="49" t="s">
        <v>82</v>
      </c>
      <c r="R5" s="57" t="s">
        <v>1093</v>
      </c>
      <c r="S5" s="47"/>
    </row>
    <row r="6" spans="2:19" s="33" customFormat="1" ht="33" customHeight="1">
      <c r="B6" s="47" t="s">
        <v>78</v>
      </c>
      <c r="C6" s="48" t="s">
        <v>301</v>
      </c>
      <c r="D6" s="49" t="s">
        <v>302</v>
      </c>
      <c r="E6" s="50">
        <v>43420</v>
      </c>
      <c r="F6" s="49" t="s">
        <v>1094</v>
      </c>
      <c r="G6" s="51">
        <v>40000</v>
      </c>
      <c r="H6" s="52">
        <f t="shared" si="0"/>
        <v>160</v>
      </c>
      <c r="I6" s="52">
        <f t="shared" si="1"/>
        <v>40</v>
      </c>
      <c r="J6" s="49"/>
      <c r="K6" s="53">
        <v>43513</v>
      </c>
      <c r="L6" s="54" t="s">
        <v>1095</v>
      </c>
      <c r="M6" s="55">
        <v>43504</v>
      </c>
      <c r="N6" s="56" t="s">
        <v>1096</v>
      </c>
      <c r="O6" s="55">
        <v>43148</v>
      </c>
      <c r="P6" s="54"/>
      <c r="Q6" s="49" t="s">
        <v>82</v>
      </c>
      <c r="R6" s="57" t="s">
        <v>1097</v>
      </c>
      <c r="S6" s="47"/>
    </row>
    <row r="7" spans="2:19" s="33" customFormat="1" ht="33" customHeight="1">
      <c r="B7" s="47" t="s">
        <v>220</v>
      </c>
      <c r="C7" s="48" t="s">
        <v>304</v>
      </c>
      <c r="D7" s="49" t="s">
        <v>305</v>
      </c>
      <c r="E7" s="50">
        <v>43420</v>
      </c>
      <c r="F7" s="49" t="s">
        <v>1098</v>
      </c>
      <c r="G7" s="51">
        <v>10000</v>
      </c>
      <c r="H7" s="52">
        <f t="shared" si="0"/>
        <v>40</v>
      </c>
      <c r="I7" s="52">
        <f t="shared" si="1"/>
        <v>10</v>
      </c>
      <c r="J7" s="49"/>
      <c r="K7" s="53">
        <v>43155</v>
      </c>
      <c r="L7" s="54" t="s">
        <v>1099</v>
      </c>
      <c r="M7" s="55">
        <v>43514</v>
      </c>
      <c r="N7" s="56" t="s">
        <v>1100</v>
      </c>
      <c r="O7" s="55">
        <v>43155</v>
      </c>
      <c r="P7" s="54"/>
      <c r="Q7" s="49"/>
      <c r="R7" s="57" t="s">
        <v>1101</v>
      </c>
      <c r="S7" s="47"/>
    </row>
    <row r="8" spans="2:19" s="33" customFormat="1" ht="33" customHeight="1">
      <c r="B8" s="47" t="s">
        <v>78</v>
      </c>
      <c r="C8" s="48" t="s">
        <v>306</v>
      </c>
      <c r="D8" s="49" t="s">
        <v>307</v>
      </c>
      <c r="E8" s="50">
        <v>43420</v>
      </c>
      <c r="F8" s="49" t="s">
        <v>1102</v>
      </c>
      <c r="G8" s="51">
        <v>30000</v>
      </c>
      <c r="H8" s="52">
        <f t="shared" si="0"/>
        <v>120</v>
      </c>
      <c r="I8" s="52">
        <f t="shared" si="1"/>
        <v>30</v>
      </c>
      <c r="J8" s="49"/>
      <c r="K8" s="53">
        <v>43520</v>
      </c>
      <c r="L8" s="54" t="s">
        <v>1099</v>
      </c>
      <c r="M8" s="55">
        <v>43514</v>
      </c>
      <c r="N8" s="56" t="s">
        <v>1100</v>
      </c>
      <c r="O8" s="55">
        <v>43155</v>
      </c>
      <c r="P8" s="54"/>
      <c r="Q8" s="49" t="s">
        <v>82</v>
      </c>
      <c r="R8" s="57" t="s">
        <v>1103</v>
      </c>
      <c r="S8" s="47"/>
    </row>
    <row r="9" spans="2:19" s="33" customFormat="1" ht="33" customHeight="1">
      <c r="B9" s="47" t="s">
        <v>220</v>
      </c>
      <c r="C9" s="48" t="s">
        <v>309</v>
      </c>
      <c r="D9" s="49" t="s">
        <v>310</v>
      </c>
      <c r="E9" s="50">
        <v>43420</v>
      </c>
      <c r="F9" s="49" t="s">
        <v>79</v>
      </c>
      <c r="G9" s="51">
        <v>7000</v>
      </c>
      <c r="H9" s="52">
        <f t="shared" si="0"/>
        <v>28</v>
      </c>
      <c r="I9" s="52">
        <f t="shared" si="1"/>
        <v>7</v>
      </c>
      <c r="J9" s="49"/>
      <c r="K9" s="53">
        <v>43541</v>
      </c>
      <c r="L9" s="54" t="s">
        <v>1104</v>
      </c>
      <c r="M9" s="55">
        <v>43542</v>
      </c>
      <c r="N9" s="56" t="s">
        <v>649</v>
      </c>
      <c r="O9" s="55">
        <v>43183</v>
      </c>
      <c r="P9" s="54" t="s">
        <v>1105</v>
      </c>
      <c r="Q9" s="49"/>
      <c r="R9" s="57" t="s">
        <v>1106</v>
      </c>
      <c r="S9" s="47"/>
    </row>
    <row r="10" spans="2:19" s="33" customFormat="1" ht="33" customHeight="1">
      <c r="B10" s="47" t="s">
        <v>78</v>
      </c>
      <c r="C10" s="48" t="s">
        <v>311</v>
      </c>
      <c r="D10" s="49" t="s">
        <v>312</v>
      </c>
      <c r="E10" s="50">
        <v>43420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43169</v>
      </c>
      <c r="L10" s="54" t="s">
        <v>1107</v>
      </c>
      <c r="M10" s="55">
        <v>43528</v>
      </c>
      <c r="N10" s="56" t="s">
        <v>1108</v>
      </c>
      <c r="O10" s="55">
        <v>43534</v>
      </c>
      <c r="P10" s="54"/>
      <c r="Q10" s="49" t="s">
        <v>82</v>
      </c>
      <c r="R10" s="57" t="s">
        <v>1109</v>
      </c>
      <c r="S10" s="47"/>
    </row>
    <row r="11" spans="2:19" s="33" customFormat="1" ht="33" customHeight="1">
      <c r="B11" s="47" t="s">
        <v>78</v>
      </c>
      <c r="C11" s="48" t="s">
        <v>374</v>
      </c>
      <c r="D11" s="49" t="s">
        <v>375</v>
      </c>
      <c r="E11" s="50">
        <v>43455</v>
      </c>
      <c r="F11" s="49" t="s">
        <v>79</v>
      </c>
      <c r="G11" s="51">
        <v>21000</v>
      </c>
      <c r="H11" s="52">
        <f t="shared" si="0"/>
        <v>84</v>
      </c>
      <c r="I11" s="52">
        <f t="shared" si="1"/>
        <v>21</v>
      </c>
      <c r="J11" s="49"/>
      <c r="K11" s="53">
        <v>43541</v>
      </c>
      <c r="L11" s="54" t="s">
        <v>1104</v>
      </c>
      <c r="M11" s="55">
        <v>43542</v>
      </c>
      <c r="N11" s="56" t="s">
        <v>649</v>
      </c>
      <c r="O11" s="55">
        <v>43183</v>
      </c>
      <c r="P11" s="54" t="s">
        <v>1110</v>
      </c>
      <c r="Q11" s="49" t="s">
        <v>82</v>
      </c>
      <c r="R11" s="57" t="s">
        <v>1111</v>
      </c>
      <c r="S11" s="47"/>
    </row>
    <row r="12" spans="2:19" s="30" customFormat="1" ht="33" customHeight="1">
      <c r="B12" s="46" t="s">
        <v>220</v>
      </c>
      <c r="C12" s="35" t="s">
        <v>377</v>
      </c>
      <c r="D12" s="36" t="s">
        <v>378</v>
      </c>
      <c r="E12" s="37">
        <v>43455</v>
      </c>
      <c r="F12" s="36" t="s">
        <v>1098</v>
      </c>
      <c r="G12" s="39">
        <v>14000</v>
      </c>
      <c r="H12" s="38">
        <f t="shared" ref="H12" si="2">SUM(G12/250)</f>
        <v>56</v>
      </c>
      <c r="I12" s="38">
        <f t="shared" si="1"/>
        <v>14</v>
      </c>
      <c r="J12" s="36"/>
      <c r="K12" s="40">
        <v>43548</v>
      </c>
      <c r="L12" s="41" t="s">
        <v>1112</v>
      </c>
      <c r="M12" s="42">
        <v>43563</v>
      </c>
      <c r="N12" s="43" t="s">
        <v>1113</v>
      </c>
      <c r="O12" s="42">
        <v>43569</v>
      </c>
      <c r="P12" s="41" t="s">
        <v>1114</v>
      </c>
      <c r="Q12" s="36"/>
      <c r="R12" s="44" t="s">
        <v>1115</v>
      </c>
      <c r="S12" s="46"/>
    </row>
    <row r="13" spans="2:19" s="33" customFormat="1" ht="33" customHeight="1">
      <c r="B13" s="47" t="s">
        <v>78</v>
      </c>
      <c r="C13" s="48" t="s">
        <v>380</v>
      </c>
      <c r="D13" s="49" t="s">
        <v>381</v>
      </c>
      <c r="E13" s="50">
        <v>43455</v>
      </c>
      <c r="F13" s="49" t="s">
        <v>1102</v>
      </c>
      <c r="G13" s="51">
        <v>40000</v>
      </c>
      <c r="H13" s="52">
        <f t="shared" si="0"/>
        <v>160</v>
      </c>
      <c r="I13" s="52">
        <f t="shared" si="1"/>
        <v>40</v>
      </c>
      <c r="J13" s="49"/>
      <c r="K13" s="53">
        <v>43555</v>
      </c>
      <c r="L13" s="54" t="s">
        <v>1116</v>
      </c>
      <c r="M13" s="55">
        <v>43549</v>
      </c>
      <c r="N13" s="56" t="s">
        <v>1117</v>
      </c>
      <c r="O13" s="55">
        <v>43555</v>
      </c>
      <c r="P13" s="54" t="s">
        <v>1118</v>
      </c>
      <c r="Q13" s="49" t="s">
        <v>82</v>
      </c>
      <c r="R13" s="57" t="s">
        <v>1119</v>
      </c>
      <c r="S13" s="47"/>
    </row>
    <row r="14" spans="2:19" s="30" customFormat="1" ht="33" customHeight="1">
      <c r="B14" s="46" t="s">
        <v>220</v>
      </c>
      <c r="C14" s="35" t="s">
        <v>421</v>
      </c>
      <c r="D14" s="36" t="s">
        <v>453</v>
      </c>
      <c r="E14" s="37">
        <v>43483</v>
      </c>
      <c r="F14" s="36" t="s">
        <v>79</v>
      </c>
      <c r="G14" s="39">
        <v>20000</v>
      </c>
      <c r="H14" s="38">
        <f t="shared" si="0"/>
        <v>80</v>
      </c>
      <c r="I14" s="38">
        <f t="shared" si="1"/>
        <v>20</v>
      </c>
      <c r="J14" s="36"/>
      <c r="K14" s="40">
        <v>43576</v>
      </c>
      <c r="L14" s="41" t="s">
        <v>1120</v>
      </c>
      <c r="M14" s="42">
        <v>43570</v>
      </c>
      <c r="N14" s="43" t="s">
        <v>1121</v>
      </c>
      <c r="O14" s="42">
        <v>43576</v>
      </c>
      <c r="P14" s="41" t="s">
        <v>1122</v>
      </c>
      <c r="Q14" s="36"/>
      <c r="R14" s="44" t="s">
        <v>1123</v>
      </c>
      <c r="S14" s="46"/>
    </row>
    <row r="15" spans="2:19" s="30" customFormat="1" ht="33" customHeight="1">
      <c r="B15" s="46" t="s">
        <v>78</v>
      </c>
      <c r="C15" s="35" t="s">
        <v>422</v>
      </c>
      <c r="D15" s="36" t="s">
        <v>455</v>
      </c>
      <c r="E15" s="37">
        <v>43483</v>
      </c>
      <c r="F15" s="36" t="s">
        <v>1098</v>
      </c>
      <c r="G15" s="39">
        <v>10000</v>
      </c>
      <c r="H15" s="38">
        <f>SUM(G15/250)</f>
        <v>40</v>
      </c>
      <c r="I15" s="38">
        <f t="shared" si="1"/>
        <v>10</v>
      </c>
      <c r="J15" s="36"/>
      <c r="K15" s="40">
        <v>43618</v>
      </c>
      <c r="L15" s="41" t="s">
        <v>1124</v>
      </c>
      <c r="M15" s="42">
        <v>43612</v>
      </c>
      <c r="N15" s="43" t="s">
        <v>1125</v>
      </c>
      <c r="O15" s="42">
        <v>43618</v>
      </c>
      <c r="P15" s="41"/>
      <c r="Q15" s="36" t="s">
        <v>82</v>
      </c>
      <c r="R15" s="44" t="s">
        <v>1126</v>
      </c>
      <c r="S15" s="46"/>
    </row>
    <row r="16" spans="2:19" s="30" customFormat="1" ht="33" customHeight="1">
      <c r="B16" s="122" t="s">
        <v>78</v>
      </c>
      <c r="C16" s="126" t="s">
        <v>1330</v>
      </c>
      <c r="D16" s="127" t="s">
        <v>455</v>
      </c>
      <c r="E16" s="128">
        <v>43483</v>
      </c>
      <c r="F16" s="127" t="s">
        <v>91</v>
      </c>
      <c r="G16" s="129">
        <v>20000</v>
      </c>
      <c r="H16" s="124">
        <f>SUM(G16/250)</f>
        <v>80</v>
      </c>
      <c r="I16" s="124">
        <f t="shared" ref="I16" si="3">SUM(H16/4)</f>
        <v>20</v>
      </c>
      <c r="J16" s="127"/>
      <c r="K16" s="130">
        <v>43618</v>
      </c>
      <c r="L16" s="119" t="s">
        <v>442</v>
      </c>
      <c r="M16" s="120">
        <v>43612</v>
      </c>
      <c r="N16" s="121" t="s">
        <v>637</v>
      </c>
      <c r="O16" s="120">
        <v>43618</v>
      </c>
      <c r="P16" s="119"/>
      <c r="Q16" s="127" t="s">
        <v>82</v>
      </c>
      <c r="R16" s="125" t="s">
        <v>616</v>
      </c>
      <c r="S16" s="122" t="s">
        <v>1331</v>
      </c>
    </row>
    <row r="17" spans="2:19" s="30" customFormat="1" ht="33" customHeight="1">
      <c r="B17" s="46" t="s">
        <v>220</v>
      </c>
      <c r="C17" s="35" t="s">
        <v>1127</v>
      </c>
      <c r="D17" s="36" t="s">
        <v>455</v>
      </c>
      <c r="E17" s="37">
        <v>43523</v>
      </c>
      <c r="F17" s="36" t="s">
        <v>1098</v>
      </c>
      <c r="G17" s="39">
        <v>10000</v>
      </c>
      <c r="H17" s="38">
        <f>SUM(G17/250)</f>
        <v>40</v>
      </c>
      <c r="I17" s="38">
        <f t="shared" si="1"/>
        <v>10</v>
      </c>
      <c r="J17" s="36"/>
      <c r="K17" s="40">
        <v>43618</v>
      </c>
      <c r="L17" s="41" t="s">
        <v>638</v>
      </c>
      <c r="M17" s="42">
        <v>43612</v>
      </c>
      <c r="N17" s="43" t="s">
        <v>636</v>
      </c>
      <c r="O17" s="42">
        <v>43618</v>
      </c>
      <c r="P17" s="41"/>
      <c r="Q17" s="36"/>
      <c r="R17" s="44" t="s">
        <v>1128</v>
      </c>
      <c r="S17" s="46"/>
    </row>
    <row r="18" spans="2:19" s="30" customFormat="1" ht="33" customHeight="1">
      <c r="B18" s="46" t="s">
        <v>78</v>
      </c>
      <c r="C18" s="35" t="s">
        <v>423</v>
      </c>
      <c r="D18" s="36" t="s">
        <v>457</v>
      </c>
      <c r="E18" s="37">
        <v>43483</v>
      </c>
      <c r="F18" s="36" t="s">
        <v>79</v>
      </c>
      <c r="G18" s="39">
        <v>20000</v>
      </c>
      <c r="H18" s="38">
        <f t="shared" si="0"/>
        <v>80</v>
      </c>
      <c r="I18" s="38">
        <f t="shared" si="1"/>
        <v>20</v>
      </c>
      <c r="J18" s="36"/>
      <c r="K18" s="40">
        <v>43576</v>
      </c>
      <c r="L18" s="41" t="s">
        <v>1120</v>
      </c>
      <c r="M18" s="42">
        <v>43570</v>
      </c>
      <c r="N18" s="43" t="s">
        <v>1121</v>
      </c>
      <c r="O18" s="42">
        <v>43576</v>
      </c>
      <c r="P18" s="41" t="s">
        <v>1129</v>
      </c>
      <c r="Q18" s="36" t="s">
        <v>82</v>
      </c>
      <c r="R18" s="44" t="s">
        <v>1130</v>
      </c>
      <c r="S18" s="46"/>
    </row>
    <row r="19" spans="2:19" s="30" customFormat="1" ht="33" customHeight="1">
      <c r="B19" s="46" t="s">
        <v>220</v>
      </c>
      <c r="C19" s="35" t="s">
        <v>425</v>
      </c>
      <c r="D19" s="36" t="s">
        <v>459</v>
      </c>
      <c r="E19" s="37">
        <v>43483</v>
      </c>
      <c r="F19" s="36" t="s">
        <v>79</v>
      </c>
      <c r="G19" s="39">
        <v>20000</v>
      </c>
      <c r="H19" s="38">
        <f t="shared" si="0"/>
        <v>80</v>
      </c>
      <c r="I19" s="38">
        <f t="shared" si="1"/>
        <v>20</v>
      </c>
      <c r="J19" s="36"/>
      <c r="K19" s="40">
        <v>43583</v>
      </c>
      <c r="L19" s="41" t="s">
        <v>1131</v>
      </c>
      <c r="M19" s="42">
        <v>43577</v>
      </c>
      <c r="N19" s="43" t="s">
        <v>1132</v>
      </c>
      <c r="O19" s="42">
        <v>43583</v>
      </c>
      <c r="P19" s="41"/>
      <c r="Q19" s="36"/>
      <c r="R19" s="44" t="s">
        <v>1133</v>
      </c>
      <c r="S19" s="46"/>
    </row>
    <row r="20" spans="2:19" s="30" customFormat="1" ht="33" customHeight="1">
      <c r="B20" s="46" t="s">
        <v>78</v>
      </c>
      <c r="C20" s="35" t="s">
        <v>462</v>
      </c>
      <c r="D20" s="36" t="s">
        <v>483</v>
      </c>
      <c r="E20" s="37">
        <v>43490</v>
      </c>
      <c r="F20" s="36" t="s">
        <v>79</v>
      </c>
      <c r="G20" s="39">
        <v>20000</v>
      </c>
      <c r="H20" s="38">
        <f t="shared" si="0"/>
        <v>80</v>
      </c>
      <c r="I20" s="38">
        <f t="shared" si="1"/>
        <v>20</v>
      </c>
      <c r="J20" s="36"/>
      <c r="K20" s="40">
        <v>43583</v>
      </c>
      <c r="L20" s="41" t="s">
        <v>1131</v>
      </c>
      <c r="M20" s="42">
        <v>43577</v>
      </c>
      <c r="N20" s="43" t="s">
        <v>1132</v>
      </c>
      <c r="O20" s="42">
        <v>43583</v>
      </c>
      <c r="P20" s="41" t="s">
        <v>1134</v>
      </c>
      <c r="Q20" s="36" t="s">
        <v>82</v>
      </c>
      <c r="R20" s="44" t="s">
        <v>1135</v>
      </c>
      <c r="S20" s="46"/>
    </row>
    <row r="21" spans="2:19" s="30" customFormat="1" ht="33" customHeight="1">
      <c r="B21" s="46" t="s">
        <v>78</v>
      </c>
      <c r="C21" s="35" t="s">
        <v>570</v>
      </c>
      <c r="D21" s="36" t="s">
        <v>571</v>
      </c>
      <c r="E21" s="37">
        <v>43519</v>
      </c>
      <c r="F21" s="36" t="s">
        <v>79</v>
      </c>
      <c r="G21" s="39">
        <v>20000</v>
      </c>
      <c r="H21" s="38">
        <f t="shared" si="0"/>
        <v>80</v>
      </c>
      <c r="I21" s="38">
        <f t="shared" si="1"/>
        <v>20</v>
      </c>
      <c r="J21" s="36"/>
      <c r="K21" s="40">
        <v>43590</v>
      </c>
      <c r="L21" s="41" t="s">
        <v>602</v>
      </c>
      <c r="M21" s="42">
        <v>43577</v>
      </c>
      <c r="N21" s="43" t="s">
        <v>1132</v>
      </c>
      <c r="O21" s="42">
        <v>43583</v>
      </c>
      <c r="P21" s="41" t="s">
        <v>1136</v>
      </c>
      <c r="Q21" s="36" t="s">
        <v>82</v>
      </c>
      <c r="R21" s="44" t="s">
        <v>1137</v>
      </c>
      <c r="S21" s="46"/>
    </row>
    <row r="22" spans="2:19" s="30" customFormat="1" ht="33" customHeight="1">
      <c r="B22" s="46" t="s">
        <v>78</v>
      </c>
      <c r="C22" s="35" t="s">
        <v>573</v>
      </c>
      <c r="D22" s="36" t="s">
        <v>574</v>
      </c>
      <c r="E22" s="37">
        <v>43519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43604</v>
      </c>
      <c r="L22" s="41" t="s">
        <v>1138</v>
      </c>
      <c r="M22" s="42">
        <v>43598</v>
      </c>
      <c r="N22" s="43" t="s">
        <v>1139</v>
      </c>
      <c r="O22" s="42">
        <v>43604</v>
      </c>
      <c r="P22" s="41"/>
      <c r="Q22" s="36" t="s">
        <v>82</v>
      </c>
      <c r="R22" s="44" t="s">
        <v>1140</v>
      </c>
      <c r="S22" s="46"/>
    </row>
    <row r="23" spans="2:19" s="30" customFormat="1" ht="33" customHeight="1">
      <c r="B23" s="46" t="s">
        <v>78</v>
      </c>
      <c r="C23" s="35" t="s">
        <v>576</v>
      </c>
      <c r="D23" s="36" t="s">
        <v>577</v>
      </c>
      <c r="E23" s="37">
        <v>43519</v>
      </c>
      <c r="F23" s="36" t="s">
        <v>79</v>
      </c>
      <c r="G23" s="39">
        <v>20000</v>
      </c>
      <c r="H23" s="38">
        <f t="shared" si="0"/>
        <v>80</v>
      </c>
      <c r="I23" s="38">
        <f t="shared" si="1"/>
        <v>20</v>
      </c>
      <c r="J23" s="36"/>
      <c r="K23" s="40">
        <v>43611</v>
      </c>
      <c r="L23" s="41" t="s">
        <v>1141</v>
      </c>
      <c r="M23" s="42">
        <v>43605</v>
      </c>
      <c r="N23" s="43" t="s">
        <v>1142</v>
      </c>
      <c r="O23" s="42">
        <v>43611</v>
      </c>
      <c r="P23" s="41"/>
      <c r="Q23" s="36" t="s">
        <v>82</v>
      </c>
      <c r="R23" s="44" t="s">
        <v>1143</v>
      </c>
      <c r="S23" s="46"/>
    </row>
    <row r="24" spans="2:19" s="30" customFormat="1" ht="33" customHeight="1">
      <c r="B24" s="46" t="s">
        <v>78</v>
      </c>
      <c r="C24" s="35" t="s">
        <v>1144</v>
      </c>
      <c r="D24" s="36" t="s">
        <v>577</v>
      </c>
      <c r="E24" s="37">
        <v>43519</v>
      </c>
      <c r="F24" s="36" t="s">
        <v>1098</v>
      </c>
      <c r="G24" s="39">
        <v>10000</v>
      </c>
      <c r="H24" s="38">
        <f t="shared" si="0"/>
        <v>40</v>
      </c>
      <c r="I24" s="38">
        <f t="shared" si="1"/>
        <v>10</v>
      </c>
      <c r="J24" s="36"/>
      <c r="K24" s="40">
        <v>43598</v>
      </c>
      <c r="L24" s="41" t="s">
        <v>803</v>
      </c>
      <c r="M24" s="42">
        <v>43598</v>
      </c>
      <c r="N24" s="43" t="s">
        <v>804</v>
      </c>
      <c r="O24" s="42">
        <v>43604</v>
      </c>
      <c r="P24" s="41"/>
      <c r="Q24" s="36" t="s">
        <v>82</v>
      </c>
      <c r="R24" s="44" t="s">
        <v>1145</v>
      </c>
      <c r="S24" s="46"/>
    </row>
    <row r="25" spans="2:19" s="30" customFormat="1" ht="33" customHeight="1">
      <c r="B25" s="46" t="s">
        <v>220</v>
      </c>
      <c r="C25" s="35" t="s">
        <v>579</v>
      </c>
      <c r="D25" s="36" t="s">
        <v>580</v>
      </c>
      <c r="E25" s="37">
        <v>43519</v>
      </c>
      <c r="F25" s="36" t="s">
        <v>79</v>
      </c>
      <c r="G25" s="39">
        <v>10000</v>
      </c>
      <c r="H25" s="38">
        <f t="shared" si="0"/>
        <v>40</v>
      </c>
      <c r="I25" s="38">
        <f t="shared" si="1"/>
        <v>10</v>
      </c>
      <c r="J25" s="36"/>
      <c r="K25" s="40">
        <v>43598</v>
      </c>
      <c r="L25" s="41" t="s">
        <v>803</v>
      </c>
      <c r="M25" s="42">
        <v>43598</v>
      </c>
      <c r="N25" s="43" t="s">
        <v>804</v>
      </c>
      <c r="O25" s="42">
        <v>43604</v>
      </c>
      <c r="P25" s="41"/>
      <c r="Q25" s="36"/>
      <c r="R25" s="44" t="s">
        <v>1146</v>
      </c>
      <c r="S25" s="46"/>
    </row>
    <row r="26" spans="2:19" s="30" customFormat="1" ht="33" customHeight="1">
      <c r="B26" s="46" t="s">
        <v>78</v>
      </c>
      <c r="C26" s="35" t="s">
        <v>685</v>
      </c>
      <c r="D26" s="36" t="s">
        <v>686</v>
      </c>
      <c r="E26" s="37">
        <v>43532</v>
      </c>
      <c r="F26" s="36" t="s">
        <v>79</v>
      </c>
      <c r="G26" s="39">
        <v>20000</v>
      </c>
      <c r="H26" s="38">
        <f t="shared" si="0"/>
        <v>80</v>
      </c>
      <c r="I26" s="38">
        <f t="shared" si="1"/>
        <v>20</v>
      </c>
      <c r="J26" s="36"/>
      <c r="K26" s="40">
        <v>43625</v>
      </c>
      <c r="L26" s="41" t="s">
        <v>1147</v>
      </c>
      <c r="M26" s="42">
        <v>43619</v>
      </c>
      <c r="N26" s="43" t="s">
        <v>1148</v>
      </c>
      <c r="O26" s="42">
        <v>43625</v>
      </c>
      <c r="P26" s="41"/>
      <c r="Q26" s="36" t="s">
        <v>82</v>
      </c>
      <c r="R26" s="44" t="s">
        <v>1149</v>
      </c>
      <c r="S26" s="46"/>
    </row>
    <row r="27" spans="2:19" s="30" customFormat="1" ht="33" customHeight="1">
      <c r="B27" s="122" t="s">
        <v>78</v>
      </c>
      <c r="C27" s="126" t="s">
        <v>1332</v>
      </c>
      <c r="D27" s="127" t="s">
        <v>686</v>
      </c>
      <c r="E27" s="128">
        <v>43532</v>
      </c>
      <c r="F27" s="127" t="s">
        <v>79</v>
      </c>
      <c r="G27" s="129">
        <v>20000</v>
      </c>
      <c r="H27" s="124">
        <f t="shared" ref="H27" si="4">SUM(G27/250)</f>
        <v>80</v>
      </c>
      <c r="I27" s="124">
        <f t="shared" ref="I27" si="5">SUM(H27/4)</f>
        <v>20</v>
      </c>
      <c r="J27" s="127"/>
      <c r="K27" s="130">
        <v>43625</v>
      </c>
      <c r="L27" s="119" t="s">
        <v>761</v>
      </c>
      <c r="M27" s="120">
        <v>43619</v>
      </c>
      <c r="N27" s="121" t="s">
        <v>758</v>
      </c>
      <c r="O27" s="120">
        <v>43625</v>
      </c>
      <c r="P27" s="119"/>
      <c r="Q27" s="127" t="s">
        <v>82</v>
      </c>
      <c r="R27" s="125" t="s">
        <v>687</v>
      </c>
      <c r="S27" s="122" t="s">
        <v>1331</v>
      </c>
    </row>
    <row r="28" spans="2:19" s="30" customFormat="1" ht="33" customHeight="1">
      <c r="B28" s="46" t="s">
        <v>220</v>
      </c>
      <c r="C28" s="35" t="s">
        <v>688</v>
      </c>
      <c r="D28" s="36" t="s">
        <v>689</v>
      </c>
      <c r="E28" s="37">
        <v>43532</v>
      </c>
      <c r="F28" s="36" t="s">
        <v>79</v>
      </c>
      <c r="G28" s="39">
        <v>20000</v>
      </c>
      <c r="H28" s="38">
        <f t="shared" si="0"/>
        <v>80</v>
      </c>
      <c r="I28" s="38">
        <f t="shared" si="1"/>
        <v>20</v>
      </c>
      <c r="J28" s="36"/>
      <c r="K28" s="40">
        <v>43632</v>
      </c>
      <c r="L28" s="41" t="s">
        <v>1150</v>
      </c>
      <c r="M28" s="42">
        <v>43626</v>
      </c>
      <c r="N28" s="43" t="s">
        <v>1151</v>
      </c>
      <c r="O28" s="42">
        <v>43632</v>
      </c>
      <c r="P28" s="41"/>
      <c r="Q28" s="36"/>
      <c r="R28" s="44" t="s">
        <v>1152</v>
      </c>
      <c r="S28" s="46"/>
    </row>
    <row r="29" spans="2:19" s="30" customFormat="1" ht="33" customHeight="1">
      <c r="B29" s="46" t="s">
        <v>78</v>
      </c>
      <c r="C29" s="35" t="s">
        <v>691</v>
      </c>
      <c r="D29" s="36" t="s">
        <v>692</v>
      </c>
      <c r="E29" s="37">
        <v>43532</v>
      </c>
      <c r="F29" s="36" t="s">
        <v>79</v>
      </c>
      <c r="G29" s="39">
        <v>20000</v>
      </c>
      <c r="H29" s="38">
        <f t="shared" si="0"/>
        <v>80</v>
      </c>
      <c r="I29" s="38">
        <f t="shared" si="1"/>
        <v>20</v>
      </c>
      <c r="J29" s="36"/>
      <c r="K29" s="40">
        <v>43639</v>
      </c>
      <c r="L29" s="41" t="s">
        <v>1153</v>
      </c>
      <c r="M29" s="42">
        <v>43633</v>
      </c>
      <c r="N29" s="43" t="s">
        <v>1154</v>
      </c>
      <c r="O29" s="42">
        <v>43639</v>
      </c>
      <c r="P29" s="41"/>
      <c r="Q29" s="36" t="s">
        <v>82</v>
      </c>
      <c r="R29" s="44" t="s">
        <v>1155</v>
      </c>
      <c r="S29" s="46"/>
    </row>
    <row r="30" spans="2:19" s="30" customFormat="1" ht="33" customHeight="1">
      <c r="B30" s="46" t="s">
        <v>220</v>
      </c>
      <c r="C30" s="35" t="s">
        <v>986</v>
      </c>
      <c r="D30" s="36" t="s">
        <v>1156</v>
      </c>
      <c r="E30" s="37">
        <v>43566</v>
      </c>
      <c r="F30" s="36" t="s">
        <v>79</v>
      </c>
      <c r="G30" s="39">
        <v>20000</v>
      </c>
      <c r="H30" s="38">
        <f t="shared" ref="H30:H39" si="6">SUM(G30/250)</f>
        <v>80</v>
      </c>
      <c r="I30" s="38">
        <f t="shared" si="1"/>
        <v>20</v>
      </c>
      <c r="J30" s="36"/>
      <c r="K30" s="40">
        <v>43611</v>
      </c>
      <c r="L30" s="41" t="s">
        <v>603</v>
      </c>
      <c r="M30" s="42">
        <v>43605</v>
      </c>
      <c r="N30" s="43" t="s">
        <v>1080</v>
      </c>
      <c r="O30" s="42">
        <v>43611</v>
      </c>
      <c r="P30" s="41"/>
      <c r="Q30" s="36"/>
      <c r="R30" s="44" t="s">
        <v>1157</v>
      </c>
      <c r="S30" s="46"/>
    </row>
    <row r="31" spans="2:19" s="30" customFormat="1" ht="33" customHeight="1">
      <c r="B31" s="46" t="s">
        <v>78</v>
      </c>
      <c r="C31" s="35" t="s">
        <v>988</v>
      </c>
      <c r="D31" s="36" t="s">
        <v>1158</v>
      </c>
      <c r="E31" s="37">
        <v>43566</v>
      </c>
      <c r="F31" s="36" t="s">
        <v>79</v>
      </c>
      <c r="G31" s="39">
        <v>20000</v>
      </c>
      <c r="H31" s="38">
        <f t="shared" si="6"/>
        <v>80</v>
      </c>
      <c r="I31" s="38">
        <f t="shared" si="1"/>
        <v>20</v>
      </c>
      <c r="J31" s="36"/>
      <c r="K31" s="40">
        <v>43632</v>
      </c>
      <c r="L31" s="41" t="s">
        <v>1081</v>
      </c>
      <c r="M31" s="42">
        <v>43626</v>
      </c>
      <c r="N31" s="43" t="s">
        <v>1082</v>
      </c>
      <c r="O31" s="42">
        <v>43632</v>
      </c>
      <c r="P31" s="41"/>
      <c r="Q31" s="36" t="s">
        <v>82</v>
      </c>
      <c r="R31" s="44" t="s">
        <v>1159</v>
      </c>
      <c r="S31" s="46"/>
    </row>
    <row r="32" spans="2:19" s="30" customFormat="1" ht="33" customHeight="1">
      <c r="B32" s="122" t="s">
        <v>78</v>
      </c>
      <c r="C32" s="126" t="s">
        <v>1160</v>
      </c>
      <c r="D32" s="127" t="s">
        <v>1161</v>
      </c>
      <c r="E32" s="128">
        <v>43567</v>
      </c>
      <c r="F32" s="127" t="s">
        <v>1094</v>
      </c>
      <c r="G32" s="129">
        <v>40000</v>
      </c>
      <c r="H32" s="124">
        <f t="shared" si="6"/>
        <v>160</v>
      </c>
      <c r="I32" s="124">
        <f t="shared" si="1"/>
        <v>40</v>
      </c>
      <c r="J32" s="127"/>
      <c r="K32" s="130">
        <v>43646</v>
      </c>
      <c r="L32" s="119" t="s">
        <v>1316</v>
      </c>
      <c r="M32" s="120">
        <v>43640</v>
      </c>
      <c r="N32" s="121" t="s">
        <v>1308</v>
      </c>
      <c r="O32" s="120">
        <v>43646</v>
      </c>
      <c r="P32" s="119"/>
      <c r="Q32" s="127" t="s">
        <v>82</v>
      </c>
      <c r="R32" s="125" t="s">
        <v>1162</v>
      </c>
      <c r="S32" s="122"/>
    </row>
    <row r="33" spans="2:19" s="30" customFormat="1" ht="33" customHeight="1">
      <c r="B33" s="122" t="s">
        <v>220</v>
      </c>
      <c r="C33" s="126" t="s">
        <v>1163</v>
      </c>
      <c r="D33" s="127" t="s">
        <v>1164</v>
      </c>
      <c r="E33" s="128">
        <v>43567</v>
      </c>
      <c r="F33" s="127" t="s">
        <v>79</v>
      </c>
      <c r="G33" s="129">
        <v>20000</v>
      </c>
      <c r="H33" s="124">
        <f t="shared" si="6"/>
        <v>80</v>
      </c>
      <c r="I33" s="124">
        <f t="shared" si="1"/>
        <v>20</v>
      </c>
      <c r="J33" s="127"/>
      <c r="K33" s="130">
        <v>43646</v>
      </c>
      <c r="L33" s="119" t="s">
        <v>1316</v>
      </c>
      <c r="M33" s="120">
        <v>43640</v>
      </c>
      <c r="N33" s="121" t="s">
        <v>1308</v>
      </c>
      <c r="O33" s="120">
        <v>43646</v>
      </c>
      <c r="P33" s="119"/>
      <c r="Q33" s="127"/>
      <c r="R33" s="125" t="s">
        <v>1165</v>
      </c>
      <c r="S33" s="122"/>
    </row>
    <row r="34" spans="2:19" s="30" customFormat="1" ht="33" customHeight="1">
      <c r="B34" s="122" t="s">
        <v>78</v>
      </c>
      <c r="C34" s="126" t="s">
        <v>1166</v>
      </c>
      <c r="D34" s="127" t="s">
        <v>1167</v>
      </c>
      <c r="E34" s="128">
        <v>43567</v>
      </c>
      <c r="F34" s="127" t="s">
        <v>79</v>
      </c>
      <c r="G34" s="129">
        <v>20000</v>
      </c>
      <c r="H34" s="124">
        <f t="shared" si="6"/>
        <v>80</v>
      </c>
      <c r="I34" s="124">
        <f t="shared" si="1"/>
        <v>20</v>
      </c>
      <c r="J34" s="127"/>
      <c r="K34" s="130">
        <v>43653</v>
      </c>
      <c r="L34" s="119" t="s">
        <v>1317</v>
      </c>
      <c r="M34" s="120">
        <v>43647</v>
      </c>
      <c r="N34" s="121" t="s">
        <v>1309</v>
      </c>
      <c r="O34" s="120">
        <v>43653</v>
      </c>
      <c r="P34" s="119"/>
      <c r="Q34" s="127" t="s">
        <v>82</v>
      </c>
      <c r="R34" s="125" t="s">
        <v>1168</v>
      </c>
      <c r="S34" s="122"/>
    </row>
    <row r="35" spans="2:19" s="30" customFormat="1" ht="33" customHeight="1">
      <c r="B35" s="122" t="s">
        <v>78</v>
      </c>
      <c r="C35" s="126" t="s">
        <v>1169</v>
      </c>
      <c r="D35" s="127" t="s">
        <v>1170</v>
      </c>
      <c r="E35" s="128">
        <v>43567</v>
      </c>
      <c r="F35" s="127" t="s">
        <v>79</v>
      </c>
      <c r="G35" s="129">
        <v>20000</v>
      </c>
      <c r="H35" s="124">
        <f t="shared" si="6"/>
        <v>80</v>
      </c>
      <c r="I35" s="124">
        <f t="shared" si="1"/>
        <v>20</v>
      </c>
      <c r="J35" s="127"/>
      <c r="K35" s="130">
        <v>43660</v>
      </c>
      <c r="L35" s="119" t="s">
        <v>1318</v>
      </c>
      <c r="M35" s="120">
        <v>43654</v>
      </c>
      <c r="N35" s="121" t="s">
        <v>1310</v>
      </c>
      <c r="O35" s="120">
        <v>43660</v>
      </c>
      <c r="P35" s="119"/>
      <c r="Q35" s="127" t="s">
        <v>82</v>
      </c>
      <c r="R35" s="125" t="s">
        <v>1171</v>
      </c>
      <c r="S35" s="122"/>
    </row>
    <row r="36" spans="2:19" s="30" customFormat="1" ht="33" customHeight="1">
      <c r="B36" s="122" t="s">
        <v>78</v>
      </c>
      <c r="C36" s="126" t="s">
        <v>1172</v>
      </c>
      <c r="D36" s="127" t="s">
        <v>1173</v>
      </c>
      <c r="E36" s="128">
        <v>43567</v>
      </c>
      <c r="F36" s="127" t="s">
        <v>79</v>
      </c>
      <c r="G36" s="129">
        <v>20000</v>
      </c>
      <c r="H36" s="124">
        <f t="shared" si="6"/>
        <v>80</v>
      </c>
      <c r="I36" s="124">
        <f t="shared" si="1"/>
        <v>20</v>
      </c>
      <c r="J36" s="127"/>
      <c r="K36" s="130">
        <v>43667</v>
      </c>
      <c r="L36" s="119" t="s">
        <v>1320</v>
      </c>
      <c r="M36" s="120">
        <v>43658</v>
      </c>
      <c r="N36" s="121" t="s">
        <v>1311</v>
      </c>
      <c r="O36" s="120">
        <v>43667</v>
      </c>
      <c r="P36" s="119"/>
      <c r="Q36" s="127" t="s">
        <v>82</v>
      </c>
      <c r="R36" s="125" t="s">
        <v>1174</v>
      </c>
      <c r="S36" s="122"/>
    </row>
    <row r="37" spans="2:19" s="30" customFormat="1" ht="33" customHeight="1">
      <c r="B37" s="122" t="s">
        <v>220</v>
      </c>
      <c r="C37" s="126" t="s">
        <v>1175</v>
      </c>
      <c r="D37" s="127" t="s">
        <v>1176</v>
      </c>
      <c r="E37" s="128">
        <v>43567</v>
      </c>
      <c r="F37" s="127" t="s">
        <v>79</v>
      </c>
      <c r="G37" s="129">
        <v>20000</v>
      </c>
      <c r="H37" s="124">
        <f t="shared" si="6"/>
        <v>80</v>
      </c>
      <c r="I37" s="124">
        <f t="shared" si="1"/>
        <v>20</v>
      </c>
      <c r="J37" s="127"/>
      <c r="K37" s="130">
        <v>43667</v>
      </c>
      <c r="L37" s="119" t="s">
        <v>1319</v>
      </c>
      <c r="M37" s="120">
        <v>43658</v>
      </c>
      <c r="N37" s="121" t="s">
        <v>1311</v>
      </c>
      <c r="O37" s="120">
        <v>43667</v>
      </c>
      <c r="P37" s="119"/>
      <c r="Q37" s="127"/>
      <c r="R37" s="125" t="s">
        <v>1177</v>
      </c>
      <c r="S37" s="122"/>
    </row>
    <row r="38" spans="2:19" s="30" customFormat="1" ht="33" customHeight="1">
      <c r="B38" s="122" t="s">
        <v>78</v>
      </c>
      <c r="C38" s="126" t="s">
        <v>1178</v>
      </c>
      <c r="D38" s="127" t="s">
        <v>1179</v>
      </c>
      <c r="E38" s="128">
        <v>43567</v>
      </c>
      <c r="F38" s="127" t="s">
        <v>1098</v>
      </c>
      <c r="G38" s="129">
        <v>10000</v>
      </c>
      <c r="H38" s="124">
        <f t="shared" si="6"/>
        <v>40</v>
      </c>
      <c r="I38" s="124">
        <f t="shared" si="1"/>
        <v>10</v>
      </c>
      <c r="J38" s="127"/>
      <c r="K38" s="130">
        <v>43674</v>
      </c>
      <c r="L38" s="119" t="s">
        <v>1322</v>
      </c>
      <c r="M38" s="120">
        <v>43668</v>
      </c>
      <c r="N38" s="121" t="s">
        <v>1312</v>
      </c>
      <c r="O38" s="120">
        <v>43674</v>
      </c>
      <c r="P38" s="119"/>
      <c r="Q38" s="127" t="s">
        <v>82</v>
      </c>
      <c r="R38" s="125" t="s">
        <v>1180</v>
      </c>
      <c r="S38" s="122"/>
    </row>
    <row r="39" spans="2:19" s="30" customFormat="1" ht="33" customHeight="1">
      <c r="B39" s="122" t="s">
        <v>220</v>
      </c>
      <c r="C39" s="126" t="s">
        <v>1181</v>
      </c>
      <c r="D39" s="127" t="s">
        <v>1182</v>
      </c>
      <c r="E39" s="128">
        <v>43567</v>
      </c>
      <c r="F39" s="127" t="s">
        <v>1098</v>
      </c>
      <c r="G39" s="129">
        <v>10000</v>
      </c>
      <c r="H39" s="124">
        <f t="shared" si="6"/>
        <v>40</v>
      </c>
      <c r="I39" s="124">
        <f t="shared" si="1"/>
        <v>10</v>
      </c>
      <c r="J39" s="127"/>
      <c r="K39" s="130">
        <v>43674</v>
      </c>
      <c r="L39" s="119" t="s">
        <v>1321</v>
      </c>
      <c r="M39" s="120">
        <v>43668</v>
      </c>
      <c r="N39" s="121" t="s">
        <v>1312</v>
      </c>
      <c r="O39" s="120">
        <v>43674</v>
      </c>
      <c r="P39" s="119"/>
      <c r="Q39" s="127"/>
      <c r="R39" s="125" t="s">
        <v>1183</v>
      </c>
      <c r="S39" s="122"/>
    </row>
    <row r="40" spans="2:19" s="96" customFormat="1" ht="33" customHeight="1">
      <c r="B40" s="47" t="s">
        <v>17</v>
      </c>
      <c r="C40" s="48" t="s">
        <v>353</v>
      </c>
      <c r="D40" s="49" t="s">
        <v>383</v>
      </c>
      <c r="E40" s="50">
        <v>43434</v>
      </c>
      <c r="F40" s="52" t="s">
        <v>84</v>
      </c>
      <c r="G40" s="51">
        <v>9200</v>
      </c>
      <c r="H40" s="52">
        <f t="shared" ref="H40:H47" si="7">SUM(G40/230)</f>
        <v>40</v>
      </c>
      <c r="I40" s="52">
        <f t="shared" si="1"/>
        <v>10</v>
      </c>
      <c r="J40" s="49"/>
      <c r="K40" s="53">
        <v>43148</v>
      </c>
      <c r="L40" s="54" t="s">
        <v>276</v>
      </c>
      <c r="M40" s="55">
        <v>43508</v>
      </c>
      <c r="N40" s="56" t="s">
        <v>532</v>
      </c>
      <c r="O40" s="55">
        <v>43513</v>
      </c>
      <c r="P40" s="58"/>
      <c r="Q40" s="52" t="s">
        <v>82</v>
      </c>
      <c r="R40" s="57" t="s">
        <v>533</v>
      </c>
      <c r="S40" s="47"/>
    </row>
    <row r="41" spans="2:19" s="96" customFormat="1" ht="33" customHeight="1">
      <c r="B41" s="47" t="s">
        <v>17</v>
      </c>
      <c r="C41" s="48" t="s">
        <v>361</v>
      </c>
      <c r="D41" s="49" t="s">
        <v>384</v>
      </c>
      <c r="E41" s="50">
        <v>43441</v>
      </c>
      <c r="F41" s="52" t="s">
        <v>84</v>
      </c>
      <c r="G41" s="51">
        <v>9200</v>
      </c>
      <c r="H41" s="52">
        <f t="shared" si="7"/>
        <v>40</v>
      </c>
      <c r="I41" s="52">
        <f t="shared" si="1"/>
        <v>10</v>
      </c>
      <c r="J41" s="49"/>
      <c r="K41" s="53">
        <v>43548</v>
      </c>
      <c r="L41" s="54" t="s">
        <v>534</v>
      </c>
      <c r="M41" s="55">
        <v>43543</v>
      </c>
      <c r="N41" s="56" t="s">
        <v>535</v>
      </c>
      <c r="O41" s="55">
        <v>43548</v>
      </c>
      <c r="P41" s="58"/>
      <c r="Q41" s="52" t="s">
        <v>82</v>
      </c>
      <c r="R41" s="57" t="s">
        <v>536</v>
      </c>
      <c r="S41" s="47"/>
    </row>
    <row r="42" spans="2:19" s="67" customFormat="1" ht="33" customHeight="1">
      <c r="B42" s="46" t="s">
        <v>17</v>
      </c>
      <c r="C42" s="35" t="s">
        <v>427</v>
      </c>
      <c r="D42" s="36" t="s">
        <v>537</v>
      </c>
      <c r="E42" s="37">
        <v>43483</v>
      </c>
      <c r="F42" s="38" t="s">
        <v>84</v>
      </c>
      <c r="G42" s="39">
        <v>9200</v>
      </c>
      <c r="H42" s="38">
        <f t="shared" si="7"/>
        <v>40</v>
      </c>
      <c r="I42" s="38">
        <f t="shared" si="1"/>
        <v>10</v>
      </c>
      <c r="J42" s="36"/>
      <c r="K42" s="40">
        <v>43576</v>
      </c>
      <c r="L42" s="41" t="s">
        <v>538</v>
      </c>
      <c r="M42" s="42">
        <v>43571</v>
      </c>
      <c r="N42" s="43" t="s">
        <v>539</v>
      </c>
      <c r="O42" s="42">
        <v>43576</v>
      </c>
      <c r="P42" s="45"/>
      <c r="Q42" s="38" t="s">
        <v>82</v>
      </c>
      <c r="R42" s="44" t="s">
        <v>540</v>
      </c>
      <c r="S42" s="46"/>
    </row>
    <row r="43" spans="2:19" s="67" customFormat="1" ht="33" customHeight="1">
      <c r="B43" s="46" t="s">
        <v>17</v>
      </c>
      <c r="C43" s="35" t="s">
        <v>581</v>
      </c>
      <c r="D43" s="36" t="s">
        <v>582</v>
      </c>
      <c r="E43" s="37">
        <v>43519</v>
      </c>
      <c r="F43" s="38" t="s">
        <v>84</v>
      </c>
      <c r="G43" s="39">
        <v>9200</v>
      </c>
      <c r="H43" s="38">
        <f t="shared" si="7"/>
        <v>40</v>
      </c>
      <c r="I43" s="38">
        <f t="shared" si="1"/>
        <v>10</v>
      </c>
      <c r="J43" s="36"/>
      <c r="K43" s="40">
        <v>43632</v>
      </c>
      <c r="L43" s="41" t="s">
        <v>807</v>
      </c>
      <c r="M43" s="42">
        <v>43627</v>
      </c>
      <c r="N43" s="43" t="s">
        <v>796</v>
      </c>
      <c r="O43" s="42">
        <v>43632</v>
      </c>
      <c r="P43" s="45"/>
      <c r="Q43" s="38" t="s">
        <v>82</v>
      </c>
      <c r="R43" s="44" t="s">
        <v>825</v>
      </c>
      <c r="S43" s="46"/>
    </row>
    <row r="44" spans="2:19" s="67" customFormat="1" ht="33" customHeight="1">
      <c r="B44" s="46" t="s">
        <v>17</v>
      </c>
      <c r="C44" s="35" t="s">
        <v>694</v>
      </c>
      <c r="D44" s="36" t="s">
        <v>695</v>
      </c>
      <c r="E44" s="37">
        <v>43532</v>
      </c>
      <c r="F44" s="38" t="s">
        <v>531</v>
      </c>
      <c r="G44" s="39">
        <v>9200</v>
      </c>
      <c r="H44" s="38">
        <f t="shared" si="7"/>
        <v>40</v>
      </c>
      <c r="I44" s="38">
        <f t="shared" si="1"/>
        <v>10</v>
      </c>
      <c r="J44" s="36"/>
      <c r="K44" s="40">
        <v>43667</v>
      </c>
      <c r="L44" s="41" t="s">
        <v>837</v>
      </c>
      <c r="M44" s="42">
        <v>43662</v>
      </c>
      <c r="N44" s="43" t="s">
        <v>836</v>
      </c>
      <c r="O44" s="42">
        <v>43667</v>
      </c>
      <c r="P44" s="45"/>
      <c r="Q44" s="38" t="s">
        <v>82</v>
      </c>
      <c r="R44" s="44" t="s">
        <v>826</v>
      </c>
      <c r="S44" s="46"/>
    </row>
    <row r="45" spans="2:19" s="96" customFormat="1" ht="33" customHeight="1">
      <c r="B45" s="47" t="s">
        <v>33</v>
      </c>
      <c r="C45" s="48" t="s">
        <v>230</v>
      </c>
      <c r="D45" s="49" t="s">
        <v>231</v>
      </c>
      <c r="E45" s="50"/>
      <c r="F45" s="52"/>
      <c r="G45" s="51">
        <v>9200</v>
      </c>
      <c r="H45" s="52">
        <f t="shared" si="7"/>
        <v>40</v>
      </c>
      <c r="I45" s="52">
        <f t="shared" si="1"/>
        <v>10</v>
      </c>
      <c r="J45" s="49"/>
      <c r="K45" s="53">
        <v>43155</v>
      </c>
      <c r="L45" s="54" t="s">
        <v>541</v>
      </c>
      <c r="M45" s="55">
        <v>43515</v>
      </c>
      <c r="N45" s="56" t="s">
        <v>542</v>
      </c>
      <c r="O45" s="55">
        <v>43520</v>
      </c>
      <c r="P45" s="58" t="s">
        <v>543</v>
      </c>
      <c r="Q45" s="52"/>
      <c r="R45" s="57" t="s">
        <v>544</v>
      </c>
      <c r="S45" s="47" t="s">
        <v>216</v>
      </c>
    </row>
    <row r="46" spans="2:19" s="67" customFormat="1" ht="33" customHeight="1">
      <c r="B46" s="46" t="s">
        <v>33</v>
      </c>
      <c r="C46" s="35" t="s">
        <v>255</v>
      </c>
      <c r="D46" s="36" t="s">
        <v>269</v>
      </c>
      <c r="E46" s="37">
        <v>43378</v>
      </c>
      <c r="F46" s="38" t="s">
        <v>84</v>
      </c>
      <c r="G46" s="39">
        <v>18400</v>
      </c>
      <c r="H46" s="38">
        <f t="shared" si="7"/>
        <v>80</v>
      </c>
      <c r="I46" s="38">
        <f t="shared" si="1"/>
        <v>20</v>
      </c>
      <c r="J46" s="36"/>
      <c r="K46" s="141" t="s">
        <v>545</v>
      </c>
      <c r="L46" s="142"/>
      <c r="M46" s="143"/>
      <c r="N46" s="144"/>
      <c r="O46" s="143"/>
      <c r="P46" s="45"/>
      <c r="Q46" s="38"/>
      <c r="R46" s="44" t="s">
        <v>546</v>
      </c>
      <c r="S46" s="46"/>
    </row>
    <row r="47" spans="2:19" s="67" customFormat="1" ht="33" customHeight="1">
      <c r="B47" s="46" t="s">
        <v>81</v>
      </c>
      <c r="C47" s="35" t="s">
        <v>279</v>
      </c>
      <c r="D47" s="36" t="s">
        <v>315</v>
      </c>
      <c r="E47" s="37">
        <v>43392</v>
      </c>
      <c r="F47" s="38" t="s">
        <v>84</v>
      </c>
      <c r="G47" s="129">
        <v>11960</v>
      </c>
      <c r="H47" s="124">
        <f t="shared" si="7"/>
        <v>52</v>
      </c>
      <c r="I47" s="124">
        <f t="shared" si="1"/>
        <v>13</v>
      </c>
      <c r="J47" s="38"/>
      <c r="K47" s="40">
        <v>43597</v>
      </c>
      <c r="L47" s="41" t="s">
        <v>562</v>
      </c>
      <c r="M47" s="42">
        <v>43594</v>
      </c>
      <c r="N47" s="43" t="s">
        <v>561</v>
      </c>
      <c r="O47" s="42">
        <v>43598</v>
      </c>
      <c r="P47" s="45"/>
      <c r="Q47" s="46"/>
      <c r="R47" s="44" t="s">
        <v>547</v>
      </c>
      <c r="S47" s="46"/>
    </row>
    <row r="48" spans="2:19" s="67" customFormat="1" ht="33" customHeight="1">
      <c r="B48" s="122" t="s">
        <v>81</v>
      </c>
      <c r="C48" s="126" t="s">
        <v>1328</v>
      </c>
      <c r="D48" s="127" t="s">
        <v>315</v>
      </c>
      <c r="E48" s="128">
        <v>43392</v>
      </c>
      <c r="F48" s="124" t="s">
        <v>84</v>
      </c>
      <c r="G48" s="129">
        <v>1840</v>
      </c>
      <c r="H48" s="124">
        <f t="shared" ref="H48" si="8">SUM(G48/230)</f>
        <v>8</v>
      </c>
      <c r="I48" s="124">
        <f t="shared" ref="I48" si="9">SUM(H48/4)</f>
        <v>2</v>
      </c>
      <c r="J48" s="124"/>
      <c r="K48" s="130">
        <v>43597</v>
      </c>
      <c r="L48" s="119" t="s">
        <v>773</v>
      </c>
      <c r="M48" s="120">
        <v>43601</v>
      </c>
      <c r="N48" s="121" t="s">
        <v>601</v>
      </c>
      <c r="O48" s="120">
        <v>43605</v>
      </c>
      <c r="P48" s="123"/>
      <c r="Q48" s="122"/>
      <c r="R48" s="125" t="s">
        <v>547</v>
      </c>
      <c r="S48" s="122" t="s">
        <v>1329</v>
      </c>
    </row>
    <row r="49" spans="2:19" s="96" customFormat="1" ht="33" customHeight="1">
      <c r="B49" s="47" t="s">
        <v>81</v>
      </c>
      <c r="C49" s="48" t="s">
        <v>316</v>
      </c>
      <c r="D49" s="49" t="s">
        <v>317</v>
      </c>
      <c r="E49" s="50">
        <v>43420</v>
      </c>
      <c r="F49" s="52" t="s">
        <v>531</v>
      </c>
      <c r="G49" s="51">
        <v>18400</v>
      </c>
      <c r="H49" s="52">
        <f>SUM(G49/230)</f>
        <v>80</v>
      </c>
      <c r="I49" s="52">
        <f>SUM(H49/4)</f>
        <v>20</v>
      </c>
      <c r="J49" s="52"/>
      <c r="K49" s="53">
        <v>43525</v>
      </c>
      <c r="L49" s="54" t="s">
        <v>541</v>
      </c>
      <c r="M49" s="55">
        <v>43515</v>
      </c>
      <c r="N49" s="56" t="s">
        <v>542</v>
      </c>
      <c r="O49" s="55">
        <v>43520</v>
      </c>
      <c r="P49" s="58" t="s">
        <v>548</v>
      </c>
      <c r="Q49" s="47"/>
      <c r="R49" s="57" t="s">
        <v>549</v>
      </c>
      <c r="S49" s="47" t="s">
        <v>350</v>
      </c>
    </row>
    <row r="50" spans="2:19" s="67" customFormat="1" ht="33" customHeight="1">
      <c r="B50" s="46" t="s">
        <v>81</v>
      </c>
      <c r="C50" s="35" t="s">
        <v>318</v>
      </c>
      <c r="D50" s="36" t="s">
        <v>319</v>
      </c>
      <c r="E50" s="37">
        <v>43420</v>
      </c>
      <c r="F50" s="38" t="s">
        <v>531</v>
      </c>
      <c r="G50" s="39">
        <v>17940</v>
      </c>
      <c r="H50" s="38">
        <f>SUM(G50/230)</f>
        <v>78</v>
      </c>
      <c r="I50" s="38">
        <f>SUM(H50/4)</f>
        <v>19.5</v>
      </c>
      <c r="J50" s="38"/>
      <c r="K50" s="40">
        <v>43576</v>
      </c>
      <c r="L50" s="41" t="s">
        <v>480</v>
      </c>
      <c r="M50" s="42">
        <v>43564</v>
      </c>
      <c r="N50" s="43" t="s">
        <v>550</v>
      </c>
      <c r="O50" s="42">
        <v>43569</v>
      </c>
      <c r="P50" s="45"/>
      <c r="Q50" s="46"/>
      <c r="R50" s="44" t="s">
        <v>551</v>
      </c>
      <c r="S50" s="46" t="s">
        <v>552</v>
      </c>
    </row>
    <row r="51" spans="2:19" s="67" customFormat="1" ht="33" customHeight="1">
      <c r="B51" s="46" t="s">
        <v>81</v>
      </c>
      <c r="C51" s="35" t="s">
        <v>700</v>
      </c>
      <c r="D51" s="36" t="s">
        <v>701</v>
      </c>
      <c r="E51" s="37">
        <v>43532</v>
      </c>
      <c r="F51" s="38" t="s">
        <v>531</v>
      </c>
      <c r="G51" s="39">
        <v>13800</v>
      </c>
      <c r="H51" s="38">
        <f t="shared" ref="H51:H54" si="10">SUM(G51/230)</f>
        <v>60</v>
      </c>
      <c r="I51" s="38">
        <f t="shared" ref="I51:I54" si="11">SUM(H51/4)</f>
        <v>15</v>
      </c>
      <c r="J51" s="38"/>
      <c r="K51" s="40">
        <v>43625</v>
      </c>
      <c r="L51" s="41" t="s">
        <v>975</v>
      </c>
      <c r="M51" s="42">
        <v>43620</v>
      </c>
      <c r="N51" s="43" t="s">
        <v>768</v>
      </c>
      <c r="O51" s="42">
        <v>43625</v>
      </c>
      <c r="P51" s="45"/>
      <c r="Q51" s="46"/>
      <c r="R51" s="44" t="s">
        <v>850</v>
      </c>
      <c r="S51" s="46"/>
    </row>
    <row r="52" spans="2:19" s="67" customFormat="1" ht="33" customHeight="1">
      <c r="B52" s="46" t="s">
        <v>81</v>
      </c>
      <c r="C52" s="35" t="s">
        <v>702</v>
      </c>
      <c r="D52" s="36" t="s">
        <v>703</v>
      </c>
      <c r="E52" s="37">
        <v>43532</v>
      </c>
      <c r="F52" s="38" t="s">
        <v>531</v>
      </c>
      <c r="G52" s="39">
        <v>9200</v>
      </c>
      <c r="H52" s="38">
        <f t="shared" si="10"/>
        <v>40</v>
      </c>
      <c r="I52" s="38">
        <f t="shared" si="11"/>
        <v>10</v>
      </c>
      <c r="J52" s="38"/>
      <c r="K52" s="40">
        <v>43646</v>
      </c>
      <c r="L52" s="41" t="s">
        <v>976</v>
      </c>
      <c r="M52" s="42">
        <v>43641</v>
      </c>
      <c r="N52" s="43" t="s">
        <v>801</v>
      </c>
      <c r="O52" s="42">
        <v>43646</v>
      </c>
      <c r="P52" s="45"/>
      <c r="Q52" s="46"/>
      <c r="R52" s="44" t="s">
        <v>851</v>
      </c>
      <c r="S52" s="46"/>
    </row>
    <row r="53" spans="2:19" s="67" customFormat="1" ht="33" customHeight="1">
      <c r="B53" s="46" t="s">
        <v>81</v>
      </c>
      <c r="C53" s="35" t="s">
        <v>852</v>
      </c>
      <c r="D53" s="36"/>
      <c r="E53" s="37">
        <v>43558</v>
      </c>
      <c r="F53" s="38" t="s">
        <v>531</v>
      </c>
      <c r="G53" s="39">
        <v>9200</v>
      </c>
      <c r="H53" s="38">
        <f t="shared" si="10"/>
        <v>40</v>
      </c>
      <c r="I53" s="38">
        <f t="shared" si="11"/>
        <v>10</v>
      </c>
      <c r="J53" s="38"/>
      <c r="K53" s="40">
        <v>43646</v>
      </c>
      <c r="L53" s="41" t="s">
        <v>976</v>
      </c>
      <c r="M53" s="42">
        <v>43641</v>
      </c>
      <c r="N53" s="43" t="s">
        <v>801</v>
      </c>
      <c r="O53" s="42">
        <v>43646</v>
      </c>
      <c r="P53" s="45"/>
      <c r="Q53" s="46"/>
      <c r="R53" s="44" t="s">
        <v>851</v>
      </c>
      <c r="S53" s="46"/>
    </row>
    <row r="54" spans="2:19" s="67" customFormat="1" ht="33" customHeight="1">
      <c r="B54" s="135" t="s">
        <v>704</v>
      </c>
      <c r="C54" s="136" t="s">
        <v>554</v>
      </c>
      <c r="D54" s="137" t="s">
        <v>705</v>
      </c>
      <c r="E54" s="138">
        <v>43532</v>
      </c>
      <c r="F54" s="139" t="s">
        <v>531</v>
      </c>
      <c r="G54" s="140">
        <v>920</v>
      </c>
      <c r="H54" s="139">
        <f t="shared" si="10"/>
        <v>4</v>
      </c>
      <c r="I54" s="139">
        <f t="shared" si="11"/>
        <v>1</v>
      </c>
      <c r="J54" s="139"/>
      <c r="K54" s="141">
        <v>43609</v>
      </c>
      <c r="L54" s="142"/>
      <c r="M54" s="143"/>
      <c r="N54" s="144"/>
      <c r="O54" s="143"/>
      <c r="P54" s="145"/>
      <c r="Q54" s="135"/>
      <c r="R54" s="146"/>
      <c r="S54" s="135" t="s">
        <v>706</v>
      </c>
    </row>
    <row r="55" spans="2:19" s="67" customFormat="1" ht="33" customHeight="1">
      <c r="B55" s="46" t="s">
        <v>553</v>
      </c>
      <c r="C55" s="35" t="s">
        <v>554</v>
      </c>
      <c r="D55" s="36" t="s">
        <v>583</v>
      </c>
      <c r="E55" s="37">
        <v>43511</v>
      </c>
      <c r="F55" s="38" t="s">
        <v>531</v>
      </c>
      <c r="G55" s="39">
        <v>460</v>
      </c>
      <c r="H55" s="38">
        <f>SUM(G55/230)</f>
        <v>2</v>
      </c>
      <c r="I55" s="38">
        <f>SUM(H55/4)</f>
        <v>0.5</v>
      </c>
      <c r="J55" s="38"/>
      <c r="K55" s="40">
        <v>43576</v>
      </c>
      <c r="L55" s="41" t="s">
        <v>480</v>
      </c>
      <c r="M55" s="42">
        <v>43564</v>
      </c>
      <c r="N55" s="43" t="s">
        <v>646</v>
      </c>
      <c r="O55" s="42">
        <v>43569</v>
      </c>
      <c r="P55" s="45"/>
      <c r="Q55" s="46"/>
      <c r="R55" s="44" t="s">
        <v>551</v>
      </c>
      <c r="S55" s="46"/>
    </row>
    <row r="56" spans="2:19" s="33" customFormat="1" ht="33" customHeight="1">
      <c r="B56" s="47" t="s">
        <v>555</v>
      </c>
      <c r="C56" s="48" t="s">
        <v>321</v>
      </c>
      <c r="D56" s="49" t="s">
        <v>322</v>
      </c>
      <c r="E56" s="50">
        <v>43420</v>
      </c>
      <c r="F56" s="52" t="s">
        <v>531</v>
      </c>
      <c r="G56" s="51">
        <v>3200</v>
      </c>
      <c r="H56" s="52">
        <f t="shared" ref="H56:H65" si="12">SUM(G56/20)</f>
        <v>160</v>
      </c>
      <c r="I56" s="52">
        <f t="shared" ref="I56:I65" si="13">SUM(H56/32)</f>
        <v>5</v>
      </c>
      <c r="J56" s="59"/>
      <c r="K56" s="53">
        <v>43513</v>
      </c>
      <c r="L56" s="54" t="s">
        <v>276</v>
      </c>
      <c r="M56" s="55">
        <v>43508</v>
      </c>
      <c r="N56" s="56" t="s">
        <v>532</v>
      </c>
      <c r="O56" s="55">
        <v>43148</v>
      </c>
      <c r="P56" s="58"/>
      <c r="Q56" s="60" t="s">
        <v>89</v>
      </c>
      <c r="R56" s="57" t="s">
        <v>323</v>
      </c>
      <c r="S56" s="47"/>
    </row>
    <row r="57" spans="2:19" s="33" customFormat="1" ht="33" customHeight="1">
      <c r="B57" s="47" t="s">
        <v>555</v>
      </c>
      <c r="C57" s="48" t="s">
        <v>324</v>
      </c>
      <c r="D57" s="49" t="s">
        <v>325</v>
      </c>
      <c r="E57" s="50">
        <v>43420</v>
      </c>
      <c r="F57" s="52" t="s">
        <v>531</v>
      </c>
      <c r="G57" s="51">
        <v>1920</v>
      </c>
      <c r="H57" s="52">
        <f t="shared" si="12"/>
        <v>96</v>
      </c>
      <c r="I57" s="52">
        <f t="shared" si="13"/>
        <v>3</v>
      </c>
      <c r="J57" s="59"/>
      <c r="K57" s="53">
        <v>43541</v>
      </c>
      <c r="L57" s="54" t="s">
        <v>556</v>
      </c>
      <c r="M57" s="55">
        <v>43531</v>
      </c>
      <c r="N57" s="56" t="s">
        <v>569</v>
      </c>
      <c r="O57" s="55">
        <v>43535</v>
      </c>
      <c r="P57" s="58"/>
      <c r="Q57" s="60" t="s">
        <v>89</v>
      </c>
      <c r="R57" s="57" t="s">
        <v>326</v>
      </c>
      <c r="S57" s="47" t="s">
        <v>645</v>
      </c>
    </row>
    <row r="58" spans="2:19" s="33" customFormat="1" ht="33" customHeight="1">
      <c r="B58" s="47" t="s">
        <v>555</v>
      </c>
      <c r="C58" s="48" t="s">
        <v>557</v>
      </c>
      <c r="D58" s="49" t="s">
        <v>325</v>
      </c>
      <c r="E58" s="50">
        <v>43420</v>
      </c>
      <c r="F58" s="52" t="s">
        <v>531</v>
      </c>
      <c r="G58" s="51">
        <v>1280</v>
      </c>
      <c r="H58" s="52">
        <f t="shared" si="12"/>
        <v>64</v>
      </c>
      <c r="I58" s="52">
        <f t="shared" si="13"/>
        <v>2</v>
      </c>
      <c r="J58" s="59"/>
      <c r="K58" s="53">
        <v>43541</v>
      </c>
      <c r="L58" s="54" t="s">
        <v>563</v>
      </c>
      <c r="M58" s="55">
        <v>43536</v>
      </c>
      <c r="N58" s="56" t="s">
        <v>558</v>
      </c>
      <c r="O58" s="55">
        <v>43541</v>
      </c>
      <c r="P58" s="58"/>
      <c r="Q58" s="60" t="s">
        <v>89</v>
      </c>
      <c r="R58" s="57" t="s">
        <v>326</v>
      </c>
      <c r="S58" s="47" t="s">
        <v>395</v>
      </c>
    </row>
    <row r="59" spans="2:19" s="33" customFormat="1" ht="33" customHeight="1">
      <c r="B59" s="47" t="s">
        <v>555</v>
      </c>
      <c r="C59" s="48" t="s">
        <v>430</v>
      </c>
      <c r="D59" s="49" t="s">
        <v>470</v>
      </c>
      <c r="E59" s="50">
        <v>43473</v>
      </c>
      <c r="F59" s="52" t="s">
        <v>531</v>
      </c>
      <c r="G59" s="51">
        <v>1920</v>
      </c>
      <c r="H59" s="52">
        <f t="shared" si="12"/>
        <v>96</v>
      </c>
      <c r="I59" s="52">
        <f t="shared" si="13"/>
        <v>3</v>
      </c>
      <c r="J59" s="59"/>
      <c r="K59" s="53">
        <v>43555</v>
      </c>
      <c r="L59" s="54" t="s">
        <v>644</v>
      </c>
      <c r="M59" s="55">
        <v>43550</v>
      </c>
      <c r="N59" s="56" t="s">
        <v>344</v>
      </c>
      <c r="O59" s="55">
        <v>43555</v>
      </c>
      <c r="P59" s="58"/>
      <c r="Q59" s="60" t="s">
        <v>89</v>
      </c>
      <c r="R59" s="57" t="s">
        <v>560</v>
      </c>
      <c r="S59" s="47"/>
    </row>
    <row r="60" spans="2:19" s="30" customFormat="1" ht="33" customHeight="1">
      <c r="B60" s="46" t="s">
        <v>555</v>
      </c>
      <c r="C60" s="35" t="s">
        <v>430</v>
      </c>
      <c r="D60" s="36" t="s">
        <v>470</v>
      </c>
      <c r="E60" s="37">
        <v>43473</v>
      </c>
      <c r="F60" s="38" t="s">
        <v>531</v>
      </c>
      <c r="G60" s="39">
        <v>1920</v>
      </c>
      <c r="H60" s="38">
        <f t="shared" si="12"/>
        <v>96</v>
      </c>
      <c r="I60" s="38">
        <f t="shared" si="13"/>
        <v>3</v>
      </c>
      <c r="J60" s="61"/>
      <c r="K60" s="40">
        <v>43555</v>
      </c>
      <c r="L60" s="41" t="s">
        <v>559</v>
      </c>
      <c r="M60" s="42">
        <v>43564</v>
      </c>
      <c r="N60" s="43" t="s">
        <v>550</v>
      </c>
      <c r="O60" s="42">
        <v>43569</v>
      </c>
      <c r="P60" s="45"/>
      <c r="Q60" s="62" t="s">
        <v>89</v>
      </c>
      <c r="R60" s="44" t="s">
        <v>560</v>
      </c>
      <c r="S60" s="46"/>
    </row>
    <row r="61" spans="2:19" s="30" customFormat="1" ht="33" customHeight="1">
      <c r="B61" s="46" t="s">
        <v>555</v>
      </c>
      <c r="C61" s="35" t="s">
        <v>519</v>
      </c>
      <c r="D61" s="36" t="s">
        <v>710</v>
      </c>
      <c r="E61" s="37">
        <v>43511</v>
      </c>
      <c r="F61" s="38" t="s">
        <v>531</v>
      </c>
      <c r="G61" s="39">
        <v>640</v>
      </c>
      <c r="H61" s="38">
        <f t="shared" si="12"/>
        <v>32</v>
      </c>
      <c r="I61" s="38">
        <f t="shared" si="13"/>
        <v>1</v>
      </c>
      <c r="J61" s="61"/>
      <c r="K61" s="40">
        <v>43555</v>
      </c>
      <c r="L61" s="41" t="s">
        <v>564</v>
      </c>
      <c r="M61" s="42">
        <v>43557</v>
      </c>
      <c r="N61" s="43" t="s">
        <v>596</v>
      </c>
      <c r="O61" s="42">
        <v>43562</v>
      </c>
      <c r="P61" s="45"/>
      <c r="Q61" s="62" t="s">
        <v>89</v>
      </c>
      <c r="R61" s="44" t="s">
        <v>560</v>
      </c>
      <c r="S61" s="46"/>
    </row>
    <row r="62" spans="2:19" s="30" customFormat="1" ht="33" customHeight="1">
      <c r="B62" s="46" t="s">
        <v>555</v>
      </c>
      <c r="C62" s="35" t="s">
        <v>520</v>
      </c>
      <c r="D62" s="36" t="s">
        <v>584</v>
      </c>
      <c r="E62" s="37">
        <v>43511</v>
      </c>
      <c r="F62" s="38" t="s">
        <v>531</v>
      </c>
      <c r="G62" s="39">
        <v>1920</v>
      </c>
      <c r="H62" s="38">
        <f t="shared" si="12"/>
        <v>96</v>
      </c>
      <c r="I62" s="38">
        <f t="shared" si="13"/>
        <v>3</v>
      </c>
      <c r="J62" s="61"/>
      <c r="K62" s="40">
        <v>43576</v>
      </c>
      <c r="L62" s="41" t="s">
        <v>503</v>
      </c>
      <c r="M62" s="42">
        <v>43571</v>
      </c>
      <c r="N62" s="43" t="s">
        <v>539</v>
      </c>
      <c r="O62" s="42">
        <v>43576</v>
      </c>
      <c r="P62" s="45"/>
      <c r="Q62" s="62" t="s">
        <v>89</v>
      </c>
      <c r="R62" s="44" t="s">
        <v>585</v>
      </c>
      <c r="S62" s="46"/>
    </row>
    <row r="63" spans="2:19" s="30" customFormat="1" ht="33" customHeight="1">
      <c r="B63" s="46" t="s">
        <v>555</v>
      </c>
      <c r="C63" s="35" t="s">
        <v>586</v>
      </c>
      <c r="D63" s="36" t="s">
        <v>640</v>
      </c>
      <c r="E63" s="37">
        <v>43519</v>
      </c>
      <c r="F63" s="38" t="s">
        <v>531</v>
      </c>
      <c r="G63" s="39">
        <v>1920</v>
      </c>
      <c r="H63" s="38">
        <f t="shared" si="12"/>
        <v>96</v>
      </c>
      <c r="I63" s="38">
        <f t="shared" si="13"/>
        <v>3</v>
      </c>
      <c r="J63" s="61"/>
      <c r="K63" s="40">
        <v>43611</v>
      </c>
      <c r="L63" s="41" t="s">
        <v>607</v>
      </c>
      <c r="M63" s="42">
        <v>43601</v>
      </c>
      <c r="N63" s="43" t="s">
        <v>601</v>
      </c>
      <c r="O63" s="42">
        <v>43605</v>
      </c>
      <c r="P63" s="45"/>
      <c r="Q63" s="62" t="s">
        <v>89</v>
      </c>
      <c r="R63" s="44" t="s">
        <v>790</v>
      </c>
      <c r="S63" s="46" t="s">
        <v>980</v>
      </c>
    </row>
    <row r="64" spans="2:19" s="30" customFormat="1" ht="33" customHeight="1">
      <c r="B64" s="46" t="s">
        <v>555</v>
      </c>
      <c r="C64" s="35" t="s">
        <v>713</v>
      </c>
      <c r="D64" s="36" t="s">
        <v>714</v>
      </c>
      <c r="E64" s="37">
        <v>43532</v>
      </c>
      <c r="F64" s="38" t="s">
        <v>531</v>
      </c>
      <c r="G64" s="39">
        <v>2560</v>
      </c>
      <c r="H64" s="38">
        <f t="shared" si="12"/>
        <v>128</v>
      </c>
      <c r="I64" s="38">
        <f t="shared" si="13"/>
        <v>4</v>
      </c>
      <c r="J64" s="61"/>
      <c r="K64" s="40">
        <v>43639</v>
      </c>
      <c r="L64" s="41" t="s">
        <v>1083</v>
      </c>
      <c r="M64" s="42">
        <v>43634</v>
      </c>
      <c r="N64" s="43" t="s">
        <v>1084</v>
      </c>
      <c r="O64" s="42">
        <v>43639</v>
      </c>
      <c r="P64" s="45"/>
      <c r="Q64" s="62" t="s">
        <v>89</v>
      </c>
      <c r="R64" s="44" t="s">
        <v>1026</v>
      </c>
      <c r="S64" s="46"/>
    </row>
    <row r="65" spans="2:19" s="30" customFormat="1" ht="33" customHeight="1">
      <c r="B65" s="122" t="s">
        <v>555</v>
      </c>
      <c r="C65" s="126" t="s">
        <v>1184</v>
      </c>
      <c r="D65" s="127" t="s">
        <v>1185</v>
      </c>
      <c r="E65" s="128">
        <v>43567</v>
      </c>
      <c r="F65" s="124" t="s">
        <v>531</v>
      </c>
      <c r="G65" s="129">
        <v>2560</v>
      </c>
      <c r="H65" s="124">
        <f t="shared" si="12"/>
        <v>128</v>
      </c>
      <c r="I65" s="124">
        <f t="shared" si="13"/>
        <v>4</v>
      </c>
      <c r="J65" s="131"/>
      <c r="K65" s="130">
        <v>43674</v>
      </c>
      <c r="L65" s="119" t="s">
        <v>1323</v>
      </c>
      <c r="M65" s="120">
        <v>43669</v>
      </c>
      <c r="N65" s="121" t="s">
        <v>1313</v>
      </c>
      <c r="O65" s="120">
        <v>43674</v>
      </c>
      <c r="P65" s="123"/>
      <c r="Q65" s="132" t="s">
        <v>89</v>
      </c>
      <c r="R65" s="125" t="s">
        <v>1186</v>
      </c>
      <c r="S65" s="122"/>
    </row>
    <row r="66" spans="2:19" s="33" customFormat="1" ht="33" customHeight="1">
      <c r="B66" s="47" t="s">
        <v>38</v>
      </c>
      <c r="C66" s="48" t="s">
        <v>224</v>
      </c>
      <c r="D66" s="49" t="s">
        <v>328</v>
      </c>
      <c r="E66" s="50">
        <v>43420</v>
      </c>
      <c r="F66" s="52" t="s">
        <v>327</v>
      </c>
      <c r="G66" s="64">
        <v>640</v>
      </c>
      <c r="H66" s="52">
        <f>SUBTOTAL(9,G66)/20</f>
        <v>32</v>
      </c>
      <c r="I66" s="52">
        <f>H66/32</f>
        <v>1</v>
      </c>
      <c r="J66" s="52"/>
      <c r="K66" s="53">
        <v>43520</v>
      </c>
      <c r="L66" s="54" t="s">
        <v>1187</v>
      </c>
      <c r="M66" s="55">
        <v>43515</v>
      </c>
      <c r="N66" s="56" t="s">
        <v>1188</v>
      </c>
      <c r="O66" s="55">
        <v>43155</v>
      </c>
      <c r="P66" s="58" t="s">
        <v>1189</v>
      </c>
      <c r="Q66" s="52"/>
      <c r="R66" s="63" t="s">
        <v>1190</v>
      </c>
      <c r="S66" s="47"/>
    </row>
    <row r="67" spans="2:19" s="30" customFormat="1" ht="33" customHeight="1">
      <c r="B67" s="46" t="s">
        <v>38</v>
      </c>
      <c r="C67" s="35" t="s">
        <v>225</v>
      </c>
      <c r="D67" s="36" t="s">
        <v>587</v>
      </c>
      <c r="E67" s="37">
        <v>43519</v>
      </c>
      <c r="F67" s="38" t="s">
        <v>1191</v>
      </c>
      <c r="G67" s="65">
        <v>640</v>
      </c>
      <c r="H67" s="38">
        <f>SUBTOTAL(9,G67)/20</f>
        <v>32</v>
      </c>
      <c r="I67" s="38">
        <f>H67/32</f>
        <v>1</v>
      </c>
      <c r="J67" s="38"/>
      <c r="K67" s="40">
        <v>43583</v>
      </c>
      <c r="L67" s="41" t="s">
        <v>565</v>
      </c>
      <c r="M67" s="42">
        <v>43578</v>
      </c>
      <c r="N67" s="43" t="s">
        <v>1192</v>
      </c>
      <c r="O67" s="42">
        <v>43583</v>
      </c>
      <c r="P67" s="45"/>
      <c r="Q67" s="38"/>
      <c r="R67" s="66" t="s">
        <v>1193</v>
      </c>
      <c r="S67" s="46"/>
    </row>
    <row r="68" spans="2:19" s="30" customFormat="1" ht="33" customHeight="1">
      <c r="B68" s="122" t="s">
        <v>38</v>
      </c>
      <c r="C68" s="126" t="s">
        <v>226</v>
      </c>
      <c r="D68" s="127" t="s">
        <v>1194</v>
      </c>
      <c r="E68" s="128">
        <v>43567</v>
      </c>
      <c r="F68" s="124" t="s">
        <v>1195</v>
      </c>
      <c r="G68" s="152">
        <v>640</v>
      </c>
      <c r="H68" s="124">
        <f>SUBTOTAL(9,G68)/20</f>
        <v>32</v>
      </c>
      <c r="I68" s="124">
        <f>H68/32</f>
        <v>1</v>
      </c>
      <c r="J68" s="124"/>
      <c r="K68" s="130">
        <v>43667</v>
      </c>
      <c r="L68" s="119" t="s">
        <v>1325</v>
      </c>
      <c r="M68" s="120">
        <v>43662</v>
      </c>
      <c r="N68" s="121" t="s">
        <v>1314</v>
      </c>
      <c r="O68" s="120">
        <v>43667</v>
      </c>
      <c r="P68" s="123"/>
      <c r="Q68" s="124"/>
      <c r="R68" s="134" t="s">
        <v>1196</v>
      </c>
      <c r="S68" s="122"/>
    </row>
    <row r="69" spans="2:19" s="33" customFormat="1" ht="33" customHeight="1">
      <c r="B69" s="47" t="s">
        <v>88</v>
      </c>
      <c r="C69" s="48" t="s">
        <v>331</v>
      </c>
      <c r="D69" s="49" t="s">
        <v>332</v>
      </c>
      <c r="E69" s="50">
        <v>43420</v>
      </c>
      <c r="F69" s="52" t="s">
        <v>1195</v>
      </c>
      <c r="G69" s="64">
        <v>760</v>
      </c>
      <c r="H69" s="52">
        <f>SUBTOTAL(9,G69)/190</f>
        <v>4</v>
      </c>
      <c r="I69" s="52">
        <f>H69/4</f>
        <v>1</v>
      </c>
      <c r="J69" s="52"/>
      <c r="K69" s="53">
        <v>43520</v>
      </c>
      <c r="L69" s="54" t="s">
        <v>1197</v>
      </c>
      <c r="M69" s="55">
        <v>43515</v>
      </c>
      <c r="N69" s="56" t="s">
        <v>1198</v>
      </c>
      <c r="O69" s="55">
        <v>43155</v>
      </c>
      <c r="P69" s="58" t="s">
        <v>1199</v>
      </c>
      <c r="Q69" s="52"/>
      <c r="R69" s="63" t="s">
        <v>1200</v>
      </c>
      <c r="S69" s="47"/>
    </row>
    <row r="70" spans="2:19" s="30" customFormat="1" ht="33" customHeight="1">
      <c r="B70" s="46" t="s">
        <v>88</v>
      </c>
      <c r="C70" s="35" t="s">
        <v>431</v>
      </c>
      <c r="D70" s="36" t="s">
        <v>471</v>
      </c>
      <c r="E70" s="37">
        <v>43483</v>
      </c>
      <c r="F70" s="38" t="s">
        <v>1195</v>
      </c>
      <c r="G70" s="65">
        <v>760</v>
      </c>
      <c r="H70" s="38">
        <f>SUBTOTAL(9,G70)/190</f>
        <v>4</v>
      </c>
      <c r="I70" s="38">
        <f>H70/4</f>
        <v>1</v>
      </c>
      <c r="J70" s="38"/>
      <c r="K70" s="40">
        <v>43569</v>
      </c>
      <c r="L70" s="41" t="s">
        <v>417</v>
      </c>
      <c r="M70" s="42">
        <v>43564</v>
      </c>
      <c r="N70" s="43" t="s">
        <v>1201</v>
      </c>
      <c r="O70" s="42">
        <v>43569</v>
      </c>
      <c r="P70" s="45"/>
      <c r="Q70" s="38"/>
      <c r="R70" s="66" t="s">
        <v>1202</v>
      </c>
      <c r="S70" s="46"/>
    </row>
    <row r="71" spans="2:19" s="30" customFormat="1" ht="33" customHeight="1">
      <c r="B71" s="46" t="s">
        <v>88</v>
      </c>
      <c r="C71" s="35" t="s">
        <v>523</v>
      </c>
      <c r="D71" s="36" t="s">
        <v>588</v>
      </c>
      <c r="E71" s="37">
        <v>43511</v>
      </c>
      <c r="F71" s="38" t="s">
        <v>1195</v>
      </c>
      <c r="G71" s="65">
        <v>760</v>
      </c>
      <c r="H71" s="38">
        <f>SUBTOTAL(9,G71)/190</f>
        <v>4</v>
      </c>
      <c r="I71" s="38">
        <f>H71/4</f>
        <v>1</v>
      </c>
      <c r="J71" s="38"/>
      <c r="K71" s="40">
        <v>43583</v>
      </c>
      <c r="L71" s="41" t="s">
        <v>565</v>
      </c>
      <c r="M71" s="42">
        <v>43578</v>
      </c>
      <c r="N71" s="43" t="s">
        <v>1192</v>
      </c>
      <c r="O71" s="42">
        <v>43583</v>
      </c>
      <c r="P71" s="45"/>
      <c r="Q71" s="38"/>
      <c r="R71" s="66" t="s">
        <v>1203</v>
      </c>
      <c r="S71" s="46"/>
    </row>
    <row r="72" spans="2:19" s="30" customFormat="1" ht="33" customHeight="1">
      <c r="B72" s="46" t="s">
        <v>88</v>
      </c>
      <c r="C72" s="35" t="s">
        <v>589</v>
      </c>
      <c r="D72" s="36" t="s">
        <v>590</v>
      </c>
      <c r="E72" s="37">
        <v>43519</v>
      </c>
      <c r="F72" s="38" t="s">
        <v>1195</v>
      </c>
      <c r="G72" s="65">
        <v>760</v>
      </c>
      <c r="H72" s="38">
        <f>SUBTOTAL(9,G72)/190</f>
        <v>4</v>
      </c>
      <c r="I72" s="38">
        <f>H72/4</f>
        <v>1</v>
      </c>
      <c r="J72" s="38"/>
      <c r="K72" s="40">
        <v>43597</v>
      </c>
      <c r="L72" s="41" t="s">
        <v>1204</v>
      </c>
      <c r="M72" s="42">
        <v>43592</v>
      </c>
      <c r="N72" s="43" t="s">
        <v>1205</v>
      </c>
      <c r="O72" s="42">
        <v>43597</v>
      </c>
      <c r="P72" s="45"/>
      <c r="Q72" s="38"/>
      <c r="R72" s="66" t="s">
        <v>1206</v>
      </c>
      <c r="S72" s="46"/>
    </row>
    <row r="73" spans="2:19" s="30" customFormat="1" ht="33" customHeight="1">
      <c r="B73" s="122" t="s">
        <v>88</v>
      </c>
      <c r="C73" s="126" t="s">
        <v>1333</v>
      </c>
      <c r="D73" s="127" t="s">
        <v>1207</v>
      </c>
      <c r="E73" s="128">
        <v>43567</v>
      </c>
      <c r="F73" s="124" t="s">
        <v>1195</v>
      </c>
      <c r="G73" s="152">
        <v>760</v>
      </c>
      <c r="H73" s="124">
        <f>SUBTOTAL(9,G73)/190</f>
        <v>4</v>
      </c>
      <c r="I73" s="124">
        <f>H73/4</f>
        <v>1</v>
      </c>
      <c r="J73" s="124"/>
      <c r="K73" s="130">
        <v>43667</v>
      </c>
      <c r="L73" s="119" t="s">
        <v>1325</v>
      </c>
      <c r="M73" s="120">
        <v>43662</v>
      </c>
      <c r="N73" s="121" t="s">
        <v>1314</v>
      </c>
      <c r="O73" s="120">
        <v>43667</v>
      </c>
      <c r="P73" s="123"/>
      <c r="Q73" s="124"/>
      <c r="R73" s="134" t="s">
        <v>1208</v>
      </c>
      <c r="S73" s="122"/>
    </row>
    <row r="74" spans="2:19" s="33" customFormat="1" ht="33" customHeight="1">
      <c r="B74" s="47" t="s">
        <v>83</v>
      </c>
      <c r="C74" s="48" t="s">
        <v>1209</v>
      </c>
      <c r="D74" s="49" t="s">
        <v>336</v>
      </c>
      <c r="E74" s="50">
        <v>43420</v>
      </c>
      <c r="F74" s="52" t="s">
        <v>77</v>
      </c>
      <c r="G74" s="51">
        <v>5760</v>
      </c>
      <c r="H74" s="52">
        <f>SUM(G74/240)</f>
        <v>24</v>
      </c>
      <c r="I74" s="52">
        <f t="shared" ref="I74:I83" si="14">SUM(H74/4)</f>
        <v>6</v>
      </c>
      <c r="J74" s="52"/>
      <c r="K74" s="53">
        <v>43148</v>
      </c>
      <c r="L74" s="54" t="s">
        <v>276</v>
      </c>
      <c r="M74" s="55">
        <v>43508</v>
      </c>
      <c r="N74" s="56" t="s">
        <v>1210</v>
      </c>
      <c r="O74" s="55">
        <v>43148</v>
      </c>
      <c r="P74" s="58"/>
      <c r="Q74" s="52"/>
      <c r="R74" s="118" t="s">
        <v>1211</v>
      </c>
      <c r="S74" s="47"/>
    </row>
    <row r="75" spans="2:19" s="33" customFormat="1" ht="33" customHeight="1">
      <c r="B75" s="47" t="s">
        <v>83</v>
      </c>
      <c r="C75" s="48" t="s">
        <v>1212</v>
      </c>
      <c r="D75" s="49" t="s">
        <v>1213</v>
      </c>
      <c r="E75" s="50">
        <v>43462</v>
      </c>
      <c r="F75" s="52" t="s">
        <v>77</v>
      </c>
      <c r="G75" s="51">
        <v>960</v>
      </c>
      <c r="H75" s="52">
        <f>SUM(G75/240)</f>
        <v>4</v>
      </c>
      <c r="I75" s="52">
        <f t="shared" si="14"/>
        <v>1</v>
      </c>
      <c r="J75" s="52"/>
      <c r="K75" s="53">
        <v>43148</v>
      </c>
      <c r="L75" s="54" t="s">
        <v>276</v>
      </c>
      <c r="M75" s="55">
        <v>43508</v>
      </c>
      <c r="N75" s="56" t="s">
        <v>1210</v>
      </c>
      <c r="O75" s="55">
        <v>43148</v>
      </c>
      <c r="P75" s="58"/>
      <c r="Q75" s="52"/>
      <c r="R75" s="118" t="s">
        <v>1211</v>
      </c>
      <c r="S75" s="47"/>
    </row>
    <row r="76" spans="2:19" s="33" customFormat="1" ht="33" customHeight="1">
      <c r="B76" s="47" t="s">
        <v>83</v>
      </c>
      <c r="C76" s="48" t="s">
        <v>1214</v>
      </c>
      <c r="D76" s="49" t="s">
        <v>1213</v>
      </c>
      <c r="E76" s="50">
        <v>43462</v>
      </c>
      <c r="F76" s="52" t="s">
        <v>77</v>
      </c>
      <c r="G76" s="51">
        <v>960</v>
      </c>
      <c r="H76" s="52">
        <f t="shared" ref="H76:H83" si="15">SUM(G76/240)</f>
        <v>4</v>
      </c>
      <c r="I76" s="52">
        <f t="shared" si="14"/>
        <v>1</v>
      </c>
      <c r="J76" s="52"/>
      <c r="K76" s="53">
        <v>43148</v>
      </c>
      <c r="L76" s="54" t="s">
        <v>1215</v>
      </c>
      <c r="M76" s="55">
        <v>43531</v>
      </c>
      <c r="N76" s="56" t="s">
        <v>568</v>
      </c>
      <c r="O76" s="55">
        <v>43535</v>
      </c>
      <c r="P76" s="58" t="s">
        <v>1216</v>
      </c>
      <c r="Q76" s="52"/>
      <c r="R76" s="118" t="s">
        <v>1211</v>
      </c>
      <c r="S76" s="47" t="s">
        <v>609</v>
      </c>
    </row>
    <row r="77" spans="2:19" s="33" customFormat="1" ht="33" customHeight="1">
      <c r="B77" s="47" t="s">
        <v>83</v>
      </c>
      <c r="C77" s="48" t="s">
        <v>1217</v>
      </c>
      <c r="D77" s="49" t="s">
        <v>1218</v>
      </c>
      <c r="E77" s="50">
        <v>43462</v>
      </c>
      <c r="F77" s="52" t="s">
        <v>77</v>
      </c>
      <c r="G77" s="51">
        <v>2880</v>
      </c>
      <c r="H77" s="52">
        <f t="shared" si="15"/>
        <v>12</v>
      </c>
      <c r="I77" s="52">
        <f t="shared" si="14"/>
        <v>3</v>
      </c>
      <c r="J77" s="52"/>
      <c r="K77" s="53">
        <v>43541</v>
      </c>
      <c r="L77" s="54" t="s">
        <v>1215</v>
      </c>
      <c r="M77" s="55">
        <v>43531</v>
      </c>
      <c r="N77" s="56" t="s">
        <v>568</v>
      </c>
      <c r="O77" s="55">
        <v>43535</v>
      </c>
      <c r="P77" s="58" t="s">
        <v>657</v>
      </c>
      <c r="Q77" s="52"/>
      <c r="R77" s="118" t="s">
        <v>486</v>
      </c>
      <c r="S77" s="47" t="s">
        <v>610</v>
      </c>
    </row>
    <row r="78" spans="2:19" s="33" customFormat="1" ht="33" customHeight="1">
      <c r="B78" s="47" t="s">
        <v>83</v>
      </c>
      <c r="C78" s="48" t="s">
        <v>232</v>
      </c>
      <c r="D78" s="49" t="s">
        <v>386</v>
      </c>
      <c r="E78" s="50">
        <v>43455</v>
      </c>
      <c r="F78" s="52" t="s">
        <v>77</v>
      </c>
      <c r="G78" s="51">
        <v>5760</v>
      </c>
      <c r="H78" s="52">
        <f t="shared" si="15"/>
        <v>24</v>
      </c>
      <c r="I78" s="52">
        <f t="shared" si="14"/>
        <v>6</v>
      </c>
      <c r="J78" s="52"/>
      <c r="K78" s="53">
        <v>43541</v>
      </c>
      <c r="L78" s="54" t="s">
        <v>1219</v>
      </c>
      <c r="M78" s="55">
        <v>43543</v>
      </c>
      <c r="N78" s="56" t="s">
        <v>1220</v>
      </c>
      <c r="O78" s="55">
        <v>43548</v>
      </c>
      <c r="P78" s="58" t="s">
        <v>1221</v>
      </c>
      <c r="Q78" s="52"/>
      <c r="R78" s="118" t="s">
        <v>1222</v>
      </c>
      <c r="S78" s="47"/>
    </row>
    <row r="79" spans="2:19" s="30" customFormat="1" ht="33" customHeight="1">
      <c r="B79" s="46" t="s">
        <v>83</v>
      </c>
      <c r="C79" s="35" t="s">
        <v>244</v>
      </c>
      <c r="D79" s="36" t="s">
        <v>722</v>
      </c>
      <c r="E79" s="37">
        <v>43483</v>
      </c>
      <c r="F79" s="38" t="s">
        <v>77</v>
      </c>
      <c r="G79" s="39">
        <v>6720</v>
      </c>
      <c r="H79" s="38">
        <f t="shared" si="15"/>
        <v>28</v>
      </c>
      <c r="I79" s="38">
        <f t="shared" si="14"/>
        <v>7</v>
      </c>
      <c r="J79" s="38"/>
      <c r="K79" s="40">
        <v>43569</v>
      </c>
      <c r="L79" s="41" t="s">
        <v>480</v>
      </c>
      <c r="M79" s="42">
        <v>43564</v>
      </c>
      <c r="N79" s="43" t="s">
        <v>646</v>
      </c>
      <c r="O79" s="42">
        <v>43569</v>
      </c>
      <c r="P79" s="45" t="s">
        <v>1223</v>
      </c>
      <c r="Q79" s="38"/>
      <c r="R79" s="115" t="s">
        <v>1224</v>
      </c>
      <c r="S79" s="46"/>
    </row>
    <row r="80" spans="2:19" s="30" customFormat="1" ht="33" customHeight="1">
      <c r="B80" s="46" t="s">
        <v>83</v>
      </c>
      <c r="C80" s="35" t="s">
        <v>1225</v>
      </c>
      <c r="D80" s="36" t="s">
        <v>472</v>
      </c>
      <c r="E80" s="37">
        <v>43483</v>
      </c>
      <c r="F80" s="38" t="s">
        <v>77</v>
      </c>
      <c r="G80" s="39">
        <v>5760</v>
      </c>
      <c r="H80" s="38">
        <f>SUM(G80/240)</f>
        <v>24</v>
      </c>
      <c r="I80" s="38">
        <f>SUM(H80/4)</f>
        <v>6</v>
      </c>
      <c r="J80" s="38"/>
      <c r="K80" s="40">
        <v>43583</v>
      </c>
      <c r="L80" s="41" t="s">
        <v>448</v>
      </c>
      <c r="M80" s="42">
        <v>43578</v>
      </c>
      <c r="N80" s="43" t="s">
        <v>1192</v>
      </c>
      <c r="O80" s="42">
        <v>43583</v>
      </c>
      <c r="P80" s="45" t="s">
        <v>1226</v>
      </c>
      <c r="Q80" s="38"/>
      <c r="R80" s="115" t="s">
        <v>1224</v>
      </c>
      <c r="S80" s="46"/>
    </row>
    <row r="81" spans="2:19" s="30" customFormat="1" ht="33" customHeight="1">
      <c r="B81" s="46" t="s">
        <v>83</v>
      </c>
      <c r="C81" s="35" t="s">
        <v>258</v>
      </c>
      <c r="D81" s="36" t="s">
        <v>591</v>
      </c>
      <c r="E81" s="37">
        <v>43519</v>
      </c>
      <c r="F81" s="38" t="s">
        <v>77</v>
      </c>
      <c r="G81" s="39">
        <v>5760</v>
      </c>
      <c r="H81" s="38">
        <f t="shared" si="15"/>
        <v>24</v>
      </c>
      <c r="I81" s="38">
        <f t="shared" si="14"/>
        <v>6</v>
      </c>
      <c r="J81" s="38"/>
      <c r="K81" s="40">
        <v>43605</v>
      </c>
      <c r="L81" s="41" t="s">
        <v>1227</v>
      </c>
      <c r="M81" s="42">
        <v>43601</v>
      </c>
      <c r="N81" s="43" t="s">
        <v>1228</v>
      </c>
      <c r="O81" s="42">
        <v>43605</v>
      </c>
      <c r="P81" s="45" t="s">
        <v>1229</v>
      </c>
      <c r="Q81" s="38"/>
      <c r="R81" s="115" t="s">
        <v>1230</v>
      </c>
      <c r="S81" s="46"/>
    </row>
    <row r="82" spans="2:19" s="30" customFormat="1" ht="33" customHeight="1">
      <c r="B82" s="46" t="s">
        <v>83</v>
      </c>
      <c r="C82" s="35" t="s">
        <v>321</v>
      </c>
      <c r="D82" s="36" t="s">
        <v>727</v>
      </c>
      <c r="E82" s="37">
        <v>43532</v>
      </c>
      <c r="F82" s="38" t="s">
        <v>77</v>
      </c>
      <c r="G82" s="39">
        <v>6720</v>
      </c>
      <c r="H82" s="38">
        <f t="shared" si="15"/>
        <v>28</v>
      </c>
      <c r="I82" s="38">
        <f t="shared" si="14"/>
        <v>7</v>
      </c>
      <c r="J82" s="38"/>
      <c r="K82" s="40">
        <v>43633</v>
      </c>
      <c r="L82" s="41" t="s">
        <v>1231</v>
      </c>
      <c r="M82" s="42">
        <v>43627</v>
      </c>
      <c r="N82" s="43" t="s">
        <v>1232</v>
      </c>
      <c r="O82" s="42">
        <v>43632</v>
      </c>
      <c r="P82" s="45"/>
      <c r="Q82" s="38"/>
      <c r="R82" s="115" t="s">
        <v>1233</v>
      </c>
      <c r="S82" s="46"/>
    </row>
    <row r="83" spans="2:19" s="30" customFormat="1" ht="33" customHeight="1">
      <c r="B83" s="122" t="s">
        <v>83</v>
      </c>
      <c r="C83" s="126" t="s">
        <v>324</v>
      </c>
      <c r="D83" s="127" t="s">
        <v>1234</v>
      </c>
      <c r="E83" s="128">
        <v>43567</v>
      </c>
      <c r="F83" s="124" t="s">
        <v>77</v>
      </c>
      <c r="G83" s="129">
        <v>5760</v>
      </c>
      <c r="H83" s="124">
        <f t="shared" si="15"/>
        <v>24</v>
      </c>
      <c r="I83" s="124">
        <f t="shared" si="14"/>
        <v>6</v>
      </c>
      <c r="J83" s="124"/>
      <c r="K83" s="130">
        <v>43667</v>
      </c>
      <c r="L83" s="119" t="s">
        <v>1326</v>
      </c>
      <c r="M83" s="120">
        <v>43662</v>
      </c>
      <c r="N83" s="121" t="s">
        <v>1314</v>
      </c>
      <c r="O83" s="120">
        <v>43667</v>
      </c>
      <c r="P83" s="123"/>
      <c r="Q83" s="124"/>
      <c r="R83" s="133" t="s">
        <v>1235</v>
      </c>
      <c r="S83" s="122"/>
    </row>
    <row r="84" spans="2:19" s="34" customFormat="1" ht="33" customHeight="1">
      <c r="B84" s="47" t="s">
        <v>210</v>
      </c>
      <c r="C84" s="48" t="s">
        <v>225</v>
      </c>
      <c r="D84" s="49" t="s">
        <v>433</v>
      </c>
      <c r="E84" s="50">
        <v>43473</v>
      </c>
      <c r="F84" s="52" t="s">
        <v>218</v>
      </c>
      <c r="G84" s="51">
        <v>1920</v>
      </c>
      <c r="H84" s="52">
        <f t="shared" ref="H84:H100" si="16">SUM(G84/20)</f>
        <v>96</v>
      </c>
      <c r="I84" s="52">
        <f t="shared" ref="I84:I100" si="17">SUM(H84/32)</f>
        <v>3</v>
      </c>
      <c r="J84" s="52"/>
      <c r="K84" s="53">
        <v>43520</v>
      </c>
      <c r="L84" s="54" t="s">
        <v>1236</v>
      </c>
      <c r="M84" s="55">
        <v>43515</v>
      </c>
      <c r="N84" s="56" t="s">
        <v>1198</v>
      </c>
      <c r="O84" s="55">
        <v>43520</v>
      </c>
      <c r="P84" s="58"/>
      <c r="Q84" s="52"/>
      <c r="R84" s="63" t="s">
        <v>211</v>
      </c>
      <c r="S84" s="52"/>
    </row>
    <row r="85" spans="2:19" s="34" customFormat="1" ht="33" customHeight="1">
      <c r="B85" s="47" t="s">
        <v>210</v>
      </c>
      <c r="C85" s="48" t="s">
        <v>226</v>
      </c>
      <c r="D85" s="49" t="s">
        <v>593</v>
      </c>
      <c r="E85" s="50">
        <v>43483</v>
      </c>
      <c r="F85" s="52" t="s">
        <v>218</v>
      </c>
      <c r="G85" s="51">
        <v>640</v>
      </c>
      <c r="H85" s="52">
        <f t="shared" si="16"/>
        <v>32</v>
      </c>
      <c r="I85" s="52">
        <f t="shared" si="17"/>
        <v>1</v>
      </c>
      <c r="J85" s="52"/>
      <c r="K85" s="53">
        <v>43534</v>
      </c>
      <c r="L85" s="54" t="s">
        <v>1237</v>
      </c>
      <c r="M85" s="55"/>
      <c r="N85" s="56"/>
      <c r="O85" s="55">
        <v>43520</v>
      </c>
      <c r="P85" s="58" t="s">
        <v>651</v>
      </c>
      <c r="Q85" s="52"/>
      <c r="R85" s="63" t="s">
        <v>211</v>
      </c>
      <c r="S85" s="52"/>
    </row>
    <row r="86" spans="2:19" s="34" customFormat="1" ht="33" customHeight="1">
      <c r="B86" s="47" t="s">
        <v>210</v>
      </c>
      <c r="C86" s="48" t="s">
        <v>226</v>
      </c>
      <c r="D86" s="49" t="s">
        <v>434</v>
      </c>
      <c r="E86" s="50">
        <v>43483</v>
      </c>
      <c r="F86" s="52" t="s">
        <v>218</v>
      </c>
      <c r="G86" s="51">
        <v>1920</v>
      </c>
      <c r="H86" s="52">
        <f t="shared" si="16"/>
        <v>96</v>
      </c>
      <c r="I86" s="52">
        <f t="shared" si="17"/>
        <v>3</v>
      </c>
      <c r="J86" s="52"/>
      <c r="K86" s="53">
        <v>43534</v>
      </c>
      <c r="L86" s="54" t="s">
        <v>1238</v>
      </c>
      <c r="M86" s="55">
        <v>43524</v>
      </c>
      <c r="N86" s="56" t="s">
        <v>1239</v>
      </c>
      <c r="O86" s="55">
        <v>43528</v>
      </c>
      <c r="P86" s="58" t="s">
        <v>1240</v>
      </c>
      <c r="Q86" s="52" t="s">
        <v>615</v>
      </c>
      <c r="R86" s="63" t="s">
        <v>211</v>
      </c>
      <c r="S86" s="52"/>
    </row>
    <row r="87" spans="2:19" s="34" customFormat="1" ht="33" customHeight="1">
      <c r="B87" s="47" t="s">
        <v>210</v>
      </c>
      <c r="C87" s="48" t="s">
        <v>226</v>
      </c>
      <c r="D87" s="49" t="s">
        <v>434</v>
      </c>
      <c r="E87" s="50">
        <v>43483</v>
      </c>
      <c r="F87" s="52" t="s">
        <v>218</v>
      </c>
      <c r="G87" s="51">
        <v>1280</v>
      </c>
      <c r="H87" s="52">
        <f t="shared" si="16"/>
        <v>64</v>
      </c>
      <c r="I87" s="52">
        <f t="shared" si="17"/>
        <v>2</v>
      </c>
      <c r="J87" s="52"/>
      <c r="K87" s="53">
        <v>43534</v>
      </c>
      <c r="L87" s="54" t="s">
        <v>1215</v>
      </c>
      <c r="M87" s="55">
        <v>43531</v>
      </c>
      <c r="N87" s="56" t="s">
        <v>568</v>
      </c>
      <c r="O87" s="55">
        <v>43535</v>
      </c>
      <c r="P87" s="58" t="s">
        <v>1241</v>
      </c>
      <c r="Q87" s="52" t="s">
        <v>614</v>
      </c>
      <c r="R87" s="63" t="s">
        <v>211</v>
      </c>
      <c r="S87" s="52" t="s">
        <v>1242</v>
      </c>
    </row>
    <row r="88" spans="2:19" s="34" customFormat="1" ht="33" customHeight="1">
      <c r="B88" s="47" t="s">
        <v>210</v>
      </c>
      <c r="C88" s="48" t="s">
        <v>233</v>
      </c>
      <c r="D88" s="49" t="s">
        <v>525</v>
      </c>
      <c r="E88" s="50">
        <v>43507</v>
      </c>
      <c r="F88" s="52" t="s">
        <v>218</v>
      </c>
      <c r="G88" s="51">
        <v>1920</v>
      </c>
      <c r="H88" s="52">
        <f t="shared" si="16"/>
        <v>96</v>
      </c>
      <c r="I88" s="52">
        <f t="shared" si="17"/>
        <v>3</v>
      </c>
      <c r="J88" s="52"/>
      <c r="K88" s="53">
        <v>43541</v>
      </c>
      <c r="L88" s="54" t="s">
        <v>1243</v>
      </c>
      <c r="M88" s="55">
        <v>43536</v>
      </c>
      <c r="N88" s="56" t="s">
        <v>1244</v>
      </c>
      <c r="O88" s="55">
        <v>43541</v>
      </c>
      <c r="P88" s="58" t="s">
        <v>1245</v>
      </c>
      <c r="Q88" s="52" t="s">
        <v>612</v>
      </c>
      <c r="R88" s="63" t="s">
        <v>211</v>
      </c>
      <c r="S88" s="52"/>
    </row>
    <row r="89" spans="2:19" s="34" customFormat="1" ht="33" customHeight="1">
      <c r="B89" s="47" t="s">
        <v>210</v>
      </c>
      <c r="C89" s="48" t="s">
        <v>1246</v>
      </c>
      <c r="D89" s="49" t="s">
        <v>525</v>
      </c>
      <c r="E89" s="50">
        <v>43519</v>
      </c>
      <c r="F89" s="52" t="s">
        <v>218</v>
      </c>
      <c r="G89" s="51">
        <v>1920</v>
      </c>
      <c r="H89" s="52">
        <f t="shared" si="16"/>
        <v>96</v>
      </c>
      <c r="I89" s="52">
        <f t="shared" si="17"/>
        <v>3</v>
      </c>
      <c r="J89" s="52"/>
      <c r="K89" s="53">
        <v>43555</v>
      </c>
      <c r="L89" s="54" t="s">
        <v>1247</v>
      </c>
      <c r="M89" s="55">
        <v>43550</v>
      </c>
      <c r="N89" s="56" t="s">
        <v>1248</v>
      </c>
      <c r="O89" s="55">
        <v>43555</v>
      </c>
      <c r="P89" s="58"/>
      <c r="Q89" s="52" t="s">
        <v>613</v>
      </c>
      <c r="R89" s="63" t="s">
        <v>211</v>
      </c>
      <c r="S89" s="52"/>
    </row>
    <row r="90" spans="2:19" s="32" customFormat="1" ht="33" customHeight="1">
      <c r="B90" s="46" t="s">
        <v>210</v>
      </c>
      <c r="C90" s="35" t="s">
        <v>285</v>
      </c>
      <c r="D90" s="36" t="s">
        <v>526</v>
      </c>
      <c r="E90" s="37">
        <v>43507</v>
      </c>
      <c r="F90" s="38" t="s">
        <v>218</v>
      </c>
      <c r="G90" s="39">
        <v>3200</v>
      </c>
      <c r="H90" s="38">
        <f t="shared" si="16"/>
        <v>160</v>
      </c>
      <c r="I90" s="38">
        <f t="shared" si="17"/>
        <v>5</v>
      </c>
      <c r="J90" s="38"/>
      <c r="K90" s="40">
        <v>43576</v>
      </c>
      <c r="L90" s="41" t="s">
        <v>503</v>
      </c>
      <c r="M90" s="42">
        <v>43571</v>
      </c>
      <c r="N90" s="43" t="s">
        <v>1249</v>
      </c>
      <c r="O90" s="42">
        <v>43576</v>
      </c>
      <c r="P90" s="45"/>
      <c r="Q90" s="38" t="s">
        <v>643</v>
      </c>
      <c r="R90" s="66" t="s">
        <v>211</v>
      </c>
      <c r="S90" s="38"/>
    </row>
    <row r="91" spans="2:19" s="32" customFormat="1" ht="33" customHeight="1">
      <c r="B91" s="46" t="s">
        <v>210</v>
      </c>
      <c r="C91" s="35" t="s">
        <v>1250</v>
      </c>
      <c r="D91" s="36" t="s">
        <v>526</v>
      </c>
      <c r="E91" s="37">
        <v>43507</v>
      </c>
      <c r="F91" s="38" t="s">
        <v>218</v>
      </c>
      <c r="G91" s="39">
        <v>640</v>
      </c>
      <c r="H91" s="38">
        <f>SUM(G91/20)</f>
        <v>32</v>
      </c>
      <c r="I91" s="38">
        <f>SUM(H91/32)</f>
        <v>1</v>
      </c>
      <c r="J91" s="38"/>
      <c r="K91" s="40">
        <v>43576</v>
      </c>
      <c r="L91" s="41" t="s">
        <v>448</v>
      </c>
      <c r="M91" s="42">
        <v>43578</v>
      </c>
      <c r="N91" s="43" t="s">
        <v>1192</v>
      </c>
      <c r="O91" s="42">
        <v>43583</v>
      </c>
      <c r="P91" s="45"/>
      <c r="Q91" s="38" t="s">
        <v>643</v>
      </c>
      <c r="R91" s="66" t="s">
        <v>211</v>
      </c>
      <c r="S91" s="38"/>
    </row>
    <row r="92" spans="2:19" s="32" customFormat="1" ht="33" customHeight="1">
      <c r="B92" s="46" t="s">
        <v>210</v>
      </c>
      <c r="C92" s="35" t="s">
        <v>331</v>
      </c>
      <c r="D92" s="36" t="s">
        <v>1251</v>
      </c>
      <c r="E92" s="37">
        <v>43519</v>
      </c>
      <c r="F92" s="38" t="s">
        <v>218</v>
      </c>
      <c r="G92" s="39">
        <v>3200</v>
      </c>
      <c r="H92" s="38">
        <f t="shared" si="16"/>
        <v>160</v>
      </c>
      <c r="I92" s="38">
        <f t="shared" si="17"/>
        <v>5</v>
      </c>
      <c r="J92" s="38"/>
      <c r="K92" s="40">
        <v>43562</v>
      </c>
      <c r="L92" s="41" t="s">
        <v>608</v>
      </c>
      <c r="M92" s="42">
        <v>43557</v>
      </c>
      <c r="N92" s="43" t="s">
        <v>1252</v>
      </c>
      <c r="O92" s="42">
        <v>43562</v>
      </c>
      <c r="P92" s="45"/>
      <c r="Q92" s="38" t="s">
        <v>642</v>
      </c>
      <c r="R92" s="66" t="s">
        <v>211</v>
      </c>
      <c r="S92" s="38"/>
    </row>
    <row r="93" spans="2:19" s="32" customFormat="1" ht="33" customHeight="1">
      <c r="B93" s="46" t="s">
        <v>210</v>
      </c>
      <c r="C93" s="35" t="s">
        <v>1253</v>
      </c>
      <c r="D93" s="36" t="s">
        <v>1251</v>
      </c>
      <c r="E93" s="37">
        <v>43519</v>
      </c>
      <c r="F93" s="38" t="s">
        <v>218</v>
      </c>
      <c r="G93" s="39">
        <v>640</v>
      </c>
      <c r="H93" s="38">
        <f>SUM(G93/20)</f>
        <v>32</v>
      </c>
      <c r="I93" s="38">
        <f>SUM(H93/32)</f>
        <v>1</v>
      </c>
      <c r="J93" s="38"/>
      <c r="K93" s="40">
        <v>43562</v>
      </c>
      <c r="L93" s="41" t="s">
        <v>480</v>
      </c>
      <c r="M93" s="42">
        <v>43564</v>
      </c>
      <c r="N93" s="43" t="s">
        <v>646</v>
      </c>
      <c r="O93" s="42">
        <v>43569</v>
      </c>
      <c r="P93" s="45"/>
      <c r="Q93" s="38" t="s">
        <v>642</v>
      </c>
      <c r="R93" s="66" t="s">
        <v>211</v>
      </c>
      <c r="S93" s="38"/>
    </row>
    <row r="94" spans="2:19" s="32" customFormat="1" ht="33" customHeight="1">
      <c r="B94" s="46" t="s">
        <v>210</v>
      </c>
      <c r="C94" s="35" t="s">
        <v>431</v>
      </c>
      <c r="D94" s="36" t="s">
        <v>1254</v>
      </c>
      <c r="E94" s="37">
        <v>43523</v>
      </c>
      <c r="F94" s="38" t="s">
        <v>218</v>
      </c>
      <c r="G94" s="39">
        <v>3200</v>
      </c>
      <c r="H94" s="38">
        <f t="shared" si="16"/>
        <v>160</v>
      </c>
      <c r="I94" s="38">
        <f t="shared" si="17"/>
        <v>5</v>
      </c>
      <c r="J94" s="38"/>
      <c r="K94" s="40">
        <v>43597</v>
      </c>
      <c r="L94" s="41" t="s">
        <v>605</v>
      </c>
      <c r="M94" s="42">
        <v>43594</v>
      </c>
      <c r="N94" s="43" t="s">
        <v>1255</v>
      </c>
      <c r="O94" s="42">
        <v>43598</v>
      </c>
      <c r="P94" s="45"/>
      <c r="Q94" s="38" t="s">
        <v>641</v>
      </c>
      <c r="R94" s="66" t="s">
        <v>211</v>
      </c>
      <c r="S94" s="38"/>
    </row>
    <row r="95" spans="2:19" s="32" customFormat="1" ht="33" customHeight="1">
      <c r="B95" s="46" t="s">
        <v>210</v>
      </c>
      <c r="C95" s="35" t="s">
        <v>1256</v>
      </c>
      <c r="D95" s="36" t="s">
        <v>1254</v>
      </c>
      <c r="E95" s="37">
        <v>43523</v>
      </c>
      <c r="F95" s="38" t="s">
        <v>218</v>
      </c>
      <c r="G95" s="39">
        <v>640</v>
      </c>
      <c r="H95" s="38">
        <f>SUM(G95/20)</f>
        <v>32</v>
      </c>
      <c r="I95" s="38">
        <f>SUM(H95/32)</f>
        <v>1</v>
      </c>
      <c r="J95" s="38"/>
      <c r="K95" s="40">
        <v>43618</v>
      </c>
      <c r="L95" s="41" t="s">
        <v>1257</v>
      </c>
      <c r="M95" s="42">
        <v>43613</v>
      </c>
      <c r="N95" s="43" t="s">
        <v>1258</v>
      </c>
      <c r="O95" s="42">
        <v>43618</v>
      </c>
      <c r="P95" s="45"/>
      <c r="Q95" s="38" t="s">
        <v>641</v>
      </c>
      <c r="R95" s="66" t="s">
        <v>211</v>
      </c>
      <c r="S95" s="38"/>
    </row>
    <row r="96" spans="2:19" s="32" customFormat="1" ht="33" customHeight="1">
      <c r="B96" s="46" t="s">
        <v>210</v>
      </c>
      <c r="C96" s="35" t="s">
        <v>1259</v>
      </c>
      <c r="D96" s="36" t="s">
        <v>739</v>
      </c>
      <c r="E96" s="37">
        <v>43532</v>
      </c>
      <c r="F96" s="38" t="s">
        <v>218</v>
      </c>
      <c r="G96" s="39">
        <v>2560</v>
      </c>
      <c r="H96" s="38">
        <f t="shared" ref="H96:H97" si="18">SUM(G96/20)</f>
        <v>128</v>
      </c>
      <c r="I96" s="38">
        <f t="shared" ref="I96:I97" si="19">SUM(H96/32)</f>
        <v>4</v>
      </c>
      <c r="J96" s="38"/>
      <c r="K96" s="40">
        <v>43618</v>
      </c>
      <c r="L96" s="41" t="s">
        <v>1257</v>
      </c>
      <c r="M96" s="42">
        <v>43613</v>
      </c>
      <c r="N96" s="43" t="s">
        <v>1258</v>
      </c>
      <c r="O96" s="42">
        <v>43618</v>
      </c>
      <c r="P96" s="45"/>
      <c r="Q96" s="38" t="s">
        <v>970</v>
      </c>
      <c r="R96" s="66" t="s">
        <v>211</v>
      </c>
      <c r="S96" s="38"/>
    </row>
    <row r="97" spans="2:19" s="32" customFormat="1" ht="33" customHeight="1">
      <c r="B97" s="46" t="s">
        <v>210</v>
      </c>
      <c r="C97" s="35" t="s">
        <v>589</v>
      </c>
      <c r="D97" s="36" t="s">
        <v>1260</v>
      </c>
      <c r="E97" s="37">
        <v>43558</v>
      </c>
      <c r="F97" s="38" t="s">
        <v>218</v>
      </c>
      <c r="G97" s="39">
        <v>3200</v>
      </c>
      <c r="H97" s="38">
        <f t="shared" si="18"/>
        <v>160</v>
      </c>
      <c r="I97" s="38">
        <f t="shared" si="19"/>
        <v>5</v>
      </c>
      <c r="J97" s="38"/>
      <c r="K97" s="40">
        <v>43639</v>
      </c>
      <c r="L97" s="41" t="s">
        <v>1261</v>
      </c>
      <c r="M97" s="42">
        <v>43634</v>
      </c>
      <c r="N97" s="43" t="s">
        <v>1262</v>
      </c>
      <c r="O97" s="42">
        <v>43639</v>
      </c>
      <c r="P97" s="45"/>
      <c r="Q97" s="38" t="s">
        <v>973</v>
      </c>
      <c r="R97" s="66" t="s">
        <v>211</v>
      </c>
      <c r="S97" s="38"/>
    </row>
    <row r="98" spans="2:19" s="34" customFormat="1" ht="33" customHeight="1">
      <c r="B98" s="47" t="s">
        <v>1263</v>
      </c>
      <c r="C98" s="48" t="s">
        <v>1264</v>
      </c>
      <c r="D98" s="49" t="s">
        <v>1265</v>
      </c>
      <c r="E98" s="50"/>
      <c r="F98" s="52" t="s">
        <v>1266</v>
      </c>
      <c r="G98" s="51">
        <v>640</v>
      </c>
      <c r="H98" s="52">
        <f t="shared" si="16"/>
        <v>32</v>
      </c>
      <c r="I98" s="52">
        <f t="shared" si="17"/>
        <v>1</v>
      </c>
      <c r="J98" s="52"/>
      <c r="K98" s="53">
        <v>43513</v>
      </c>
      <c r="L98" s="54" t="s">
        <v>276</v>
      </c>
      <c r="M98" s="55">
        <v>43508</v>
      </c>
      <c r="N98" s="56" t="s">
        <v>1210</v>
      </c>
      <c r="O98" s="55">
        <v>43513</v>
      </c>
      <c r="P98" s="58"/>
      <c r="Q98" s="52"/>
      <c r="R98" s="63" t="s">
        <v>211</v>
      </c>
      <c r="S98" s="52"/>
    </row>
    <row r="99" spans="2:19" s="34" customFormat="1" ht="33" customHeight="1">
      <c r="B99" s="47" t="s">
        <v>1263</v>
      </c>
      <c r="C99" s="48" t="s">
        <v>234</v>
      </c>
      <c r="D99" s="49" t="s">
        <v>1267</v>
      </c>
      <c r="E99" s="50">
        <v>43519</v>
      </c>
      <c r="F99" s="52" t="s">
        <v>1266</v>
      </c>
      <c r="G99" s="51">
        <v>1280</v>
      </c>
      <c r="H99" s="52">
        <f t="shared" si="16"/>
        <v>64</v>
      </c>
      <c r="I99" s="52">
        <f t="shared" si="17"/>
        <v>2</v>
      </c>
      <c r="J99" s="52"/>
      <c r="K99" s="53">
        <v>43576</v>
      </c>
      <c r="L99" s="54" t="s">
        <v>1247</v>
      </c>
      <c r="M99" s="55">
        <v>43550</v>
      </c>
      <c r="N99" s="56" t="s">
        <v>1248</v>
      </c>
      <c r="O99" s="55">
        <v>43555</v>
      </c>
      <c r="P99" s="58" t="s">
        <v>655</v>
      </c>
      <c r="Q99" s="52" t="s">
        <v>613</v>
      </c>
      <c r="R99" s="63" t="s">
        <v>211</v>
      </c>
      <c r="S99" s="52"/>
    </row>
    <row r="100" spans="2:19" s="32" customFormat="1" ht="33" customHeight="1">
      <c r="B100" s="46" t="s">
        <v>1268</v>
      </c>
      <c r="C100" s="35" t="s">
        <v>235</v>
      </c>
      <c r="D100" s="36" t="s">
        <v>744</v>
      </c>
      <c r="E100" s="37">
        <v>43532</v>
      </c>
      <c r="F100" s="38" t="s">
        <v>1269</v>
      </c>
      <c r="G100" s="39">
        <v>1280</v>
      </c>
      <c r="H100" s="38">
        <f t="shared" si="16"/>
        <v>64</v>
      </c>
      <c r="I100" s="38">
        <f t="shared" si="17"/>
        <v>2</v>
      </c>
      <c r="J100" s="38"/>
      <c r="K100" s="40">
        <v>43597</v>
      </c>
      <c r="L100" s="41" t="s">
        <v>605</v>
      </c>
      <c r="M100" s="42">
        <v>43594</v>
      </c>
      <c r="N100" s="43" t="s">
        <v>772</v>
      </c>
      <c r="O100" s="42">
        <v>43598</v>
      </c>
      <c r="P100" s="45"/>
      <c r="Q100" s="38" t="s">
        <v>641</v>
      </c>
      <c r="R100" s="66" t="s">
        <v>211</v>
      </c>
      <c r="S100" s="38"/>
    </row>
    <row r="101" spans="2:19" s="30" customFormat="1" ht="33" customHeight="1">
      <c r="B101" s="46" t="s">
        <v>1270</v>
      </c>
      <c r="C101" s="35" t="s">
        <v>225</v>
      </c>
      <c r="D101" s="36" t="s">
        <v>487</v>
      </c>
      <c r="E101" s="37">
        <v>43490</v>
      </c>
      <c r="F101" s="38" t="s">
        <v>1271</v>
      </c>
      <c r="G101" s="39">
        <v>1520</v>
      </c>
      <c r="H101" s="38">
        <f>SUM(G101/190)</f>
        <v>8</v>
      </c>
      <c r="I101" s="38">
        <f>SUM(H101/4)</f>
        <v>2</v>
      </c>
      <c r="J101" s="38"/>
      <c r="K101" s="40">
        <v>43569</v>
      </c>
      <c r="L101" s="41" t="s">
        <v>417</v>
      </c>
      <c r="M101" s="42">
        <v>43564</v>
      </c>
      <c r="N101" s="43" t="s">
        <v>1272</v>
      </c>
      <c r="O101" s="42">
        <v>43569</v>
      </c>
      <c r="P101" s="45"/>
      <c r="Q101" s="38"/>
      <c r="R101" s="66" t="s">
        <v>1273</v>
      </c>
      <c r="S101" s="46"/>
    </row>
    <row r="102" spans="2:19" s="30" customFormat="1" ht="33" customHeight="1">
      <c r="B102" s="46" t="s">
        <v>1270</v>
      </c>
      <c r="C102" s="35" t="s">
        <v>226</v>
      </c>
      <c r="D102" s="36" t="s">
        <v>833</v>
      </c>
      <c r="E102" s="37">
        <v>43546</v>
      </c>
      <c r="F102" s="38" t="s">
        <v>1271</v>
      </c>
      <c r="G102" s="39">
        <v>1520</v>
      </c>
      <c r="H102" s="38">
        <f>SUM(G102/190)</f>
        <v>8</v>
      </c>
      <c r="I102" s="38">
        <f>SUM(H102/4)</f>
        <v>2</v>
      </c>
      <c r="J102" s="38"/>
      <c r="K102" s="40">
        <v>43632</v>
      </c>
      <c r="L102" s="41" t="s">
        <v>1274</v>
      </c>
      <c r="M102" s="42">
        <v>43627</v>
      </c>
      <c r="N102" s="43" t="s">
        <v>1275</v>
      </c>
      <c r="O102" s="42">
        <v>43632</v>
      </c>
      <c r="P102" s="45"/>
      <c r="Q102" s="38"/>
      <c r="R102" s="66" t="s">
        <v>1276</v>
      </c>
      <c r="S102" s="46"/>
    </row>
    <row r="103" spans="2:19" s="33" customFormat="1" ht="33" customHeight="1">
      <c r="B103" s="47" t="s">
        <v>1277</v>
      </c>
      <c r="C103" s="48" t="s">
        <v>90</v>
      </c>
      <c r="D103" s="49" t="s">
        <v>1278</v>
      </c>
      <c r="E103" s="50"/>
      <c r="F103" s="47" t="s">
        <v>236</v>
      </c>
      <c r="G103" s="51">
        <v>800</v>
      </c>
      <c r="H103" s="52">
        <f t="shared" ref="H103:H115" si="20">SUM(G103/200)</f>
        <v>4</v>
      </c>
      <c r="I103" s="52">
        <f t="shared" ref="I103:I115" si="21">SUM(H103/4)</f>
        <v>1</v>
      </c>
      <c r="J103" s="52"/>
      <c r="K103" s="53">
        <v>43513</v>
      </c>
      <c r="L103" s="54" t="s">
        <v>1279</v>
      </c>
      <c r="M103" s="55">
        <v>43515</v>
      </c>
      <c r="N103" s="56" t="s">
        <v>1280</v>
      </c>
      <c r="O103" s="55">
        <v>43520</v>
      </c>
      <c r="P103" s="58" t="s">
        <v>1281</v>
      </c>
      <c r="Q103" s="52"/>
      <c r="R103" s="63"/>
      <c r="S103" s="47"/>
    </row>
    <row r="104" spans="2:19" s="33" customFormat="1" ht="33" customHeight="1">
      <c r="B104" s="47" t="s">
        <v>1277</v>
      </c>
      <c r="C104" s="48" t="s">
        <v>90</v>
      </c>
      <c r="D104" s="49" t="s">
        <v>1278</v>
      </c>
      <c r="E104" s="50"/>
      <c r="F104" s="47" t="s">
        <v>236</v>
      </c>
      <c r="G104" s="51">
        <v>1600</v>
      </c>
      <c r="H104" s="52">
        <f t="shared" si="20"/>
        <v>8</v>
      </c>
      <c r="I104" s="52">
        <f t="shared" si="21"/>
        <v>2</v>
      </c>
      <c r="J104" s="52"/>
      <c r="K104" s="53">
        <v>43520</v>
      </c>
      <c r="L104" s="54" t="s">
        <v>1279</v>
      </c>
      <c r="M104" s="55">
        <v>43515</v>
      </c>
      <c r="N104" s="56" t="s">
        <v>1280</v>
      </c>
      <c r="O104" s="55">
        <v>43520</v>
      </c>
      <c r="P104" s="58" t="s">
        <v>1282</v>
      </c>
      <c r="Q104" s="52"/>
      <c r="R104" s="63"/>
      <c r="S104" s="47"/>
    </row>
    <row r="105" spans="2:19" s="33" customFormat="1" ht="33" customHeight="1">
      <c r="B105" s="47" t="s">
        <v>1277</v>
      </c>
      <c r="C105" s="48" t="s">
        <v>1283</v>
      </c>
      <c r="D105" s="49" t="s">
        <v>1278</v>
      </c>
      <c r="E105" s="50"/>
      <c r="F105" s="47" t="s">
        <v>236</v>
      </c>
      <c r="G105" s="51">
        <v>2400</v>
      </c>
      <c r="H105" s="52">
        <f t="shared" si="20"/>
        <v>12</v>
      </c>
      <c r="I105" s="52">
        <f t="shared" si="21"/>
        <v>3</v>
      </c>
      <c r="J105" s="52"/>
      <c r="K105" s="53">
        <v>43527</v>
      </c>
      <c r="L105" s="54" t="s">
        <v>1284</v>
      </c>
      <c r="M105" s="55">
        <v>43531</v>
      </c>
      <c r="N105" s="56" t="s">
        <v>568</v>
      </c>
      <c r="O105" s="55">
        <v>43535</v>
      </c>
      <c r="P105" s="58"/>
      <c r="Q105" s="52"/>
      <c r="R105" s="63"/>
      <c r="S105" s="47" t="s">
        <v>1285</v>
      </c>
    </row>
    <row r="106" spans="2:19" s="33" customFormat="1" ht="33" customHeight="1">
      <c r="B106" s="47" t="s">
        <v>238</v>
      </c>
      <c r="C106" s="48" t="s">
        <v>1286</v>
      </c>
      <c r="D106" s="49" t="s">
        <v>435</v>
      </c>
      <c r="E106" s="50"/>
      <c r="F106" s="52" t="s">
        <v>236</v>
      </c>
      <c r="G106" s="51">
        <v>2400</v>
      </c>
      <c r="H106" s="52">
        <f t="shared" si="20"/>
        <v>12</v>
      </c>
      <c r="I106" s="52">
        <f t="shared" si="21"/>
        <v>3</v>
      </c>
      <c r="J106" s="52"/>
      <c r="K106" s="53">
        <v>43548</v>
      </c>
      <c r="L106" s="54" t="s">
        <v>1287</v>
      </c>
      <c r="M106" s="55">
        <v>43543</v>
      </c>
      <c r="N106" s="56" t="s">
        <v>1288</v>
      </c>
      <c r="O106" s="55">
        <v>43548</v>
      </c>
      <c r="P106" s="58"/>
      <c r="Q106" s="52"/>
      <c r="R106" s="63"/>
      <c r="S106" s="47"/>
    </row>
    <row r="107" spans="2:19" s="30" customFormat="1" ht="33" customHeight="1">
      <c r="B107" s="46" t="s">
        <v>238</v>
      </c>
      <c r="C107" s="35" t="s">
        <v>1289</v>
      </c>
      <c r="D107" s="36" t="s">
        <v>474</v>
      </c>
      <c r="E107" s="37"/>
      <c r="F107" s="38" t="s">
        <v>236</v>
      </c>
      <c r="G107" s="39">
        <v>3200</v>
      </c>
      <c r="H107" s="38">
        <f t="shared" si="20"/>
        <v>16</v>
      </c>
      <c r="I107" s="38">
        <f t="shared" si="21"/>
        <v>4</v>
      </c>
      <c r="J107" s="38"/>
      <c r="K107" s="40">
        <v>43562</v>
      </c>
      <c r="L107" s="41" t="s">
        <v>1290</v>
      </c>
      <c r="M107" s="42">
        <v>43557</v>
      </c>
      <c r="N107" s="43" t="s">
        <v>1291</v>
      </c>
      <c r="O107" s="42">
        <v>43562</v>
      </c>
      <c r="P107" s="45"/>
      <c r="Q107" s="38"/>
      <c r="R107" s="66"/>
      <c r="S107" s="46"/>
    </row>
    <row r="108" spans="2:19" s="30" customFormat="1" ht="33" customHeight="1">
      <c r="B108" s="46" t="s">
        <v>238</v>
      </c>
      <c r="C108" s="35" t="s">
        <v>1292</v>
      </c>
      <c r="D108" s="36" t="s">
        <v>475</v>
      </c>
      <c r="E108" s="37"/>
      <c r="F108" s="38" t="s">
        <v>236</v>
      </c>
      <c r="G108" s="39">
        <v>1600</v>
      </c>
      <c r="H108" s="38">
        <f t="shared" si="20"/>
        <v>8</v>
      </c>
      <c r="I108" s="38">
        <f t="shared" si="21"/>
        <v>2</v>
      </c>
      <c r="J108" s="38"/>
      <c r="K108" s="40">
        <v>43562</v>
      </c>
      <c r="L108" s="41" t="s">
        <v>1293</v>
      </c>
      <c r="M108" s="42">
        <v>43564</v>
      </c>
      <c r="N108" s="43" t="s">
        <v>1272</v>
      </c>
      <c r="O108" s="42">
        <v>43569</v>
      </c>
      <c r="P108" s="45"/>
      <c r="Q108" s="38"/>
      <c r="R108" s="66"/>
      <c r="S108" s="46"/>
    </row>
    <row r="109" spans="2:19" s="30" customFormat="1" ht="33" customHeight="1">
      <c r="B109" s="46" t="s">
        <v>238</v>
      </c>
      <c r="C109" s="35" t="s">
        <v>1294</v>
      </c>
      <c r="D109" s="36" t="s">
        <v>488</v>
      </c>
      <c r="E109" s="37">
        <v>43495</v>
      </c>
      <c r="F109" s="38" t="s">
        <v>236</v>
      </c>
      <c r="G109" s="39">
        <v>1600</v>
      </c>
      <c r="H109" s="38">
        <f t="shared" si="20"/>
        <v>8</v>
      </c>
      <c r="I109" s="38">
        <f t="shared" si="21"/>
        <v>2</v>
      </c>
      <c r="J109" s="38"/>
      <c r="K109" s="40">
        <v>43583</v>
      </c>
      <c r="L109" s="41" t="s">
        <v>1295</v>
      </c>
      <c r="M109" s="42">
        <v>43578</v>
      </c>
      <c r="N109" s="43" t="s">
        <v>1296</v>
      </c>
      <c r="O109" s="42">
        <v>43583</v>
      </c>
      <c r="P109" s="45"/>
      <c r="Q109" s="38"/>
      <c r="R109" s="66"/>
      <c r="S109" s="46"/>
    </row>
    <row r="110" spans="2:19" s="30" customFormat="1" ht="33" customHeight="1">
      <c r="B110" s="46" t="s">
        <v>238</v>
      </c>
      <c r="C110" s="35" t="s">
        <v>597</v>
      </c>
      <c r="D110" s="36" t="s">
        <v>598</v>
      </c>
      <c r="E110" s="37">
        <v>43519</v>
      </c>
      <c r="F110" s="38" t="s">
        <v>236</v>
      </c>
      <c r="G110" s="129">
        <v>1600</v>
      </c>
      <c r="H110" s="38">
        <f t="shared" si="20"/>
        <v>8</v>
      </c>
      <c r="I110" s="38">
        <f t="shared" si="21"/>
        <v>2</v>
      </c>
      <c r="J110" s="38"/>
      <c r="K110" s="40">
        <v>43597</v>
      </c>
      <c r="L110" s="41" t="s">
        <v>606</v>
      </c>
      <c r="M110" s="42">
        <v>43592</v>
      </c>
      <c r="N110" s="43" t="s">
        <v>600</v>
      </c>
      <c r="O110" s="42">
        <v>43597</v>
      </c>
      <c r="P110" s="45"/>
      <c r="Q110" s="38"/>
      <c r="R110" s="66"/>
      <c r="S110" s="46"/>
    </row>
    <row r="111" spans="2:19" s="30" customFormat="1" ht="33" customHeight="1">
      <c r="B111" s="122" t="s">
        <v>238</v>
      </c>
      <c r="C111" s="126" t="s">
        <v>1085</v>
      </c>
      <c r="D111" s="127" t="s">
        <v>598</v>
      </c>
      <c r="E111" s="128">
        <v>43519</v>
      </c>
      <c r="F111" s="124" t="s">
        <v>236</v>
      </c>
      <c r="G111" s="129">
        <v>1600</v>
      </c>
      <c r="H111" s="124">
        <f t="shared" si="20"/>
        <v>8</v>
      </c>
      <c r="I111" s="124">
        <f t="shared" si="21"/>
        <v>2</v>
      </c>
      <c r="J111" s="124"/>
      <c r="K111" s="130">
        <v>43597</v>
      </c>
      <c r="L111" s="119" t="s">
        <v>1086</v>
      </c>
      <c r="M111" s="120">
        <v>43606</v>
      </c>
      <c r="N111" s="121" t="s">
        <v>599</v>
      </c>
      <c r="O111" s="120">
        <v>43613</v>
      </c>
      <c r="P111" s="123"/>
      <c r="Q111" s="124"/>
      <c r="R111" s="134"/>
      <c r="S111" s="122"/>
    </row>
    <row r="112" spans="2:19" s="30" customFormat="1" ht="33" customHeight="1">
      <c r="B112" s="46" t="s">
        <v>238</v>
      </c>
      <c r="C112" s="35" t="s">
        <v>226</v>
      </c>
      <c r="D112" s="36" t="s">
        <v>749</v>
      </c>
      <c r="E112" s="37">
        <v>43532</v>
      </c>
      <c r="F112" s="38" t="s">
        <v>236</v>
      </c>
      <c r="G112" s="39">
        <v>3200</v>
      </c>
      <c r="H112" s="38">
        <f t="shared" si="20"/>
        <v>16</v>
      </c>
      <c r="I112" s="38">
        <f t="shared" si="21"/>
        <v>4</v>
      </c>
      <c r="J112" s="38"/>
      <c r="K112" s="40">
        <v>43625</v>
      </c>
      <c r="L112" s="41" t="s">
        <v>1300</v>
      </c>
      <c r="M112" s="42">
        <v>43620</v>
      </c>
      <c r="N112" s="43" t="s">
        <v>1301</v>
      </c>
      <c r="O112" s="42" t="s">
        <v>1302</v>
      </c>
      <c r="P112" s="45"/>
      <c r="Q112" s="38"/>
      <c r="R112" s="66"/>
      <c r="S112" s="46"/>
    </row>
    <row r="113" spans="2:19" s="30" customFormat="1" ht="33" customHeight="1">
      <c r="B113" s="46" t="s">
        <v>238</v>
      </c>
      <c r="C113" s="35" t="s">
        <v>233</v>
      </c>
      <c r="D113" s="36" t="s">
        <v>750</v>
      </c>
      <c r="E113" s="37">
        <v>43532</v>
      </c>
      <c r="F113" s="38" t="s">
        <v>236</v>
      </c>
      <c r="G113" s="39">
        <v>3200</v>
      </c>
      <c r="H113" s="38">
        <f t="shared" si="20"/>
        <v>16</v>
      </c>
      <c r="I113" s="38">
        <f t="shared" si="21"/>
        <v>4</v>
      </c>
      <c r="J113" s="38"/>
      <c r="K113" s="40">
        <v>43646</v>
      </c>
      <c r="L113" s="41" t="s">
        <v>1303</v>
      </c>
      <c r="M113" s="42">
        <v>43641</v>
      </c>
      <c r="N113" s="43" t="s">
        <v>1304</v>
      </c>
      <c r="O113" s="42">
        <v>43646</v>
      </c>
      <c r="P113" s="45"/>
      <c r="Q113" s="38"/>
      <c r="R113" s="66"/>
      <c r="S113" s="46"/>
    </row>
    <row r="114" spans="2:19" s="30" customFormat="1" ht="33" customHeight="1">
      <c r="B114" s="122" t="s">
        <v>238</v>
      </c>
      <c r="C114" s="126" t="s">
        <v>285</v>
      </c>
      <c r="D114" s="127" t="s">
        <v>1305</v>
      </c>
      <c r="E114" s="128">
        <v>43567</v>
      </c>
      <c r="F114" s="124" t="s">
        <v>236</v>
      </c>
      <c r="G114" s="129">
        <v>3200</v>
      </c>
      <c r="H114" s="124">
        <f t="shared" si="20"/>
        <v>16</v>
      </c>
      <c r="I114" s="124">
        <f t="shared" si="21"/>
        <v>4</v>
      </c>
      <c r="J114" s="124"/>
      <c r="K114" s="130">
        <v>43660</v>
      </c>
      <c r="L114" s="119" t="s">
        <v>1327</v>
      </c>
      <c r="M114" s="120">
        <v>43655</v>
      </c>
      <c r="N114" s="121" t="s">
        <v>1315</v>
      </c>
      <c r="O114" s="120">
        <v>43660</v>
      </c>
      <c r="P114" s="123"/>
      <c r="Q114" s="124"/>
      <c r="R114" s="134"/>
      <c r="S114" s="122"/>
    </row>
    <row r="115" spans="2:19" s="30" customFormat="1" ht="33" customHeight="1">
      <c r="B115" s="122" t="s">
        <v>238</v>
      </c>
      <c r="C115" s="126" t="s">
        <v>331</v>
      </c>
      <c r="D115" s="127" t="s">
        <v>1306</v>
      </c>
      <c r="E115" s="128">
        <v>43567</v>
      </c>
      <c r="F115" s="124" t="s">
        <v>236</v>
      </c>
      <c r="G115" s="129">
        <v>3200</v>
      </c>
      <c r="H115" s="124">
        <f t="shared" si="20"/>
        <v>16</v>
      </c>
      <c r="I115" s="124">
        <f t="shared" si="21"/>
        <v>4</v>
      </c>
      <c r="J115" s="124"/>
      <c r="K115" s="130">
        <v>43674</v>
      </c>
      <c r="L115" s="119" t="s">
        <v>1324</v>
      </c>
      <c r="M115" s="120">
        <v>43669</v>
      </c>
      <c r="N115" s="121" t="s">
        <v>1313</v>
      </c>
      <c r="O115" s="120">
        <v>43674</v>
      </c>
      <c r="P115" s="123"/>
      <c r="Q115" s="124"/>
      <c r="R115" s="134"/>
      <c r="S115" s="122"/>
    </row>
    <row r="116" spans="2:19" s="30" customFormat="1">
      <c r="C116" s="22"/>
      <c r="D116" s="23"/>
      <c r="G116" s="24"/>
      <c r="K116" s="25"/>
      <c r="M116" s="26"/>
      <c r="N116" s="28"/>
      <c r="O116" s="26"/>
      <c r="R116" s="27"/>
    </row>
    <row r="117" spans="2:19" s="30" customFormat="1">
      <c r="C117" s="22"/>
      <c r="D117" s="23"/>
      <c r="G117" s="24"/>
      <c r="I117" s="30" t="s">
        <v>1307</v>
      </c>
      <c r="K117" s="25"/>
      <c r="M117" s="26"/>
      <c r="N117" s="28"/>
      <c r="O117" s="26"/>
      <c r="R117" s="27"/>
    </row>
    <row r="118" spans="2:19" s="19" customFormat="1">
      <c r="B118"/>
      <c r="C118" s="15"/>
      <c r="D118" s="1"/>
      <c r="E118"/>
      <c r="F118"/>
      <c r="G118" s="11"/>
      <c r="H118"/>
      <c r="I118"/>
      <c r="J118"/>
      <c r="K118" s="13"/>
      <c r="L118"/>
      <c r="N118" s="28"/>
      <c r="P118"/>
      <c r="Q118"/>
      <c r="R118" s="17"/>
      <c r="S118"/>
    </row>
    <row r="119" spans="2:19" s="19" customFormat="1">
      <c r="B119"/>
      <c r="C119" s="15"/>
      <c r="D119" s="1"/>
      <c r="E119"/>
      <c r="F119"/>
      <c r="G119" s="11"/>
      <c r="H119"/>
      <c r="I119"/>
      <c r="J119"/>
      <c r="K119" s="13"/>
      <c r="L119"/>
      <c r="N119" s="28"/>
      <c r="P119"/>
      <c r="Q119"/>
      <c r="R119" s="17"/>
      <c r="S119"/>
    </row>
    <row r="120" spans="2:19" s="19" customFormat="1">
      <c r="B120"/>
      <c r="C120" s="15"/>
      <c r="D120" s="1"/>
      <c r="E120"/>
      <c r="F120"/>
      <c r="G120" s="11"/>
      <c r="H120"/>
      <c r="I120"/>
      <c r="J120"/>
      <c r="K120" s="13"/>
      <c r="L120"/>
      <c r="N120" s="28"/>
      <c r="P120"/>
      <c r="Q120"/>
      <c r="R120" s="17"/>
      <c r="S120"/>
    </row>
    <row r="121" spans="2:19" s="19" customFormat="1">
      <c r="B121"/>
      <c r="C121" s="15"/>
      <c r="D121" s="1"/>
      <c r="E121"/>
      <c r="F121"/>
      <c r="G121" s="11"/>
      <c r="H121"/>
      <c r="I121"/>
      <c r="J121"/>
      <c r="K121" s="13"/>
      <c r="L121"/>
      <c r="N121" s="28"/>
      <c r="P121"/>
      <c r="Q121"/>
      <c r="R121" s="17"/>
      <c r="S121"/>
    </row>
    <row r="122" spans="2:19" s="19" customFormat="1">
      <c r="B122"/>
      <c r="C122" s="15"/>
      <c r="D122" s="1"/>
      <c r="E122"/>
      <c r="F122"/>
      <c r="G122" s="11"/>
      <c r="H122"/>
      <c r="I122"/>
      <c r="J122"/>
      <c r="K122" s="13"/>
      <c r="L122"/>
      <c r="N122" s="28"/>
      <c r="P122"/>
      <c r="Q122"/>
      <c r="R122" s="17"/>
      <c r="S122"/>
    </row>
    <row r="123" spans="2:19" s="19" customFormat="1">
      <c r="B123"/>
      <c r="C123" s="15"/>
      <c r="D123" s="1"/>
      <c r="E123"/>
      <c r="F123"/>
      <c r="G123" s="11"/>
      <c r="H123"/>
      <c r="I123"/>
      <c r="J123"/>
      <c r="K123" s="13"/>
      <c r="L123"/>
      <c r="N123" s="28"/>
      <c r="P123"/>
      <c r="Q123"/>
      <c r="R123" s="17"/>
      <c r="S123"/>
    </row>
    <row r="124" spans="2:19">
      <c r="N124" s="28"/>
    </row>
    <row r="125" spans="2:19">
      <c r="N125" s="28"/>
    </row>
    <row r="126" spans="2:19">
      <c r="N126" s="28"/>
    </row>
    <row r="127" spans="2:19">
      <c r="N127" s="28"/>
    </row>
    <row r="128" spans="2:19">
      <c r="N128" s="28"/>
    </row>
    <row r="129" spans="2:19" s="19" customFormat="1">
      <c r="B129"/>
      <c r="C129" s="15"/>
      <c r="D129" s="1"/>
      <c r="E129"/>
      <c r="F129"/>
      <c r="G129" s="11"/>
      <c r="H129"/>
      <c r="I129"/>
      <c r="J129"/>
      <c r="K129" s="13"/>
      <c r="L129"/>
      <c r="N129" s="28"/>
      <c r="P129"/>
      <c r="Q129"/>
      <c r="R129" s="17"/>
      <c r="S129"/>
    </row>
    <row r="130" spans="2:19" s="19" customFormat="1">
      <c r="B130"/>
      <c r="C130" s="15"/>
      <c r="D130" s="1"/>
      <c r="E130"/>
      <c r="F130"/>
      <c r="G130" s="11"/>
      <c r="H130"/>
      <c r="I130"/>
      <c r="J130"/>
      <c r="K130" s="13"/>
      <c r="L130"/>
      <c r="N130" s="28"/>
      <c r="P130"/>
      <c r="Q130"/>
      <c r="R130" s="17"/>
      <c r="S130"/>
    </row>
    <row r="131" spans="2:19" s="19" customFormat="1">
      <c r="B131"/>
      <c r="C131" s="15"/>
      <c r="D131" s="1"/>
      <c r="E131"/>
      <c r="F131"/>
      <c r="G131" s="11"/>
      <c r="H131"/>
      <c r="I131"/>
      <c r="J131"/>
      <c r="K131" s="13"/>
      <c r="L131"/>
      <c r="N131" s="28"/>
      <c r="P131"/>
      <c r="Q131"/>
      <c r="R131" s="17"/>
      <c r="S131"/>
    </row>
    <row r="132" spans="2:19" s="19" customFormat="1">
      <c r="B132"/>
      <c r="C132" s="15"/>
      <c r="D132" s="1"/>
      <c r="E132"/>
      <c r="F132"/>
      <c r="G132" s="11"/>
      <c r="H132"/>
      <c r="I132"/>
      <c r="J132"/>
      <c r="K132" s="13"/>
      <c r="L132"/>
      <c r="N132" s="28"/>
      <c r="P132"/>
      <c r="Q132"/>
      <c r="R132" s="17"/>
      <c r="S132"/>
    </row>
    <row r="133" spans="2:19" s="19" customFormat="1">
      <c r="B133"/>
      <c r="C133" s="15"/>
      <c r="D133" s="1"/>
      <c r="E133"/>
      <c r="F133"/>
      <c r="G133" s="11"/>
      <c r="H133"/>
      <c r="I133"/>
      <c r="J133"/>
      <c r="K133" s="13"/>
      <c r="L133"/>
      <c r="N133" s="28"/>
      <c r="P133"/>
      <c r="Q133"/>
      <c r="R133" s="17"/>
      <c r="S133"/>
    </row>
    <row r="134" spans="2:19" s="19" customFormat="1">
      <c r="B134"/>
      <c r="C134" s="15"/>
      <c r="D134" s="1"/>
      <c r="E134"/>
      <c r="F134"/>
      <c r="G134" s="11"/>
      <c r="H134"/>
      <c r="I134"/>
      <c r="J134"/>
      <c r="K134" s="13"/>
      <c r="L134"/>
      <c r="N134" s="28"/>
      <c r="P134"/>
      <c r="Q134"/>
      <c r="R134" s="17"/>
      <c r="S134"/>
    </row>
  </sheetData>
  <autoFilter ref="B2:R115" xr:uid="{00000000-0009-0000-0000-000022000000}"/>
  <phoneticPr fontId="1"/>
  <pageMargins left="0.23622047244094491" right="0.23622047244094491" top="0.35433070866141736" bottom="0.35433070866141736" header="0.31496062992125984" footer="0.31496062992125984"/>
  <pageSetup paperSize="9" scale="94" fitToHeight="0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46">
    <pageSetUpPr fitToPage="1"/>
  </sheetPr>
  <dimension ref="B1:S117"/>
  <sheetViews>
    <sheetView zoomScale="80" zoomScaleNormal="80" workbookViewId="0">
      <pane xSplit="3" ySplit="2" topLeftCell="E87" activePane="bottomRight" state="frozen"/>
      <selection activeCell="B70" sqref="B70"/>
      <selection pane="topRight" activeCell="B70" sqref="B70"/>
      <selection pane="bottomLeft" activeCell="B70" sqref="B70"/>
      <selection pane="bottomRight" activeCell="A95" sqref="A95:XFD96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15.87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4.8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C2" s="14" t="s">
        <v>92</v>
      </c>
      <c r="D2" s="5" t="s">
        <v>0</v>
      </c>
      <c r="E2" s="6" t="s">
        <v>93</v>
      </c>
      <c r="F2" s="6" t="s">
        <v>11</v>
      </c>
      <c r="G2" s="10" t="s">
        <v>1</v>
      </c>
      <c r="H2" s="6" t="s">
        <v>15</v>
      </c>
      <c r="I2" s="6" t="s">
        <v>16</v>
      </c>
      <c r="J2" s="6" t="s">
        <v>95</v>
      </c>
      <c r="K2" s="12" t="s">
        <v>7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85</v>
      </c>
      <c r="Q2" s="6" t="s">
        <v>8</v>
      </c>
      <c r="R2" s="16" t="s">
        <v>6</v>
      </c>
      <c r="S2" s="16" t="s">
        <v>80</v>
      </c>
    </row>
    <row r="3" spans="2:19" s="33" customFormat="1" ht="33" customHeight="1">
      <c r="B3" s="47" t="s">
        <v>220</v>
      </c>
      <c r="C3" s="48" t="s">
        <v>396</v>
      </c>
      <c r="D3" s="49" t="s">
        <v>262</v>
      </c>
      <c r="E3" s="50">
        <v>43378</v>
      </c>
      <c r="F3" s="49" t="s">
        <v>79</v>
      </c>
      <c r="G3" s="51">
        <v>10000</v>
      </c>
      <c r="H3" s="52">
        <f t="shared" ref="H3:H29" si="0">SUM(G3/250)</f>
        <v>40</v>
      </c>
      <c r="I3" s="52">
        <f t="shared" ref="I3:I37" si="1">SUM(H3/4)</f>
        <v>10</v>
      </c>
      <c r="J3" s="49"/>
      <c r="K3" s="53">
        <v>43485</v>
      </c>
      <c r="L3" s="54" t="s">
        <v>419</v>
      </c>
      <c r="M3" s="55">
        <v>43500</v>
      </c>
      <c r="N3" s="56" t="s">
        <v>337</v>
      </c>
      <c r="O3" s="55">
        <v>43506</v>
      </c>
      <c r="P3" s="54"/>
      <c r="Q3" s="49"/>
      <c r="R3" s="57" t="s">
        <v>251</v>
      </c>
      <c r="S3" s="47" t="s">
        <v>418</v>
      </c>
    </row>
    <row r="4" spans="2:19" s="33" customFormat="1" ht="33" customHeight="1">
      <c r="B4" s="47" t="s">
        <v>220</v>
      </c>
      <c r="C4" s="48" t="s">
        <v>277</v>
      </c>
      <c r="D4" s="49" t="s">
        <v>289</v>
      </c>
      <c r="E4" s="50">
        <v>43392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43141</v>
      </c>
      <c r="L4" s="54" t="s">
        <v>266</v>
      </c>
      <c r="M4" s="55">
        <v>43500</v>
      </c>
      <c r="N4" s="56" t="s">
        <v>337</v>
      </c>
      <c r="O4" s="55">
        <v>43141</v>
      </c>
      <c r="P4" s="54"/>
      <c r="Q4" s="49"/>
      <c r="R4" s="57" t="s">
        <v>299</v>
      </c>
      <c r="S4" s="47"/>
    </row>
    <row r="5" spans="2:19" s="33" customFormat="1" ht="33" customHeight="1">
      <c r="B5" s="47" t="s">
        <v>78</v>
      </c>
      <c r="C5" s="48" t="s">
        <v>254</v>
      </c>
      <c r="D5" s="49" t="s">
        <v>264</v>
      </c>
      <c r="E5" s="50">
        <v>43378</v>
      </c>
      <c r="F5" s="49" t="s">
        <v>79</v>
      </c>
      <c r="G5" s="51">
        <v>20000</v>
      </c>
      <c r="H5" s="52">
        <f t="shared" si="0"/>
        <v>80</v>
      </c>
      <c r="I5" s="52">
        <f t="shared" si="1"/>
        <v>20</v>
      </c>
      <c r="J5" s="49"/>
      <c r="K5" s="53">
        <v>43141</v>
      </c>
      <c r="L5" s="54" t="s">
        <v>266</v>
      </c>
      <c r="M5" s="55">
        <v>43500</v>
      </c>
      <c r="N5" s="56" t="s">
        <v>337</v>
      </c>
      <c r="O5" s="55">
        <v>43141</v>
      </c>
      <c r="P5" s="54"/>
      <c r="Q5" s="49" t="s">
        <v>82</v>
      </c>
      <c r="R5" s="57" t="s">
        <v>300</v>
      </c>
      <c r="S5" s="47"/>
    </row>
    <row r="6" spans="2:19" s="33" customFormat="1" ht="33" customHeight="1">
      <c r="B6" s="47" t="s">
        <v>78</v>
      </c>
      <c r="C6" s="48" t="s">
        <v>301</v>
      </c>
      <c r="D6" s="49" t="s">
        <v>302</v>
      </c>
      <c r="E6" s="50">
        <v>43420</v>
      </c>
      <c r="F6" s="49" t="s">
        <v>63</v>
      </c>
      <c r="G6" s="51">
        <v>40000</v>
      </c>
      <c r="H6" s="52">
        <f t="shared" si="0"/>
        <v>160</v>
      </c>
      <c r="I6" s="52">
        <f t="shared" si="1"/>
        <v>40</v>
      </c>
      <c r="J6" s="49"/>
      <c r="K6" s="53">
        <v>43513</v>
      </c>
      <c r="L6" s="54" t="s">
        <v>340</v>
      </c>
      <c r="M6" s="55">
        <v>43504</v>
      </c>
      <c r="N6" s="56" t="s">
        <v>339</v>
      </c>
      <c r="O6" s="55">
        <v>43148</v>
      </c>
      <c r="P6" s="54"/>
      <c r="Q6" s="49" t="s">
        <v>82</v>
      </c>
      <c r="R6" s="57" t="s">
        <v>303</v>
      </c>
      <c r="S6" s="47"/>
    </row>
    <row r="7" spans="2:19" s="33" customFormat="1" ht="33" customHeight="1">
      <c r="B7" s="47" t="s">
        <v>220</v>
      </c>
      <c r="C7" s="48" t="s">
        <v>304</v>
      </c>
      <c r="D7" s="49" t="s">
        <v>305</v>
      </c>
      <c r="E7" s="50">
        <v>43420</v>
      </c>
      <c r="F7" s="49" t="s">
        <v>91</v>
      </c>
      <c r="G7" s="51">
        <v>10000</v>
      </c>
      <c r="H7" s="52">
        <f t="shared" si="0"/>
        <v>40</v>
      </c>
      <c r="I7" s="52">
        <f t="shared" si="1"/>
        <v>10</v>
      </c>
      <c r="J7" s="49"/>
      <c r="K7" s="53">
        <v>43155</v>
      </c>
      <c r="L7" s="54" t="s">
        <v>342</v>
      </c>
      <c r="M7" s="55">
        <v>43514</v>
      </c>
      <c r="N7" s="56" t="s">
        <v>341</v>
      </c>
      <c r="O7" s="55">
        <v>43155</v>
      </c>
      <c r="P7" s="54"/>
      <c r="Q7" s="49"/>
      <c r="R7" s="57" t="s">
        <v>358</v>
      </c>
      <c r="S7" s="47"/>
    </row>
    <row r="8" spans="2:19" s="33" customFormat="1" ht="33" customHeight="1">
      <c r="B8" s="47" t="s">
        <v>78</v>
      </c>
      <c r="C8" s="48" t="s">
        <v>306</v>
      </c>
      <c r="D8" s="49" t="s">
        <v>307</v>
      </c>
      <c r="E8" s="50">
        <v>43420</v>
      </c>
      <c r="F8" s="49" t="s">
        <v>240</v>
      </c>
      <c r="G8" s="51">
        <v>30000</v>
      </c>
      <c r="H8" s="52">
        <f t="shared" si="0"/>
        <v>120</v>
      </c>
      <c r="I8" s="52">
        <f t="shared" si="1"/>
        <v>30</v>
      </c>
      <c r="J8" s="49"/>
      <c r="K8" s="53">
        <v>43520</v>
      </c>
      <c r="L8" s="54" t="s">
        <v>342</v>
      </c>
      <c r="M8" s="55">
        <v>43514</v>
      </c>
      <c r="N8" s="56" t="s">
        <v>341</v>
      </c>
      <c r="O8" s="55">
        <v>43155</v>
      </c>
      <c r="P8" s="54"/>
      <c r="Q8" s="49" t="s">
        <v>82</v>
      </c>
      <c r="R8" s="57" t="s">
        <v>308</v>
      </c>
      <c r="S8" s="47"/>
    </row>
    <row r="9" spans="2:19" s="33" customFormat="1" ht="33" customHeight="1">
      <c r="B9" s="47" t="s">
        <v>220</v>
      </c>
      <c r="C9" s="48" t="s">
        <v>309</v>
      </c>
      <c r="D9" s="49" t="s">
        <v>310</v>
      </c>
      <c r="E9" s="50">
        <v>43420</v>
      </c>
      <c r="F9" s="49" t="s">
        <v>79</v>
      </c>
      <c r="G9" s="51">
        <v>7000</v>
      </c>
      <c r="H9" s="52">
        <f t="shared" si="0"/>
        <v>28</v>
      </c>
      <c r="I9" s="52">
        <f t="shared" si="1"/>
        <v>7</v>
      </c>
      <c r="J9" s="49"/>
      <c r="K9" s="53">
        <v>43541</v>
      </c>
      <c r="L9" s="54" t="s">
        <v>388</v>
      </c>
      <c r="M9" s="55">
        <v>43542</v>
      </c>
      <c r="N9" s="56" t="s">
        <v>649</v>
      </c>
      <c r="O9" s="55">
        <v>43183</v>
      </c>
      <c r="P9" s="54" t="s">
        <v>753</v>
      </c>
      <c r="Q9" s="49"/>
      <c r="R9" s="57" t="s">
        <v>420</v>
      </c>
      <c r="S9" s="47"/>
    </row>
    <row r="10" spans="2:19" s="33" customFormat="1" ht="33" customHeight="1">
      <c r="B10" s="47" t="s">
        <v>78</v>
      </c>
      <c r="C10" s="48" t="s">
        <v>311</v>
      </c>
      <c r="D10" s="49" t="s">
        <v>312</v>
      </c>
      <c r="E10" s="50">
        <v>43420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43169</v>
      </c>
      <c r="L10" s="54" t="s">
        <v>343</v>
      </c>
      <c r="M10" s="55">
        <v>43528</v>
      </c>
      <c r="N10" s="56" t="s">
        <v>439</v>
      </c>
      <c r="O10" s="55">
        <v>43534</v>
      </c>
      <c r="P10" s="54"/>
      <c r="Q10" s="49" t="s">
        <v>82</v>
      </c>
      <c r="R10" s="57" t="s">
        <v>313</v>
      </c>
      <c r="S10" s="47"/>
    </row>
    <row r="11" spans="2:19" s="33" customFormat="1" ht="33" customHeight="1">
      <c r="B11" s="47" t="s">
        <v>78</v>
      </c>
      <c r="C11" s="48" t="s">
        <v>374</v>
      </c>
      <c r="D11" s="49" t="s">
        <v>375</v>
      </c>
      <c r="E11" s="50">
        <v>43455</v>
      </c>
      <c r="F11" s="49" t="s">
        <v>79</v>
      </c>
      <c r="G11" s="51">
        <v>21000</v>
      </c>
      <c r="H11" s="52">
        <f t="shared" si="0"/>
        <v>84</v>
      </c>
      <c r="I11" s="52">
        <f t="shared" si="1"/>
        <v>21</v>
      </c>
      <c r="J11" s="49"/>
      <c r="K11" s="53">
        <v>43541</v>
      </c>
      <c r="L11" s="54" t="s">
        <v>388</v>
      </c>
      <c r="M11" s="55">
        <v>43542</v>
      </c>
      <c r="N11" s="56" t="s">
        <v>649</v>
      </c>
      <c r="O11" s="55">
        <v>43183</v>
      </c>
      <c r="P11" s="54" t="s">
        <v>754</v>
      </c>
      <c r="Q11" s="49" t="s">
        <v>82</v>
      </c>
      <c r="R11" s="57" t="s">
        <v>376</v>
      </c>
      <c r="S11" s="47"/>
    </row>
    <row r="12" spans="2:19" s="30" customFormat="1" ht="33" customHeight="1">
      <c r="B12" s="46" t="s">
        <v>220</v>
      </c>
      <c r="C12" s="35" t="s">
        <v>377</v>
      </c>
      <c r="D12" s="36" t="s">
        <v>378</v>
      </c>
      <c r="E12" s="37">
        <v>43455</v>
      </c>
      <c r="F12" s="36" t="s">
        <v>91</v>
      </c>
      <c r="G12" s="39">
        <v>14000</v>
      </c>
      <c r="H12" s="38">
        <f t="shared" si="0"/>
        <v>56</v>
      </c>
      <c r="I12" s="38">
        <f t="shared" si="1"/>
        <v>14</v>
      </c>
      <c r="J12" s="36"/>
      <c r="K12" s="40">
        <v>43548</v>
      </c>
      <c r="L12" s="41" t="s">
        <v>802</v>
      </c>
      <c r="M12" s="42">
        <v>43563</v>
      </c>
      <c r="N12" s="43" t="s">
        <v>438</v>
      </c>
      <c r="O12" s="42">
        <v>43569</v>
      </c>
      <c r="P12" s="41" t="s">
        <v>839</v>
      </c>
      <c r="Q12" s="36"/>
      <c r="R12" s="44" t="s">
        <v>379</v>
      </c>
      <c r="S12" s="46"/>
    </row>
    <row r="13" spans="2:19" s="33" customFormat="1" ht="33" customHeight="1">
      <c r="B13" s="47" t="s">
        <v>78</v>
      </c>
      <c r="C13" s="48" t="s">
        <v>380</v>
      </c>
      <c r="D13" s="49" t="s">
        <v>381</v>
      </c>
      <c r="E13" s="50">
        <v>43455</v>
      </c>
      <c r="F13" s="49" t="s">
        <v>240</v>
      </c>
      <c r="G13" s="51">
        <v>40000</v>
      </c>
      <c r="H13" s="52">
        <f t="shared" si="0"/>
        <v>160</v>
      </c>
      <c r="I13" s="52">
        <f t="shared" si="1"/>
        <v>40</v>
      </c>
      <c r="J13" s="49"/>
      <c r="K13" s="53">
        <v>43555</v>
      </c>
      <c r="L13" s="54" t="s">
        <v>389</v>
      </c>
      <c r="M13" s="55">
        <v>43549</v>
      </c>
      <c r="N13" s="56" t="s">
        <v>752</v>
      </c>
      <c r="O13" s="55">
        <v>43555</v>
      </c>
      <c r="P13" s="54" t="s">
        <v>755</v>
      </c>
      <c r="Q13" s="49" t="s">
        <v>82</v>
      </c>
      <c r="R13" s="57" t="s">
        <v>382</v>
      </c>
      <c r="S13" s="47"/>
    </row>
    <row r="14" spans="2:19" s="30" customFormat="1" ht="33" customHeight="1">
      <c r="B14" s="46" t="s">
        <v>220</v>
      </c>
      <c r="C14" s="35" t="s">
        <v>421</v>
      </c>
      <c r="D14" s="36" t="s">
        <v>453</v>
      </c>
      <c r="E14" s="37">
        <v>43483</v>
      </c>
      <c r="F14" s="36" t="s">
        <v>79</v>
      </c>
      <c r="G14" s="39">
        <v>20000</v>
      </c>
      <c r="H14" s="38">
        <f t="shared" si="0"/>
        <v>80</v>
      </c>
      <c r="I14" s="38">
        <f t="shared" si="1"/>
        <v>20</v>
      </c>
      <c r="J14" s="36"/>
      <c r="K14" s="40">
        <v>43576</v>
      </c>
      <c r="L14" s="41" t="s">
        <v>443</v>
      </c>
      <c r="M14" s="42">
        <v>43570</v>
      </c>
      <c r="N14" s="43" t="s">
        <v>440</v>
      </c>
      <c r="O14" s="42">
        <v>43576</v>
      </c>
      <c r="P14" s="41" t="s">
        <v>981</v>
      </c>
      <c r="Q14" s="36"/>
      <c r="R14" s="44" t="s">
        <v>454</v>
      </c>
      <c r="S14" s="46"/>
    </row>
    <row r="15" spans="2:19" s="30" customFormat="1" ht="33" customHeight="1">
      <c r="B15" s="46" t="s">
        <v>78</v>
      </c>
      <c r="C15" s="35" t="s">
        <v>422</v>
      </c>
      <c r="D15" s="36" t="s">
        <v>455</v>
      </c>
      <c r="E15" s="37">
        <v>43483</v>
      </c>
      <c r="F15" s="36" t="s">
        <v>91</v>
      </c>
      <c r="G15" s="39">
        <v>10000</v>
      </c>
      <c r="H15" s="38">
        <f>SUM(G15/250)</f>
        <v>40</v>
      </c>
      <c r="I15" s="38">
        <f t="shared" si="1"/>
        <v>10</v>
      </c>
      <c r="J15" s="36"/>
      <c r="K15" s="40">
        <v>43618</v>
      </c>
      <c r="L15" s="41" t="s">
        <v>442</v>
      </c>
      <c r="M15" s="42">
        <v>43612</v>
      </c>
      <c r="N15" s="43" t="s">
        <v>637</v>
      </c>
      <c r="O15" s="42">
        <v>43618</v>
      </c>
      <c r="P15" s="41"/>
      <c r="Q15" s="36" t="s">
        <v>82</v>
      </c>
      <c r="R15" s="44" t="s">
        <v>616</v>
      </c>
      <c r="S15" s="46"/>
    </row>
    <row r="16" spans="2:19" s="30" customFormat="1" ht="33" customHeight="1">
      <c r="B16" s="46" t="s">
        <v>220</v>
      </c>
      <c r="C16" s="35" t="s">
        <v>617</v>
      </c>
      <c r="D16" s="36" t="s">
        <v>455</v>
      </c>
      <c r="E16" s="37">
        <v>43523</v>
      </c>
      <c r="F16" s="36" t="s">
        <v>91</v>
      </c>
      <c r="G16" s="39">
        <v>10000</v>
      </c>
      <c r="H16" s="38">
        <f>SUM(G16/250)</f>
        <v>40</v>
      </c>
      <c r="I16" s="38">
        <f t="shared" si="1"/>
        <v>10</v>
      </c>
      <c r="J16" s="36"/>
      <c r="K16" s="40">
        <v>43618</v>
      </c>
      <c r="L16" s="41" t="s">
        <v>638</v>
      </c>
      <c r="M16" s="42">
        <v>43612</v>
      </c>
      <c r="N16" s="43" t="s">
        <v>636</v>
      </c>
      <c r="O16" s="42">
        <v>43618</v>
      </c>
      <c r="P16" s="41"/>
      <c r="Q16" s="36"/>
      <c r="R16" s="44" t="s">
        <v>618</v>
      </c>
      <c r="S16" s="46"/>
    </row>
    <row r="17" spans="2:19" s="30" customFormat="1" ht="33" customHeight="1">
      <c r="B17" s="46" t="s">
        <v>78</v>
      </c>
      <c r="C17" s="35" t="s">
        <v>423</v>
      </c>
      <c r="D17" s="36" t="s">
        <v>457</v>
      </c>
      <c r="E17" s="37">
        <v>43483</v>
      </c>
      <c r="F17" s="36" t="s">
        <v>79</v>
      </c>
      <c r="G17" s="39">
        <v>20000</v>
      </c>
      <c r="H17" s="38">
        <f t="shared" si="0"/>
        <v>80</v>
      </c>
      <c r="I17" s="38">
        <f t="shared" si="1"/>
        <v>20</v>
      </c>
      <c r="J17" s="36"/>
      <c r="K17" s="40">
        <v>43576</v>
      </c>
      <c r="L17" s="41" t="s">
        <v>443</v>
      </c>
      <c r="M17" s="42">
        <v>43570</v>
      </c>
      <c r="N17" s="43" t="s">
        <v>440</v>
      </c>
      <c r="O17" s="42">
        <v>43576</v>
      </c>
      <c r="P17" s="41" t="s">
        <v>982</v>
      </c>
      <c r="Q17" s="36" t="s">
        <v>82</v>
      </c>
      <c r="R17" s="44" t="s">
        <v>424</v>
      </c>
      <c r="S17" s="46"/>
    </row>
    <row r="18" spans="2:19" s="30" customFormat="1" ht="33" customHeight="1">
      <c r="B18" s="46" t="s">
        <v>220</v>
      </c>
      <c r="C18" s="35" t="s">
        <v>425</v>
      </c>
      <c r="D18" s="36" t="s">
        <v>459</v>
      </c>
      <c r="E18" s="37">
        <v>43483</v>
      </c>
      <c r="F18" s="36" t="s">
        <v>79</v>
      </c>
      <c r="G18" s="39">
        <v>20000</v>
      </c>
      <c r="H18" s="38">
        <f t="shared" si="0"/>
        <v>80</v>
      </c>
      <c r="I18" s="38">
        <f t="shared" si="1"/>
        <v>20</v>
      </c>
      <c r="J18" s="36"/>
      <c r="K18" s="40">
        <v>43583</v>
      </c>
      <c r="L18" s="41" t="s">
        <v>444</v>
      </c>
      <c r="M18" s="42">
        <v>43577</v>
      </c>
      <c r="N18" s="43" t="s">
        <v>441</v>
      </c>
      <c r="O18" s="42">
        <v>43583</v>
      </c>
      <c r="P18" s="41"/>
      <c r="Q18" s="36"/>
      <c r="R18" s="44" t="s">
        <v>426</v>
      </c>
      <c r="S18" s="46"/>
    </row>
    <row r="19" spans="2:19" s="30" customFormat="1" ht="33" customHeight="1">
      <c r="B19" s="46" t="s">
        <v>78</v>
      </c>
      <c r="C19" s="35" t="s">
        <v>462</v>
      </c>
      <c r="D19" s="36" t="s">
        <v>483</v>
      </c>
      <c r="E19" s="37">
        <v>43490</v>
      </c>
      <c r="F19" s="36" t="s">
        <v>79</v>
      </c>
      <c r="G19" s="39">
        <v>20000</v>
      </c>
      <c r="H19" s="38">
        <f t="shared" si="0"/>
        <v>80</v>
      </c>
      <c r="I19" s="38">
        <f t="shared" si="1"/>
        <v>20</v>
      </c>
      <c r="J19" s="36"/>
      <c r="K19" s="40">
        <v>43583</v>
      </c>
      <c r="L19" s="41" t="s">
        <v>444</v>
      </c>
      <c r="M19" s="42">
        <v>43577</v>
      </c>
      <c r="N19" s="43" t="s">
        <v>441</v>
      </c>
      <c r="O19" s="42">
        <v>43583</v>
      </c>
      <c r="P19" s="41" t="s">
        <v>983</v>
      </c>
      <c r="Q19" s="36" t="s">
        <v>82</v>
      </c>
      <c r="R19" s="44" t="s">
        <v>463</v>
      </c>
      <c r="S19" s="46"/>
    </row>
    <row r="20" spans="2:19" s="30" customFormat="1" ht="33" customHeight="1">
      <c r="B20" s="46" t="s">
        <v>78</v>
      </c>
      <c r="C20" s="35" t="s">
        <v>570</v>
      </c>
      <c r="D20" s="36" t="s">
        <v>571</v>
      </c>
      <c r="E20" s="37">
        <v>43519</v>
      </c>
      <c r="F20" s="36" t="s">
        <v>79</v>
      </c>
      <c r="G20" s="39">
        <v>20000</v>
      </c>
      <c r="H20" s="38">
        <f t="shared" si="0"/>
        <v>80</v>
      </c>
      <c r="I20" s="38">
        <f t="shared" si="1"/>
        <v>20</v>
      </c>
      <c r="J20" s="36"/>
      <c r="K20" s="40">
        <v>43590</v>
      </c>
      <c r="L20" s="41" t="s">
        <v>602</v>
      </c>
      <c r="M20" s="42">
        <v>43577</v>
      </c>
      <c r="N20" s="43" t="s">
        <v>441</v>
      </c>
      <c r="O20" s="42">
        <v>43583</v>
      </c>
      <c r="P20" s="41" t="s">
        <v>984</v>
      </c>
      <c r="Q20" s="36" t="s">
        <v>82</v>
      </c>
      <c r="R20" s="44" t="s">
        <v>572</v>
      </c>
      <c r="S20" s="46"/>
    </row>
    <row r="21" spans="2:19" s="30" customFormat="1" ht="33" customHeight="1">
      <c r="B21" s="46" t="s">
        <v>78</v>
      </c>
      <c r="C21" s="35" t="s">
        <v>573</v>
      </c>
      <c r="D21" s="36" t="s">
        <v>574</v>
      </c>
      <c r="E21" s="37">
        <v>43519</v>
      </c>
      <c r="F21" s="36" t="s">
        <v>79</v>
      </c>
      <c r="G21" s="39">
        <v>20000</v>
      </c>
      <c r="H21" s="38">
        <f t="shared" si="0"/>
        <v>80</v>
      </c>
      <c r="I21" s="38">
        <f t="shared" si="1"/>
        <v>20</v>
      </c>
      <c r="J21" s="36"/>
      <c r="K21" s="40">
        <v>43604</v>
      </c>
      <c r="L21" s="41" t="s">
        <v>757</v>
      </c>
      <c r="M21" s="42">
        <v>43598</v>
      </c>
      <c r="N21" s="43" t="s">
        <v>756</v>
      </c>
      <c r="O21" s="42">
        <v>43604</v>
      </c>
      <c r="P21" s="41"/>
      <c r="Q21" s="36" t="s">
        <v>82</v>
      </c>
      <c r="R21" s="44" t="s">
        <v>575</v>
      </c>
      <c r="S21" s="46"/>
    </row>
    <row r="22" spans="2:19" s="30" customFormat="1" ht="33" customHeight="1">
      <c r="B22" s="46" t="s">
        <v>78</v>
      </c>
      <c r="C22" s="35" t="s">
        <v>576</v>
      </c>
      <c r="D22" s="36" t="s">
        <v>577</v>
      </c>
      <c r="E22" s="37">
        <v>43519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43611</v>
      </c>
      <c r="L22" s="41" t="s">
        <v>604</v>
      </c>
      <c r="M22" s="42">
        <v>43605</v>
      </c>
      <c r="N22" s="43" t="s">
        <v>639</v>
      </c>
      <c r="O22" s="42">
        <v>43611</v>
      </c>
      <c r="P22" s="41"/>
      <c r="Q22" s="36" t="s">
        <v>82</v>
      </c>
      <c r="R22" s="44" t="s">
        <v>578</v>
      </c>
      <c r="S22" s="46"/>
    </row>
    <row r="23" spans="2:19" s="30" customFormat="1" ht="33" customHeight="1">
      <c r="B23" s="46" t="s">
        <v>78</v>
      </c>
      <c r="C23" s="35" t="s">
        <v>785</v>
      </c>
      <c r="D23" s="36" t="s">
        <v>577</v>
      </c>
      <c r="E23" s="37">
        <v>43519</v>
      </c>
      <c r="F23" s="36" t="s">
        <v>91</v>
      </c>
      <c r="G23" s="39">
        <v>10000</v>
      </c>
      <c r="H23" s="38">
        <f t="shared" si="0"/>
        <v>40</v>
      </c>
      <c r="I23" s="38">
        <f t="shared" si="1"/>
        <v>10</v>
      </c>
      <c r="J23" s="36"/>
      <c r="K23" s="40">
        <v>43598</v>
      </c>
      <c r="L23" s="41" t="s">
        <v>803</v>
      </c>
      <c r="M23" s="42">
        <v>43598</v>
      </c>
      <c r="N23" s="43" t="s">
        <v>804</v>
      </c>
      <c r="O23" s="42">
        <v>43604</v>
      </c>
      <c r="P23" s="41"/>
      <c r="Q23" s="36" t="s">
        <v>82</v>
      </c>
      <c r="R23" s="44" t="s">
        <v>786</v>
      </c>
      <c r="S23" s="46"/>
    </row>
    <row r="24" spans="2:19" s="30" customFormat="1" ht="33" customHeight="1">
      <c r="B24" s="46" t="s">
        <v>220</v>
      </c>
      <c r="C24" s="35" t="s">
        <v>579</v>
      </c>
      <c r="D24" s="36" t="s">
        <v>580</v>
      </c>
      <c r="E24" s="37">
        <v>43519</v>
      </c>
      <c r="F24" s="36" t="s">
        <v>79</v>
      </c>
      <c r="G24" s="39">
        <v>10000</v>
      </c>
      <c r="H24" s="38">
        <f t="shared" si="0"/>
        <v>40</v>
      </c>
      <c r="I24" s="38">
        <f t="shared" si="1"/>
        <v>10</v>
      </c>
      <c r="J24" s="36"/>
      <c r="K24" s="40">
        <v>43598</v>
      </c>
      <c r="L24" s="41" t="s">
        <v>803</v>
      </c>
      <c r="M24" s="42">
        <v>43598</v>
      </c>
      <c r="N24" s="43" t="s">
        <v>804</v>
      </c>
      <c r="O24" s="42">
        <v>43604</v>
      </c>
      <c r="P24" s="41"/>
      <c r="Q24" s="36"/>
      <c r="R24" s="44" t="s">
        <v>787</v>
      </c>
      <c r="S24" s="46"/>
    </row>
    <row r="25" spans="2:19" s="30" customFormat="1" ht="33" customHeight="1">
      <c r="B25" s="46" t="s">
        <v>78</v>
      </c>
      <c r="C25" s="35" t="s">
        <v>685</v>
      </c>
      <c r="D25" s="36" t="s">
        <v>686</v>
      </c>
      <c r="E25" s="37">
        <v>43532</v>
      </c>
      <c r="F25" s="36" t="s">
        <v>79</v>
      </c>
      <c r="G25" s="39">
        <v>20000</v>
      </c>
      <c r="H25" s="38">
        <f t="shared" si="0"/>
        <v>80</v>
      </c>
      <c r="I25" s="38">
        <f t="shared" si="1"/>
        <v>20</v>
      </c>
      <c r="J25" s="36"/>
      <c r="K25" s="40">
        <v>43625</v>
      </c>
      <c r="L25" s="41" t="s">
        <v>761</v>
      </c>
      <c r="M25" s="42">
        <v>43619</v>
      </c>
      <c r="N25" s="43" t="s">
        <v>758</v>
      </c>
      <c r="O25" s="42">
        <v>43625</v>
      </c>
      <c r="P25" s="41"/>
      <c r="Q25" s="36" t="s">
        <v>82</v>
      </c>
      <c r="R25" s="44" t="s">
        <v>687</v>
      </c>
      <c r="S25" s="46"/>
    </row>
    <row r="26" spans="2:19" s="30" customFormat="1" ht="33" customHeight="1">
      <c r="B26" s="46" t="s">
        <v>220</v>
      </c>
      <c r="C26" s="35" t="s">
        <v>688</v>
      </c>
      <c r="D26" s="36" t="s">
        <v>689</v>
      </c>
      <c r="E26" s="37">
        <v>43532</v>
      </c>
      <c r="F26" s="36" t="s">
        <v>79</v>
      </c>
      <c r="G26" s="39">
        <v>20000</v>
      </c>
      <c r="H26" s="38">
        <f t="shared" si="0"/>
        <v>80</v>
      </c>
      <c r="I26" s="38">
        <f t="shared" si="1"/>
        <v>20</v>
      </c>
      <c r="J26" s="36"/>
      <c r="K26" s="40">
        <v>43632</v>
      </c>
      <c r="L26" s="41" t="s">
        <v>762</v>
      </c>
      <c r="M26" s="42">
        <v>43626</v>
      </c>
      <c r="N26" s="43" t="s">
        <v>759</v>
      </c>
      <c r="O26" s="42">
        <v>43632</v>
      </c>
      <c r="P26" s="41"/>
      <c r="Q26" s="36"/>
      <c r="R26" s="44" t="s">
        <v>690</v>
      </c>
      <c r="S26" s="46"/>
    </row>
    <row r="27" spans="2:19" s="30" customFormat="1" ht="33" customHeight="1">
      <c r="B27" s="46" t="s">
        <v>78</v>
      </c>
      <c r="C27" s="35" t="s">
        <v>691</v>
      </c>
      <c r="D27" s="36" t="s">
        <v>692</v>
      </c>
      <c r="E27" s="37">
        <v>43532</v>
      </c>
      <c r="F27" s="36" t="s">
        <v>79</v>
      </c>
      <c r="G27" s="39">
        <v>20000</v>
      </c>
      <c r="H27" s="38">
        <f t="shared" si="0"/>
        <v>80</v>
      </c>
      <c r="I27" s="38">
        <f t="shared" si="1"/>
        <v>20</v>
      </c>
      <c r="J27" s="36"/>
      <c r="K27" s="40">
        <v>43639</v>
      </c>
      <c r="L27" s="41" t="s">
        <v>763</v>
      </c>
      <c r="M27" s="42">
        <v>43633</v>
      </c>
      <c r="N27" s="43" t="s">
        <v>760</v>
      </c>
      <c r="O27" s="42">
        <v>43639</v>
      </c>
      <c r="P27" s="41"/>
      <c r="Q27" s="36" t="s">
        <v>82</v>
      </c>
      <c r="R27" s="44" t="s">
        <v>693</v>
      </c>
      <c r="S27" s="46"/>
    </row>
    <row r="28" spans="2:19" s="30" customFormat="1" ht="33" customHeight="1">
      <c r="B28" s="122" t="s">
        <v>220</v>
      </c>
      <c r="C28" s="126" t="s">
        <v>986</v>
      </c>
      <c r="D28" s="127"/>
      <c r="E28" s="128">
        <v>43566</v>
      </c>
      <c r="F28" s="127" t="s">
        <v>79</v>
      </c>
      <c r="G28" s="129">
        <v>20000</v>
      </c>
      <c r="H28" s="124">
        <f t="shared" si="0"/>
        <v>80</v>
      </c>
      <c r="I28" s="124">
        <f t="shared" si="1"/>
        <v>20</v>
      </c>
      <c r="J28" s="127"/>
      <c r="K28" s="130">
        <v>43611</v>
      </c>
      <c r="L28" s="119" t="s">
        <v>603</v>
      </c>
      <c r="M28" s="120">
        <v>43605</v>
      </c>
      <c r="N28" s="121" t="s">
        <v>1080</v>
      </c>
      <c r="O28" s="120">
        <v>43611</v>
      </c>
      <c r="P28" s="119"/>
      <c r="Q28" s="127"/>
      <c r="R28" s="125" t="s">
        <v>987</v>
      </c>
      <c r="S28" s="122"/>
    </row>
    <row r="29" spans="2:19" s="30" customFormat="1" ht="33" customHeight="1">
      <c r="B29" s="122" t="s">
        <v>78</v>
      </c>
      <c r="C29" s="126" t="s">
        <v>988</v>
      </c>
      <c r="D29" s="127"/>
      <c r="E29" s="128">
        <v>43566</v>
      </c>
      <c r="F29" s="127" t="s">
        <v>79</v>
      </c>
      <c r="G29" s="129">
        <v>20000</v>
      </c>
      <c r="H29" s="124">
        <f t="shared" si="0"/>
        <v>80</v>
      </c>
      <c r="I29" s="124">
        <f t="shared" si="1"/>
        <v>20</v>
      </c>
      <c r="J29" s="127"/>
      <c r="K29" s="130">
        <v>43632</v>
      </c>
      <c r="L29" s="119" t="s">
        <v>1081</v>
      </c>
      <c r="M29" s="120">
        <v>43626</v>
      </c>
      <c r="N29" s="121" t="s">
        <v>1082</v>
      </c>
      <c r="O29" s="120">
        <v>43632</v>
      </c>
      <c r="P29" s="119"/>
      <c r="Q29" s="127" t="s">
        <v>82</v>
      </c>
      <c r="R29" s="125" t="s">
        <v>989</v>
      </c>
      <c r="S29" s="122"/>
    </row>
    <row r="30" spans="2:19" s="96" customFormat="1" ht="33" customHeight="1">
      <c r="B30" s="47" t="s">
        <v>17</v>
      </c>
      <c r="C30" s="48" t="s">
        <v>353</v>
      </c>
      <c r="D30" s="49" t="s">
        <v>383</v>
      </c>
      <c r="E30" s="50">
        <v>43434</v>
      </c>
      <c r="F30" s="52" t="s">
        <v>84</v>
      </c>
      <c r="G30" s="51">
        <v>9200</v>
      </c>
      <c r="H30" s="52">
        <f t="shared" ref="H30:H37" si="2">SUM(G30/230)</f>
        <v>40</v>
      </c>
      <c r="I30" s="52">
        <f t="shared" si="1"/>
        <v>10</v>
      </c>
      <c r="J30" s="49"/>
      <c r="K30" s="53">
        <v>43148</v>
      </c>
      <c r="L30" s="54" t="s">
        <v>276</v>
      </c>
      <c r="M30" s="55">
        <v>43508</v>
      </c>
      <c r="N30" s="56" t="s">
        <v>345</v>
      </c>
      <c r="O30" s="55">
        <v>43513</v>
      </c>
      <c r="P30" s="58"/>
      <c r="Q30" s="52" t="s">
        <v>82</v>
      </c>
      <c r="R30" s="57" t="s">
        <v>360</v>
      </c>
      <c r="S30" s="47"/>
    </row>
    <row r="31" spans="2:19" s="96" customFormat="1" ht="33" customHeight="1">
      <c r="B31" s="47" t="s">
        <v>17</v>
      </c>
      <c r="C31" s="48" t="s">
        <v>361</v>
      </c>
      <c r="D31" s="49" t="s">
        <v>384</v>
      </c>
      <c r="E31" s="50">
        <v>43441</v>
      </c>
      <c r="F31" s="52" t="s">
        <v>84</v>
      </c>
      <c r="G31" s="51">
        <v>9200</v>
      </c>
      <c r="H31" s="52">
        <f t="shared" si="2"/>
        <v>40</v>
      </c>
      <c r="I31" s="52">
        <f t="shared" si="1"/>
        <v>10</v>
      </c>
      <c r="J31" s="49"/>
      <c r="K31" s="53">
        <v>43548</v>
      </c>
      <c r="L31" s="54" t="s">
        <v>476</v>
      </c>
      <c r="M31" s="55">
        <v>43543</v>
      </c>
      <c r="N31" s="56" t="s">
        <v>400</v>
      </c>
      <c r="O31" s="55">
        <v>43548</v>
      </c>
      <c r="P31" s="58"/>
      <c r="Q31" s="52" t="s">
        <v>82</v>
      </c>
      <c r="R31" s="57" t="s">
        <v>362</v>
      </c>
      <c r="S31" s="47"/>
    </row>
    <row r="32" spans="2:19" s="67" customFormat="1" ht="33" customHeight="1">
      <c r="B32" s="46" t="s">
        <v>17</v>
      </c>
      <c r="C32" s="35" t="s">
        <v>427</v>
      </c>
      <c r="D32" s="36" t="s">
        <v>491</v>
      </c>
      <c r="E32" s="37">
        <v>43483</v>
      </c>
      <c r="F32" s="38" t="s">
        <v>84</v>
      </c>
      <c r="G32" s="39">
        <v>9200</v>
      </c>
      <c r="H32" s="38">
        <f t="shared" si="2"/>
        <v>40</v>
      </c>
      <c r="I32" s="38">
        <f t="shared" si="1"/>
        <v>10</v>
      </c>
      <c r="J32" s="36"/>
      <c r="K32" s="40">
        <v>43576</v>
      </c>
      <c r="L32" s="41" t="s">
        <v>446</v>
      </c>
      <c r="M32" s="42">
        <v>43571</v>
      </c>
      <c r="N32" s="43" t="s">
        <v>445</v>
      </c>
      <c r="O32" s="42">
        <v>43576</v>
      </c>
      <c r="P32" s="45"/>
      <c r="Q32" s="38" t="s">
        <v>82</v>
      </c>
      <c r="R32" s="44" t="s">
        <v>466</v>
      </c>
      <c r="S32" s="46"/>
    </row>
    <row r="33" spans="2:19" s="67" customFormat="1" ht="33" customHeight="1">
      <c r="B33" s="46" t="s">
        <v>17</v>
      </c>
      <c r="C33" s="35" t="s">
        <v>581</v>
      </c>
      <c r="D33" s="36" t="s">
        <v>582</v>
      </c>
      <c r="E33" s="37">
        <v>43519</v>
      </c>
      <c r="F33" s="38" t="s">
        <v>84</v>
      </c>
      <c r="G33" s="39">
        <v>9200</v>
      </c>
      <c r="H33" s="38">
        <f t="shared" si="2"/>
        <v>40</v>
      </c>
      <c r="I33" s="38">
        <f t="shared" si="1"/>
        <v>10</v>
      </c>
      <c r="J33" s="36"/>
      <c r="K33" s="40">
        <v>43632</v>
      </c>
      <c r="L33" s="41" t="s">
        <v>807</v>
      </c>
      <c r="M33" s="42">
        <v>43627</v>
      </c>
      <c r="N33" s="43" t="s">
        <v>769</v>
      </c>
      <c r="O33" s="42">
        <v>43632</v>
      </c>
      <c r="P33" s="45"/>
      <c r="Q33" s="38" t="s">
        <v>82</v>
      </c>
      <c r="R33" s="44" t="s">
        <v>825</v>
      </c>
      <c r="S33" s="46"/>
    </row>
    <row r="34" spans="2:19" s="67" customFormat="1" ht="33" customHeight="1">
      <c r="B34" s="46" t="s">
        <v>17</v>
      </c>
      <c r="C34" s="35" t="s">
        <v>694</v>
      </c>
      <c r="D34" s="36" t="s">
        <v>695</v>
      </c>
      <c r="E34" s="37">
        <v>43532</v>
      </c>
      <c r="F34" s="38" t="s">
        <v>213</v>
      </c>
      <c r="G34" s="39">
        <v>9200</v>
      </c>
      <c r="H34" s="38">
        <f t="shared" si="2"/>
        <v>40</v>
      </c>
      <c r="I34" s="38">
        <f t="shared" si="1"/>
        <v>10</v>
      </c>
      <c r="J34" s="36"/>
      <c r="K34" s="40">
        <v>43667</v>
      </c>
      <c r="L34" s="41" t="s">
        <v>837</v>
      </c>
      <c r="M34" s="42">
        <v>43662</v>
      </c>
      <c r="N34" s="43" t="s">
        <v>836</v>
      </c>
      <c r="O34" s="42">
        <v>43667</v>
      </c>
      <c r="P34" s="45"/>
      <c r="Q34" s="38" t="s">
        <v>82</v>
      </c>
      <c r="R34" s="44" t="s">
        <v>826</v>
      </c>
      <c r="S34" s="46"/>
    </row>
    <row r="35" spans="2:19" s="96" customFormat="1" ht="33" customHeight="1">
      <c r="B35" s="47" t="s">
        <v>33</v>
      </c>
      <c r="C35" s="48" t="s">
        <v>230</v>
      </c>
      <c r="D35" s="49" t="s">
        <v>231</v>
      </c>
      <c r="E35" s="50"/>
      <c r="F35" s="52"/>
      <c r="G35" s="51">
        <v>9200</v>
      </c>
      <c r="H35" s="52">
        <f t="shared" si="2"/>
        <v>40</v>
      </c>
      <c r="I35" s="52">
        <f t="shared" si="1"/>
        <v>10</v>
      </c>
      <c r="J35" s="49"/>
      <c r="K35" s="53">
        <v>43155</v>
      </c>
      <c r="L35" s="54" t="s">
        <v>365</v>
      </c>
      <c r="M35" s="55">
        <v>43515</v>
      </c>
      <c r="N35" s="56" t="s">
        <v>347</v>
      </c>
      <c r="O35" s="55">
        <v>43520</v>
      </c>
      <c r="P35" s="58" t="s">
        <v>364</v>
      </c>
      <c r="Q35" s="52"/>
      <c r="R35" s="57" t="s">
        <v>366</v>
      </c>
      <c r="S35" s="47" t="s">
        <v>216</v>
      </c>
    </row>
    <row r="36" spans="2:19" s="67" customFormat="1" ht="33" customHeight="1">
      <c r="B36" s="46" t="s">
        <v>33</v>
      </c>
      <c r="C36" s="35" t="s">
        <v>255</v>
      </c>
      <c r="D36" s="36" t="s">
        <v>269</v>
      </c>
      <c r="E36" s="37">
        <v>43378</v>
      </c>
      <c r="F36" s="38" t="s">
        <v>84</v>
      </c>
      <c r="G36" s="39">
        <v>18400</v>
      </c>
      <c r="H36" s="38">
        <f t="shared" si="2"/>
        <v>80</v>
      </c>
      <c r="I36" s="38">
        <f t="shared" si="1"/>
        <v>20</v>
      </c>
      <c r="J36" s="36"/>
      <c r="K36" s="141" t="s">
        <v>414</v>
      </c>
      <c r="L36" s="142"/>
      <c r="M36" s="143"/>
      <c r="N36" s="144"/>
      <c r="O36" s="143"/>
      <c r="P36" s="45"/>
      <c r="Q36" s="38"/>
      <c r="R36" s="44" t="s">
        <v>363</v>
      </c>
      <c r="S36" s="46"/>
    </row>
    <row r="37" spans="2:19" s="67" customFormat="1" ht="33" customHeight="1">
      <c r="B37" s="46" t="s">
        <v>81</v>
      </c>
      <c r="C37" s="35" t="s">
        <v>279</v>
      </c>
      <c r="D37" s="36" t="s">
        <v>288</v>
      </c>
      <c r="E37" s="37">
        <v>43392</v>
      </c>
      <c r="F37" s="38" t="s">
        <v>84</v>
      </c>
      <c r="G37" s="39">
        <v>13800</v>
      </c>
      <c r="H37" s="38">
        <f t="shared" si="2"/>
        <v>60</v>
      </c>
      <c r="I37" s="38">
        <f t="shared" si="1"/>
        <v>15</v>
      </c>
      <c r="J37" s="38"/>
      <c r="K37" s="40">
        <v>43597</v>
      </c>
      <c r="L37" s="41" t="s">
        <v>562</v>
      </c>
      <c r="M37" s="42">
        <v>43594</v>
      </c>
      <c r="N37" s="43" t="s">
        <v>561</v>
      </c>
      <c r="O37" s="42">
        <v>43598</v>
      </c>
      <c r="P37" s="45"/>
      <c r="Q37" s="46"/>
      <c r="R37" s="44" t="s">
        <v>515</v>
      </c>
      <c r="S37" s="46"/>
    </row>
    <row r="38" spans="2:19" s="96" customFormat="1" ht="33" customHeight="1">
      <c r="B38" s="47" t="s">
        <v>81</v>
      </c>
      <c r="C38" s="48" t="s">
        <v>316</v>
      </c>
      <c r="D38" s="49" t="s">
        <v>317</v>
      </c>
      <c r="E38" s="50">
        <v>43420</v>
      </c>
      <c r="F38" s="52" t="s">
        <v>213</v>
      </c>
      <c r="G38" s="51">
        <v>18400</v>
      </c>
      <c r="H38" s="52">
        <f>SUM(G38/230)</f>
        <v>80</v>
      </c>
      <c r="I38" s="52">
        <f>SUM(H38/4)</f>
        <v>20</v>
      </c>
      <c r="J38" s="52"/>
      <c r="K38" s="53">
        <v>43525</v>
      </c>
      <c r="L38" s="54" t="s">
        <v>365</v>
      </c>
      <c r="M38" s="55">
        <v>43515</v>
      </c>
      <c r="N38" s="56" t="s">
        <v>347</v>
      </c>
      <c r="O38" s="55">
        <v>43520</v>
      </c>
      <c r="P38" s="58" t="s">
        <v>393</v>
      </c>
      <c r="Q38" s="47"/>
      <c r="R38" s="57" t="s">
        <v>349</v>
      </c>
      <c r="S38" s="47" t="s">
        <v>350</v>
      </c>
    </row>
    <row r="39" spans="2:19" s="67" customFormat="1" ht="33" customHeight="1">
      <c r="B39" s="46" t="s">
        <v>81</v>
      </c>
      <c r="C39" s="35" t="s">
        <v>318</v>
      </c>
      <c r="D39" s="36" t="s">
        <v>319</v>
      </c>
      <c r="E39" s="37">
        <v>43420</v>
      </c>
      <c r="F39" s="38" t="s">
        <v>213</v>
      </c>
      <c r="G39" s="39">
        <v>17940</v>
      </c>
      <c r="H39" s="38">
        <f>SUM(G39/230)</f>
        <v>78</v>
      </c>
      <c r="I39" s="38">
        <f>SUM(H39/4)</f>
        <v>19.5</v>
      </c>
      <c r="J39" s="38"/>
      <c r="K39" s="40">
        <v>43576</v>
      </c>
      <c r="L39" s="41" t="s">
        <v>480</v>
      </c>
      <c r="M39" s="42">
        <v>43564</v>
      </c>
      <c r="N39" s="43" t="s">
        <v>405</v>
      </c>
      <c r="O39" s="42">
        <v>43569</v>
      </c>
      <c r="P39" s="45"/>
      <c r="Q39" s="46"/>
      <c r="R39" s="44" t="s">
        <v>516</v>
      </c>
      <c r="S39" s="46" t="s">
        <v>391</v>
      </c>
    </row>
    <row r="40" spans="2:19" s="67" customFormat="1" ht="33" customHeight="1">
      <c r="B40" s="46" t="s">
        <v>81</v>
      </c>
      <c r="C40" s="35" t="s">
        <v>700</v>
      </c>
      <c r="D40" s="36" t="s">
        <v>701</v>
      </c>
      <c r="E40" s="37">
        <v>43532</v>
      </c>
      <c r="F40" s="38" t="s">
        <v>213</v>
      </c>
      <c r="G40" s="39">
        <v>13800</v>
      </c>
      <c r="H40" s="38">
        <f t="shared" ref="H40:H43" si="3">SUM(G40/230)</f>
        <v>60</v>
      </c>
      <c r="I40" s="38">
        <f t="shared" ref="I40:I43" si="4">SUM(H40/4)</f>
        <v>15</v>
      </c>
      <c r="J40" s="38"/>
      <c r="K40" s="40">
        <v>43625</v>
      </c>
      <c r="L40" s="41" t="s">
        <v>975</v>
      </c>
      <c r="M40" s="42">
        <v>43620</v>
      </c>
      <c r="N40" s="43" t="s">
        <v>768</v>
      </c>
      <c r="O40" s="42">
        <v>43625</v>
      </c>
      <c r="P40" s="45"/>
      <c r="Q40" s="46"/>
      <c r="R40" s="44" t="s">
        <v>850</v>
      </c>
      <c r="S40" s="46"/>
    </row>
    <row r="41" spans="2:19" s="67" customFormat="1" ht="33" customHeight="1">
      <c r="B41" s="46" t="s">
        <v>81</v>
      </c>
      <c r="C41" s="35" t="s">
        <v>702</v>
      </c>
      <c r="D41" s="36" t="s">
        <v>703</v>
      </c>
      <c r="E41" s="37">
        <v>43532</v>
      </c>
      <c r="F41" s="38" t="s">
        <v>213</v>
      </c>
      <c r="G41" s="39">
        <v>9200</v>
      </c>
      <c r="H41" s="38">
        <f t="shared" si="3"/>
        <v>40</v>
      </c>
      <c r="I41" s="38">
        <f t="shared" si="4"/>
        <v>10</v>
      </c>
      <c r="J41" s="38"/>
      <c r="K41" s="40">
        <v>43646</v>
      </c>
      <c r="L41" s="41" t="s">
        <v>976</v>
      </c>
      <c r="M41" s="42">
        <v>43641</v>
      </c>
      <c r="N41" s="43" t="s">
        <v>776</v>
      </c>
      <c r="O41" s="42">
        <v>43646</v>
      </c>
      <c r="P41" s="45"/>
      <c r="Q41" s="46"/>
      <c r="R41" s="44" t="s">
        <v>851</v>
      </c>
      <c r="S41" s="46"/>
    </row>
    <row r="42" spans="2:19" s="67" customFormat="1" ht="33" customHeight="1">
      <c r="B42" s="46" t="s">
        <v>81</v>
      </c>
      <c r="C42" s="35" t="s">
        <v>852</v>
      </c>
      <c r="D42" s="36"/>
      <c r="E42" s="37">
        <v>43558</v>
      </c>
      <c r="F42" s="38" t="s">
        <v>213</v>
      </c>
      <c r="G42" s="39">
        <v>9200</v>
      </c>
      <c r="H42" s="38">
        <f t="shared" si="3"/>
        <v>40</v>
      </c>
      <c r="I42" s="38">
        <f t="shared" si="4"/>
        <v>10</v>
      </c>
      <c r="J42" s="38"/>
      <c r="K42" s="40">
        <v>43646</v>
      </c>
      <c r="L42" s="41" t="s">
        <v>976</v>
      </c>
      <c r="M42" s="42">
        <v>43641</v>
      </c>
      <c r="N42" s="43" t="s">
        <v>776</v>
      </c>
      <c r="O42" s="42">
        <v>43646</v>
      </c>
      <c r="P42" s="45"/>
      <c r="Q42" s="46"/>
      <c r="R42" s="44" t="s">
        <v>851</v>
      </c>
      <c r="S42" s="46"/>
    </row>
    <row r="43" spans="2:19" s="67" customFormat="1" ht="33" customHeight="1">
      <c r="B43" s="135" t="s">
        <v>704</v>
      </c>
      <c r="C43" s="136" t="s">
        <v>209</v>
      </c>
      <c r="D43" s="137" t="s">
        <v>705</v>
      </c>
      <c r="E43" s="138">
        <v>43532</v>
      </c>
      <c r="F43" s="139" t="s">
        <v>213</v>
      </c>
      <c r="G43" s="140">
        <v>920</v>
      </c>
      <c r="H43" s="139">
        <f t="shared" si="3"/>
        <v>4</v>
      </c>
      <c r="I43" s="139">
        <f t="shared" si="4"/>
        <v>1</v>
      </c>
      <c r="J43" s="139"/>
      <c r="K43" s="141">
        <v>43609</v>
      </c>
      <c r="L43" s="142"/>
      <c r="M43" s="143"/>
      <c r="N43" s="144"/>
      <c r="O43" s="143"/>
      <c r="P43" s="145"/>
      <c r="Q43" s="135"/>
      <c r="R43" s="146"/>
      <c r="S43" s="135" t="s">
        <v>706</v>
      </c>
    </row>
    <row r="44" spans="2:19" s="67" customFormat="1" ht="33" customHeight="1">
      <c r="B44" s="46" t="s">
        <v>517</v>
      </c>
      <c r="C44" s="35" t="s">
        <v>209</v>
      </c>
      <c r="D44" s="36" t="s">
        <v>583</v>
      </c>
      <c r="E44" s="37">
        <v>43511</v>
      </c>
      <c r="F44" s="38" t="s">
        <v>213</v>
      </c>
      <c r="G44" s="39">
        <v>460</v>
      </c>
      <c r="H44" s="38">
        <f>SUM(G44/230)</f>
        <v>2</v>
      </c>
      <c r="I44" s="38">
        <f>SUM(H44/4)</f>
        <v>0.5</v>
      </c>
      <c r="J44" s="38"/>
      <c r="K44" s="40">
        <v>43576</v>
      </c>
      <c r="L44" s="41" t="s">
        <v>480</v>
      </c>
      <c r="M44" s="42">
        <v>43564</v>
      </c>
      <c r="N44" s="43" t="s">
        <v>646</v>
      </c>
      <c r="O44" s="42">
        <v>43569</v>
      </c>
      <c r="P44" s="45"/>
      <c r="Q44" s="46"/>
      <c r="R44" s="44" t="s">
        <v>516</v>
      </c>
      <c r="S44" s="46"/>
    </row>
    <row r="45" spans="2:19" s="33" customFormat="1" ht="33" customHeight="1">
      <c r="B45" s="47" t="s">
        <v>222</v>
      </c>
      <c r="C45" s="48" t="s">
        <v>321</v>
      </c>
      <c r="D45" s="49" t="s">
        <v>322</v>
      </c>
      <c r="E45" s="50">
        <v>43420</v>
      </c>
      <c r="F45" s="52" t="s">
        <v>213</v>
      </c>
      <c r="G45" s="51">
        <v>3200</v>
      </c>
      <c r="H45" s="52">
        <f t="shared" ref="H45:H53" si="5">SUM(G45/20)</f>
        <v>160</v>
      </c>
      <c r="I45" s="52">
        <f t="shared" ref="I45:I53" si="6">SUM(H45/32)</f>
        <v>5</v>
      </c>
      <c r="J45" s="59"/>
      <c r="K45" s="53">
        <v>43513</v>
      </c>
      <c r="L45" s="54" t="s">
        <v>276</v>
      </c>
      <c r="M45" s="55">
        <v>43508</v>
      </c>
      <c r="N45" s="56" t="s">
        <v>345</v>
      </c>
      <c r="O45" s="55">
        <v>43148</v>
      </c>
      <c r="P45" s="58"/>
      <c r="Q45" s="60" t="s">
        <v>89</v>
      </c>
      <c r="R45" s="57" t="s">
        <v>323</v>
      </c>
      <c r="S45" s="47"/>
    </row>
    <row r="46" spans="2:19" s="33" customFormat="1" ht="33" customHeight="1">
      <c r="B46" s="47" t="s">
        <v>222</v>
      </c>
      <c r="C46" s="48" t="s">
        <v>324</v>
      </c>
      <c r="D46" s="49" t="s">
        <v>325</v>
      </c>
      <c r="E46" s="50">
        <v>43420</v>
      </c>
      <c r="F46" s="52" t="s">
        <v>213</v>
      </c>
      <c r="G46" s="51">
        <v>1920</v>
      </c>
      <c r="H46" s="52">
        <f t="shared" si="5"/>
        <v>96</v>
      </c>
      <c r="I46" s="52">
        <f t="shared" si="6"/>
        <v>3</v>
      </c>
      <c r="J46" s="59"/>
      <c r="K46" s="53">
        <v>43541</v>
      </c>
      <c r="L46" s="54" t="s">
        <v>501</v>
      </c>
      <c r="M46" s="55">
        <v>43531</v>
      </c>
      <c r="N46" s="56" t="s">
        <v>569</v>
      </c>
      <c r="O46" s="55">
        <v>43535</v>
      </c>
      <c r="P46" s="58"/>
      <c r="Q46" s="60" t="s">
        <v>89</v>
      </c>
      <c r="R46" s="57" t="s">
        <v>326</v>
      </c>
      <c r="S46" s="47" t="s">
        <v>645</v>
      </c>
    </row>
    <row r="47" spans="2:19" s="33" customFormat="1" ht="33" customHeight="1">
      <c r="B47" s="47" t="s">
        <v>222</v>
      </c>
      <c r="C47" s="48" t="s">
        <v>500</v>
      </c>
      <c r="D47" s="49" t="s">
        <v>325</v>
      </c>
      <c r="E47" s="50">
        <v>43420</v>
      </c>
      <c r="F47" s="52" t="s">
        <v>213</v>
      </c>
      <c r="G47" s="51">
        <v>1280</v>
      </c>
      <c r="H47" s="52">
        <f t="shared" si="5"/>
        <v>64</v>
      </c>
      <c r="I47" s="52">
        <f t="shared" si="6"/>
        <v>2</v>
      </c>
      <c r="J47" s="59"/>
      <c r="K47" s="53">
        <v>43541</v>
      </c>
      <c r="L47" s="54" t="s">
        <v>563</v>
      </c>
      <c r="M47" s="55">
        <v>43536</v>
      </c>
      <c r="N47" s="56" t="s">
        <v>346</v>
      </c>
      <c r="O47" s="55">
        <v>43541</v>
      </c>
      <c r="P47" s="58"/>
      <c r="Q47" s="60" t="s">
        <v>89</v>
      </c>
      <c r="R47" s="57" t="s">
        <v>326</v>
      </c>
      <c r="S47" s="47" t="s">
        <v>395</v>
      </c>
    </row>
    <row r="48" spans="2:19" s="33" customFormat="1" ht="33" customHeight="1">
      <c r="B48" s="47" t="s">
        <v>222</v>
      </c>
      <c r="C48" s="48" t="s">
        <v>430</v>
      </c>
      <c r="D48" s="49" t="s">
        <v>470</v>
      </c>
      <c r="E48" s="50">
        <v>43473</v>
      </c>
      <c r="F48" s="52" t="s">
        <v>213</v>
      </c>
      <c r="G48" s="51">
        <v>1920</v>
      </c>
      <c r="H48" s="52">
        <f t="shared" si="5"/>
        <v>96</v>
      </c>
      <c r="I48" s="52">
        <f t="shared" si="6"/>
        <v>3</v>
      </c>
      <c r="J48" s="59"/>
      <c r="K48" s="53">
        <v>43555</v>
      </c>
      <c r="L48" s="54" t="s">
        <v>644</v>
      </c>
      <c r="M48" s="55">
        <v>43550</v>
      </c>
      <c r="N48" s="56" t="s">
        <v>344</v>
      </c>
      <c r="O48" s="55">
        <v>43555</v>
      </c>
      <c r="P48" s="58"/>
      <c r="Q48" s="60" t="s">
        <v>89</v>
      </c>
      <c r="R48" s="57" t="s">
        <v>518</v>
      </c>
      <c r="S48" s="47"/>
    </row>
    <row r="49" spans="2:19" s="30" customFormat="1" ht="33" customHeight="1">
      <c r="B49" s="46" t="s">
        <v>222</v>
      </c>
      <c r="C49" s="35" t="s">
        <v>430</v>
      </c>
      <c r="D49" s="36" t="s">
        <v>470</v>
      </c>
      <c r="E49" s="37">
        <v>43473</v>
      </c>
      <c r="F49" s="38" t="s">
        <v>213</v>
      </c>
      <c r="G49" s="39">
        <v>1920</v>
      </c>
      <c r="H49" s="38">
        <f t="shared" si="5"/>
        <v>96</v>
      </c>
      <c r="I49" s="38">
        <f t="shared" si="6"/>
        <v>3</v>
      </c>
      <c r="J49" s="61"/>
      <c r="K49" s="40">
        <v>43555</v>
      </c>
      <c r="L49" s="41" t="s">
        <v>449</v>
      </c>
      <c r="M49" s="42">
        <v>43564</v>
      </c>
      <c r="N49" s="43" t="s">
        <v>405</v>
      </c>
      <c r="O49" s="42">
        <v>43569</v>
      </c>
      <c r="P49" s="45"/>
      <c r="Q49" s="62" t="s">
        <v>89</v>
      </c>
      <c r="R49" s="44" t="s">
        <v>518</v>
      </c>
      <c r="S49" s="46"/>
    </row>
    <row r="50" spans="2:19" s="30" customFormat="1" ht="33" customHeight="1">
      <c r="B50" s="46" t="s">
        <v>222</v>
      </c>
      <c r="C50" s="35" t="s">
        <v>519</v>
      </c>
      <c r="D50" s="36" t="s">
        <v>710</v>
      </c>
      <c r="E50" s="37">
        <v>43511</v>
      </c>
      <c r="F50" s="38" t="s">
        <v>213</v>
      </c>
      <c r="G50" s="39">
        <v>640</v>
      </c>
      <c r="H50" s="38">
        <f t="shared" si="5"/>
        <v>32</v>
      </c>
      <c r="I50" s="38">
        <f t="shared" si="6"/>
        <v>1</v>
      </c>
      <c r="J50" s="61"/>
      <c r="K50" s="40">
        <v>43555</v>
      </c>
      <c r="L50" s="41" t="s">
        <v>564</v>
      </c>
      <c r="M50" s="42">
        <v>43557</v>
      </c>
      <c r="N50" s="43" t="s">
        <v>403</v>
      </c>
      <c r="O50" s="42">
        <v>43562</v>
      </c>
      <c r="P50" s="45"/>
      <c r="Q50" s="62" t="s">
        <v>89</v>
      </c>
      <c r="R50" s="44" t="s">
        <v>518</v>
      </c>
      <c r="S50" s="46"/>
    </row>
    <row r="51" spans="2:19" s="30" customFormat="1" ht="33" customHeight="1">
      <c r="B51" s="46" t="s">
        <v>222</v>
      </c>
      <c r="C51" s="35" t="s">
        <v>520</v>
      </c>
      <c r="D51" s="36" t="s">
        <v>584</v>
      </c>
      <c r="E51" s="37">
        <v>43511</v>
      </c>
      <c r="F51" s="38" t="s">
        <v>213</v>
      </c>
      <c r="G51" s="39">
        <v>1920</v>
      </c>
      <c r="H51" s="38">
        <f t="shared" si="5"/>
        <v>96</v>
      </c>
      <c r="I51" s="38">
        <f t="shared" si="6"/>
        <v>3</v>
      </c>
      <c r="J51" s="61"/>
      <c r="K51" s="40">
        <v>43576</v>
      </c>
      <c r="L51" s="41" t="s">
        <v>503</v>
      </c>
      <c r="M51" s="42">
        <v>43571</v>
      </c>
      <c r="N51" s="43" t="s">
        <v>445</v>
      </c>
      <c r="O51" s="42">
        <v>43576</v>
      </c>
      <c r="P51" s="45"/>
      <c r="Q51" s="62" t="s">
        <v>89</v>
      </c>
      <c r="R51" s="44" t="s">
        <v>585</v>
      </c>
      <c r="S51" s="46"/>
    </row>
    <row r="52" spans="2:19" s="30" customFormat="1" ht="33" customHeight="1">
      <c r="B52" s="46" t="s">
        <v>222</v>
      </c>
      <c r="C52" s="35" t="s">
        <v>586</v>
      </c>
      <c r="D52" s="36" t="s">
        <v>640</v>
      </c>
      <c r="E52" s="37">
        <v>43519</v>
      </c>
      <c r="F52" s="38" t="s">
        <v>213</v>
      </c>
      <c r="G52" s="39">
        <v>1920</v>
      </c>
      <c r="H52" s="38">
        <f t="shared" si="5"/>
        <v>96</v>
      </c>
      <c r="I52" s="38">
        <f t="shared" si="6"/>
        <v>3</v>
      </c>
      <c r="J52" s="61"/>
      <c r="K52" s="40">
        <v>43611</v>
      </c>
      <c r="L52" s="119" t="s">
        <v>607</v>
      </c>
      <c r="M52" s="120">
        <v>43601</v>
      </c>
      <c r="N52" s="121" t="s">
        <v>601</v>
      </c>
      <c r="O52" s="120">
        <v>43605</v>
      </c>
      <c r="P52" s="45"/>
      <c r="Q52" s="62"/>
      <c r="R52" s="44" t="s">
        <v>790</v>
      </c>
      <c r="S52" s="122" t="s">
        <v>980</v>
      </c>
    </row>
    <row r="53" spans="2:19" s="30" customFormat="1" ht="33" customHeight="1">
      <c r="B53" s="46" t="s">
        <v>222</v>
      </c>
      <c r="C53" s="35" t="s">
        <v>713</v>
      </c>
      <c r="D53" s="36" t="s">
        <v>714</v>
      </c>
      <c r="E53" s="37">
        <v>43532</v>
      </c>
      <c r="F53" s="38" t="s">
        <v>213</v>
      </c>
      <c r="G53" s="39">
        <v>2560</v>
      </c>
      <c r="H53" s="38">
        <f t="shared" si="5"/>
        <v>128</v>
      </c>
      <c r="I53" s="38">
        <f t="shared" si="6"/>
        <v>4</v>
      </c>
      <c r="J53" s="61"/>
      <c r="K53" s="130">
        <v>43639</v>
      </c>
      <c r="L53" s="119" t="s">
        <v>1083</v>
      </c>
      <c r="M53" s="120">
        <v>43634</v>
      </c>
      <c r="N53" s="121" t="s">
        <v>1084</v>
      </c>
      <c r="O53" s="120">
        <v>43639</v>
      </c>
      <c r="P53" s="45"/>
      <c r="Q53" s="62" t="s">
        <v>89</v>
      </c>
      <c r="R53" s="125" t="s">
        <v>1026</v>
      </c>
      <c r="S53" s="46"/>
    </row>
    <row r="54" spans="2:19" s="33" customFormat="1" ht="33" customHeight="1">
      <c r="B54" s="47" t="s">
        <v>38</v>
      </c>
      <c r="C54" s="48" t="s">
        <v>224</v>
      </c>
      <c r="D54" s="49" t="s">
        <v>328</v>
      </c>
      <c r="E54" s="50">
        <v>43420</v>
      </c>
      <c r="F54" s="52" t="s">
        <v>214</v>
      </c>
      <c r="G54" s="64">
        <v>640</v>
      </c>
      <c r="H54" s="52">
        <f>SUBTOTAL(9,G54)/20</f>
        <v>32</v>
      </c>
      <c r="I54" s="52">
        <f>H54/32</f>
        <v>1</v>
      </c>
      <c r="J54" s="52"/>
      <c r="K54" s="53">
        <v>43520</v>
      </c>
      <c r="L54" s="54" t="s">
        <v>348</v>
      </c>
      <c r="M54" s="55">
        <v>43515</v>
      </c>
      <c r="N54" s="56" t="s">
        <v>347</v>
      </c>
      <c r="O54" s="55">
        <v>43155</v>
      </c>
      <c r="P54" s="58" t="s">
        <v>504</v>
      </c>
      <c r="Q54" s="52"/>
      <c r="R54" s="63" t="s">
        <v>329</v>
      </c>
      <c r="S54" s="47"/>
    </row>
    <row r="55" spans="2:19" s="30" customFormat="1" ht="33" customHeight="1">
      <c r="B55" s="46" t="s">
        <v>38</v>
      </c>
      <c r="C55" s="35" t="s">
        <v>225</v>
      </c>
      <c r="D55" s="36" t="s">
        <v>587</v>
      </c>
      <c r="E55" s="37">
        <v>43519</v>
      </c>
      <c r="F55" s="38" t="s">
        <v>214</v>
      </c>
      <c r="G55" s="65">
        <v>640</v>
      </c>
      <c r="H55" s="38">
        <f>SUBTOTAL(9,G55)/20</f>
        <v>32</v>
      </c>
      <c r="I55" s="38">
        <f>H55/32</f>
        <v>1</v>
      </c>
      <c r="J55" s="38"/>
      <c r="K55" s="40">
        <v>43583</v>
      </c>
      <c r="L55" s="41" t="s">
        <v>565</v>
      </c>
      <c r="M55" s="42">
        <v>43578</v>
      </c>
      <c r="N55" s="43" t="s">
        <v>447</v>
      </c>
      <c r="O55" s="42">
        <v>43583</v>
      </c>
      <c r="P55" s="45"/>
      <c r="Q55" s="38"/>
      <c r="R55" s="66" t="s">
        <v>515</v>
      </c>
      <c r="S55" s="46"/>
    </row>
    <row r="56" spans="2:19" s="33" customFormat="1" ht="33" customHeight="1">
      <c r="B56" s="47" t="s">
        <v>88</v>
      </c>
      <c r="C56" s="48" t="s">
        <v>331</v>
      </c>
      <c r="D56" s="49" t="s">
        <v>332</v>
      </c>
      <c r="E56" s="50">
        <v>43420</v>
      </c>
      <c r="F56" s="52" t="s">
        <v>214</v>
      </c>
      <c r="G56" s="64">
        <v>760</v>
      </c>
      <c r="H56" s="52">
        <f>SUBTOTAL(9,G56)/190</f>
        <v>4</v>
      </c>
      <c r="I56" s="52">
        <f>H56/4</f>
        <v>1</v>
      </c>
      <c r="J56" s="52"/>
      <c r="K56" s="53">
        <v>43520</v>
      </c>
      <c r="L56" s="54" t="s">
        <v>348</v>
      </c>
      <c r="M56" s="55">
        <v>43515</v>
      </c>
      <c r="N56" s="56" t="s">
        <v>347</v>
      </c>
      <c r="O56" s="55">
        <v>43155</v>
      </c>
      <c r="P56" s="58" t="s">
        <v>497</v>
      </c>
      <c r="Q56" s="52"/>
      <c r="R56" s="63" t="s">
        <v>333</v>
      </c>
      <c r="S56" s="47"/>
    </row>
    <row r="57" spans="2:19" s="30" customFormat="1" ht="33" customHeight="1">
      <c r="B57" s="46" t="s">
        <v>88</v>
      </c>
      <c r="C57" s="35" t="s">
        <v>431</v>
      </c>
      <c r="D57" s="36" t="s">
        <v>471</v>
      </c>
      <c r="E57" s="37">
        <v>43483</v>
      </c>
      <c r="F57" s="38" t="s">
        <v>214</v>
      </c>
      <c r="G57" s="65">
        <v>760</v>
      </c>
      <c r="H57" s="38">
        <f>SUBTOTAL(9,G57)/190</f>
        <v>4</v>
      </c>
      <c r="I57" s="38">
        <f>H57/4</f>
        <v>1</v>
      </c>
      <c r="J57" s="38"/>
      <c r="K57" s="40">
        <v>43569</v>
      </c>
      <c r="L57" s="41" t="s">
        <v>417</v>
      </c>
      <c r="M57" s="42">
        <v>43564</v>
      </c>
      <c r="N57" s="43" t="s">
        <v>405</v>
      </c>
      <c r="O57" s="42">
        <v>43569</v>
      </c>
      <c r="P57" s="45"/>
      <c r="Q57" s="38"/>
      <c r="R57" s="66" t="s">
        <v>493</v>
      </c>
      <c r="S57" s="46"/>
    </row>
    <row r="58" spans="2:19" s="30" customFormat="1" ht="33" customHeight="1">
      <c r="B58" s="46" t="s">
        <v>88</v>
      </c>
      <c r="C58" s="35" t="s">
        <v>523</v>
      </c>
      <c r="D58" s="36" t="s">
        <v>588</v>
      </c>
      <c r="E58" s="37">
        <v>43511</v>
      </c>
      <c r="F58" s="38" t="s">
        <v>214</v>
      </c>
      <c r="G58" s="65">
        <v>760</v>
      </c>
      <c r="H58" s="38">
        <f>SUBTOTAL(9,G58)/190</f>
        <v>4</v>
      </c>
      <c r="I58" s="38">
        <f>H58/4</f>
        <v>1</v>
      </c>
      <c r="J58" s="38"/>
      <c r="K58" s="40">
        <v>43583</v>
      </c>
      <c r="L58" s="41" t="s">
        <v>565</v>
      </c>
      <c r="M58" s="42">
        <v>43578</v>
      </c>
      <c r="N58" s="43" t="s">
        <v>447</v>
      </c>
      <c r="O58" s="42">
        <v>43583</v>
      </c>
      <c r="P58" s="45"/>
      <c r="Q58" s="38"/>
      <c r="R58" s="66" t="s">
        <v>320</v>
      </c>
      <c r="S58" s="46"/>
    </row>
    <row r="59" spans="2:19" s="30" customFormat="1" ht="33" customHeight="1">
      <c r="B59" s="46" t="s">
        <v>88</v>
      </c>
      <c r="C59" s="35" t="s">
        <v>589</v>
      </c>
      <c r="D59" s="36" t="s">
        <v>590</v>
      </c>
      <c r="E59" s="37">
        <v>43519</v>
      </c>
      <c r="F59" s="38" t="s">
        <v>214</v>
      </c>
      <c r="G59" s="65">
        <v>760</v>
      </c>
      <c r="H59" s="38">
        <f>SUBTOTAL(9,G59)/190</f>
        <v>4</v>
      </c>
      <c r="I59" s="38">
        <f>H59/4</f>
        <v>1</v>
      </c>
      <c r="J59" s="38"/>
      <c r="K59" s="40">
        <v>43597</v>
      </c>
      <c r="L59" s="41" t="s">
        <v>606</v>
      </c>
      <c r="M59" s="42">
        <v>43592</v>
      </c>
      <c r="N59" s="43" t="s">
        <v>600</v>
      </c>
      <c r="O59" s="42">
        <v>43597</v>
      </c>
      <c r="P59" s="45"/>
      <c r="Q59" s="38"/>
      <c r="R59" s="66" t="s">
        <v>469</v>
      </c>
      <c r="S59" s="46"/>
    </row>
    <row r="60" spans="2:19" s="33" customFormat="1" ht="33" customHeight="1">
      <c r="B60" s="47" t="s">
        <v>83</v>
      </c>
      <c r="C60" s="48" t="s">
        <v>335</v>
      </c>
      <c r="D60" s="49" t="s">
        <v>336</v>
      </c>
      <c r="E60" s="50">
        <v>43420</v>
      </c>
      <c r="F60" s="52" t="s">
        <v>77</v>
      </c>
      <c r="G60" s="51">
        <v>5760</v>
      </c>
      <c r="H60" s="52">
        <f>SUM(G60/240)</f>
        <v>24</v>
      </c>
      <c r="I60" s="52">
        <f t="shared" ref="I60:I68" si="7">SUM(H60/4)</f>
        <v>6</v>
      </c>
      <c r="J60" s="52"/>
      <c r="K60" s="53">
        <v>43148</v>
      </c>
      <c r="L60" s="54" t="s">
        <v>276</v>
      </c>
      <c r="M60" s="55">
        <v>43508</v>
      </c>
      <c r="N60" s="56" t="s">
        <v>345</v>
      </c>
      <c r="O60" s="55">
        <v>43148</v>
      </c>
      <c r="P60" s="58"/>
      <c r="Q60" s="52"/>
      <c r="R60" s="118" t="s">
        <v>392</v>
      </c>
      <c r="S60" s="47"/>
    </row>
    <row r="61" spans="2:19" s="33" customFormat="1" ht="33" customHeight="1">
      <c r="B61" s="47" t="s">
        <v>83</v>
      </c>
      <c r="C61" s="48" t="s">
        <v>477</v>
      </c>
      <c r="D61" s="49" t="s">
        <v>415</v>
      </c>
      <c r="E61" s="50">
        <v>43462</v>
      </c>
      <c r="F61" s="52" t="s">
        <v>77</v>
      </c>
      <c r="G61" s="51">
        <v>960</v>
      </c>
      <c r="H61" s="52">
        <f>SUM(G61/240)</f>
        <v>4</v>
      </c>
      <c r="I61" s="52">
        <f t="shared" si="7"/>
        <v>1</v>
      </c>
      <c r="J61" s="52"/>
      <c r="K61" s="53">
        <v>43148</v>
      </c>
      <c r="L61" s="54" t="s">
        <v>276</v>
      </c>
      <c r="M61" s="55">
        <v>43508</v>
      </c>
      <c r="N61" s="56" t="s">
        <v>345</v>
      </c>
      <c r="O61" s="55">
        <v>43148</v>
      </c>
      <c r="P61" s="58"/>
      <c r="Q61" s="52"/>
      <c r="R61" s="118" t="s">
        <v>392</v>
      </c>
      <c r="S61" s="47"/>
    </row>
    <row r="62" spans="2:19" s="33" customFormat="1" ht="33" customHeight="1">
      <c r="B62" s="47" t="s">
        <v>83</v>
      </c>
      <c r="C62" s="48" t="s">
        <v>408</v>
      </c>
      <c r="D62" s="49" t="s">
        <v>415</v>
      </c>
      <c r="E62" s="50">
        <v>43462</v>
      </c>
      <c r="F62" s="52" t="s">
        <v>77</v>
      </c>
      <c r="G62" s="51">
        <v>960</v>
      </c>
      <c r="H62" s="52">
        <f t="shared" ref="H62:H68" si="8">SUM(G62/240)</f>
        <v>4</v>
      </c>
      <c r="I62" s="52">
        <f t="shared" si="7"/>
        <v>1</v>
      </c>
      <c r="J62" s="52"/>
      <c r="K62" s="53">
        <v>43148</v>
      </c>
      <c r="L62" s="54" t="s">
        <v>501</v>
      </c>
      <c r="M62" s="55">
        <v>43531</v>
      </c>
      <c r="N62" s="56" t="s">
        <v>568</v>
      </c>
      <c r="O62" s="55">
        <v>43535</v>
      </c>
      <c r="P62" s="58" t="s">
        <v>656</v>
      </c>
      <c r="Q62" s="52"/>
      <c r="R62" s="118" t="s">
        <v>392</v>
      </c>
      <c r="S62" s="47" t="s">
        <v>609</v>
      </c>
    </row>
    <row r="63" spans="2:19" s="33" customFormat="1" ht="33" customHeight="1">
      <c r="B63" s="47" t="s">
        <v>83</v>
      </c>
      <c r="C63" s="48" t="s">
        <v>478</v>
      </c>
      <c r="D63" s="49" t="s">
        <v>485</v>
      </c>
      <c r="E63" s="50">
        <v>43462</v>
      </c>
      <c r="F63" s="52" t="s">
        <v>77</v>
      </c>
      <c r="G63" s="51">
        <v>2880</v>
      </c>
      <c r="H63" s="52">
        <f t="shared" si="8"/>
        <v>12</v>
      </c>
      <c r="I63" s="52">
        <f t="shared" si="7"/>
        <v>3</v>
      </c>
      <c r="J63" s="52"/>
      <c r="K63" s="53">
        <v>43541</v>
      </c>
      <c r="L63" s="54" t="s">
        <v>501</v>
      </c>
      <c r="M63" s="55">
        <v>43531</v>
      </c>
      <c r="N63" s="56" t="s">
        <v>568</v>
      </c>
      <c r="O63" s="55">
        <v>43535</v>
      </c>
      <c r="P63" s="58" t="s">
        <v>657</v>
      </c>
      <c r="Q63" s="52"/>
      <c r="R63" s="118" t="s">
        <v>486</v>
      </c>
      <c r="S63" s="47" t="s">
        <v>610</v>
      </c>
    </row>
    <row r="64" spans="2:19" s="33" customFormat="1" ht="33" customHeight="1">
      <c r="B64" s="47" t="s">
        <v>83</v>
      </c>
      <c r="C64" s="48" t="s">
        <v>232</v>
      </c>
      <c r="D64" s="49" t="s">
        <v>386</v>
      </c>
      <c r="E64" s="50">
        <v>43455</v>
      </c>
      <c r="F64" s="52" t="s">
        <v>77</v>
      </c>
      <c r="G64" s="51">
        <v>5760</v>
      </c>
      <c r="H64" s="52">
        <f t="shared" si="8"/>
        <v>24</v>
      </c>
      <c r="I64" s="52">
        <f t="shared" si="7"/>
        <v>6</v>
      </c>
      <c r="J64" s="52"/>
      <c r="K64" s="53">
        <v>43541</v>
      </c>
      <c r="L64" s="54" t="s">
        <v>476</v>
      </c>
      <c r="M64" s="55">
        <v>43543</v>
      </c>
      <c r="N64" s="56" t="s">
        <v>400</v>
      </c>
      <c r="O64" s="55">
        <v>43548</v>
      </c>
      <c r="P64" s="58" t="s">
        <v>658</v>
      </c>
      <c r="Q64" s="52"/>
      <c r="R64" s="118" t="s">
        <v>387</v>
      </c>
      <c r="S64" s="47"/>
    </row>
    <row r="65" spans="2:19" s="30" customFormat="1" ht="33" customHeight="1">
      <c r="B65" s="46" t="s">
        <v>83</v>
      </c>
      <c r="C65" s="35" t="s">
        <v>244</v>
      </c>
      <c r="D65" s="36" t="s">
        <v>722</v>
      </c>
      <c r="E65" s="37">
        <v>43483</v>
      </c>
      <c r="F65" s="38" t="s">
        <v>77</v>
      </c>
      <c r="G65" s="39">
        <v>6720</v>
      </c>
      <c r="H65" s="38">
        <f t="shared" si="8"/>
        <v>28</v>
      </c>
      <c r="I65" s="38">
        <f t="shared" si="7"/>
        <v>7</v>
      </c>
      <c r="J65" s="38"/>
      <c r="K65" s="40">
        <v>43569</v>
      </c>
      <c r="L65" s="41" t="s">
        <v>480</v>
      </c>
      <c r="M65" s="42">
        <v>43564</v>
      </c>
      <c r="N65" s="43" t="s">
        <v>646</v>
      </c>
      <c r="O65" s="42">
        <v>43569</v>
      </c>
      <c r="P65" s="45" t="s">
        <v>659</v>
      </c>
      <c r="Q65" s="38"/>
      <c r="R65" s="115" t="s">
        <v>432</v>
      </c>
      <c r="S65" s="46"/>
    </row>
    <row r="66" spans="2:19" s="30" customFormat="1" ht="33" customHeight="1">
      <c r="B66" s="46" t="s">
        <v>83</v>
      </c>
      <c r="C66" s="35" t="s">
        <v>660</v>
      </c>
      <c r="D66" s="36" t="s">
        <v>472</v>
      </c>
      <c r="E66" s="37">
        <v>43483</v>
      </c>
      <c r="F66" s="38" t="s">
        <v>77</v>
      </c>
      <c r="G66" s="39">
        <v>5760</v>
      </c>
      <c r="H66" s="38">
        <f>SUM(G66/240)</f>
        <v>24</v>
      </c>
      <c r="I66" s="38">
        <f>SUM(H66/4)</f>
        <v>6</v>
      </c>
      <c r="J66" s="38"/>
      <c r="K66" s="40">
        <v>43583</v>
      </c>
      <c r="L66" s="41" t="s">
        <v>448</v>
      </c>
      <c r="M66" s="42">
        <v>43578</v>
      </c>
      <c r="N66" s="43" t="s">
        <v>447</v>
      </c>
      <c r="O66" s="42">
        <v>43583</v>
      </c>
      <c r="P66" s="45" t="s">
        <v>662</v>
      </c>
      <c r="Q66" s="38"/>
      <c r="R66" s="115" t="s">
        <v>432</v>
      </c>
      <c r="S66" s="46"/>
    </row>
    <row r="67" spans="2:19" s="30" customFormat="1" ht="33" customHeight="1">
      <c r="B67" s="46" t="s">
        <v>83</v>
      </c>
      <c r="C67" s="35" t="s">
        <v>258</v>
      </c>
      <c r="D67" s="36" t="s">
        <v>591</v>
      </c>
      <c r="E67" s="37">
        <v>43519</v>
      </c>
      <c r="F67" s="38" t="s">
        <v>77</v>
      </c>
      <c r="G67" s="39">
        <v>5760</v>
      </c>
      <c r="H67" s="38">
        <f t="shared" si="8"/>
        <v>24</v>
      </c>
      <c r="I67" s="38">
        <f t="shared" si="7"/>
        <v>6</v>
      </c>
      <c r="J67" s="38"/>
      <c r="K67" s="40">
        <v>43605</v>
      </c>
      <c r="L67" s="41" t="s">
        <v>607</v>
      </c>
      <c r="M67" s="42">
        <v>43601</v>
      </c>
      <c r="N67" s="43" t="s">
        <v>601</v>
      </c>
      <c r="O67" s="42">
        <v>43605</v>
      </c>
      <c r="P67" s="45" t="s">
        <v>663</v>
      </c>
      <c r="Q67" s="38"/>
      <c r="R67" s="115" t="s">
        <v>592</v>
      </c>
      <c r="S67" s="46"/>
    </row>
    <row r="68" spans="2:19" s="30" customFormat="1" ht="33" customHeight="1">
      <c r="B68" s="46" t="s">
        <v>83</v>
      </c>
      <c r="C68" s="35" t="s">
        <v>321</v>
      </c>
      <c r="D68" s="36" t="s">
        <v>727</v>
      </c>
      <c r="E68" s="37">
        <v>43532</v>
      </c>
      <c r="F68" s="38" t="s">
        <v>77</v>
      </c>
      <c r="G68" s="39">
        <v>6720</v>
      </c>
      <c r="H68" s="38">
        <f t="shared" si="8"/>
        <v>28</v>
      </c>
      <c r="I68" s="38">
        <f t="shared" si="7"/>
        <v>7</v>
      </c>
      <c r="J68" s="38"/>
      <c r="K68" s="40">
        <v>43633</v>
      </c>
      <c r="L68" s="41" t="s">
        <v>770</v>
      </c>
      <c r="M68" s="42">
        <v>43627</v>
      </c>
      <c r="N68" s="43" t="s">
        <v>769</v>
      </c>
      <c r="O68" s="42">
        <v>43632</v>
      </c>
      <c r="P68" s="45"/>
      <c r="Q68" s="38"/>
      <c r="R68" s="115" t="s">
        <v>728</v>
      </c>
      <c r="S68" s="46"/>
    </row>
    <row r="69" spans="2:19" s="34" customFormat="1" ht="33" customHeight="1">
      <c r="B69" s="47" t="s">
        <v>210</v>
      </c>
      <c r="C69" s="48" t="s">
        <v>225</v>
      </c>
      <c r="D69" s="49" t="s">
        <v>433</v>
      </c>
      <c r="E69" s="50">
        <v>43473</v>
      </c>
      <c r="F69" s="52" t="s">
        <v>218</v>
      </c>
      <c r="G69" s="51">
        <v>1920</v>
      </c>
      <c r="H69" s="52">
        <f t="shared" ref="H69:H85" si="9">SUM(G69/20)</f>
        <v>96</v>
      </c>
      <c r="I69" s="52">
        <f t="shared" ref="I69:I85" si="10">SUM(H69/32)</f>
        <v>3</v>
      </c>
      <c r="J69" s="52"/>
      <c r="K69" s="53">
        <v>43520</v>
      </c>
      <c r="L69" s="54" t="s">
        <v>365</v>
      </c>
      <c r="M69" s="55">
        <v>43515</v>
      </c>
      <c r="N69" s="56" t="s">
        <v>347</v>
      </c>
      <c r="O69" s="55">
        <v>43520</v>
      </c>
      <c r="P69" s="58"/>
      <c r="Q69" s="52"/>
      <c r="R69" s="63" t="s">
        <v>211</v>
      </c>
      <c r="S69" s="52"/>
    </row>
    <row r="70" spans="2:19" s="34" customFormat="1" ht="33" customHeight="1">
      <c r="B70" s="47" t="s">
        <v>210</v>
      </c>
      <c r="C70" s="48" t="s">
        <v>226</v>
      </c>
      <c r="D70" s="49" t="s">
        <v>593</v>
      </c>
      <c r="E70" s="50">
        <v>43483</v>
      </c>
      <c r="F70" s="52" t="s">
        <v>218</v>
      </c>
      <c r="G70" s="51">
        <v>640</v>
      </c>
      <c r="H70" s="52">
        <f t="shared" si="9"/>
        <v>32</v>
      </c>
      <c r="I70" s="52">
        <f t="shared" si="10"/>
        <v>1</v>
      </c>
      <c r="J70" s="52"/>
      <c r="K70" s="53">
        <v>43534</v>
      </c>
      <c r="L70" s="54" t="s">
        <v>566</v>
      </c>
      <c r="M70" s="55"/>
      <c r="N70" s="56"/>
      <c r="O70" s="55">
        <v>43520</v>
      </c>
      <c r="P70" s="58" t="s">
        <v>651</v>
      </c>
      <c r="Q70" s="52"/>
      <c r="R70" s="63" t="s">
        <v>211</v>
      </c>
      <c r="S70" s="52"/>
    </row>
    <row r="71" spans="2:19" s="34" customFormat="1" ht="33" customHeight="1">
      <c r="B71" s="47" t="s">
        <v>210</v>
      </c>
      <c r="C71" s="48" t="s">
        <v>226</v>
      </c>
      <c r="D71" s="49" t="s">
        <v>434</v>
      </c>
      <c r="E71" s="50">
        <v>43483</v>
      </c>
      <c r="F71" s="52" t="s">
        <v>218</v>
      </c>
      <c r="G71" s="51">
        <v>1920</v>
      </c>
      <c r="H71" s="52">
        <f t="shared" si="9"/>
        <v>96</v>
      </c>
      <c r="I71" s="52">
        <f t="shared" si="10"/>
        <v>3</v>
      </c>
      <c r="J71" s="52"/>
      <c r="K71" s="53">
        <v>43534</v>
      </c>
      <c r="L71" s="54" t="s">
        <v>567</v>
      </c>
      <c r="M71" s="55">
        <v>43524</v>
      </c>
      <c r="N71" s="56" t="s">
        <v>594</v>
      </c>
      <c r="O71" s="55">
        <v>43528</v>
      </c>
      <c r="P71" s="58" t="s">
        <v>652</v>
      </c>
      <c r="Q71" s="52" t="s">
        <v>615</v>
      </c>
      <c r="R71" s="63" t="s">
        <v>211</v>
      </c>
      <c r="S71" s="52"/>
    </row>
    <row r="72" spans="2:19" s="34" customFormat="1" ht="33" customHeight="1">
      <c r="B72" s="47" t="s">
        <v>210</v>
      </c>
      <c r="C72" s="48" t="s">
        <v>226</v>
      </c>
      <c r="D72" s="49" t="s">
        <v>434</v>
      </c>
      <c r="E72" s="50">
        <v>43483</v>
      </c>
      <c r="F72" s="52" t="s">
        <v>218</v>
      </c>
      <c r="G72" s="51">
        <v>1280</v>
      </c>
      <c r="H72" s="52">
        <f t="shared" si="9"/>
        <v>64</v>
      </c>
      <c r="I72" s="52">
        <f t="shared" si="10"/>
        <v>2</v>
      </c>
      <c r="J72" s="52"/>
      <c r="K72" s="53">
        <v>43534</v>
      </c>
      <c r="L72" s="54" t="s">
        <v>501</v>
      </c>
      <c r="M72" s="55">
        <v>43531</v>
      </c>
      <c r="N72" s="56" t="s">
        <v>568</v>
      </c>
      <c r="O72" s="55">
        <v>43535</v>
      </c>
      <c r="P72" s="58" t="s">
        <v>653</v>
      </c>
      <c r="Q72" s="52" t="s">
        <v>614</v>
      </c>
      <c r="R72" s="63" t="s">
        <v>211</v>
      </c>
      <c r="S72" s="52" t="s">
        <v>611</v>
      </c>
    </row>
    <row r="73" spans="2:19" s="34" customFormat="1" ht="33" customHeight="1">
      <c r="B73" s="47" t="s">
        <v>210</v>
      </c>
      <c r="C73" s="48" t="s">
        <v>233</v>
      </c>
      <c r="D73" s="49" t="s">
        <v>525</v>
      </c>
      <c r="E73" s="50">
        <v>43507</v>
      </c>
      <c r="F73" s="52" t="s">
        <v>218</v>
      </c>
      <c r="G73" s="51">
        <v>1920</v>
      </c>
      <c r="H73" s="52">
        <f t="shared" si="9"/>
        <v>96</v>
      </c>
      <c r="I73" s="52">
        <f t="shared" si="10"/>
        <v>3</v>
      </c>
      <c r="J73" s="52"/>
      <c r="K73" s="53">
        <v>43541</v>
      </c>
      <c r="L73" s="54" t="s">
        <v>502</v>
      </c>
      <c r="M73" s="55">
        <v>43536</v>
      </c>
      <c r="N73" s="56" t="s">
        <v>346</v>
      </c>
      <c r="O73" s="55">
        <v>43541</v>
      </c>
      <c r="P73" s="58" t="s">
        <v>654</v>
      </c>
      <c r="Q73" s="52" t="s">
        <v>612</v>
      </c>
      <c r="R73" s="63" t="s">
        <v>211</v>
      </c>
      <c r="S73" s="52"/>
    </row>
    <row r="74" spans="2:19" s="34" customFormat="1" ht="33" customHeight="1">
      <c r="B74" s="47" t="s">
        <v>210</v>
      </c>
      <c r="C74" s="48" t="s">
        <v>595</v>
      </c>
      <c r="D74" s="49" t="s">
        <v>525</v>
      </c>
      <c r="E74" s="50">
        <v>43519</v>
      </c>
      <c r="F74" s="52" t="s">
        <v>218</v>
      </c>
      <c r="G74" s="51">
        <v>1920</v>
      </c>
      <c r="H74" s="52">
        <f t="shared" si="9"/>
        <v>96</v>
      </c>
      <c r="I74" s="52">
        <f t="shared" si="10"/>
        <v>3</v>
      </c>
      <c r="J74" s="52"/>
      <c r="K74" s="53">
        <v>43555</v>
      </c>
      <c r="L74" s="54" t="s">
        <v>644</v>
      </c>
      <c r="M74" s="55">
        <v>43550</v>
      </c>
      <c r="N74" s="56" t="s">
        <v>344</v>
      </c>
      <c r="O74" s="55">
        <v>43555</v>
      </c>
      <c r="P74" s="58"/>
      <c r="Q74" s="52" t="s">
        <v>613</v>
      </c>
      <c r="R74" s="63" t="s">
        <v>211</v>
      </c>
      <c r="S74" s="52"/>
    </row>
    <row r="75" spans="2:19" s="32" customFormat="1" ht="33" customHeight="1">
      <c r="B75" s="46" t="s">
        <v>210</v>
      </c>
      <c r="C75" s="35" t="s">
        <v>285</v>
      </c>
      <c r="D75" s="36" t="s">
        <v>526</v>
      </c>
      <c r="E75" s="37">
        <v>43507</v>
      </c>
      <c r="F75" s="38" t="s">
        <v>218</v>
      </c>
      <c r="G75" s="39">
        <v>3200</v>
      </c>
      <c r="H75" s="38">
        <f t="shared" si="9"/>
        <v>160</v>
      </c>
      <c r="I75" s="38">
        <f t="shared" si="10"/>
        <v>5</v>
      </c>
      <c r="J75" s="38"/>
      <c r="K75" s="40">
        <v>43576</v>
      </c>
      <c r="L75" s="41" t="s">
        <v>503</v>
      </c>
      <c r="M75" s="42">
        <v>43571</v>
      </c>
      <c r="N75" s="43" t="s">
        <v>445</v>
      </c>
      <c r="O75" s="42">
        <v>43576</v>
      </c>
      <c r="P75" s="45"/>
      <c r="Q75" s="38" t="s">
        <v>643</v>
      </c>
      <c r="R75" s="66" t="s">
        <v>211</v>
      </c>
      <c r="S75" s="38"/>
    </row>
    <row r="76" spans="2:19" s="32" customFormat="1" ht="33" customHeight="1">
      <c r="B76" s="46" t="s">
        <v>210</v>
      </c>
      <c r="C76" s="35" t="s">
        <v>650</v>
      </c>
      <c r="D76" s="36" t="s">
        <v>526</v>
      </c>
      <c r="E76" s="37">
        <v>43507</v>
      </c>
      <c r="F76" s="38" t="s">
        <v>218</v>
      </c>
      <c r="G76" s="39">
        <v>640</v>
      </c>
      <c r="H76" s="38">
        <f>SUM(G76/20)</f>
        <v>32</v>
      </c>
      <c r="I76" s="38">
        <f>SUM(H76/32)</f>
        <v>1</v>
      </c>
      <c r="J76" s="38"/>
      <c r="K76" s="40">
        <v>43576</v>
      </c>
      <c r="L76" s="41" t="s">
        <v>448</v>
      </c>
      <c r="M76" s="42">
        <v>43578</v>
      </c>
      <c r="N76" s="43" t="s">
        <v>447</v>
      </c>
      <c r="O76" s="42">
        <v>43583</v>
      </c>
      <c r="P76" s="45"/>
      <c r="Q76" s="38" t="s">
        <v>643</v>
      </c>
      <c r="R76" s="66" t="s">
        <v>211</v>
      </c>
      <c r="S76" s="38"/>
    </row>
    <row r="77" spans="2:19" s="32" customFormat="1" ht="33" customHeight="1">
      <c r="B77" s="46" t="s">
        <v>210</v>
      </c>
      <c r="C77" s="35" t="s">
        <v>331</v>
      </c>
      <c r="D77" s="36" t="s">
        <v>632</v>
      </c>
      <c r="E77" s="37">
        <v>43519</v>
      </c>
      <c r="F77" s="38" t="s">
        <v>218</v>
      </c>
      <c r="G77" s="39">
        <v>3200</v>
      </c>
      <c r="H77" s="38">
        <f t="shared" si="9"/>
        <v>160</v>
      </c>
      <c r="I77" s="38">
        <f t="shared" si="10"/>
        <v>5</v>
      </c>
      <c r="J77" s="38"/>
      <c r="K77" s="40">
        <v>43562</v>
      </c>
      <c r="L77" s="41" t="s">
        <v>608</v>
      </c>
      <c r="M77" s="42">
        <v>43557</v>
      </c>
      <c r="N77" s="43" t="s">
        <v>403</v>
      </c>
      <c r="O77" s="42">
        <v>43562</v>
      </c>
      <c r="P77" s="45"/>
      <c r="Q77" s="38" t="s">
        <v>642</v>
      </c>
      <c r="R77" s="66" t="s">
        <v>211</v>
      </c>
      <c r="S77" s="38"/>
    </row>
    <row r="78" spans="2:19" s="32" customFormat="1" ht="33" customHeight="1">
      <c r="B78" s="46" t="s">
        <v>210</v>
      </c>
      <c r="C78" s="35" t="s">
        <v>647</v>
      </c>
      <c r="D78" s="36" t="s">
        <v>632</v>
      </c>
      <c r="E78" s="37">
        <v>43519</v>
      </c>
      <c r="F78" s="38" t="s">
        <v>218</v>
      </c>
      <c r="G78" s="39">
        <v>640</v>
      </c>
      <c r="H78" s="38">
        <f>SUM(G78/20)</f>
        <v>32</v>
      </c>
      <c r="I78" s="38">
        <f>SUM(H78/32)</f>
        <v>1</v>
      </c>
      <c r="J78" s="38"/>
      <c r="K78" s="40">
        <v>43562</v>
      </c>
      <c r="L78" s="41" t="s">
        <v>480</v>
      </c>
      <c r="M78" s="42">
        <v>43564</v>
      </c>
      <c r="N78" s="43" t="s">
        <v>646</v>
      </c>
      <c r="O78" s="42">
        <v>43569</v>
      </c>
      <c r="P78" s="45"/>
      <c r="Q78" s="38" t="s">
        <v>642</v>
      </c>
      <c r="R78" s="66" t="s">
        <v>211</v>
      </c>
      <c r="S78" s="38"/>
    </row>
    <row r="79" spans="2:19" s="32" customFormat="1" ht="33" customHeight="1">
      <c r="B79" s="46" t="s">
        <v>210</v>
      </c>
      <c r="C79" s="35" t="s">
        <v>431</v>
      </c>
      <c r="D79" s="36" t="s">
        <v>633</v>
      </c>
      <c r="E79" s="37">
        <v>43523</v>
      </c>
      <c r="F79" s="38" t="s">
        <v>218</v>
      </c>
      <c r="G79" s="39">
        <v>3200</v>
      </c>
      <c r="H79" s="38">
        <f t="shared" si="9"/>
        <v>160</v>
      </c>
      <c r="I79" s="38">
        <f t="shared" si="10"/>
        <v>5</v>
      </c>
      <c r="J79" s="38"/>
      <c r="K79" s="40">
        <v>43597</v>
      </c>
      <c r="L79" s="41" t="s">
        <v>605</v>
      </c>
      <c r="M79" s="42">
        <v>43594</v>
      </c>
      <c r="N79" s="43" t="s">
        <v>561</v>
      </c>
      <c r="O79" s="42">
        <v>43598</v>
      </c>
      <c r="P79" s="45"/>
      <c r="Q79" s="38" t="s">
        <v>641</v>
      </c>
      <c r="R79" s="66" t="s">
        <v>211</v>
      </c>
      <c r="S79" s="38"/>
    </row>
    <row r="80" spans="2:19" s="32" customFormat="1" ht="33" customHeight="1">
      <c r="B80" s="46" t="s">
        <v>210</v>
      </c>
      <c r="C80" s="35" t="s">
        <v>648</v>
      </c>
      <c r="D80" s="36" t="s">
        <v>633</v>
      </c>
      <c r="E80" s="37">
        <v>43523</v>
      </c>
      <c r="F80" s="38" t="s">
        <v>218</v>
      </c>
      <c r="G80" s="39">
        <v>640</v>
      </c>
      <c r="H80" s="38">
        <f>SUM(G80/20)</f>
        <v>32</v>
      </c>
      <c r="I80" s="38">
        <f>SUM(H80/32)</f>
        <v>1</v>
      </c>
      <c r="J80" s="38"/>
      <c r="K80" s="40">
        <v>43618</v>
      </c>
      <c r="L80" s="41" t="s">
        <v>977</v>
      </c>
      <c r="M80" s="42">
        <v>43613</v>
      </c>
      <c r="N80" s="43" t="s">
        <v>766</v>
      </c>
      <c r="O80" s="42">
        <v>43618</v>
      </c>
      <c r="P80" s="45"/>
      <c r="Q80" s="38" t="s">
        <v>641</v>
      </c>
      <c r="R80" s="66" t="s">
        <v>211</v>
      </c>
      <c r="S80" s="38"/>
    </row>
    <row r="81" spans="2:19" s="32" customFormat="1" ht="33" customHeight="1">
      <c r="B81" s="46" t="s">
        <v>210</v>
      </c>
      <c r="C81" s="35" t="s">
        <v>738</v>
      </c>
      <c r="D81" s="36" t="s">
        <v>739</v>
      </c>
      <c r="E81" s="37">
        <v>43532</v>
      </c>
      <c r="F81" s="38" t="s">
        <v>218</v>
      </c>
      <c r="G81" s="39">
        <v>2560</v>
      </c>
      <c r="H81" s="38">
        <f t="shared" ref="H81:H82" si="11">SUM(G81/20)</f>
        <v>128</v>
      </c>
      <c r="I81" s="38">
        <f t="shared" ref="I81:I82" si="12">SUM(H81/32)</f>
        <v>4</v>
      </c>
      <c r="J81" s="38"/>
      <c r="K81" s="40">
        <v>43618</v>
      </c>
      <c r="L81" s="41" t="s">
        <v>977</v>
      </c>
      <c r="M81" s="42">
        <v>43613</v>
      </c>
      <c r="N81" s="43" t="s">
        <v>766</v>
      </c>
      <c r="O81" s="42">
        <v>43618</v>
      </c>
      <c r="P81" s="45"/>
      <c r="Q81" s="38" t="s">
        <v>970</v>
      </c>
      <c r="R81" s="66" t="s">
        <v>211</v>
      </c>
      <c r="S81" s="38"/>
    </row>
    <row r="82" spans="2:19" s="32" customFormat="1" ht="33" customHeight="1">
      <c r="B82" s="46" t="s">
        <v>210</v>
      </c>
      <c r="C82" s="35" t="s">
        <v>589</v>
      </c>
      <c r="D82" s="36"/>
      <c r="E82" s="37">
        <v>43558</v>
      </c>
      <c r="F82" s="38" t="s">
        <v>218</v>
      </c>
      <c r="G82" s="39">
        <v>3200</v>
      </c>
      <c r="H82" s="38">
        <f t="shared" si="11"/>
        <v>160</v>
      </c>
      <c r="I82" s="38">
        <f t="shared" si="12"/>
        <v>5</v>
      </c>
      <c r="J82" s="38"/>
      <c r="K82" s="40">
        <v>43639</v>
      </c>
      <c r="L82" s="41" t="s">
        <v>978</v>
      </c>
      <c r="M82" s="42">
        <v>43634</v>
      </c>
      <c r="N82" s="43" t="s">
        <v>764</v>
      </c>
      <c r="O82" s="42">
        <v>43639</v>
      </c>
      <c r="P82" s="45"/>
      <c r="Q82" s="38" t="s">
        <v>973</v>
      </c>
      <c r="R82" s="66" t="s">
        <v>211</v>
      </c>
      <c r="S82" s="38"/>
    </row>
    <row r="83" spans="2:19" s="34" customFormat="1" ht="33" customHeight="1">
      <c r="B83" s="47" t="s">
        <v>215</v>
      </c>
      <c r="C83" s="48" t="s">
        <v>207</v>
      </c>
      <c r="D83" s="49" t="s">
        <v>416</v>
      </c>
      <c r="E83" s="50"/>
      <c r="F83" s="52" t="s">
        <v>228</v>
      </c>
      <c r="G83" s="51">
        <v>640</v>
      </c>
      <c r="H83" s="52">
        <f t="shared" si="9"/>
        <v>32</v>
      </c>
      <c r="I83" s="52">
        <f t="shared" si="10"/>
        <v>1</v>
      </c>
      <c r="J83" s="52"/>
      <c r="K83" s="53">
        <v>43513</v>
      </c>
      <c r="L83" s="54" t="s">
        <v>276</v>
      </c>
      <c r="M83" s="55">
        <v>43508</v>
      </c>
      <c r="N83" s="56" t="s">
        <v>345</v>
      </c>
      <c r="O83" s="55">
        <v>43513</v>
      </c>
      <c r="P83" s="58"/>
      <c r="Q83" s="52"/>
      <c r="R83" s="63" t="s">
        <v>211</v>
      </c>
      <c r="S83" s="52"/>
    </row>
    <row r="84" spans="2:19" s="34" customFormat="1" ht="33" customHeight="1">
      <c r="B84" s="47" t="s">
        <v>215</v>
      </c>
      <c r="C84" s="48" t="s">
        <v>234</v>
      </c>
      <c r="D84" s="49" t="s">
        <v>635</v>
      </c>
      <c r="E84" s="50">
        <v>43519</v>
      </c>
      <c r="F84" s="52" t="s">
        <v>228</v>
      </c>
      <c r="G84" s="51">
        <v>1280</v>
      </c>
      <c r="H84" s="52">
        <f t="shared" si="9"/>
        <v>64</v>
      </c>
      <c r="I84" s="52">
        <f t="shared" si="10"/>
        <v>2</v>
      </c>
      <c r="J84" s="52"/>
      <c r="K84" s="53">
        <v>43576</v>
      </c>
      <c r="L84" s="54" t="s">
        <v>644</v>
      </c>
      <c r="M84" s="55">
        <v>43550</v>
      </c>
      <c r="N84" s="56" t="s">
        <v>344</v>
      </c>
      <c r="O84" s="55">
        <v>43555</v>
      </c>
      <c r="P84" s="58" t="s">
        <v>655</v>
      </c>
      <c r="Q84" s="52" t="s">
        <v>613</v>
      </c>
      <c r="R84" s="63" t="s">
        <v>211</v>
      </c>
      <c r="S84" s="52"/>
    </row>
    <row r="85" spans="2:19" s="32" customFormat="1" ht="33" customHeight="1">
      <c r="B85" s="46" t="s">
        <v>215</v>
      </c>
      <c r="C85" s="35" t="s">
        <v>235</v>
      </c>
      <c r="D85" s="36" t="s">
        <v>744</v>
      </c>
      <c r="E85" s="37">
        <v>43532</v>
      </c>
      <c r="F85" s="38" t="s">
        <v>228</v>
      </c>
      <c r="G85" s="39">
        <v>1280</v>
      </c>
      <c r="H85" s="38">
        <f t="shared" si="9"/>
        <v>64</v>
      </c>
      <c r="I85" s="38">
        <f t="shared" si="10"/>
        <v>2</v>
      </c>
      <c r="J85" s="38"/>
      <c r="K85" s="40">
        <v>43597</v>
      </c>
      <c r="L85" s="41" t="s">
        <v>605</v>
      </c>
      <c r="M85" s="42">
        <v>43594</v>
      </c>
      <c r="N85" s="43" t="s">
        <v>772</v>
      </c>
      <c r="O85" s="42">
        <v>43598</v>
      </c>
      <c r="P85" s="45"/>
      <c r="Q85" s="38" t="s">
        <v>641</v>
      </c>
      <c r="R85" s="66" t="s">
        <v>211</v>
      </c>
      <c r="S85" s="38"/>
    </row>
    <row r="86" spans="2:19" s="30" customFormat="1" ht="33" customHeight="1">
      <c r="B86" s="46" t="s">
        <v>498</v>
      </c>
      <c r="C86" s="35" t="s">
        <v>225</v>
      </c>
      <c r="D86" s="36" t="s">
        <v>487</v>
      </c>
      <c r="E86" s="37">
        <v>43490</v>
      </c>
      <c r="F86" s="38" t="s">
        <v>499</v>
      </c>
      <c r="G86" s="39">
        <v>1520</v>
      </c>
      <c r="H86" s="38">
        <f>SUM(G86/190)</f>
        <v>8</v>
      </c>
      <c r="I86" s="38">
        <f>SUM(H86/4)</f>
        <v>2</v>
      </c>
      <c r="J86" s="38"/>
      <c r="K86" s="40">
        <v>43569</v>
      </c>
      <c r="L86" s="41" t="s">
        <v>417</v>
      </c>
      <c r="M86" s="42">
        <v>43564</v>
      </c>
      <c r="N86" s="43" t="s">
        <v>405</v>
      </c>
      <c r="O86" s="42">
        <v>43569</v>
      </c>
      <c r="P86" s="45"/>
      <c r="Q86" s="38"/>
      <c r="R86" s="66" t="s">
        <v>495</v>
      </c>
      <c r="S86" s="46"/>
    </row>
    <row r="87" spans="2:19" s="30" customFormat="1" ht="33" customHeight="1">
      <c r="B87" s="46" t="s">
        <v>498</v>
      </c>
      <c r="C87" s="35" t="s">
        <v>226</v>
      </c>
      <c r="D87" s="36" t="s">
        <v>833</v>
      </c>
      <c r="E87" s="37">
        <v>43546</v>
      </c>
      <c r="F87" s="38" t="s">
        <v>499</v>
      </c>
      <c r="G87" s="39">
        <v>1520</v>
      </c>
      <c r="H87" s="38">
        <f>SUM(G87/190)</f>
        <v>8</v>
      </c>
      <c r="I87" s="38">
        <f>SUM(H87/4)</f>
        <v>2</v>
      </c>
      <c r="J87" s="38"/>
      <c r="K87" s="40">
        <v>43632</v>
      </c>
      <c r="L87" s="41" t="s">
        <v>838</v>
      </c>
      <c r="M87" s="42">
        <v>43627</v>
      </c>
      <c r="N87" s="43" t="s">
        <v>769</v>
      </c>
      <c r="O87" s="42">
        <v>43632</v>
      </c>
      <c r="P87" s="45"/>
      <c r="Q87" s="38"/>
      <c r="R87" s="66" t="s">
        <v>928</v>
      </c>
      <c r="S87" s="46"/>
    </row>
    <row r="88" spans="2:19" s="33" customFormat="1" ht="33" customHeight="1">
      <c r="B88" s="47" t="s">
        <v>223</v>
      </c>
      <c r="C88" s="48" t="s">
        <v>90</v>
      </c>
      <c r="D88" s="49" t="s">
        <v>237</v>
      </c>
      <c r="E88" s="50"/>
      <c r="F88" s="47" t="s">
        <v>236</v>
      </c>
      <c r="G88" s="51">
        <v>800</v>
      </c>
      <c r="H88" s="52">
        <f t="shared" ref="H88:H98" si="13">SUM(G88/200)</f>
        <v>4</v>
      </c>
      <c r="I88" s="52">
        <f t="shared" ref="I88:I98" si="14">SUM(H88/4)</f>
        <v>1</v>
      </c>
      <c r="J88" s="52"/>
      <c r="K88" s="53">
        <v>43513</v>
      </c>
      <c r="L88" s="54" t="s">
        <v>348</v>
      </c>
      <c r="M88" s="55">
        <v>43515</v>
      </c>
      <c r="N88" s="56" t="s">
        <v>347</v>
      </c>
      <c r="O88" s="55">
        <v>43520</v>
      </c>
      <c r="P88" s="58" t="s">
        <v>505</v>
      </c>
      <c r="Q88" s="52"/>
      <c r="R88" s="63"/>
      <c r="S88" s="47"/>
    </row>
    <row r="89" spans="2:19" s="33" customFormat="1" ht="33" customHeight="1">
      <c r="B89" s="47" t="s">
        <v>223</v>
      </c>
      <c r="C89" s="48" t="s">
        <v>90</v>
      </c>
      <c r="D89" s="49" t="s">
        <v>237</v>
      </c>
      <c r="E89" s="50"/>
      <c r="F89" s="47" t="s">
        <v>236</v>
      </c>
      <c r="G89" s="51">
        <v>1600</v>
      </c>
      <c r="H89" s="52">
        <f t="shared" si="13"/>
        <v>8</v>
      </c>
      <c r="I89" s="52">
        <f t="shared" si="14"/>
        <v>2</v>
      </c>
      <c r="J89" s="52"/>
      <c r="K89" s="53">
        <v>43520</v>
      </c>
      <c r="L89" s="54" t="s">
        <v>348</v>
      </c>
      <c r="M89" s="55">
        <v>43515</v>
      </c>
      <c r="N89" s="56" t="s">
        <v>347</v>
      </c>
      <c r="O89" s="55">
        <v>43520</v>
      </c>
      <c r="P89" s="58" t="s">
        <v>506</v>
      </c>
      <c r="Q89" s="52"/>
      <c r="R89" s="63"/>
      <c r="S89" s="47"/>
    </row>
    <row r="90" spans="2:19" s="33" customFormat="1" ht="33" customHeight="1">
      <c r="B90" s="47" t="s">
        <v>223</v>
      </c>
      <c r="C90" s="48" t="s">
        <v>399</v>
      </c>
      <c r="D90" s="49" t="s">
        <v>237</v>
      </c>
      <c r="E90" s="50"/>
      <c r="F90" s="47" t="s">
        <v>236</v>
      </c>
      <c r="G90" s="51">
        <v>2400</v>
      </c>
      <c r="H90" s="52">
        <f t="shared" si="13"/>
        <v>12</v>
      </c>
      <c r="I90" s="52">
        <f t="shared" si="14"/>
        <v>3</v>
      </c>
      <c r="J90" s="52"/>
      <c r="K90" s="53">
        <v>43527</v>
      </c>
      <c r="L90" s="54" t="s">
        <v>402</v>
      </c>
      <c r="M90" s="55">
        <v>43531</v>
      </c>
      <c r="N90" s="56" t="s">
        <v>568</v>
      </c>
      <c r="O90" s="55">
        <v>43535</v>
      </c>
      <c r="P90" s="58"/>
      <c r="Q90" s="52"/>
      <c r="R90" s="63"/>
      <c r="S90" s="47" t="s">
        <v>611</v>
      </c>
    </row>
    <row r="91" spans="2:19" s="33" customFormat="1" ht="33" customHeight="1">
      <c r="B91" s="47" t="s">
        <v>238</v>
      </c>
      <c r="C91" s="48" t="s">
        <v>227</v>
      </c>
      <c r="D91" s="49" t="s">
        <v>435</v>
      </c>
      <c r="E91" s="50"/>
      <c r="F91" s="52" t="s">
        <v>236</v>
      </c>
      <c r="G91" s="51">
        <v>2400</v>
      </c>
      <c r="H91" s="52">
        <f t="shared" si="13"/>
        <v>12</v>
      </c>
      <c r="I91" s="52">
        <f t="shared" si="14"/>
        <v>3</v>
      </c>
      <c r="J91" s="52"/>
      <c r="K91" s="53">
        <v>43548</v>
      </c>
      <c r="L91" s="54" t="s">
        <v>401</v>
      </c>
      <c r="M91" s="55">
        <v>43543</v>
      </c>
      <c r="N91" s="56" t="s">
        <v>400</v>
      </c>
      <c r="O91" s="55">
        <v>43548</v>
      </c>
      <c r="P91" s="58"/>
      <c r="Q91" s="52"/>
      <c r="R91" s="63"/>
      <c r="S91" s="47"/>
    </row>
    <row r="92" spans="2:19" s="30" customFormat="1" ht="33" customHeight="1">
      <c r="B92" s="46" t="s">
        <v>238</v>
      </c>
      <c r="C92" s="35" t="s">
        <v>274</v>
      </c>
      <c r="D92" s="36" t="s">
        <v>474</v>
      </c>
      <c r="E92" s="37"/>
      <c r="F92" s="38" t="s">
        <v>236</v>
      </c>
      <c r="G92" s="39">
        <v>3200</v>
      </c>
      <c r="H92" s="38">
        <f t="shared" si="13"/>
        <v>16</v>
      </c>
      <c r="I92" s="38">
        <f t="shared" si="14"/>
        <v>4</v>
      </c>
      <c r="J92" s="38"/>
      <c r="K92" s="40">
        <v>43562</v>
      </c>
      <c r="L92" s="41" t="s">
        <v>406</v>
      </c>
      <c r="M92" s="42">
        <v>43557</v>
      </c>
      <c r="N92" s="43" t="s">
        <v>403</v>
      </c>
      <c r="O92" s="42">
        <v>43562</v>
      </c>
      <c r="P92" s="45"/>
      <c r="Q92" s="38"/>
      <c r="R92" s="66"/>
      <c r="S92" s="46"/>
    </row>
    <row r="93" spans="2:19" s="30" customFormat="1" ht="33" customHeight="1">
      <c r="B93" s="46" t="s">
        <v>238</v>
      </c>
      <c r="C93" s="35" t="s">
        <v>404</v>
      </c>
      <c r="D93" s="36" t="s">
        <v>475</v>
      </c>
      <c r="E93" s="37"/>
      <c r="F93" s="38" t="s">
        <v>236</v>
      </c>
      <c r="G93" s="39">
        <v>1600</v>
      </c>
      <c r="H93" s="38">
        <f t="shared" si="13"/>
        <v>8</v>
      </c>
      <c r="I93" s="38">
        <f t="shared" si="14"/>
        <v>2</v>
      </c>
      <c r="J93" s="38"/>
      <c r="K93" s="40">
        <v>43562</v>
      </c>
      <c r="L93" s="41" t="s">
        <v>407</v>
      </c>
      <c r="M93" s="42">
        <v>43564</v>
      </c>
      <c r="N93" s="43" t="s">
        <v>405</v>
      </c>
      <c r="O93" s="42">
        <v>43569</v>
      </c>
      <c r="P93" s="45"/>
      <c r="Q93" s="38"/>
      <c r="R93" s="66"/>
      <c r="S93" s="46"/>
    </row>
    <row r="94" spans="2:19" s="30" customFormat="1" ht="33" customHeight="1">
      <c r="B94" s="46" t="s">
        <v>238</v>
      </c>
      <c r="C94" s="35" t="s">
        <v>490</v>
      </c>
      <c r="D94" s="36" t="s">
        <v>488</v>
      </c>
      <c r="E94" s="37">
        <v>43495</v>
      </c>
      <c r="F94" s="38" t="s">
        <v>236</v>
      </c>
      <c r="G94" s="39">
        <v>1600</v>
      </c>
      <c r="H94" s="38">
        <f t="shared" si="13"/>
        <v>8</v>
      </c>
      <c r="I94" s="38">
        <f t="shared" si="14"/>
        <v>2</v>
      </c>
      <c r="J94" s="38"/>
      <c r="K94" s="40">
        <v>43583</v>
      </c>
      <c r="L94" s="41" t="s">
        <v>481</v>
      </c>
      <c r="M94" s="42">
        <v>43578</v>
      </c>
      <c r="N94" s="43" t="s">
        <v>447</v>
      </c>
      <c r="O94" s="42">
        <v>43583</v>
      </c>
      <c r="P94" s="45"/>
      <c r="Q94" s="38"/>
      <c r="R94" s="66"/>
      <c r="S94" s="46"/>
    </row>
    <row r="95" spans="2:19" s="30" customFormat="1" ht="33" customHeight="1">
      <c r="B95" s="46" t="s">
        <v>238</v>
      </c>
      <c r="C95" s="35" t="s">
        <v>597</v>
      </c>
      <c r="D95" s="36" t="s">
        <v>598</v>
      </c>
      <c r="E95" s="37">
        <v>43519</v>
      </c>
      <c r="F95" s="38" t="s">
        <v>236</v>
      </c>
      <c r="G95" s="97">
        <v>1600</v>
      </c>
      <c r="H95" s="38">
        <f t="shared" si="13"/>
        <v>8</v>
      </c>
      <c r="I95" s="38">
        <f t="shared" si="14"/>
        <v>2</v>
      </c>
      <c r="J95" s="38"/>
      <c r="K95" s="40">
        <v>43597</v>
      </c>
      <c r="L95" s="41" t="s">
        <v>606</v>
      </c>
      <c r="M95" s="42">
        <v>43592</v>
      </c>
      <c r="N95" s="43" t="s">
        <v>600</v>
      </c>
      <c r="O95" s="42">
        <v>43597</v>
      </c>
      <c r="P95" s="45"/>
      <c r="Q95" s="38"/>
      <c r="R95" s="66"/>
      <c r="S95" s="46"/>
    </row>
    <row r="96" spans="2:19" s="30" customFormat="1" ht="33" customHeight="1">
      <c r="B96" s="155" t="s">
        <v>238</v>
      </c>
      <c r="C96" s="156" t="s">
        <v>1085</v>
      </c>
      <c r="D96" s="157" t="s">
        <v>598</v>
      </c>
      <c r="E96" s="158">
        <v>43519</v>
      </c>
      <c r="F96" s="98" t="s">
        <v>236</v>
      </c>
      <c r="G96" s="97">
        <v>1600</v>
      </c>
      <c r="H96" s="98">
        <f t="shared" ref="H96" si="15">SUM(G96/200)</f>
        <v>8</v>
      </c>
      <c r="I96" s="98">
        <f t="shared" ref="I96" si="16">SUM(H96/4)</f>
        <v>2</v>
      </c>
      <c r="J96" s="98"/>
      <c r="K96" s="102">
        <v>43597</v>
      </c>
      <c r="L96" s="99" t="s">
        <v>1086</v>
      </c>
      <c r="M96" s="100">
        <v>43606</v>
      </c>
      <c r="N96" s="101" t="s">
        <v>599</v>
      </c>
      <c r="O96" s="100">
        <v>43613</v>
      </c>
      <c r="P96" s="159"/>
      <c r="Q96" s="98"/>
      <c r="R96" s="160"/>
      <c r="S96" s="155"/>
    </row>
    <row r="97" spans="2:19" s="30" customFormat="1" ht="33" customHeight="1">
      <c r="B97" s="46" t="s">
        <v>238</v>
      </c>
      <c r="C97" s="35" t="s">
        <v>226</v>
      </c>
      <c r="D97" s="36" t="s">
        <v>749</v>
      </c>
      <c r="E97" s="37">
        <v>43532</v>
      </c>
      <c r="F97" s="38" t="s">
        <v>236</v>
      </c>
      <c r="G97" s="39">
        <v>3200</v>
      </c>
      <c r="H97" s="38">
        <f t="shared" si="13"/>
        <v>16</v>
      </c>
      <c r="I97" s="38">
        <f t="shared" si="14"/>
        <v>4</v>
      </c>
      <c r="J97" s="38"/>
      <c r="K97" s="40">
        <v>43625</v>
      </c>
      <c r="L97" s="41" t="s">
        <v>777</v>
      </c>
      <c r="M97" s="42">
        <v>43620</v>
      </c>
      <c r="N97" s="43" t="s">
        <v>768</v>
      </c>
      <c r="O97" s="42" t="s">
        <v>775</v>
      </c>
      <c r="P97" s="45"/>
      <c r="Q97" s="38"/>
      <c r="R97" s="66"/>
      <c r="S97" s="46"/>
    </row>
    <row r="98" spans="2:19" s="30" customFormat="1" ht="33" customHeight="1">
      <c r="B98" s="46" t="s">
        <v>238</v>
      </c>
      <c r="C98" s="35" t="s">
        <v>233</v>
      </c>
      <c r="D98" s="36" t="s">
        <v>750</v>
      </c>
      <c r="E98" s="37">
        <v>43532</v>
      </c>
      <c r="F98" s="38" t="s">
        <v>236</v>
      </c>
      <c r="G98" s="39">
        <v>3200</v>
      </c>
      <c r="H98" s="38">
        <f t="shared" si="13"/>
        <v>16</v>
      </c>
      <c r="I98" s="38">
        <f t="shared" si="14"/>
        <v>4</v>
      </c>
      <c r="J98" s="38"/>
      <c r="K98" s="40">
        <v>43646</v>
      </c>
      <c r="L98" s="41" t="s">
        <v>778</v>
      </c>
      <c r="M98" s="42">
        <v>43641</v>
      </c>
      <c r="N98" s="43" t="s">
        <v>776</v>
      </c>
      <c r="O98" s="42">
        <v>43646</v>
      </c>
      <c r="P98" s="45"/>
      <c r="Q98" s="38"/>
      <c r="R98" s="66"/>
      <c r="S98" s="46"/>
    </row>
    <row r="99" spans="2:19" s="30" customFormat="1">
      <c r="C99" s="22"/>
      <c r="D99" s="23"/>
      <c r="G99" s="24"/>
      <c r="K99" s="25"/>
      <c r="M99" s="26"/>
      <c r="N99" s="28"/>
      <c r="O99" s="26"/>
      <c r="R99" s="27"/>
    </row>
    <row r="100" spans="2:19" s="30" customFormat="1">
      <c r="C100" s="22"/>
      <c r="D100" s="23"/>
      <c r="G100" s="24"/>
      <c r="I100" s="30" t="s">
        <v>292</v>
      </c>
      <c r="K100" s="25"/>
      <c r="M100" s="26"/>
      <c r="N100" s="28"/>
      <c r="O100" s="26"/>
      <c r="R100" s="27"/>
    </row>
    <row r="101" spans="2:19" s="19" customFormat="1">
      <c r="B101"/>
      <c r="C101" s="15"/>
      <c r="D101" s="1"/>
      <c r="E101"/>
      <c r="F101"/>
      <c r="G101" s="11"/>
      <c r="H101"/>
      <c r="I101"/>
      <c r="J101"/>
      <c r="K101" s="13"/>
      <c r="L101"/>
      <c r="N101" s="28"/>
      <c r="P101"/>
      <c r="Q101"/>
      <c r="R101" s="17"/>
      <c r="S101"/>
    </row>
    <row r="102" spans="2:19" s="19" customFormat="1">
      <c r="B102"/>
      <c r="C102" s="15"/>
      <c r="D102" s="1"/>
      <c r="E102"/>
      <c r="F102"/>
      <c r="G102" s="11"/>
      <c r="H102"/>
      <c r="I102"/>
      <c r="J102"/>
      <c r="K102" s="13"/>
      <c r="L102"/>
      <c r="N102" s="28"/>
      <c r="P102"/>
      <c r="Q102"/>
      <c r="R102" s="17"/>
      <c r="S102"/>
    </row>
    <row r="103" spans="2:19" s="19" customFormat="1">
      <c r="B103"/>
      <c r="C103" s="15"/>
      <c r="D103" s="1"/>
      <c r="E103"/>
      <c r="F103"/>
      <c r="G103" s="11"/>
      <c r="H103"/>
      <c r="I103"/>
      <c r="J103"/>
      <c r="K103" s="13"/>
      <c r="L103"/>
      <c r="N103" s="28"/>
      <c r="P103"/>
      <c r="Q103"/>
      <c r="R103" s="17"/>
      <c r="S103"/>
    </row>
    <row r="104" spans="2:19" s="19" customFormat="1">
      <c r="B104"/>
      <c r="C104" s="15"/>
      <c r="D104" s="1"/>
      <c r="E104"/>
      <c r="F104"/>
      <c r="G104" s="11"/>
      <c r="H104"/>
      <c r="I104"/>
      <c r="J104"/>
      <c r="K104" s="13"/>
      <c r="L104"/>
      <c r="N104" s="28"/>
      <c r="P104"/>
      <c r="Q104"/>
      <c r="R104" s="17"/>
      <c r="S104"/>
    </row>
    <row r="105" spans="2:19" s="19" customFormat="1">
      <c r="B105"/>
      <c r="C105" s="15"/>
      <c r="D105" s="1"/>
      <c r="E105"/>
      <c r="F105"/>
      <c r="G105" s="11"/>
      <c r="H105"/>
      <c r="I105"/>
      <c r="J105"/>
      <c r="K105" s="13"/>
      <c r="L105"/>
      <c r="N105" s="28"/>
      <c r="P105"/>
      <c r="Q105"/>
      <c r="R105" s="17"/>
      <c r="S105"/>
    </row>
    <row r="106" spans="2:19" s="19" customFormat="1">
      <c r="B106"/>
      <c r="C106" s="15"/>
      <c r="D106" s="1"/>
      <c r="E106"/>
      <c r="F106"/>
      <c r="G106" s="11"/>
      <c r="H106"/>
      <c r="I106"/>
      <c r="J106"/>
      <c r="K106" s="13"/>
      <c r="L106"/>
      <c r="N106" s="28"/>
      <c r="P106"/>
      <c r="Q106"/>
      <c r="R106" s="17"/>
      <c r="S106"/>
    </row>
    <row r="107" spans="2:19">
      <c r="N107" s="28"/>
    </row>
    <row r="108" spans="2:19">
      <c r="N108" s="28"/>
    </row>
    <row r="109" spans="2:19">
      <c r="N109" s="28"/>
    </row>
    <row r="110" spans="2:19">
      <c r="N110" s="28"/>
    </row>
    <row r="111" spans="2:19">
      <c r="N111" s="28"/>
    </row>
    <row r="112" spans="2:19" s="19" customFormat="1">
      <c r="B112"/>
      <c r="C112" s="15"/>
      <c r="D112" s="1"/>
      <c r="E112"/>
      <c r="F112"/>
      <c r="G112" s="11"/>
      <c r="H112"/>
      <c r="I112"/>
      <c r="J112"/>
      <c r="K112" s="13"/>
      <c r="L112"/>
      <c r="N112" s="28"/>
      <c r="P112"/>
      <c r="Q112"/>
      <c r="R112" s="17"/>
      <c r="S112"/>
    </row>
    <row r="113" spans="2:19" s="19" customFormat="1">
      <c r="B113"/>
      <c r="C113" s="15"/>
      <c r="D113" s="1"/>
      <c r="E113"/>
      <c r="F113"/>
      <c r="G113" s="11"/>
      <c r="H113"/>
      <c r="I113"/>
      <c r="J113"/>
      <c r="K113" s="13"/>
      <c r="L113"/>
      <c r="N113" s="28"/>
      <c r="P113"/>
      <c r="Q113"/>
      <c r="R113" s="17"/>
      <c r="S113"/>
    </row>
    <row r="114" spans="2:19" s="19" customFormat="1">
      <c r="B114"/>
      <c r="C114" s="15"/>
      <c r="D114" s="1"/>
      <c r="E114"/>
      <c r="F114"/>
      <c r="G114" s="11"/>
      <c r="H114"/>
      <c r="I114"/>
      <c r="J114"/>
      <c r="K114" s="13"/>
      <c r="L114"/>
      <c r="N114" s="28"/>
      <c r="P114"/>
      <c r="Q114"/>
      <c r="R114" s="17"/>
      <c r="S114"/>
    </row>
    <row r="115" spans="2:19" s="19" customFormat="1">
      <c r="B115"/>
      <c r="C115" s="15"/>
      <c r="D115" s="1"/>
      <c r="E115"/>
      <c r="F115"/>
      <c r="G115" s="11"/>
      <c r="H115"/>
      <c r="I115"/>
      <c r="J115"/>
      <c r="K115" s="13"/>
      <c r="L115"/>
      <c r="N115" s="28"/>
      <c r="P115"/>
      <c r="Q115"/>
      <c r="R115" s="17"/>
      <c r="S115"/>
    </row>
    <row r="116" spans="2:19" s="19" customFormat="1">
      <c r="B116"/>
      <c r="C116" s="15"/>
      <c r="D116" s="1"/>
      <c r="E116"/>
      <c r="F116"/>
      <c r="G116" s="11"/>
      <c r="H116"/>
      <c r="I116"/>
      <c r="J116"/>
      <c r="K116" s="13"/>
      <c r="L116"/>
      <c r="N116" s="28"/>
      <c r="P116"/>
      <c r="Q116"/>
      <c r="R116" s="17"/>
      <c r="S116"/>
    </row>
    <row r="117" spans="2:19" s="19" customFormat="1">
      <c r="B117"/>
      <c r="C117" s="15"/>
      <c r="D117" s="1"/>
      <c r="E117"/>
      <c r="F117"/>
      <c r="G117" s="11"/>
      <c r="H117"/>
      <c r="I117"/>
      <c r="J117"/>
      <c r="K117" s="13"/>
      <c r="L117"/>
      <c r="N117" s="28"/>
      <c r="P117"/>
      <c r="Q117"/>
      <c r="R117" s="17"/>
      <c r="S117"/>
    </row>
  </sheetData>
  <autoFilter ref="B2:R98" xr:uid="{00000000-0009-0000-0000-000023000000}"/>
  <phoneticPr fontId="1"/>
  <pageMargins left="0.23622047244094491" right="0.23622047244094491" top="0.35433070866141736" bottom="0.35433070866141736" header="0.31496062992125984" footer="0.31496062992125984"/>
  <pageSetup paperSize="9" scale="94" fitToHeight="0" orientation="landscape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47">
    <pageSetUpPr fitToPage="1"/>
  </sheetPr>
  <dimension ref="B1:S130"/>
  <sheetViews>
    <sheetView zoomScale="77" zoomScaleNormal="77" workbookViewId="0">
      <pane xSplit="3" ySplit="2" topLeftCell="D57" activePane="bottomRight" state="frozen"/>
      <selection activeCell="B70" sqref="B70"/>
      <selection pane="topRight" activeCell="B70" sqref="B70"/>
      <selection pane="bottomLeft" activeCell="B70" sqref="B70"/>
      <selection pane="bottomRight" activeCell="E103" sqref="E103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15.87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4.8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C2" s="14" t="s">
        <v>664</v>
      </c>
      <c r="D2" s="5" t="s">
        <v>0</v>
      </c>
      <c r="E2" s="6" t="s">
        <v>665</v>
      </c>
      <c r="F2" s="6" t="s">
        <v>779</v>
      </c>
      <c r="G2" s="10" t="s">
        <v>1</v>
      </c>
      <c r="H2" s="6" t="s">
        <v>15</v>
      </c>
      <c r="I2" s="6" t="s">
        <v>16</v>
      </c>
      <c r="J2" s="6" t="s">
        <v>780</v>
      </c>
      <c r="K2" s="12" t="s">
        <v>666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667</v>
      </c>
      <c r="Q2" s="6" t="s">
        <v>668</v>
      </c>
      <c r="R2" s="16" t="s">
        <v>6</v>
      </c>
      <c r="S2" s="16" t="s">
        <v>669</v>
      </c>
    </row>
    <row r="3" spans="2:19" s="33" customFormat="1" ht="33" customHeight="1">
      <c r="B3" s="47" t="s">
        <v>220</v>
      </c>
      <c r="C3" s="48" t="s">
        <v>670</v>
      </c>
      <c r="D3" s="49" t="s">
        <v>262</v>
      </c>
      <c r="E3" s="50">
        <v>43378</v>
      </c>
      <c r="F3" s="49" t="s">
        <v>79</v>
      </c>
      <c r="G3" s="51">
        <v>10000</v>
      </c>
      <c r="H3" s="52">
        <f t="shared" ref="H3:H27" si="0">SUM(G3/250)</f>
        <v>40</v>
      </c>
      <c r="I3" s="52">
        <f t="shared" ref="I3:I45" si="1">SUM(H3/4)</f>
        <v>10</v>
      </c>
      <c r="J3" s="49"/>
      <c r="K3" s="53">
        <v>43485</v>
      </c>
      <c r="L3" s="54" t="s">
        <v>419</v>
      </c>
      <c r="M3" s="55">
        <v>43500</v>
      </c>
      <c r="N3" s="56" t="s">
        <v>1087</v>
      </c>
      <c r="O3" s="55">
        <v>43506</v>
      </c>
      <c r="P3" s="54"/>
      <c r="Q3" s="49"/>
      <c r="R3" s="57" t="s">
        <v>1088</v>
      </c>
      <c r="S3" s="47" t="s">
        <v>418</v>
      </c>
    </row>
    <row r="4" spans="2:19" s="33" customFormat="1" ht="33" customHeight="1">
      <c r="B4" s="47" t="s">
        <v>220</v>
      </c>
      <c r="C4" s="48" t="s">
        <v>1089</v>
      </c>
      <c r="D4" s="49" t="s">
        <v>1090</v>
      </c>
      <c r="E4" s="50">
        <v>43392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43141</v>
      </c>
      <c r="L4" s="54" t="s">
        <v>1091</v>
      </c>
      <c r="M4" s="55">
        <v>43500</v>
      </c>
      <c r="N4" s="56" t="s">
        <v>1087</v>
      </c>
      <c r="O4" s="55">
        <v>43141</v>
      </c>
      <c r="P4" s="54"/>
      <c r="Q4" s="49"/>
      <c r="R4" s="57" t="s">
        <v>1092</v>
      </c>
      <c r="S4" s="47"/>
    </row>
    <row r="5" spans="2:19" s="33" customFormat="1" ht="33" customHeight="1">
      <c r="B5" s="47" t="s">
        <v>78</v>
      </c>
      <c r="C5" s="48" t="s">
        <v>254</v>
      </c>
      <c r="D5" s="49" t="s">
        <v>264</v>
      </c>
      <c r="E5" s="50">
        <v>43378</v>
      </c>
      <c r="F5" s="49" t="s">
        <v>79</v>
      </c>
      <c r="G5" s="51">
        <v>20000</v>
      </c>
      <c r="H5" s="52">
        <f t="shared" si="0"/>
        <v>80</v>
      </c>
      <c r="I5" s="52">
        <f t="shared" si="1"/>
        <v>20</v>
      </c>
      <c r="J5" s="49"/>
      <c r="K5" s="53">
        <v>43141</v>
      </c>
      <c r="L5" s="54" t="s">
        <v>1091</v>
      </c>
      <c r="M5" s="55">
        <v>43500</v>
      </c>
      <c r="N5" s="56" t="s">
        <v>1087</v>
      </c>
      <c r="O5" s="55">
        <v>43141</v>
      </c>
      <c r="P5" s="54"/>
      <c r="Q5" s="49" t="s">
        <v>82</v>
      </c>
      <c r="R5" s="57" t="s">
        <v>1093</v>
      </c>
      <c r="S5" s="47"/>
    </row>
    <row r="6" spans="2:19" s="33" customFormat="1" ht="33" customHeight="1">
      <c r="B6" s="47" t="s">
        <v>78</v>
      </c>
      <c r="C6" s="48" t="s">
        <v>301</v>
      </c>
      <c r="D6" s="49" t="s">
        <v>302</v>
      </c>
      <c r="E6" s="50">
        <v>43420</v>
      </c>
      <c r="F6" s="49" t="s">
        <v>1094</v>
      </c>
      <c r="G6" s="51">
        <v>40000</v>
      </c>
      <c r="H6" s="52">
        <f t="shared" si="0"/>
        <v>160</v>
      </c>
      <c r="I6" s="52">
        <f t="shared" si="1"/>
        <v>40</v>
      </c>
      <c r="J6" s="49"/>
      <c r="K6" s="53">
        <v>43513</v>
      </c>
      <c r="L6" s="54" t="s">
        <v>1095</v>
      </c>
      <c r="M6" s="55">
        <v>43504</v>
      </c>
      <c r="N6" s="56" t="s">
        <v>1096</v>
      </c>
      <c r="O6" s="55">
        <v>43148</v>
      </c>
      <c r="P6" s="54"/>
      <c r="Q6" s="49" t="s">
        <v>82</v>
      </c>
      <c r="R6" s="57" t="s">
        <v>1097</v>
      </c>
      <c r="S6" s="47"/>
    </row>
    <row r="7" spans="2:19" s="33" customFormat="1" ht="33" customHeight="1">
      <c r="B7" s="47" t="s">
        <v>220</v>
      </c>
      <c r="C7" s="48" t="s">
        <v>304</v>
      </c>
      <c r="D7" s="49" t="s">
        <v>305</v>
      </c>
      <c r="E7" s="50">
        <v>43420</v>
      </c>
      <c r="F7" s="49" t="s">
        <v>1098</v>
      </c>
      <c r="G7" s="51">
        <v>10000</v>
      </c>
      <c r="H7" s="52">
        <f t="shared" si="0"/>
        <v>40</v>
      </c>
      <c r="I7" s="52">
        <f t="shared" si="1"/>
        <v>10</v>
      </c>
      <c r="J7" s="49"/>
      <c r="K7" s="53">
        <v>43155</v>
      </c>
      <c r="L7" s="54" t="s">
        <v>1099</v>
      </c>
      <c r="M7" s="55">
        <v>43514</v>
      </c>
      <c r="N7" s="56" t="s">
        <v>1100</v>
      </c>
      <c r="O7" s="55">
        <v>43155</v>
      </c>
      <c r="P7" s="54"/>
      <c r="Q7" s="49"/>
      <c r="R7" s="57" t="s">
        <v>1101</v>
      </c>
      <c r="S7" s="47"/>
    </row>
    <row r="8" spans="2:19" s="33" customFormat="1" ht="33" customHeight="1">
      <c r="B8" s="47" t="s">
        <v>78</v>
      </c>
      <c r="C8" s="48" t="s">
        <v>306</v>
      </c>
      <c r="D8" s="49" t="s">
        <v>307</v>
      </c>
      <c r="E8" s="50">
        <v>43420</v>
      </c>
      <c r="F8" s="49" t="s">
        <v>1102</v>
      </c>
      <c r="G8" s="51">
        <v>30000</v>
      </c>
      <c r="H8" s="52">
        <f t="shared" si="0"/>
        <v>120</v>
      </c>
      <c r="I8" s="52">
        <f t="shared" si="1"/>
        <v>30</v>
      </c>
      <c r="J8" s="49"/>
      <c r="K8" s="53">
        <v>43520</v>
      </c>
      <c r="L8" s="54" t="s">
        <v>1099</v>
      </c>
      <c r="M8" s="55">
        <v>43514</v>
      </c>
      <c r="N8" s="56" t="s">
        <v>1100</v>
      </c>
      <c r="O8" s="55">
        <v>43155</v>
      </c>
      <c r="P8" s="54"/>
      <c r="Q8" s="49" t="s">
        <v>82</v>
      </c>
      <c r="R8" s="57" t="s">
        <v>1103</v>
      </c>
      <c r="S8" s="47"/>
    </row>
    <row r="9" spans="2:19" s="33" customFormat="1" ht="33" customHeight="1">
      <c r="B9" s="47" t="s">
        <v>220</v>
      </c>
      <c r="C9" s="48" t="s">
        <v>309</v>
      </c>
      <c r="D9" s="49" t="s">
        <v>310</v>
      </c>
      <c r="E9" s="50">
        <v>43420</v>
      </c>
      <c r="F9" s="49" t="s">
        <v>79</v>
      </c>
      <c r="G9" s="51">
        <v>7000</v>
      </c>
      <c r="H9" s="52">
        <f t="shared" si="0"/>
        <v>28</v>
      </c>
      <c r="I9" s="52">
        <f t="shared" si="1"/>
        <v>7</v>
      </c>
      <c r="J9" s="49"/>
      <c r="K9" s="53">
        <v>43541</v>
      </c>
      <c r="L9" s="54" t="s">
        <v>1104</v>
      </c>
      <c r="M9" s="55">
        <v>43542</v>
      </c>
      <c r="N9" s="56" t="s">
        <v>649</v>
      </c>
      <c r="O9" s="55">
        <v>43183</v>
      </c>
      <c r="P9" s="54" t="s">
        <v>1105</v>
      </c>
      <c r="Q9" s="49"/>
      <c r="R9" s="57" t="s">
        <v>1106</v>
      </c>
      <c r="S9" s="47"/>
    </row>
    <row r="10" spans="2:19" s="33" customFormat="1" ht="33" customHeight="1">
      <c r="B10" s="47" t="s">
        <v>78</v>
      </c>
      <c r="C10" s="48" t="s">
        <v>311</v>
      </c>
      <c r="D10" s="49" t="s">
        <v>312</v>
      </c>
      <c r="E10" s="50">
        <v>43420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43169</v>
      </c>
      <c r="L10" s="54" t="s">
        <v>1107</v>
      </c>
      <c r="M10" s="55">
        <v>43528</v>
      </c>
      <c r="N10" s="56" t="s">
        <v>1108</v>
      </c>
      <c r="O10" s="55">
        <v>43534</v>
      </c>
      <c r="P10" s="54"/>
      <c r="Q10" s="49" t="s">
        <v>82</v>
      </c>
      <c r="R10" s="57" t="s">
        <v>1109</v>
      </c>
      <c r="S10" s="47"/>
    </row>
    <row r="11" spans="2:19" s="33" customFormat="1" ht="33" customHeight="1">
      <c r="B11" s="47" t="s">
        <v>78</v>
      </c>
      <c r="C11" s="48" t="s">
        <v>374</v>
      </c>
      <c r="D11" s="49" t="s">
        <v>375</v>
      </c>
      <c r="E11" s="50">
        <v>43455</v>
      </c>
      <c r="F11" s="49" t="s">
        <v>79</v>
      </c>
      <c r="G11" s="51">
        <v>21000</v>
      </c>
      <c r="H11" s="52">
        <f t="shared" si="0"/>
        <v>84</v>
      </c>
      <c r="I11" s="52">
        <f t="shared" si="1"/>
        <v>21</v>
      </c>
      <c r="J11" s="49"/>
      <c r="K11" s="53">
        <v>43541</v>
      </c>
      <c r="L11" s="54" t="s">
        <v>1104</v>
      </c>
      <c r="M11" s="55">
        <v>43542</v>
      </c>
      <c r="N11" s="56" t="s">
        <v>649</v>
      </c>
      <c r="O11" s="55">
        <v>43183</v>
      </c>
      <c r="P11" s="54" t="s">
        <v>1110</v>
      </c>
      <c r="Q11" s="49" t="s">
        <v>82</v>
      </c>
      <c r="R11" s="57" t="s">
        <v>1111</v>
      </c>
      <c r="S11" s="47"/>
    </row>
    <row r="12" spans="2:19" s="30" customFormat="1" ht="33" customHeight="1">
      <c r="B12" s="46" t="s">
        <v>220</v>
      </c>
      <c r="C12" s="35" t="s">
        <v>377</v>
      </c>
      <c r="D12" s="36" t="s">
        <v>378</v>
      </c>
      <c r="E12" s="37">
        <v>43455</v>
      </c>
      <c r="F12" s="36" t="s">
        <v>1098</v>
      </c>
      <c r="G12" s="39">
        <v>14000</v>
      </c>
      <c r="H12" s="38">
        <f t="shared" ref="H12" si="2">SUM(G12/250)</f>
        <v>56</v>
      </c>
      <c r="I12" s="38">
        <f t="shared" si="1"/>
        <v>14</v>
      </c>
      <c r="J12" s="36"/>
      <c r="K12" s="40">
        <v>43548</v>
      </c>
      <c r="L12" s="41" t="s">
        <v>1112</v>
      </c>
      <c r="M12" s="42">
        <v>43563</v>
      </c>
      <c r="N12" s="43" t="s">
        <v>1113</v>
      </c>
      <c r="O12" s="42">
        <v>43569</v>
      </c>
      <c r="P12" s="41" t="s">
        <v>1114</v>
      </c>
      <c r="Q12" s="36"/>
      <c r="R12" s="44" t="s">
        <v>1115</v>
      </c>
      <c r="S12" s="46"/>
    </row>
    <row r="13" spans="2:19" s="33" customFormat="1" ht="33" customHeight="1">
      <c r="B13" s="47" t="s">
        <v>78</v>
      </c>
      <c r="C13" s="48" t="s">
        <v>380</v>
      </c>
      <c r="D13" s="49" t="s">
        <v>381</v>
      </c>
      <c r="E13" s="50">
        <v>43455</v>
      </c>
      <c r="F13" s="49" t="s">
        <v>1102</v>
      </c>
      <c r="G13" s="51">
        <v>40000</v>
      </c>
      <c r="H13" s="52">
        <f t="shared" si="0"/>
        <v>160</v>
      </c>
      <c r="I13" s="52">
        <f t="shared" si="1"/>
        <v>40</v>
      </c>
      <c r="J13" s="49"/>
      <c r="K13" s="53">
        <v>43555</v>
      </c>
      <c r="L13" s="54" t="s">
        <v>1116</v>
      </c>
      <c r="M13" s="55">
        <v>43549</v>
      </c>
      <c r="N13" s="56" t="s">
        <v>1117</v>
      </c>
      <c r="O13" s="55">
        <v>43555</v>
      </c>
      <c r="P13" s="54" t="s">
        <v>1118</v>
      </c>
      <c r="Q13" s="49" t="s">
        <v>82</v>
      </c>
      <c r="R13" s="57" t="s">
        <v>1119</v>
      </c>
      <c r="S13" s="47"/>
    </row>
    <row r="14" spans="2:19" s="30" customFormat="1" ht="33" customHeight="1">
      <c r="B14" s="46" t="s">
        <v>220</v>
      </c>
      <c r="C14" s="35" t="s">
        <v>421</v>
      </c>
      <c r="D14" s="36" t="s">
        <v>453</v>
      </c>
      <c r="E14" s="37">
        <v>43483</v>
      </c>
      <c r="F14" s="36" t="s">
        <v>79</v>
      </c>
      <c r="G14" s="39">
        <v>20000</v>
      </c>
      <c r="H14" s="38">
        <f t="shared" si="0"/>
        <v>80</v>
      </c>
      <c r="I14" s="38">
        <f t="shared" si="1"/>
        <v>20</v>
      </c>
      <c r="J14" s="36"/>
      <c r="K14" s="40">
        <v>43576</v>
      </c>
      <c r="L14" s="41" t="s">
        <v>1120</v>
      </c>
      <c r="M14" s="42">
        <v>43570</v>
      </c>
      <c r="N14" s="43" t="s">
        <v>1121</v>
      </c>
      <c r="O14" s="42">
        <v>43576</v>
      </c>
      <c r="P14" s="41" t="s">
        <v>1122</v>
      </c>
      <c r="Q14" s="36"/>
      <c r="R14" s="44" t="s">
        <v>1123</v>
      </c>
      <c r="S14" s="46"/>
    </row>
    <row r="15" spans="2:19" s="30" customFormat="1" ht="33" customHeight="1">
      <c r="B15" s="46" t="s">
        <v>78</v>
      </c>
      <c r="C15" s="35" t="s">
        <v>422</v>
      </c>
      <c r="D15" s="36" t="s">
        <v>455</v>
      </c>
      <c r="E15" s="37">
        <v>43483</v>
      </c>
      <c r="F15" s="36" t="s">
        <v>1098</v>
      </c>
      <c r="G15" s="39">
        <v>10000</v>
      </c>
      <c r="H15" s="38">
        <f>SUM(G15/250)</f>
        <v>40</v>
      </c>
      <c r="I15" s="38">
        <f t="shared" si="1"/>
        <v>10</v>
      </c>
      <c r="J15" s="36"/>
      <c r="K15" s="40">
        <v>43618</v>
      </c>
      <c r="L15" s="41" t="s">
        <v>1124</v>
      </c>
      <c r="M15" s="42">
        <v>43612</v>
      </c>
      <c r="N15" s="43" t="s">
        <v>1125</v>
      </c>
      <c r="O15" s="42">
        <v>43618</v>
      </c>
      <c r="P15" s="41"/>
      <c r="Q15" s="36" t="s">
        <v>82</v>
      </c>
      <c r="R15" s="44" t="s">
        <v>1126</v>
      </c>
      <c r="S15" s="46"/>
    </row>
    <row r="16" spans="2:19" s="30" customFormat="1" ht="33" customHeight="1">
      <c r="B16" s="46" t="s">
        <v>220</v>
      </c>
      <c r="C16" s="35" t="s">
        <v>1127</v>
      </c>
      <c r="D16" s="36" t="s">
        <v>455</v>
      </c>
      <c r="E16" s="37">
        <v>43523</v>
      </c>
      <c r="F16" s="36" t="s">
        <v>1098</v>
      </c>
      <c r="G16" s="39">
        <v>10000</v>
      </c>
      <c r="H16" s="38">
        <f>SUM(G16/250)</f>
        <v>40</v>
      </c>
      <c r="I16" s="38">
        <f t="shared" si="1"/>
        <v>10</v>
      </c>
      <c r="J16" s="36"/>
      <c r="K16" s="40">
        <v>43618</v>
      </c>
      <c r="L16" s="41" t="s">
        <v>638</v>
      </c>
      <c r="M16" s="42">
        <v>43612</v>
      </c>
      <c r="N16" s="43" t="s">
        <v>636</v>
      </c>
      <c r="O16" s="42">
        <v>43618</v>
      </c>
      <c r="P16" s="41"/>
      <c r="Q16" s="36"/>
      <c r="R16" s="44" t="s">
        <v>1128</v>
      </c>
      <c r="S16" s="46"/>
    </row>
    <row r="17" spans="2:19" s="30" customFormat="1" ht="33" customHeight="1">
      <c r="B17" s="46" t="s">
        <v>78</v>
      </c>
      <c r="C17" s="35" t="s">
        <v>423</v>
      </c>
      <c r="D17" s="36" t="s">
        <v>457</v>
      </c>
      <c r="E17" s="37">
        <v>43483</v>
      </c>
      <c r="F17" s="36" t="s">
        <v>79</v>
      </c>
      <c r="G17" s="39">
        <v>20000</v>
      </c>
      <c r="H17" s="38">
        <f t="shared" si="0"/>
        <v>80</v>
      </c>
      <c r="I17" s="38">
        <f t="shared" si="1"/>
        <v>20</v>
      </c>
      <c r="J17" s="36"/>
      <c r="K17" s="40">
        <v>43576</v>
      </c>
      <c r="L17" s="41" t="s">
        <v>1120</v>
      </c>
      <c r="M17" s="42">
        <v>43570</v>
      </c>
      <c r="N17" s="43" t="s">
        <v>1121</v>
      </c>
      <c r="O17" s="42">
        <v>43576</v>
      </c>
      <c r="P17" s="41" t="s">
        <v>1129</v>
      </c>
      <c r="Q17" s="36" t="s">
        <v>82</v>
      </c>
      <c r="R17" s="44" t="s">
        <v>1130</v>
      </c>
      <c r="S17" s="46"/>
    </row>
    <row r="18" spans="2:19" s="30" customFormat="1" ht="33" customHeight="1">
      <c r="B18" s="46" t="s">
        <v>220</v>
      </c>
      <c r="C18" s="35" t="s">
        <v>425</v>
      </c>
      <c r="D18" s="36" t="s">
        <v>459</v>
      </c>
      <c r="E18" s="37">
        <v>43483</v>
      </c>
      <c r="F18" s="36" t="s">
        <v>79</v>
      </c>
      <c r="G18" s="39">
        <v>20000</v>
      </c>
      <c r="H18" s="38">
        <f t="shared" si="0"/>
        <v>80</v>
      </c>
      <c r="I18" s="38">
        <f t="shared" si="1"/>
        <v>20</v>
      </c>
      <c r="J18" s="36"/>
      <c r="K18" s="40">
        <v>43583</v>
      </c>
      <c r="L18" s="41" t="s">
        <v>1131</v>
      </c>
      <c r="M18" s="42">
        <v>43577</v>
      </c>
      <c r="N18" s="43" t="s">
        <v>1132</v>
      </c>
      <c r="O18" s="42">
        <v>43583</v>
      </c>
      <c r="P18" s="41"/>
      <c r="Q18" s="36"/>
      <c r="R18" s="44" t="s">
        <v>1133</v>
      </c>
      <c r="S18" s="46"/>
    </row>
    <row r="19" spans="2:19" s="30" customFormat="1" ht="33" customHeight="1">
      <c r="B19" s="46" t="s">
        <v>78</v>
      </c>
      <c r="C19" s="35" t="s">
        <v>462</v>
      </c>
      <c r="D19" s="36" t="s">
        <v>483</v>
      </c>
      <c r="E19" s="37">
        <v>43490</v>
      </c>
      <c r="F19" s="36" t="s">
        <v>79</v>
      </c>
      <c r="G19" s="39">
        <v>20000</v>
      </c>
      <c r="H19" s="38">
        <f t="shared" si="0"/>
        <v>80</v>
      </c>
      <c r="I19" s="38">
        <f t="shared" si="1"/>
        <v>20</v>
      </c>
      <c r="J19" s="36"/>
      <c r="K19" s="40">
        <v>43583</v>
      </c>
      <c r="L19" s="41" t="s">
        <v>1131</v>
      </c>
      <c r="M19" s="42">
        <v>43577</v>
      </c>
      <c r="N19" s="43" t="s">
        <v>1132</v>
      </c>
      <c r="O19" s="42">
        <v>43583</v>
      </c>
      <c r="P19" s="41" t="s">
        <v>1134</v>
      </c>
      <c r="Q19" s="36" t="s">
        <v>82</v>
      </c>
      <c r="R19" s="44" t="s">
        <v>1135</v>
      </c>
      <c r="S19" s="46"/>
    </row>
    <row r="20" spans="2:19" s="30" customFormat="1" ht="33" customHeight="1">
      <c r="B20" s="46" t="s">
        <v>78</v>
      </c>
      <c r="C20" s="35" t="s">
        <v>570</v>
      </c>
      <c r="D20" s="36" t="s">
        <v>571</v>
      </c>
      <c r="E20" s="37">
        <v>43519</v>
      </c>
      <c r="F20" s="36" t="s">
        <v>79</v>
      </c>
      <c r="G20" s="39">
        <v>20000</v>
      </c>
      <c r="H20" s="38">
        <f t="shared" si="0"/>
        <v>80</v>
      </c>
      <c r="I20" s="38">
        <f t="shared" si="1"/>
        <v>20</v>
      </c>
      <c r="J20" s="36"/>
      <c r="K20" s="40">
        <v>43590</v>
      </c>
      <c r="L20" s="41" t="s">
        <v>602</v>
      </c>
      <c r="M20" s="42">
        <v>43577</v>
      </c>
      <c r="N20" s="43" t="s">
        <v>1132</v>
      </c>
      <c r="O20" s="42">
        <v>43583</v>
      </c>
      <c r="P20" s="41" t="s">
        <v>1136</v>
      </c>
      <c r="Q20" s="36" t="s">
        <v>82</v>
      </c>
      <c r="R20" s="44" t="s">
        <v>1137</v>
      </c>
      <c r="S20" s="46"/>
    </row>
    <row r="21" spans="2:19" s="30" customFormat="1" ht="33" customHeight="1">
      <c r="B21" s="46" t="s">
        <v>78</v>
      </c>
      <c r="C21" s="35" t="s">
        <v>573</v>
      </c>
      <c r="D21" s="36" t="s">
        <v>574</v>
      </c>
      <c r="E21" s="37">
        <v>43519</v>
      </c>
      <c r="F21" s="36" t="s">
        <v>79</v>
      </c>
      <c r="G21" s="39">
        <v>20000</v>
      </c>
      <c r="H21" s="38">
        <f t="shared" si="0"/>
        <v>80</v>
      </c>
      <c r="I21" s="38">
        <f t="shared" si="1"/>
        <v>20</v>
      </c>
      <c r="J21" s="36"/>
      <c r="K21" s="40">
        <v>43604</v>
      </c>
      <c r="L21" s="41" t="s">
        <v>1138</v>
      </c>
      <c r="M21" s="42">
        <v>43598</v>
      </c>
      <c r="N21" s="43" t="s">
        <v>1139</v>
      </c>
      <c r="O21" s="42">
        <v>43604</v>
      </c>
      <c r="P21" s="41"/>
      <c r="Q21" s="36" t="s">
        <v>82</v>
      </c>
      <c r="R21" s="44" t="s">
        <v>1140</v>
      </c>
      <c r="S21" s="46"/>
    </row>
    <row r="22" spans="2:19" s="30" customFormat="1" ht="33" customHeight="1">
      <c r="B22" s="46" t="s">
        <v>78</v>
      </c>
      <c r="C22" s="35" t="s">
        <v>576</v>
      </c>
      <c r="D22" s="36" t="s">
        <v>577</v>
      </c>
      <c r="E22" s="37">
        <v>43519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43611</v>
      </c>
      <c r="L22" s="41" t="s">
        <v>1141</v>
      </c>
      <c r="M22" s="42">
        <v>43605</v>
      </c>
      <c r="N22" s="43" t="s">
        <v>1142</v>
      </c>
      <c r="O22" s="42">
        <v>43611</v>
      </c>
      <c r="P22" s="41"/>
      <c r="Q22" s="36" t="s">
        <v>82</v>
      </c>
      <c r="R22" s="44" t="s">
        <v>1143</v>
      </c>
      <c r="S22" s="46"/>
    </row>
    <row r="23" spans="2:19" s="30" customFormat="1" ht="33" customHeight="1">
      <c r="B23" s="46" t="s">
        <v>78</v>
      </c>
      <c r="C23" s="35" t="s">
        <v>1144</v>
      </c>
      <c r="D23" s="36" t="s">
        <v>577</v>
      </c>
      <c r="E23" s="37">
        <v>43519</v>
      </c>
      <c r="F23" s="36" t="s">
        <v>1098</v>
      </c>
      <c r="G23" s="39">
        <v>10000</v>
      </c>
      <c r="H23" s="38">
        <f t="shared" si="0"/>
        <v>40</v>
      </c>
      <c r="I23" s="38">
        <f t="shared" si="1"/>
        <v>10</v>
      </c>
      <c r="J23" s="36"/>
      <c r="K23" s="40">
        <v>43598</v>
      </c>
      <c r="L23" s="41" t="s">
        <v>803</v>
      </c>
      <c r="M23" s="42">
        <v>43598</v>
      </c>
      <c r="N23" s="43" t="s">
        <v>804</v>
      </c>
      <c r="O23" s="42">
        <v>43604</v>
      </c>
      <c r="P23" s="41"/>
      <c r="Q23" s="36" t="s">
        <v>82</v>
      </c>
      <c r="R23" s="44" t="s">
        <v>1145</v>
      </c>
      <c r="S23" s="46"/>
    </row>
    <row r="24" spans="2:19" s="30" customFormat="1" ht="33" customHeight="1">
      <c r="B24" s="46" t="s">
        <v>220</v>
      </c>
      <c r="C24" s="35" t="s">
        <v>579</v>
      </c>
      <c r="D24" s="36" t="s">
        <v>580</v>
      </c>
      <c r="E24" s="37">
        <v>43519</v>
      </c>
      <c r="F24" s="36" t="s">
        <v>79</v>
      </c>
      <c r="G24" s="39">
        <v>10000</v>
      </c>
      <c r="H24" s="38">
        <f t="shared" si="0"/>
        <v>40</v>
      </c>
      <c r="I24" s="38">
        <f t="shared" si="1"/>
        <v>10</v>
      </c>
      <c r="J24" s="36"/>
      <c r="K24" s="40">
        <v>43598</v>
      </c>
      <c r="L24" s="41" t="s">
        <v>803</v>
      </c>
      <c r="M24" s="42">
        <v>43598</v>
      </c>
      <c r="N24" s="43" t="s">
        <v>804</v>
      </c>
      <c r="O24" s="42">
        <v>43604</v>
      </c>
      <c r="P24" s="41"/>
      <c r="Q24" s="36"/>
      <c r="R24" s="44" t="s">
        <v>1146</v>
      </c>
      <c r="S24" s="46"/>
    </row>
    <row r="25" spans="2:19" s="30" customFormat="1" ht="33" customHeight="1">
      <c r="B25" s="46" t="s">
        <v>78</v>
      </c>
      <c r="C25" s="35" t="s">
        <v>685</v>
      </c>
      <c r="D25" s="36" t="s">
        <v>686</v>
      </c>
      <c r="E25" s="37">
        <v>43532</v>
      </c>
      <c r="F25" s="36" t="s">
        <v>79</v>
      </c>
      <c r="G25" s="39">
        <v>20000</v>
      </c>
      <c r="H25" s="38">
        <f t="shared" si="0"/>
        <v>80</v>
      </c>
      <c r="I25" s="38">
        <f t="shared" si="1"/>
        <v>20</v>
      </c>
      <c r="J25" s="36"/>
      <c r="K25" s="40">
        <v>43625</v>
      </c>
      <c r="L25" s="41" t="s">
        <v>1147</v>
      </c>
      <c r="M25" s="42">
        <v>43619</v>
      </c>
      <c r="N25" s="43" t="s">
        <v>1148</v>
      </c>
      <c r="O25" s="42">
        <v>43625</v>
      </c>
      <c r="P25" s="41"/>
      <c r="Q25" s="36" t="s">
        <v>82</v>
      </c>
      <c r="R25" s="44" t="s">
        <v>1149</v>
      </c>
      <c r="S25" s="46"/>
    </row>
    <row r="26" spans="2:19" s="30" customFormat="1" ht="33" customHeight="1">
      <c r="B26" s="46" t="s">
        <v>220</v>
      </c>
      <c r="C26" s="35" t="s">
        <v>688</v>
      </c>
      <c r="D26" s="36" t="s">
        <v>689</v>
      </c>
      <c r="E26" s="37">
        <v>43532</v>
      </c>
      <c r="F26" s="36" t="s">
        <v>79</v>
      </c>
      <c r="G26" s="39">
        <v>20000</v>
      </c>
      <c r="H26" s="38">
        <f t="shared" si="0"/>
        <v>80</v>
      </c>
      <c r="I26" s="38">
        <f t="shared" si="1"/>
        <v>20</v>
      </c>
      <c r="J26" s="36"/>
      <c r="K26" s="40">
        <v>43632</v>
      </c>
      <c r="L26" s="41" t="s">
        <v>1150</v>
      </c>
      <c r="M26" s="42">
        <v>43626</v>
      </c>
      <c r="N26" s="43" t="s">
        <v>1151</v>
      </c>
      <c r="O26" s="42">
        <v>43632</v>
      </c>
      <c r="P26" s="41"/>
      <c r="Q26" s="36"/>
      <c r="R26" s="44" t="s">
        <v>1152</v>
      </c>
      <c r="S26" s="46"/>
    </row>
    <row r="27" spans="2:19" s="30" customFormat="1" ht="33" customHeight="1">
      <c r="B27" s="46" t="s">
        <v>78</v>
      </c>
      <c r="C27" s="35" t="s">
        <v>691</v>
      </c>
      <c r="D27" s="36" t="s">
        <v>692</v>
      </c>
      <c r="E27" s="37">
        <v>43532</v>
      </c>
      <c r="F27" s="36" t="s">
        <v>79</v>
      </c>
      <c r="G27" s="39">
        <v>20000</v>
      </c>
      <c r="H27" s="38">
        <f t="shared" si="0"/>
        <v>80</v>
      </c>
      <c r="I27" s="38">
        <f t="shared" si="1"/>
        <v>20</v>
      </c>
      <c r="J27" s="36"/>
      <c r="K27" s="40">
        <v>43639</v>
      </c>
      <c r="L27" s="41" t="s">
        <v>1153</v>
      </c>
      <c r="M27" s="42">
        <v>43633</v>
      </c>
      <c r="N27" s="43" t="s">
        <v>1154</v>
      </c>
      <c r="O27" s="42">
        <v>43639</v>
      </c>
      <c r="P27" s="41"/>
      <c r="Q27" s="36" t="s">
        <v>82</v>
      </c>
      <c r="R27" s="44" t="s">
        <v>1155</v>
      </c>
      <c r="S27" s="46"/>
    </row>
    <row r="28" spans="2:19" s="30" customFormat="1" ht="33" customHeight="1">
      <c r="B28" s="122" t="s">
        <v>220</v>
      </c>
      <c r="C28" s="126" t="s">
        <v>986</v>
      </c>
      <c r="D28" s="105" t="s">
        <v>1156</v>
      </c>
      <c r="E28" s="128">
        <v>43566</v>
      </c>
      <c r="F28" s="127" t="s">
        <v>79</v>
      </c>
      <c r="G28" s="129">
        <v>20000</v>
      </c>
      <c r="H28" s="124">
        <f t="shared" ref="H28:H37" si="3">SUM(G28/250)</f>
        <v>80</v>
      </c>
      <c r="I28" s="124">
        <f t="shared" si="1"/>
        <v>20</v>
      </c>
      <c r="J28" s="127"/>
      <c r="K28" s="130">
        <v>43611</v>
      </c>
      <c r="L28" s="119" t="s">
        <v>603</v>
      </c>
      <c r="M28" s="120">
        <v>43605</v>
      </c>
      <c r="N28" s="121" t="s">
        <v>1080</v>
      </c>
      <c r="O28" s="120">
        <v>43611</v>
      </c>
      <c r="P28" s="119"/>
      <c r="Q28" s="127"/>
      <c r="R28" s="125" t="s">
        <v>1157</v>
      </c>
      <c r="S28" s="122"/>
    </row>
    <row r="29" spans="2:19" s="30" customFormat="1" ht="33" customHeight="1">
      <c r="B29" s="122" t="s">
        <v>78</v>
      </c>
      <c r="C29" s="126" t="s">
        <v>988</v>
      </c>
      <c r="D29" s="105" t="s">
        <v>1158</v>
      </c>
      <c r="E29" s="128">
        <v>43566</v>
      </c>
      <c r="F29" s="127" t="s">
        <v>79</v>
      </c>
      <c r="G29" s="129">
        <v>20000</v>
      </c>
      <c r="H29" s="124">
        <f t="shared" si="3"/>
        <v>80</v>
      </c>
      <c r="I29" s="124">
        <f t="shared" si="1"/>
        <v>20</v>
      </c>
      <c r="J29" s="127"/>
      <c r="K29" s="130">
        <v>43632</v>
      </c>
      <c r="L29" s="119" t="s">
        <v>1081</v>
      </c>
      <c r="M29" s="120">
        <v>43626</v>
      </c>
      <c r="N29" s="121" t="s">
        <v>1082</v>
      </c>
      <c r="O29" s="120">
        <v>43632</v>
      </c>
      <c r="P29" s="119"/>
      <c r="Q29" s="127" t="s">
        <v>82</v>
      </c>
      <c r="R29" s="125" t="s">
        <v>1159</v>
      </c>
      <c r="S29" s="122"/>
    </row>
    <row r="30" spans="2:19" s="147" customFormat="1" ht="33" customHeight="1">
      <c r="B30" s="103" t="s">
        <v>78</v>
      </c>
      <c r="C30" s="104" t="s">
        <v>1160</v>
      </c>
      <c r="D30" s="105" t="s">
        <v>1161</v>
      </c>
      <c r="E30" s="106">
        <v>43567</v>
      </c>
      <c r="F30" s="105" t="s">
        <v>1094</v>
      </c>
      <c r="G30" s="108">
        <v>40000</v>
      </c>
      <c r="H30" s="107">
        <f t="shared" si="3"/>
        <v>160</v>
      </c>
      <c r="I30" s="107">
        <f t="shared" si="1"/>
        <v>40</v>
      </c>
      <c r="J30" s="105"/>
      <c r="K30" s="109">
        <v>43646</v>
      </c>
      <c r="L30" s="110"/>
      <c r="M30" s="111"/>
      <c r="N30" s="112"/>
      <c r="O30" s="111"/>
      <c r="P30" s="110"/>
      <c r="Q30" s="105" t="s">
        <v>82</v>
      </c>
      <c r="R30" s="114" t="s">
        <v>1162</v>
      </c>
      <c r="S30" s="103"/>
    </row>
    <row r="31" spans="2:19" s="147" customFormat="1" ht="33" customHeight="1">
      <c r="B31" s="103" t="s">
        <v>220</v>
      </c>
      <c r="C31" s="104" t="s">
        <v>1163</v>
      </c>
      <c r="D31" s="105" t="s">
        <v>1164</v>
      </c>
      <c r="E31" s="106">
        <v>43567</v>
      </c>
      <c r="F31" s="105" t="s">
        <v>79</v>
      </c>
      <c r="G31" s="108">
        <v>20000</v>
      </c>
      <c r="H31" s="107">
        <f t="shared" si="3"/>
        <v>80</v>
      </c>
      <c r="I31" s="107">
        <f t="shared" si="1"/>
        <v>20</v>
      </c>
      <c r="J31" s="105"/>
      <c r="K31" s="109">
        <v>43646</v>
      </c>
      <c r="L31" s="110"/>
      <c r="M31" s="111"/>
      <c r="N31" s="112"/>
      <c r="O31" s="111"/>
      <c r="P31" s="110"/>
      <c r="Q31" s="105"/>
      <c r="R31" s="114" t="s">
        <v>1165</v>
      </c>
      <c r="S31" s="103"/>
    </row>
    <row r="32" spans="2:19" s="147" customFormat="1" ht="33" customHeight="1">
      <c r="B32" s="103" t="s">
        <v>78</v>
      </c>
      <c r="C32" s="104" t="s">
        <v>1166</v>
      </c>
      <c r="D32" s="105" t="s">
        <v>1167</v>
      </c>
      <c r="E32" s="106">
        <v>43567</v>
      </c>
      <c r="F32" s="105" t="s">
        <v>79</v>
      </c>
      <c r="G32" s="108">
        <v>20000</v>
      </c>
      <c r="H32" s="107">
        <f t="shared" si="3"/>
        <v>80</v>
      </c>
      <c r="I32" s="107">
        <f t="shared" si="1"/>
        <v>20</v>
      </c>
      <c r="J32" s="105"/>
      <c r="K32" s="109">
        <v>43653</v>
      </c>
      <c r="L32" s="110"/>
      <c r="M32" s="111"/>
      <c r="N32" s="112"/>
      <c r="O32" s="111"/>
      <c r="P32" s="110"/>
      <c r="Q32" s="105" t="s">
        <v>82</v>
      </c>
      <c r="R32" s="114" t="s">
        <v>1168</v>
      </c>
      <c r="S32" s="103"/>
    </row>
    <row r="33" spans="2:19" s="147" customFormat="1" ht="33" customHeight="1">
      <c r="B33" s="103" t="s">
        <v>78</v>
      </c>
      <c r="C33" s="104" t="s">
        <v>1169</v>
      </c>
      <c r="D33" s="105" t="s">
        <v>1170</v>
      </c>
      <c r="E33" s="106">
        <v>43567</v>
      </c>
      <c r="F33" s="105" t="s">
        <v>79</v>
      </c>
      <c r="G33" s="108">
        <v>20000</v>
      </c>
      <c r="H33" s="107">
        <f t="shared" si="3"/>
        <v>80</v>
      </c>
      <c r="I33" s="107">
        <f t="shared" si="1"/>
        <v>20</v>
      </c>
      <c r="J33" s="105"/>
      <c r="K33" s="109">
        <v>43660</v>
      </c>
      <c r="L33" s="110"/>
      <c r="M33" s="111"/>
      <c r="N33" s="112"/>
      <c r="O33" s="111"/>
      <c r="P33" s="110"/>
      <c r="Q33" s="105" t="s">
        <v>82</v>
      </c>
      <c r="R33" s="114" t="s">
        <v>1171</v>
      </c>
      <c r="S33" s="103"/>
    </row>
    <row r="34" spans="2:19" s="147" customFormat="1" ht="33" customHeight="1">
      <c r="B34" s="103" t="s">
        <v>78</v>
      </c>
      <c r="C34" s="104" t="s">
        <v>1172</v>
      </c>
      <c r="D34" s="105" t="s">
        <v>1173</v>
      </c>
      <c r="E34" s="106">
        <v>43567</v>
      </c>
      <c r="F34" s="105" t="s">
        <v>79</v>
      </c>
      <c r="G34" s="108">
        <v>20000</v>
      </c>
      <c r="H34" s="107">
        <f t="shared" si="3"/>
        <v>80</v>
      </c>
      <c r="I34" s="107">
        <f t="shared" si="1"/>
        <v>20</v>
      </c>
      <c r="J34" s="105"/>
      <c r="K34" s="109">
        <v>43667</v>
      </c>
      <c r="L34" s="110"/>
      <c r="M34" s="111"/>
      <c r="N34" s="112"/>
      <c r="O34" s="111"/>
      <c r="P34" s="110"/>
      <c r="Q34" s="105" t="s">
        <v>82</v>
      </c>
      <c r="R34" s="114" t="s">
        <v>1174</v>
      </c>
      <c r="S34" s="103"/>
    </row>
    <row r="35" spans="2:19" s="147" customFormat="1" ht="33" customHeight="1">
      <c r="B35" s="103" t="s">
        <v>220</v>
      </c>
      <c r="C35" s="104" t="s">
        <v>1175</v>
      </c>
      <c r="D35" s="105" t="s">
        <v>1176</v>
      </c>
      <c r="E35" s="106">
        <v>43567</v>
      </c>
      <c r="F35" s="105" t="s">
        <v>79</v>
      </c>
      <c r="G35" s="108">
        <v>20000</v>
      </c>
      <c r="H35" s="107">
        <f t="shared" si="3"/>
        <v>80</v>
      </c>
      <c r="I35" s="107">
        <f t="shared" si="1"/>
        <v>20</v>
      </c>
      <c r="J35" s="105"/>
      <c r="K35" s="109">
        <v>43667</v>
      </c>
      <c r="L35" s="110"/>
      <c r="M35" s="111"/>
      <c r="N35" s="112"/>
      <c r="O35" s="111"/>
      <c r="P35" s="110"/>
      <c r="Q35" s="105"/>
      <c r="R35" s="114" t="s">
        <v>1177</v>
      </c>
      <c r="S35" s="103"/>
    </row>
    <row r="36" spans="2:19" s="147" customFormat="1" ht="33" customHeight="1">
      <c r="B36" s="103" t="s">
        <v>78</v>
      </c>
      <c r="C36" s="104" t="s">
        <v>1178</v>
      </c>
      <c r="D36" s="105" t="s">
        <v>1179</v>
      </c>
      <c r="E36" s="106">
        <v>43567</v>
      </c>
      <c r="F36" s="105" t="s">
        <v>1098</v>
      </c>
      <c r="G36" s="108">
        <v>10000</v>
      </c>
      <c r="H36" s="107">
        <f t="shared" si="3"/>
        <v>40</v>
      </c>
      <c r="I36" s="107">
        <f t="shared" si="1"/>
        <v>10</v>
      </c>
      <c r="J36" s="105"/>
      <c r="K36" s="109">
        <v>43674</v>
      </c>
      <c r="L36" s="110"/>
      <c r="M36" s="111"/>
      <c r="N36" s="112"/>
      <c r="O36" s="111"/>
      <c r="P36" s="110"/>
      <c r="Q36" s="105" t="s">
        <v>82</v>
      </c>
      <c r="R36" s="114" t="s">
        <v>1180</v>
      </c>
      <c r="S36" s="103"/>
    </row>
    <row r="37" spans="2:19" s="147" customFormat="1" ht="33" customHeight="1">
      <c r="B37" s="103" t="s">
        <v>220</v>
      </c>
      <c r="C37" s="104" t="s">
        <v>1181</v>
      </c>
      <c r="D37" s="105" t="s">
        <v>1182</v>
      </c>
      <c r="E37" s="106">
        <v>43567</v>
      </c>
      <c r="F37" s="105" t="s">
        <v>1098</v>
      </c>
      <c r="G37" s="108">
        <v>10000</v>
      </c>
      <c r="H37" s="107">
        <f t="shared" si="3"/>
        <v>40</v>
      </c>
      <c r="I37" s="107">
        <f t="shared" si="1"/>
        <v>10</v>
      </c>
      <c r="J37" s="105"/>
      <c r="K37" s="109">
        <v>43674</v>
      </c>
      <c r="L37" s="110"/>
      <c r="M37" s="111"/>
      <c r="N37" s="112"/>
      <c r="O37" s="111"/>
      <c r="P37" s="110"/>
      <c r="Q37" s="105"/>
      <c r="R37" s="114" t="s">
        <v>1183</v>
      </c>
      <c r="S37" s="103"/>
    </row>
    <row r="38" spans="2:19" s="96" customFormat="1" ht="33" customHeight="1">
      <c r="B38" s="47" t="s">
        <v>17</v>
      </c>
      <c r="C38" s="48" t="s">
        <v>353</v>
      </c>
      <c r="D38" s="49" t="s">
        <v>383</v>
      </c>
      <c r="E38" s="50">
        <v>43434</v>
      </c>
      <c r="F38" s="52" t="s">
        <v>84</v>
      </c>
      <c r="G38" s="51">
        <v>9200</v>
      </c>
      <c r="H38" s="52">
        <f t="shared" ref="H38:H45" si="4">SUM(G38/230)</f>
        <v>40</v>
      </c>
      <c r="I38" s="52">
        <f t="shared" si="1"/>
        <v>10</v>
      </c>
      <c r="J38" s="49"/>
      <c r="K38" s="53">
        <v>43148</v>
      </c>
      <c r="L38" s="54" t="s">
        <v>276</v>
      </c>
      <c r="M38" s="55">
        <v>43508</v>
      </c>
      <c r="N38" s="56" t="s">
        <v>532</v>
      </c>
      <c r="O38" s="55">
        <v>43513</v>
      </c>
      <c r="P38" s="58"/>
      <c r="Q38" s="52" t="s">
        <v>82</v>
      </c>
      <c r="R38" s="57" t="s">
        <v>533</v>
      </c>
      <c r="S38" s="47"/>
    </row>
    <row r="39" spans="2:19" s="96" customFormat="1" ht="33" customHeight="1">
      <c r="B39" s="47" t="s">
        <v>17</v>
      </c>
      <c r="C39" s="48" t="s">
        <v>361</v>
      </c>
      <c r="D39" s="49" t="s">
        <v>384</v>
      </c>
      <c r="E39" s="50">
        <v>43441</v>
      </c>
      <c r="F39" s="52" t="s">
        <v>84</v>
      </c>
      <c r="G39" s="51">
        <v>9200</v>
      </c>
      <c r="H39" s="52">
        <f t="shared" si="4"/>
        <v>40</v>
      </c>
      <c r="I39" s="52">
        <f t="shared" si="1"/>
        <v>10</v>
      </c>
      <c r="J39" s="49"/>
      <c r="K39" s="53">
        <v>43548</v>
      </c>
      <c r="L39" s="54" t="s">
        <v>534</v>
      </c>
      <c r="M39" s="55">
        <v>43543</v>
      </c>
      <c r="N39" s="56" t="s">
        <v>535</v>
      </c>
      <c r="O39" s="55">
        <v>43548</v>
      </c>
      <c r="P39" s="58"/>
      <c r="Q39" s="52" t="s">
        <v>82</v>
      </c>
      <c r="R39" s="57" t="s">
        <v>536</v>
      </c>
      <c r="S39" s="47"/>
    </row>
    <row r="40" spans="2:19" s="67" customFormat="1" ht="33" customHeight="1">
      <c r="B40" s="46" t="s">
        <v>17</v>
      </c>
      <c r="C40" s="35" t="s">
        <v>427</v>
      </c>
      <c r="D40" s="36" t="s">
        <v>537</v>
      </c>
      <c r="E40" s="37">
        <v>43483</v>
      </c>
      <c r="F40" s="38" t="s">
        <v>84</v>
      </c>
      <c r="G40" s="39">
        <v>9200</v>
      </c>
      <c r="H40" s="38">
        <f t="shared" si="4"/>
        <v>40</v>
      </c>
      <c r="I40" s="38">
        <f t="shared" si="1"/>
        <v>10</v>
      </c>
      <c r="J40" s="36"/>
      <c r="K40" s="40">
        <v>43576</v>
      </c>
      <c r="L40" s="41" t="s">
        <v>538</v>
      </c>
      <c r="M40" s="42">
        <v>43571</v>
      </c>
      <c r="N40" s="43" t="s">
        <v>539</v>
      </c>
      <c r="O40" s="42">
        <v>43576</v>
      </c>
      <c r="P40" s="45"/>
      <c r="Q40" s="38" t="s">
        <v>82</v>
      </c>
      <c r="R40" s="44" t="s">
        <v>540</v>
      </c>
      <c r="S40" s="46"/>
    </row>
    <row r="41" spans="2:19" s="67" customFormat="1" ht="33" customHeight="1">
      <c r="B41" s="46" t="s">
        <v>17</v>
      </c>
      <c r="C41" s="35" t="s">
        <v>581</v>
      </c>
      <c r="D41" s="36" t="s">
        <v>582</v>
      </c>
      <c r="E41" s="37">
        <v>43519</v>
      </c>
      <c r="F41" s="38" t="s">
        <v>84</v>
      </c>
      <c r="G41" s="39">
        <v>9200</v>
      </c>
      <c r="H41" s="38">
        <f t="shared" si="4"/>
        <v>40</v>
      </c>
      <c r="I41" s="38">
        <f t="shared" si="1"/>
        <v>10</v>
      </c>
      <c r="J41" s="36"/>
      <c r="K41" s="40">
        <v>43632</v>
      </c>
      <c r="L41" s="41" t="s">
        <v>807</v>
      </c>
      <c r="M41" s="42">
        <v>43627</v>
      </c>
      <c r="N41" s="43" t="s">
        <v>796</v>
      </c>
      <c r="O41" s="42">
        <v>43632</v>
      </c>
      <c r="P41" s="45"/>
      <c r="Q41" s="38" t="s">
        <v>82</v>
      </c>
      <c r="R41" s="44" t="s">
        <v>825</v>
      </c>
      <c r="S41" s="46"/>
    </row>
    <row r="42" spans="2:19" s="67" customFormat="1" ht="33" customHeight="1">
      <c r="B42" s="46" t="s">
        <v>17</v>
      </c>
      <c r="C42" s="35" t="s">
        <v>694</v>
      </c>
      <c r="D42" s="36" t="s">
        <v>695</v>
      </c>
      <c r="E42" s="37">
        <v>43532</v>
      </c>
      <c r="F42" s="38" t="s">
        <v>531</v>
      </c>
      <c r="G42" s="39">
        <v>9200</v>
      </c>
      <c r="H42" s="38">
        <f t="shared" si="4"/>
        <v>40</v>
      </c>
      <c r="I42" s="38">
        <f t="shared" si="1"/>
        <v>10</v>
      </c>
      <c r="J42" s="36"/>
      <c r="K42" s="40">
        <v>43667</v>
      </c>
      <c r="L42" s="41" t="s">
        <v>837</v>
      </c>
      <c r="M42" s="42">
        <v>43662</v>
      </c>
      <c r="N42" s="43" t="s">
        <v>836</v>
      </c>
      <c r="O42" s="42">
        <v>43667</v>
      </c>
      <c r="P42" s="45"/>
      <c r="Q42" s="38" t="s">
        <v>82</v>
      </c>
      <c r="R42" s="44" t="s">
        <v>826</v>
      </c>
      <c r="S42" s="46"/>
    </row>
    <row r="43" spans="2:19" s="96" customFormat="1" ht="33" customHeight="1">
      <c r="B43" s="47" t="s">
        <v>33</v>
      </c>
      <c r="C43" s="48" t="s">
        <v>230</v>
      </c>
      <c r="D43" s="49" t="s">
        <v>231</v>
      </c>
      <c r="E43" s="50"/>
      <c r="F43" s="52"/>
      <c r="G43" s="51">
        <v>9200</v>
      </c>
      <c r="H43" s="52">
        <f t="shared" si="4"/>
        <v>40</v>
      </c>
      <c r="I43" s="52">
        <f t="shared" si="1"/>
        <v>10</v>
      </c>
      <c r="J43" s="49"/>
      <c r="K43" s="53">
        <v>43155</v>
      </c>
      <c r="L43" s="54" t="s">
        <v>541</v>
      </c>
      <c r="M43" s="55">
        <v>43515</v>
      </c>
      <c r="N43" s="56" t="s">
        <v>542</v>
      </c>
      <c r="O43" s="55">
        <v>43520</v>
      </c>
      <c r="P43" s="58" t="s">
        <v>543</v>
      </c>
      <c r="Q43" s="52"/>
      <c r="R43" s="57" t="s">
        <v>544</v>
      </c>
      <c r="S43" s="47" t="s">
        <v>216</v>
      </c>
    </row>
    <row r="44" spans="2:19" s="67" customFormat="1" ht="33" customHeight="1">
      <c r="B44" s="46" t="s">
        <v>33</v>
      </c>
      <c r="C44" s="35" t="s">
        <v>255</v>
      </c>
      <c r="D44" s="36" t="s">
        <v>269</v>
      </c>
      <c r="E44" s="37">
        <v>43378</v>
      </c>
      <c r="F44" s="38" t="s">
        <v>84</v>
      </c>
      <c r="G44" s="39">
        <v>18400</v>
      </c>
      <c r="H44" s="38">
        <f t="shared" si="4"/>
        <v>80</v>
      </c>
      <c r="I44" s="38">
        <f t="shared" si="1"/>
        <v>20</v>
      </c>
      <c r="J44" s="36"/>
      <c r="K44" s="141" t="s">
        <v>545</v>
      </c>
      <c r="L44" s="142"/>
      <c r="M44" s="143"/>
      <c r="N44" s="144"/>
      <c r="O44" s="143"/>
      <c r="P44" s="45"/>
      <c r="Q44" s="38"/>
      <c r="R44" s="44" t="s">
        <v>546</v>
      </c>
      <c r="S44" s="46"/>
    </row>
    <row r="45" spans="2:19" s="67" customFormat="1" ht="33" customHeight="1">
      <c r="B45" s="46" t="s">
        <v>81</v>
      </c>
      <c r="C45" s="35" t="s">
        <v>279</v>
      </c>
      <c r="D45" s="36" t="s">
        <v>315</v>
      </c>
      <c r="E45" s="37">
        <v>43392</v>
      </c>
      <c r="F45" s="38" t="s">
        <v>84</v>
      </c>
      <c r="G45" s="39">
        <v>13800</v>
      </c>
      <c r="H45" s="38">
        <f t="shared" si="4"/>
        <v>60</v>
      </c>
      <c r="I45" s="38">
        <f t="shared" si="1"/>
        <v>15</v>
      </c>
      <c r="J45" s="38"/>
      <c r="K45" s="40">
        <v>43597</v>
      </c>
      <c r="L45" s="41" t="s">
        <v>562</v>
      </c>
      <c r="M45" s="42">
        <v>43594</v>
      </c>
      <c r="N45" s="43" t="s">
        <v>561</v>
      </c>
      <c r="O45" s="42">
        <v>43598</v>
      </c>
      <c r="P45" s="45"/>
      <c r="Q45" s="46"/>
      <c r="R45" s="44" t="s">
        <v>547</v>
      </c>
      <c r="S45" s="46"/>
    </row>
    <row r="46" spans="2:19" s="96" customFormat="1" ht="33" customHeight="1">
      <c r="B46" s="47" t="s">
        <v>81</v>
      </c>
      <c r="C46" s="48" t="s">
        <v>316</v>
      </c>
      <c r="D46" s="49" t="s">
        <v>317</v>
      </c>
      <c r="E46" s="50">
        <v>43420</v>
      </c>
      <c r="F46" s="52" t="s">
        <v>531</v>
      </c>
      <c r="G46" s="51">
        <v>18400</v>
      </c>
      <c r="H46" s="52">
        <f>SUM(G46/230)</f>
        <v>80</v>
      </c>
      <c r="I46" s="52">
        <f>SUM(H46/4)</f>
        <v>20</v>
      </c>
      <c r="J46" s="52"/>
      <c r="K46" s="53">
        <v>43525</v>
      </c>
      <c r="L46" s="54" t="s">
        <v>541</v>
      </c>
      <c r="M46" s="55">
        <v>43515</v>
      </c>
      <c r="N46" s="56" t="s">
        <v>542</v>
      </c>
      <c r="O46" s="55">
        <v>43520</v>
      </c>
      <c r="P46" s="58" t="s">
        <v>548</v>
      </c>
      <c r="Q46" s="47"/>
      <c r="R46" s="57" t="s">
        <v>549</v>
      </c>
      <c r="S46" s="47" t="s">
        <v>350</v>
      </c>
    </row>
    <row r="47" spans="2:19" s="67" customFormat="1" ht="33" customHeight="1">
      <c r="B47" s="46" t="s">
        <v>81</v>
      </c>
      <c r="C47" s="35" t="s">
        <v>318</v>
      </c>
      <c r="D47" s="36" t="s">
        <v>319</v>
      </c>
      <c r="E47" s="37">
        <v>43420</v>
      </c>
      <c r="F47" s="38" t="s">
        <v>531</v>
      </c>
      <c r="G47" s="39">
        <v>17940</v>
      </c>
      <c r="H47" s="38">
        <f>SUM(G47/230)</f>
        <v>78</v>
      </c>
      <c r="I47" s="38">
        <f>SUM(H47/4)</f>
        <v>19.5</v>
      </c>
      <c r="J47" s="38"/>
      <c r="K47" s="40">
        <v>43576</v>
      </c>
      <c r="L47" s="41" t="s">
        <v>480</v>
      </c>
      <c r="M47" s="42">
        <v>43564</v>
      </c>
      <c r="N47" s="43" t="s">
        <v>550</v>
      </c>
      <c r="O47" s="42">
        <v>43569</v>
      </c>
      <c r="P47" s="45"/>
      <c r="Q47" s="46"/>
      <c r="R47" s="44" t="s">
        <v>551</v>
      </c>
      <c r="S47" s="46" t="s">
        <v>552</v>
      </c>
    </row>
    <row r="48" spans="2:19" s="67" customFormat="1" ht="33" customHeight="1">
      <c r="B48" s="46" t="s">
        <v>81</v>
      </c>
      <c r="C48" s="35" t="s">
        <v>700</v>
      </c>
      <c r="D48" s="36" t="s">
        <v>701</v>
      </c>
      <c r="E48" s="37">
        <v>43532</v>
      </c>
      <c r="F48" s="38" t="s">
        <v>531</v>
      </c>
      <c r="G48" s="39">
        <v>13800</v>
      </c>
      <c r="H48" s="38">
        <f t="shared" ref="H48:H51" si="5">SUM(G48/230)</f>
        <v>60</v>
      </c>
      <c r="I48" s="38">
        <f t="shared" ref="I48:I51" si="6">SUM(H48/4)</f>
        <v>15</v>
      </c>
      <c r="J48" s="38"/>
      <c r="K48" s="40">
        <v>43625</v>
      </c>
      <c r="L48" s="41" t="s">
        <v>975</v>
      </c>
      <c r="M48" s="42">
        <v>43620</v>
      </c>
      <c r="N48" s="43" t="s">
        <v>768</v>
      </c>
      <c r="O48" s="42">
        <v>43625</v>
      </c>
      <c r="P48" s="45"/>
      <c r="Q48" s="46"/>
      <c r="R48" s="44" t="s">
        <v>850</v>
      </c>
      <c r="S48" s="46"/>
    </row>
    <row r="49" spans="2:19" s="67" customFormat="1" ht="33" customHeight="1">
      <c r="B49" s="46" t="s">
        <v>81</v>
      </c>
      <c r="C49" s="35" t="s">
        <v>702</v>
      </c>
      <c r="D49" s="36" t="s">
        <v>703</v>
      </c>
      <c r="E49" s="37">
        <v>43532</v>
      </c>
      <c r="F49" s="38" t="s">
        <v>531</v>
      </c>
      <c r="G49" s="39">
        <v>9200</v>
      </c>
      <c r="H49" s="38">
        <f t="shared" si="5"/>
        <v>40</v>
      </c>
      <c r="I49" s="38">
        <f t="shared" si="6"/>
        <v>10</v>
      </c>
      <c r="J49" s="38"/>
      <c r="K49" s="40">
        <v>43646</v>
      </c>
      <c r="L49" s="41" t="s">
        <v>976</v>
      </c>
      <c r="M49" s="42">
        <v>43641</v>
      </c>
      <c r="N49" s="43" t="s">
        <v>801</v>
      </c>
      <c r="O49" s="42">
        <v>43646</v>
      </c>
      <c r="P49" s="45"/>
      <c r="Q49" s="46"/>
      <c r="R49" s="44" t="s">
        <v>851</v>
      </c>
      <c r="S49" s="46"/>
    </row>
    <row r="50" spans="2:19" s="67" customFormat="1" ht="33" customHeight="1">
      <c r="B50" s="46" t="s">
        <v>81</v>
      </c>
      <c r="C50" s="35" t="s">
        <v>852</v>
      </c>
      <c r="D50" s="36"/>
      <c r="E50" s="37">
        <v>43558</v>
      </c>
      <c r="F50" s="38" t="s">
        <v>531</v>
      </c>
      <c r="G50" s="39">
        <v>9200</v>
      </c>
      <c r="H50" s="38">
        <f t="shared" si="5"/>
        <v>40</v>
      </c>
      <c r="I50" s="38">
        <f t="shared" si="6"/>
        <v>10</v>
      </c>
      <c r="J50" s="38"/>
      <c r="K50" s="40">
        <v>43646</v>
      </c>
      <c r="L50" s="41" t="s">
        <v>976</v>
      </c>
      <c r="M50" s="42">
        <v>43641</v>
      </c>
      <c r="N50" s="43" t="s">
        <v>801</v>
      </c>
      <c r="O50" s="42">
        <v>43646</v>
      </c>
      <c r="P50" s="45"/>
      <c r="Q50" s="46"/>
      <c r="R50" s="44" t="s">
        <v>851</v>
      </c>
      <c r="S50" s="46"/>
    </row>
    <row r="51" spans="2:19" s="67" customFormat="1" ht="33" customHeight="1">
      <c r="B51" s="135" t="s">
        <v>704</v>
      </c>
      <c r="C51" s="136" t="s">
        <v>554</v>
      </c>
      <c r="D51" s="137" t="s">
        <v>705</v>
      </c>
      <c r="E51" s="138">
        <v>43532</v>
      </c>
      <c r="F51" s="139" t="s">
        <v>531</v>
      </c>
      <c r="G51" s="140">
        <v>920</v>
      </c>
      <c r="H51" s="139">
        <f t="shared" si="5"/>
        <v>4</v>
      </c>
      <c r="I51" s="139">
        <f t="shared" si="6"/>
        <v>1</v>
      </c>
      <c r="J51" s="139"/>
      <c r="K51" s="141">
        <v>43609</v>
      </c>
      <c r="L51" s="142"/>
      <c r="M51" s="143"/>
      <c r="N51" s="144"/>
      <c r="O51" s="143"/>
      <c r="P51" s="145"/>
      <c r="Q51" s="135"/>
      <c r="R51" s="146"/>
      <c r="S51" s="135" t="s">
        <v>706</v>
      </c>
    </row>
    <row r="52" spans="2:19" s="67" customFormat="1" ht="33" customHeight="1">
      <c r="B52" s="46" t="s">
        <v>553</v>
      </c>
      <c r="C52" s="35" t="s">
        <v>554</v>
      </c>
      <c r="D52" s="36" t="s">
        <v>583</v>
      </c>
      <c r="E52" s="37">
        <v>43511</v>
      </c>
      <c r="F52" s="38" t="s">
        <v>531</v>
      </c>
      <c r="G52" s="39">
        <v>460</v>
      </c>
      <c r="H52" s="38">
        <f>SUM(G52/230)</f>
        <v>2</v>
      </c>
      <c r="I52" s="38">
        <f>SUM(H52/4)</f>
        <v>0.5</v>
      </c>
      <c r="J52" s="38"/>
      <c r="K52" s="40">
        <v>43576</v>
      </c>
      <c r="L52" s="41" t="s">
        <v>480</v>
      </c>
      <c r="M52" s="42">
        <v>43564</v>
      </c>
      <c r="N52" s="43" t="s">
        <v>646</v>
      </c>
      <c r="O52" s="42">
        <v>43569</v>
      </c>
      <c r="P52" s="45"/>
      <c r="Q52" s="46"/>
      <c r="R52" s="44" t="s">
        <v>551</v>
      </c>
      <c r="S52" s="46"/>
    </row>
    <row r="53" spans="2:19" s="33" customFormat="1" ht="33" customHeight="1">
      <c r="B53" s="47" t="s">
        <v>555</v>
      </c>
      <c r="C53" s="48" t="s">
        <v>321</v>
      </c>
      <c r="D53" s="49" t="s">
        <v>322</v>
      </c>
      <c r="E53" s="50">
        <v>43420</v>
      </c>
      <c r="F53" s="52" t="s">
        <v>531</v>
      </c>
      <c r="G53" s="51">
        <v>3200</v>
      </c>
      <c r="H53" s="52">
        <f t="shared" ref="H53:H62" si="7">SUM(G53/20)</f>
        <v>160</v>
      </c>
      <c r="I53" s="52">
        <f t="shared" ref="I53:I62" si="8">SUM(H53/32)</f>
        <v>5</v>
      </c>
      <c r="J53" s="59"/>
      <c r="K53" s="53">
        <v>43513</v>
      </c>
      <c r="L53" s="54" t="s">
        <v>276</v>
      </c>
      <c r="M53" s="55">
        <v>43508</v>
      </c>
      <c r="N53" s="56" t="s">
        <v>532</v>
      </c>
      <c r="O53" s="55">
        <v>43148</v>
      </c>
      <c r="P53" s="58"/>
      <c r="Q53" s="60" t="s">
        <v>89</v>
      </c>
      <c r="R53" s="57" t="s">
        <v>323</v>
      </c>
      <c r="S53" s="47"/>
    </row>
    <row r="54" spans="2:19" s="33" customFormat="1" ht="33" customHeight="1">
      <c r="B54" s="47" t="s">
        <v>555</v>
      </c>
      <c r="C54" s="48" t="s">
        <v>324</v>
      </c>
      <c r="D54" s="49" t="s">
        <v>325</v>
      </c>
      <c r="E54" s="50">
        <v>43420</v>
      </c>
      <c r="F54" s="52" t="s">
        <v>531</v>
      </c>
      <c r="G54" s="51">
        <v>1920</v>
      </c>
      <c r="H54" s="52">
        <f t="shared" si="7"/>
        <v>96</v>
      </c>
      <c r="I54" s="52">
        <f t="shared" si="8"/>
        <v>3</v>
      </c>
      <c r="J54" s="59"/>
      <c r="K54" s="53">
        <v>43541</v>
      </c>
      <c r="L54" s="54" t="s">
        <v>556</v>
      </c>
      <c r="M54" s="55">
        <v>43531</v>
      </c>
      <c r="N54" s="56" t="s">
        <v>569</v>
      </c>
      <c r="O54" s="55">
        <v>43535</v>
      </c>
      <c r="P54" s="58"/>
      <c r="Q54" s="60" t="s">
        <v>89</v>
      </c>
      <c r="R54" s="57" t="s">
        <v>326</v>
      </c>
      <c r="S54" s="47" t="s">
        <v>645</v>
      </c>
    </row>
    <row r="55" spans="2:19" s="33" customFormat="1" ht="33" customHeight="1">
      <c r="B55" s="47" t="s">
        <v>555</v>
      </c>
      <c r="C55" s="48" t="s">
        <v>557</v>
      </c>
      <c r="D55" s="49" t="s">
        <v>325</v>
      </c>
      <c r="E55" s="50">
        <v>43420</v>
      </c>
      <c r="F55" s="52" t="s">
        <v>531</v>
      </c>
      <c r="G55" s="51">
        <v>1280</v>
      </c>
      <c r="H55" s="52">
        <f t="shared" si="7"/>
        <v>64</v>
      </c>
      <c r="I55" s="52">
        <f t="shared" si="8"/>
        <v>2</v>
      </c>
      <c r="J55" s="59"/>
      <c r="K55" s="53">
        <v>43541</v>
      </c>
      <c r="L55" s="54" t="s">
        <v>563</v>
      </c>
      <c r="M55" s="55">
        <v>43536</v>
      </c>
      <c r="N55" s="56" t="s">
        <v>558</v>
      </c>
      <c r="O55" s="55">
        <v>43541</v>
      </c>
      <c r="P55" s="58"/>
      <c r="Q55" s="60" t="s">
        <v>89</v>
      </c>
      <c r="R55" s="57" t="s">
        <v>326</v>
      </c>
      <c r="S55" s="47" t="s">
        <v>395</v>
      </c>
    </row>
    <row r="56" spans="2:19" s="33" customFormat="1" ht="33" customHeight="1">
      <c r="B56" s="47" t="s">
        <v>555</v>
      </c>
      <c r="C56" s="48" t="s">
        <v>430</v>
      </c>
      <c r="D56" s="49" t="s">
        <v>470</v>
      </c>
      <c r="E56" s="50">
        <v>43473</v>
      </c>
      <c r="F56" s="52" t="s">
        <v>531</v>
      </c>
      <c r="G56" s="51">
        <v>1920</v>
      </c>
      <c r="H56" s="52">
        <f t="shared" si="7"/>
        <v>96</v>
      </c>
      <c r="I56" s="52">
        <f t="shared" si="8"/>
        <v>3</v>
      </c>
      <c r="J56" s="59"/>
      <c r="K56" s="53">
        <v>43555</v>
      </c>
      <c r="L56" s="54" t="s">
        <v>644</v>
      </c>
      <c r="M56" s="55">
        <v>43550</v>
      </c>
      <c r="N56" s="56" t="s">
        <v>344</v>
      </c>
      <c r="O56" s="55">
        <v>43555</v>
      </c>
      <c r="P56" s="58"/>
      <c r="Q56" s="60" t="s">
        <v>89</v>
      </c>
      <c r="R56" s="57" t="s">
        <v>560</v>
      </c>
      <c r="S56" s="47"/>
    </row>
    <row r="57" spans="2:19" s="30" customFormat="1" ht="33" customHeight="1">
      <c r="B57" s="46" t="s">
        <v>555</v>
      </c>
      <c r="C57" s="35" t="s">
        <v>430</v>
      </c>
      <c r="D57" s="36" t="s">
        <v>470</v>
      </c>
      <c r="E57" s="37">
        <v>43473</v>
      </c>
      <c r="F57" s="38" t="s">
        <v>531</v>
      </c>
      <c r="G57" s="39">
        <v>1920</v>
      </c>
      <c r="H57" s="38">
        <f t="shared" si="7"/>
        <v>96</v>
      </c>
      <c r="I57" s="38">
        <f t="shared" si="8"/>
        <v>3</v>
      </c>
      <c r="J57" s="61"/>
      <c r="K57" s="40">
        <v>43555</v>
      </c>
      <c r="L57" s="41" t="s">
        <v>559</v>
      </c>
      <c r="M57" s="42">
        <v>43564</v>
      </c>
      <c r="N57" s="43" t="s">
        <v>550</v>
      </c>
      <c r="O57" s="42">
        <v>43569</v>
      </c>
      <c r="P57" s="45"/>
      <c r="Q57" s="62" t="s">
        <v>89</v>
      </c>
      <c r="R57" s="44" t="s">
        <v>560</v>
      </c>
      <c r="S57" s="46"/>
    </row>
    <row r="58" spans="2:19" s="30" customFormat="1" ht="33" customHeight="1">
      <c r="B58" s="46" t="s">
        <v>555</v>
      </c>
      <c r="C58" s="35" t="s">
        <v>519</v>
      </c>
      <c r="D58" s="36" t="s">
        <v>710</v>
      </c>
      <c r="E58" s="37">
        <v>43511</v>
      </c>
      <c r="F58" s="38" t="s">
        <v>531</v>
      </c>
      <c r="G58" s="39">
        <v>640</v>
      </c>
      <c r="H58" s="38">
        <f t="shared" si="7"/>
        <v>32</v>
      </c>
      <c r="I58" s="38">
        <f t="shared" si="8"/>
        <v>1</v>
      </c>
      <c r="J58" s="61"/>
      <c r="K58" s="40">
        <v>43555</v>
      </c>
      <c r="L58" s="41" t="s">
        <v>564</v>
      </c>
      <c r="M58" s="42">
        <v>43557</v>
      </c>
      <c r="N58" s="43" t="s">
        <v>596</v>
      </c>
      <c r="O58" s="42">
        <v>43562</v>
      </c>
      <c r="P58" s="45"/>
      <c r="Q58" s="62" t="s">
        <v>89</v>
      </c>
      <c r="R58" s="44" t="s">
        <v>560</v>
      </c>
      <c r="S58" s="46"/>
    </row>
    <row r="59" spans="2:19" s="30" customFormat="1" ht="33" customHeight="1">
      <c r="B59" s="46" t="s">
        <v>555</v>
      </c>
      <c r="C59" s="35" t="s">
        <v>520</v>
      </c>
      <c r="D59" s="36" t="s">
        <v>584</v>
      </c>
      <c r="E59" s="37">
        <v>43511</v>
      </c>
      <c r="F59" s="38" t="s">
        <v>531</v>
      </c>
      <c r="G59" s="39">
        <v>1920</v>
      </c>
      <c r="H59" s="38">
        <f t="shared" si="7"/>
        <v>96</v>
      </c>
      <c r="I59" s="38">
        <f t="shared" si="8"/>
        <v>3</v>
      </c>
      <c r="J59" s="61"/>
      <c r="K59" s="40">
        <v>43576</v>
      </c>
      <c r="L59" s="41" t="s">
        <v>503</v>
      </c>
      <c r="M59" s="42">
        <v>43571</v>
      </c>
      <c r="N59" s="43" t="s">
        <v>539</v>
      </c>
      <c r="O59" s="42">
        <v>43576</v>
      </c>
      <c r="P59" s="45"/>
      <c r="Q59" s="62" t="s">
        <v>89</v>
      </c>
      <c r="R59" s="44" t="s">
        <v>585</v>
      </c>
      <c r="S59" s="46"/>
    </row>
    <row r="60" spans="2:19" s="30" customFormat="1" ht="33" customHeight="1">
      <c r="B60" s="46" t="s">
        <v>555</v>
      </c>
      <c r="C60" s="35" t="s">
        <v>586</v>
      </c>
      <c r="D60" s="36" t="s">
        <v>640</v>
      </c>
      <c r="E60" s="37">
        <v>43519</v>
      </c>
      <c r="F60" s="38" t="s">
        <v>531</v>
      </c>
      <c r="G60" s="39">
        <v>1920</v>
      </c>
      <c r="H60" s="38">
        <f t="shared" si="7"/>
        <v>96</v>
      </c>
      <c r="I60" s="38">
        <f t="shared" si="8"/>
        <v>3</v>
      </c>
      <c r="J60" s="61"/>
      <c r="K60" s="40">
        <v>43611</v>
      </c>
      <c r="L60" s="119" t="s">
        <v>607</v>
      </c>
      <c r="M60" s="120">
        <v>43601</v>
      </c>
      <c r="N60" s="121" t="s">
        <v>601</v>
      </c>
      <c r="O60" s="120">
        <v>43605</v>
      </c>
      <c r="P60" s="45"/>
      <c r="Q60" s="62" t="s">
        <v>89</v>
      </c>
      <c r="R60" s="44" t="s">
        <v>790</v>
      </c>
      <c r="S60" s="122" t="s">
        <v>980</v>
      </c>
    </row>
    <row r="61" spans="2:19" s="30" customFormat="1" ht="33" customHeight="1">
      <c r="B61" s="46" t="s">
        <v>555</v>
      </c>
      <c r="C61" s="35" t="s">
        <v>713</v>
      </c>
      <c r="D61" s="36" t="s">
        <v>714</v>
      </c>
      <c r="E61" s="37">
        <v>43532</v>
      </c>
      <c r="F61" s="38" t="s">
        <v>531</v>
      </c>
      <c r="G61" s="39">
        <v>2560</v>
      </c>
      <c r="H61" s="38">
        <f t="shared" si="7"/>
        <v>128</v>
      </c>
      <c r="I61" s="38">
        <f t="shared" si="8"/>
        <v>4</v>
      </c>
      <c r="J61" s="61"/>
      <c r="K61" s="130">
        <v>43639</v>
      </c>
      <c r="L61" s="119" t="s">
        <v>1083</v>
      </c>
      <c r="M61" s="120">
        <v>43634</v>
      </c>
      <c r="N61" s="121" t="s">
        <v>1084</v>
      </c>
      <c r="O61" s="120">
        <v>43639</v>
      </c>
      <c r="P61" s="45"/>
      <c r="Q61" s="62" t="s">
        <v>89</v>
      </c>
      <c r="R61" s="125" t="s">
        <v>1026</v>
      </c>
      <c r="S61" s="46"/>
    </row>
    <row r="62" spans="2:19" s="147" customFormat="1" ht="33" customHeight="1">
      <c r="B62" s="103" t="s">
        <v>555</v>
      </c>
      <c r="C62" s="104" t="s">
        <v>1184</v>
      </c>
      <c r="D62" s="105" t="s">
        <v>1185</v>
      </c>
      <c r="E62" s="106">
        <v>43567</v>
      </c>
      <c r="F62" s="107" t="s">
        <v>531</v>
      </c>
      <c r="G62" s="108">
        <v>2560</v>
      </c>
      <c r="H62" s="107">
        <f t="shared" si="7"/>
        <v>128</v>
      </c>
      <c r="I62" s="107">
        <f t="shared" si="8"/>
        <v>4</v>
      </c>
      <c r="J62" s="148"/>
      <c r="K62" s="109">
        <v>43674</v>
      </c>
      <c r="L62" s="110"/>
      <c r="M62" s="111"/>
      <c r="N62" s="112"/>
      <c r="O62" s="111"/>
      <c r="P62" s="113"/>
      <c r="Q62" s="149" t="s">
        <v>89</v>
      </c>
      <c r="R62" s="114" t="s">
        <v>1186</v>
      </c>
      <c r="S62" s="103"/>
    </row>
    <row r="63" spans="2:19" s="33" customFormat="1" ht="33" customHeight="1">
      <c r="B63" s="47" t="s">
        <v>38</v>
      </c>
      <c r="C63" s="48" t="s">
        <v>224</v>
      </c>
      <c r="D63" s="49" t="s">
        <v>328</v>
      </c>
      <c r="E63" s="50">
        <v>43420</v>
      </c>
      <c r="F63" s="52" t="s">
        <v>327</v>
      </c>
      <c r="G63" s="64">
        <v>640</v>
      </c>
      <c r="H63" s="52">
        <f>SUBTOTAL(9,G63)/20</f>
        <v>32</v>
      </c>
      <c r="I63" s="52">
        <f>H63/32</f>
        <v>1</v>
      </c>
      <c r="J63" s="52"/>
      <c r="K63" s="53">
        <v>43520</v>
      </c>
      <c r="L63" s="54" t="s">
        <v>1187</v>
      </c>
      <c r="M63" s="55">
        <v>43515</v>
      </c>
      <c r="N63" s="56" t="s">
        <v>1188</v>
      </c>
      <c r="O63" s="55">
        <v>43155</v>
      </c>
      <c r="P63" s="58" t="s">
        <v>1189</v>
      </c>
      <c r="Q63" s="52"/>
      <c r="R63" s="63" t="s">
        <v>1190</v>
      </c>
      <c r="S63" s="47"/>
    </row>
    <row r="64" spans="2:19" s="30" customFormat="1" ht="33" customHeight="1">
      <c r="B64" s="46" t="s">
        <v>38</v>
      </c>
      <c r="C64" s="35" t="s">
        <v>225</v>
      </c>
      <c r="D64" s="36" t="s">
        <v>587</v>
      </c>
      <c r="E64" s="37">
        <v>43519</v>
      </c>
      <c r="F64" s="38" t="s">
        <v>1191</v>
      </c>
      <c r="G64" s="65">
        <v>640</v>
      </c>
      <c r="H64" s="38">
        <f>SUBTOTAL(9,G64)/20</f>
        <v>32</v>
      </c>
      <c r="I64" s="38">
        <f>H64/32</f>
        <v>1</v>
      </c>
      <c r="J64" s="38"/>
      <c r="K64" s="40">
        <v>43583</v>
      </c>
      <c r="L64" s="41" t="s">
        <v>565</v>
      </c>
      <c r="M64" s="42">
        <v>43578</v>
      </c>
      <c r="N64" s="43" t="s">
        <v>1192</v>
      </c>
      <c r="O64" s="42">
        <v>43583</v>
      </c>
      <c r="P64" s="45"/>
      <c r="Q64" s="38"/>
      <c r="R64" s="66" t="s">
        <v>1193</v>
      </c>
      <c r="S64" s="46"/>
    </row>
    <row r="65" spans="2:19" s="147" customFormat="1" ht="33" customHeight="1">
      <c r="B65" s="103" t="s">
        <v>38</v>
      </c>
      <c r="C65" s="104" t="s">
        <v>226</v>
      </c>
      <c r="D65" s="105" t="s">
        <v>1194</v>
      </c>
      <c r="E65" s="106">
        <v>43567</v>
      </c>
      <c r="F65" s="107" t="s">
        <v>1195</v>
      </c>
      <c r="G65" s="151">
        <v>640</v>
      </c>
      <c r="H65" s="107">
        <f>SUBTOTAL(9,G65)/20</f>
        <v>32</v>
      </c>
      <c r="I65" s="107">
        <f>H65/32</f>
        <v>1</v>
      </c>
      <c r="J65" s="107"/>
      <c r="K65" s="109">
        <v>43667</v>
      </c>
      <c r="L65" s="110"/>
      <c r="M65" s="111"/>
      <c r="N65" s="112"/>
      <c r="O65" s="111"/>
      <c r="P65" s="113"/>
      <c r="Q65" s="107"/>
      <c r="R65" s="116" t="s">
        <v>1196</v>
      </c>
      <c r="S65" s="103"/>
    </row>
    <row r="66" spans="2:19" s="33" customFormat="1" ht="33" customHeight="1">
      <c r="B66" s="47" t="s">
        <v>88</v>
      </c>
      <c r="C66" s="48" t="s">
        <v>331</v>
      </c>
      <c r="D66" s="49" t="s">
        <v>332</v>
      </c>
      <c r="E66" s="50">
        <v>43420</v>
      </c>
      <c r="F66" s="52" t="s">
        <v>1195</v>
      </c>
      <c r="G66" s="64">
        <v>760</v>
      </c>
      <c r="H66" s="52">
        <f>SUBTOTAL(9,G66)/190</f>
        <v>4</v>
      </c>
      <c r="I66" s="52">
        <f>H66/4</f>
        <v>1</v>
      </c>
      <c r="J66" s="52"/>
      <c r="K66" s="53">
        <v>43520</v>
      </c>
      <c r="L66" s="54" t="s">
        <v>1197</v>
      </c>
      <c r="M66" s="55">
        <v>43515</v>
      </c>
      <c r="N66" s="56" t="s">
        <v>1198</v>
      </c>
      <c r="O66" s="55">
        <v>43155</v>
      </c>
      <c r="P66" s="58" t="s">
        <v>1199</v>
      </c>
      <c r="Q66" s="52"/>
      <c r="R66" s="63" t="s">
        <v>1200</v>
      </c>
      <c r="S66" s="47"/>
    </row>
    <row r="67" spans="2:19" s="30" customFormat="1" ht="33" customHeight="1">
      <c r="B67" s="46" t="s">
        <v>88</v>
      </c>
      <c r="C67" s="35" t="s">
        <v>431</v>
      </c>
      <c r="D67" s="36" t="s">
        <v>471</v>
      </c>
      <c r="E67" s="37">
        <v>43483</v>
      </c>
      <c r="F67" s="38" t="s">
        <v>1195</v>
      </c>
      <c r="G67" s="65">
        <v>760</v>
      </c>
      <c r="H67" s="38">
        <f>SUBTOTAL(9,G67)/190</f>
        <v>4</v>
      </c>
      <c r="I67" s="38">
        <f>H67/4</f>
        <v>1</v>
      </c>
      <c r="J67" s="38"/>
      <c r="K67" s="40">
        <v>43569</v>
      </c>
      <c r="L67" s="41" t="s">
        <v>417</v>
      </c>
      <c r="M67" s="42">
        <v>43564</v>
      </c>
      <c r="N67" s="43" t="s">
        <v>1201</v>
      </c>
      <c r="O67" s="42">
        <v>43569</v>
      </c>
      <c r="P67" s="45"/>
      <c r="Q67" s="38"/>
      <c r="R67" s="66" t="s">
        <v>1202</v>
      </c>
      <c r="S67" s="46"/>
    </row>
    <row r="68" spans="2:19" s="30" customFormat="1" ht="33" customHeight="1">
      <c r="B68" s="46" t="s">
        <v>88</v>
      </c>
      <c r="C68" s="35" t="s">
        <v>523</v>
      </c>
      <c r="D68" s="36" t="s">
        <v>588</v>
      </c>
      <c r="E68" s="37">
        <v>43511</v>
      </c>
      <c r="F68" s="38" t="s">
        <v>1195</v>
      </c>
      <c r="G68" s="65">
        <v>760</v>
      </c>
      <c r="H68" s="38">
        <f>SUBTOTAL(9,G68)/190</f>
        <v>4</v>
      </c>
      <c r="I68" s="38">
        <f>H68/4</f>
        <v>1</v>
      </c>
      <c r="J68" s="38"/>
      <c r="K68" s="40">
        <v>43583</v>
      </c>
      <c r="L68" s="41" t="s">
        <v>565</v>
      </c>
      <c r="M68" s="42">
        <v>43578</v>
      </c>
      <c r="N68" s="43" t="s">
        <v>1192</v>
      </c>
      <c r="O68" s="42">
        <v>43583</v>
      </c>
      <c r="P68" s="45"/>
      <c r="Q68" s="38"/>
      <c r="R68" s="66" t="s">
        <v>1203</v>
      </c>
      <c r="S68" s="46"/>
    </row>
    <row r="69" spans="2:19" s="30" customFormat="1" ht="33" customHeight="1">
      <c r="B69" s="46" t="s">
        <v>88</v>
      </c>
      <c r="C69" s="35" t="s">
        <v>589</v>
      </c>
      <c r="D69" s="36" t="s">
        <v>590</v>
      </c>
      <c r="E69" s="37">
        <v>43519</v>
      </c>
      <c r="F69" s="38" t="s">
        <v>1195</v>
      </c>
      <c r="G69" s="65">
        <v>760</v>
      </c>
      <c r="H69" s="38">
        <f>SUBTOTAL(9,G69)/190</f>
        <v>4</v>
      </c>
      <c r="I69" s="38">
        <f>H69/4</f>
        <v>1</v>
      </c>
      <c r="J69" s="38"/>
      <c r="K69" s="40">
        <v>43597</v>
      </c>
      <c r="L69" s="41" t="s">
        <v>1204</v>
      </c>
      <c r="M69" s="42">
        <v>43592</v>
      </c>
      <c r="N69" s="43" t="s">
        <v>1205</v>
      </c>
      <c r="O69" s="42">
        <v>43597</v>
      </c>
      <c r="P69" s="45"/>
      <c r="Q69" s="38"/>
      <c r="R69" s="66" t="s">
        <v>1206</v>
      </c>
      <c r="S69" s="46"/>
    </row>
    <row r="70" spans="2:19" s="147" customFormat="1" ht="33" customHeight="1">
      <c r="B70" s="103" t="s">
        <v>88</v>
      </c>
      <c r="C70" s="104" t="s">
        <v>589</v>
      </c>
      <c r="D70" s="105" t="s">
        <v>1207</v>
      </c>
      <c r="E70" s="106">
        <v>43567</v>
      </c>
      <c r="F70" s="107" t="s">
        <v>1195</v>
      </c>
      <c r="G70" s="151">
        <v>760</v>
      </c>
      <c r="H70" s="107">
        <f>SUBTOTAL(9,G70)/190</f>
        <v>4</v>
      </c>
      <c r="I70" s="107">
        <f>H70/4</f>
        <v>1</v>
      </c>
      <c r="J70" s="107"/>
      <c r="K70" s="109">
        <v>43667</v>
      </c>
      <c r="L70" s="110"/>
      <c r="M70" s="111"/>
      <c r="N70" s="112"/>
      <c r="O70" s="111"/>
      <c r="P70" s="113"/>
      <c r="Q70" s="107"/>
      <c r="R70" s="116" t="s">
        <v>1208</v>
      </c>
      <c r="S70" s="103"/>
    </row>
    <row r="71" spans="2:19" s="33" customFormat="1" ht="33" customHeight="1">
      <c r="B71" s="47" t="s">
        <v>83</v>
      </c>
      <c r="C71" s="48" t="s">
        <v>1209</v>
      </c>
      <c r="D71" s="49" t="s">
        <v>336</v>
      </c>
      <c r="E71" s="50">
        <v>43420</v>
      </c>
      <c r="F71" s="52" t="s">
        <v>77</v>
      </c>
      <c r="G71" s="51">
        <v>5760</v>
      </c>
      <c r="H71" s="52">
        <f>SUM(G71/240)</f>
        <v>24</v>
      </c>
      <c r="I71" s="52">
        <f t="shared" ref="I71:I80" si="9">SUM(H71/4)</f>
        <v>6</v>
      </c>
      <c r="J71" s="52"/>
      <c r="K71" s="53">
        <v>43148</v>
      </c>
      <c r="L71" s="54" t="s">
        <v>276</v>
      </c>
      <c r="M71" s="55">
        <v>43508</v>
      </c>
      <c r="N71" s="56" t="s">
        <v>1210</v>
      </c>
      <c r="O71" s="55">
        <v>43148</v>
      </c>
      <c r="P71" s="58"/>
      <c r="Q71" s="52"/>
      <c r="R71" s="118" t="s">
        <v>1211</v>
      </c>
      <c r="S71" s="47"/>
    </row>
    <row r="72" spans="2:19" s="33" customFormat="1" ht="33" customHeight="1">
      <c r="B72" s="47" t="s">
        <v>83</v>
      </c>
      <c r="C72" s="48" t="s">
        <v>1212</v>
      </c>
      <c r="D72" s="49" t="s">
        <v>1213</v>
      </c>
      <c r="E72" s="50">
        <v>43462</v>
      </c>
      <c r="F72" s="52" t="s">
        <v>77</v>
      </c>
      <c r="G72" s="51">
        <v>960</v>
      </c>
      <c r="H72" s="52">
        <f>SUM(G72/240)</f>
        <v>4</v>
      </c>
      <c r="I72" s="52">
        <f t="shared" si="9"/>
        <v>1</v>
      </c>
      <c r="J72" s="52"/>
      <c r="K72" s="53">
        <v>43148</v>
      </c>
      <c r="L72" s="54" t="s">
        <v>276</v>
      </c>
      <c r="M72" s="55">
        <v>43508</v>
      </c>
      <c r="N72" s="56" t="s">
        <v>1210</v>
      </c>
      <c r="O72" s="55">
        <v>43148</v>
      </c>
      <c r="P72" s="58"/>
      <c r="Q72" s="52"/>
      <c r="R72" s="118" t="s">
        <v>1211</v>
      </c>
      <c r="S72" s="47"/>
    </row>
    <row r="73" spans="2:19" s="33" customFormat="1" ht="33" customHeight="1">
      <c r="B73" s="47" t="s">
        <v>83</v>
      </c>
      <c r="C73" s="48" t="s">
        <v>1214</v>
      </c>
      <c r="D73" s="49" t="s">
        <v>1213</v>
      </c>
      <c r="E73" s="50">
        <v>43462</v>
      </c>
      <c r="F73" s="52" t="s">
        <v>77</v>
      </c>
      <c r="G73" s="51">
        <v>960</v>
      </c>
      <c r="H73" s="52">
        <f t="shared" ref="H73:H80" si="10">SUM(G73/240)</f>
        <v>4</v>
      </c>
      <c r="I73" s="52">
        <f t="shared" si="9"/>
        <v>1</v>
      </c>
      <c r="J73" s="52"/>
      <c r="K73" s="53">
        <v>43148</v>
      </c>
      <c r="L73" s="54" t="s">
        <v>1215</v>
      </c>
      <c r="M73" s="55">
        <v>43531</v>
      </c>
      <c r="N73" s="56" t="s">
        <v>568</v>
      </c>
      <c r="O73" s="55">
        <v>43535</v>
      </c>
      <c r="P73" s="58" t="s">
        <v>1216</v>
      </c>
      <c r="Q73" s="52"/>
      <c r="R73" s="118" t="s">
        <v>1211</v>
      </c>
      <c r="S73" s="47" t="s">
        <v>609</v>
      </c>
    </row>
    <row r="74" spans="2:19" s="33" customFormat="1" ht="33" customHeight="1">
      <c r="B74" s="47" t="s">
        <v>83</v>
      </c>
      <c r="C74" s="48" t="s">
        <v>1217</v>
      </c>
      <c r="D74" s="49" t="s">
        <v>1218</v>
      </c>
      <c r="E74" s="50">
        <v>43462</v>
      </c>
      <c r="F74" s="52" t="s">
        <v>77</v>
      </c>
      <c r="G74" s="51">
        <v>2880</v>
      </c>
      <c r="H74" s="52">
        <f t="shared" si="10"/>
        <v>12</v>
      </c>
      <c r="I74" s="52">
        <f t="shared" si="9"/>
        <v>3</v>
      </c>
      <c r="J74" s="52"/>
      <c r="K74" s="53">
        <v>43541</v>
      </c>
      <c r="L74" s="54" t="s">
        <v>1215</v>
      </c>
      <c r="M74" s="55">
        <v>43531</v>
      </c>
      <c r="N74" s="56" t="s">
        <v>568</v>
      </c>
      <c r="O74" s="55">
        <v>43535</v>
      </c>
      <c r="P74" s="58" t="s">
        <v>657</v>
      </c>
      <c r="Q74" s="52"/>
      <c r="R74" s="118" t="s">
        <v>486</v>
      </c>
      <c r="S74" s="47" t="s">
        <v>610</v>
      </c>
    </row>
    <row r="75" spans="2:19" s="33" customFormat="1" ht="33" customHeight="1">
      <c r="B75" s="47" t="s">
        <v>83</v>
      </c>
      <c r="C75" s="48" t="s">
        <v>232</v>
      </c>
      <c r="D75" s="49" t="s">
        <v>386</v>
      </c>
      <c r="E75" s="50">
        <v>43455</v>
      </c>
      <c r="F75" s="52" t="s">
        <v>77</v>
      </c>
      <c r="G75" s="51">
        <v>5760</v>
      </c>
      <c r="H75" s="52">
        <f t="shared" si="10"/>
        <v>24</v>
      </c>
      <c r="I75" s="52">
        <f t="shared" si="9"/>
        <v>6</v>
      </c>
      <c r="J75" s="52"/>
      <c r="K75" s="53">
        <v>43541</v>
      </c>
      <c r="L75" s="54" t="s">
        <v>1219</v>
      </c>
      <c r="M75" s="55">
        <v>43543</v>
      </c>
      <c r="N75" s="56" t="s">
        <v>1220</v>
      </c>
      <c r="O75" s="55">
        <v>43548</v>
      </c>
      <c r="P75" s="58" t="s">
        <v>1221</v>
      </c>
      <c r="Q75" s="52"/>
      <c r="R75" s="118" t="s">
        <v>1222</v>
      </c>
      <c r="S75" s="47"/>
    </row>
    <row r="76" spans="2:19" s="30" customFormat="1" ht="33" customHeight="1">
      <c r="B76" s="46" t="s">
        <v>83</v>
      </c>
      <c r="C76" s="35" t="s">
        <v>244</v>
      </c>
      <c r="D76" s="36" t="s">
        <v>722</v>
      </c>
      <c r="E76" s="37">
        <v>43483</v>
      </c>
      <c r="F76" s="38" t="s">
        <v>77</v>
      </c>
      <c r="G76" s="39">
        <v>6720</v>
      </c>
      <c r="H76" s="38">
        <f t="shared" si="10"/>
        <v>28</v>
      </c>
      <c r="I76" s="38">
        <f t="shared" si="9"/>
        <v>7</v>
      </c>
      <c r="J76" s="38"/>
      <c r="K76" s="40">
        <v>43569</v>
      </c>
      <c r="L76" s="41" t="s">
        <v>480</v>
      </c>
      <c r="M76" s="42">
        <v>43564</v>
      </c>
      <c r="N76" s="43" t="s">
        <v>646</v>
      </c>
      <c r="O76" s="42">
        <v>43569</v>
      </c>
      <c r="P76" s="45" t="s">
        <v>1223</v>
      </c>
      <c r="Q76" s="38"/>
      <c r="R76" s="115" t="s">
        <v>1224</v>
      </c>
      <c r="S76" s="46"/>
    </row>
    <row r="77" spans="2:19" s="30" customFormat="1" ht="33" customHeight="1">
      <c r="B77" s="46" t="s">
        <v>83</v>
      </c>
      <c r="C77" s="35" t="s">
        <v>1225</v>
      </c>
      <c r="D77" s="36" t="s">
        <v>472</v>
      </c>
      <c r="E77" s="37">
        <v>43483</v>
      </c>
      <c r="F77" s="38" t="s">
        <v>77</v>
      </c>
      <c r="G77" s="39">
        <v>5760</v>
      </c>
      <c r="H77" s="38">
        <f>SUM(G77/240)</f>
        <v>24</v>
      </c>
      <c r="I77" s="38">
        <f>SUM(H77/4)</f>
        <v>6</v>
      </c>
      <c r="J77" s="38"/>
      <c r="K77" s="40">
        <v>43583</v>
      </c>
      <c r="L77" s="41" t="s">
        <v>448</v>
      </c>
      <c r="M77" s="42">
        <v>43578</v>
      </c>
      <c r="N77" s="43" t="s">
        <v>1192</v>
      </c>
      <c r="O77" s="42">
        <v>43583</v>
      </c>
      <c r="P77" s="45" t="s">
        <v>1226</v>
      </c>
      <c r="Q77" s="38"/>
      <c r="R77" s="115" t="s">
        <v>1224</v>
      </c>
      <c r="S77" s="46"/>
    </row>
    <row r="78" spans="2:19" s="30" customFormat="1" ht="33" customHeight="1">
      <c r="B78" s="46" t="s">
        <v>83</v>
      </c>
      <c r="C78" s="35" t="s">
        <v>258</v>
      </c>
      <c r="D78" s="36" t="s">
        <v>591</v>
      </c>
      <c r="E78" s="37">
        <v>43519</v>
      </c>
      <c r="F78" s="38" t="s">
        <v>77</v>
      </c>
      <c r="G78" s="39">
        <v>5760</v>
      </c>
      <c r="H78" s="38">
        <f t="shared" si="10"/>
        <v>24</v>
      </c>
      <c r="I78" s="38">
        <f t="shared" si="9"/>
        <v>6</v>
      </c>
      <c r="J78" s="38"/>
      <c r="K78" s="40">
        <v>43605</v>
      </c>
      <c r="L78" s="41" t="s">
        <v>1227</v>
      </c>
      <c r="M78" s="42">
        <v>43601</v>
      </c>
      <c r="N78" s="43" t="s">
        <v>1228</v>
      </c>
      <c r="O78" s="42">
        <v>43605</v>
      </c>
      <c r="P78" s="45" t="s">
        <v>1229</v>
      </c>
      <c r="Q78" s="38"/>
      <c r="R78" s="115" t="s">
        <v>1230</v>
      </c>
      <c r="S78" s="46"/>
    </row>
    <row r="79" spans="2:19" s="30" customFormat="1" ht="33" customHeight="1">
      <c r="B79" s="46" t="s">
        <v>83</v>
      </c>
      <c r="C79" s="35" t="s">
        <v>321</v>
      </c>
      <c r="D79" s="36" t="s">
        <v>727</v>
      </c>
      <c r="E79" s="37">
        <v>43532</v>
      </c>
      <c r="F79" s="38" t="s">
        <v>77</v>
      </c>
      <c r="G79" s="39">
        <v>6720</v>
      </c>
      <c r="H79" s="38">
        <f t="shared" si="10"/>
        <v>28</v>
      </c>
      <c r="I79" s="38">
        <f t="shared" si="9"/>
        <v>7</v>
      </c>
      <c r="J79" s="38"/>
      <c r="K79" s="40">
        <v>43633</v>
      </c>
      <c r="L79" s="41" t="s">
        <v>1231</v>
      </c>
      <c r="M79" s="42">
        <v>43627</v>
      </c>
      <c r="N79" s="43" t="s">
        <v>1232</v>
      </c>
      <c r="O79" s="42">
        <v>43632</v>
      </c>
      <c r="P79" s="45"/>
      <c r="Q79" s="38"/>
      <c r="R79" s="115" t="s">
        <v>1233</v>
      </c>
      <c r="S79" s="46"/>
    </row>
    <row r="80" spans="2:19" s="147" customFormat="1" ht="33" customHeight="1">
      <c r="B80" s="103" t="s">
        <v>83</v>
      </c>
      <c r="C80" s="104" t="s">
        <v>324</v>
      </c>
      <c r="D80" s="105" t="s">
        <v>1234</v>
      </c>
      <c r="E80" s="106">
        <v>43567</v>
      </c>
      <c r="F80" s="107" t="s">
        <v>77</v>
      </c>
      <c r="G80" s="108">
        <v>5760</v>
      </c>
      <c r="H80" s="107">
        <f t="shared" si="10"/>
        <v>24</v>
      </c>
      <c r="I80" s="107">
        <f t="shared" si="9"/>
        <v>6</v>
      </c>
      <c r="J80" s="107"/>
      <c r="K80" s="109">
        <v>43667</v>
      </c>
      <c r="L80" s="110"/>
      <c r="M80" s="111"/>
      <c r="N80" s="112"/>
      <c r="O80" s="111"/>
      <c r="P80" s="113"/>
      <c r="Q80" s="107"/>
      <c r="R80" s="150" t="s">
        <v>1235</v>
      </c>
      <c r="S80" s="103"/>
    </row>
    <row r="81" spans="2:19" s="34" customFormat="1" ht="33" customHeight="1">
      <c r="B81" s="47" t="s">
        <v>210</v>
      </c>
      <c r="C81" s="48" t="s">
        <v>225</v>
      </c>
      <c r="D81" s="49" t="s">
        <v>433</v>
      </c>
      <c r="E81" s="50">
        <v>43473</v>
      </c>
      <c r="F81" s="52" t="s">
        <v>218</v>
      </c>
      <c r="G81" s="51">
        <v>1920</v>
      </c>
      <c r="H81" s="52">
        <f t="shared" ref="H81:H97" si="11">SUM(G81/20)</f>
        <v>96</v>
      </c>
      <c r="I81" s="52">
        <f t="shared" ref="I81:I97" si="12">SUM(H81/32)</f>
        <v>3</v>
      </c>
      <c r="J81" s="52"/>
      <c r="K81" s="53">
        <v>43520</v>
      </c>
      <c r="L81" s="54" t="s">
        <v>1236</v>
      </c>
      <c r="M81" s="55">
        <v>43515</v>
      </c>
      <c r="N81" s="56" t="s">
        <v>1198</v>
      </c>
      <c r="O81" s="55">
        <v>43520</v>
      </c>
      <c r="P81" s="58"/>
      <c r="Q81" s="52"/>
      <c r="R81" s="63" t="s">
        <v>211</v>
      </c>
      <c r="S81" s="52"/>
    </row>
    <row r="82" spans="2:19" s="34" customFormat="1" ht="33" customHeight="1">
      <c r="B82" s="47" t="s">
        <v>210</v>
      </c>
      <c r="C82" s="48" t="s">
        <v>226</v>
      </c>
      <c r="D82" s="49" t="s">
        <v>593</v>
      </c>
      <c r="E82" s="50">
        <v>43483</v>
      </c>
      <c r="F82" s="52" t="s">
        <v>218</v>
      </c>
      <c r="G82" s="51">
        <v>640</v>
      </c>
      <c r="H82" s="52">
        <f t="shared" si="11"/>
        <v>32</v>
      </c>
      <c r="I82" s="52">
        <f t="shared" si="12"/>
        <v>1</v>
      </c>
      <c r="J82" s="52"/>
      <c r="K82" s="53">
        <v>43534</v>
      </c>
      <c r="L82" s="54" t="s">
        <v>1237</v>
      </c>
      <c r="M82" s="55"/>
      <c r="N82" s="56"/>
      <c r="O82" s="55">
        <v>43520</v>
      </c>
      <c r="P82" s="58" t="s">
        <v>651</v>
      </c>
      <c r="Q82" s="52"/>
      <c r="R82" s="63" t="s">
        <v>211</v>
      </c>
      <c r="S82" s="52"/>
    </row>
    <row r="83" spans="2:19" s="34" customFormat="1" ht="33" customHeight="1">
      <c r="B83" s="47" t="s">
        <v>210</v>
      </c>
      <c r="C83" s="48" t="s">
        <v>226</v>
      </c>
      <c r="D83" s="49" t="s">
        <v>434</v>
      </c>
      <c r="E83" s="50">
        <v>43483</v>
      </c>
      <c r="F83" s="52" t="s">
        <v>218</v>
      </c>
      <c r="G83" s="51">
        <v>1920</v>
      </c>
      <c r="H83" s="52">
        <f t="shared" si="11"/>
        <v>96</v>
      </c>
      <c r="I83" s="52">
        <f t="shared" si="12"/>
        <v>3</v>
      </c>
      <c r="J83" s="52"/>
      <c r="K83" s="53">
        <v>43534</v>
      </c>
      <c r="L83" s="54" t="s">
        <v>1238</v>
      </c>
      <c r="M83" s="55">
        <v>43524</v>
      </c>
      <c r="N83" s="56" t="s">
        <v>1239</v>
      </c>
      <c r="O83" s="55">
        <v>43528</v>
      </c>
      <c r="P83" s="58" t="s">
        <v>1240</v>
      </c>
      <c r="Q83" s="52" t="s">
        <v>615</v>
      </c>
      <c r="R83" s="63" t="s">
        <v>211</v>
      </c>
      <c r="S83" s="52"/>
    </row>
    <row r="84" spans="2:19" s="34" customFormat="1" ht="33" customHeight="1">
      <c r="B84" s="47" t="s">
        <v>210</v>
      </c>
      <c r="C84" s="48" t="s">
        <v>226</v>
      </c>
      <c r="D84" s="49" t="s">
        <v>434</v>
      </c>
      <c r="E84" s="50">
        <v>43483</v>
      </c>
      <c r="F84" s="52" t="s">
        <v>218</v>
      </c>
      <c r="G84" s="51">
        <v>1280</v>
      </c>
      <c r="H84" s="52">
        <f t="shared" si="11"/>
        <v>64</v>
      </c>
      <c r="I84" s="52">
        <f t="shared" si="12"/>
        <v>2</v>
      </c>
      <c r="J84" s="52"/>
      <c r="K84" s="53">
        <v>43534</v>
      </c>
      <c r="L84" s="54" t="s">
        <v>1215</v>
      </c>
      <c r="M84" s="55">
        <v>43531</v>
      </c>
      <c r="N84" s="56" t="s">
        <v>568</v>
      </c>
      <c r="O84" s="55">
        <v>43535</v>
      </c>
      <c r="P84" s="58" t="s">
        <v>1241</v>
      </c>
      <c r="Q84" s="52" t="s">
        <v>614</v>
      </c>
      <c r="R84" s="63" t="s">
        <v>211</v>
      </c>
      <c r="S84" s="52" t="s">
        <v>1242</v>
      </c>
    </row>
    <row r="85" spans="2:19" s="34" customFormat="1" ht="33" customHeight="1">
      <c r="B85" s="47" t="s">
        <v>210</v>
      </c>
      <c r="C85" s="48" t="s">
        <v>233</v>
      </c>
      <c r="D85" s="49" t="s">
        <v>525</v>
      </c>
      <c r="E85" s="50">
        <v>43507</v>
      </c>
      <c r="F85" s="52" t="s">
        <v>218</v>
      </c>
      <c r="G85" s="51">
        <v>1920</v>
      </c>
      <c r="H85" s="52">
        <f t="shared" si="11"/>
        <v>96</v>
      </c>
      <c r="I85" s="52">
        <f t="shared" si="12"/>
        <v>3</v>
      </c>
      <c r="J85" s="52"/>
      <c r="K85" s="53">
        <v>43541</v>
      </c>
      <c r="L85" s="54" t="s">
        <v>1243</v>
      </c>
      <c r="M85" s="55">
        <v>43536</v>
      </c>
      <c r="N85" s="56" t="s">
        <v>1244</v>
      </c>
      <c r="O85" s="55">
        <v>43541</v>
      </c>
      <c r="P85" s="58" t="s">
        <v>1245</v>
      </c>
      <c r="Q85" s="52" t="s">
        <v>612</v>
      </c>
      <c r="R85" s="63" t="s">
        <v>211</v>
      </c>
      <c r="S85" s="52"/>
    </row>
    <row r="86" spans="2:19" s="34" customFormat="1" ht="33" customHeight="1">
      <c r="B86" s="47" t="s">
        <v>210</v>
      </c>
      <c r="C86" s="48" t="s">
        <v>1246</v>
      </c>
      <c r="D86" s="49" t="s">
        <v>525</v>
      </c>
      <c r="E86" s="50">
        <v>43519</v>
      </c>
      <c r="F86" s="52" t="s">
        <v>218</v>
      </c>
      <c r="G86" s="51">
        <v>1920</v>
      </c>
      <c r="H86" s="52">
        <f t="shared" si="11"/>
        <v>96</v>
      </c>
      <c r="I86" s="52">
        <f t="shared" si="12"/>
        <v>3</v>
      </c>
      <c r="J86" s="52"/>
      <c r="K86" s="53">
        <v>43555</v>
      </c>
      <c r="L86" s="54" t="s">
        <v>1247</v>
      </c>
      <c r="M86" s="55">
        <v>43550</v>
      </c>
      <c r="N86" s="56" t="s">
        <v>1248</v>
      </c>
      <c r="O86" s="55">
        <v>43555</v>
      </c>
      <c r="P86" s="58"/>
      <c r="Q86" s="52" t="s">
        <v>613</v>
      </c>
      <c r="R86" s="63" t="s">
        <v>211</v>
      </c>
      <c r="S86" s="52"/>
    </row>
    <row r="87" spans="2:19" s="32" customFormat="1" ht="33" customHeight="1">
      <c r="B87" s="46" t="s">
        <v>210</v>
      </c>
      <c r="C87" s="35" t="s">
        <v>285</v>
      </c>
      <c r="D87" s="36" t="s">
        <v>526</v>
      </c>
      <c r="E87" s="37">
        <v>43507</v>
      </c>
      <c r="F87" s="38" t="s">
        <v>218</v>
      </c>
      <c r="G87" s="39">
        <v>3200</v>
      </c>
      <c r="H87" s="38">
        <f t="shared" si="11"/>
        <v>160</v>
      </c>
      <c r="I87" s="38">
        <f t="shared" si="12"/>
        <v>5</v>
      </c>
      <c r="J87" s="38"/>
      <c r="K87" s="40">
        <v>43576</v>
      </c>
      <c r="L87" s="41" t="s">
        <v>503</v>
      </c>
      <c r="M87" s="42">
        <v>43571</v>
      </c>
      <c r="N87" s="43" t="s">
        <v>1249</v>
      </c>
      <c r="O87" s="42">
        <v>43576</v>
      </c>
      <c r="P87" s="45"/>
      <c r="Q87" s="38" t="s">
        <v>643</v>
      </c>
      <c r="R87" s="66" t="s">
        <v>211</v>
      </c>
      <c r="S87" s="38"/>
    </row>
    <row r="88" spans="2:19" s="32" customFormat="1" ht="33" customHeight="1">
      <c r="B88" s="46" t="s">
        <v>210</v>
      </c>
      <c r="C88" s="35" t="s">
        <v>1250</v>
      </c>
      <c r="D88" s="36" t="s">
        <v>526</v>
      </c>
      <c r="E88" s="37">
        <v>43507</v>
      </c>
      <c r="F88" s="38" t="s">
        <v>218</v>
      </c>
      <c r="G88" s="39">
        <v>640</v>
      </c>
      <c r="H88" s="38">
        <f>SUM(G88/20)</f>
        <v>32</v>
      </c>
      <c r="I88" s="38">
        <f>SUM(H88/32)</f>
        <v>1</v>
      </c>
      <c r="J88" s="38"/>
      <c r="K88" s="40">
        <v>43576</v>
      </c>
      <c r="L88" s="41" t="s">
        <v>448</v>
      </c>
      <c r="M88" s="42">
        <v>43578</v>
      </c>
      <c r="N88" s="43" t="s">
        <v>1192</v>
      </c>
      <c r="O88" s="42">
        <v>43583</v>
      </c>
      <c r="P88" s="45"/>
      <c r="Q88" s="38" t="s">
        <v>643</v>
      </c>
      <c r="R88" s="66" t="s">
        <v>211</v>
      </c>
      <c r="S88" s="38"/>
    </row>
    <row r="89" spans="2:19" s="32" customFormat="1" ht="33" customHeight="1">
      <c r="B89" s="46" t="s">
        <v>210</v>
      </c>
      <c r="C89" s="35" t="s">
        <v>331</v>
      </c>
      <c r="D89" s="36" t="s">
        <v>1251</v>
      </c>
      <c r="E89" s="37">
        <v>43519</v>
      </c>
      <c r="F89" s="38" t="s">
        <v>218</v>
      </c>
      <c r="G89" s="39">
        <v>3200</v>
      </c>
      <c r="H89" s="38">
        <f t="shared" si="11"/>
        <v>160</v>
      </c>
      <c r="I89" s="38">
        <f t="shared" si="12"/>
        <v>5</v>
      </c>
      <c r="J89" s="38"/>
      <c r="K89" s="40">
        <v>43562</v>
      </c>
      <c r="L89" s="41" t="s">
        <v>608</v>
      </c>
      <c r="M89" s="42">
        <v>43557</v>
      </c>
      <c r="N89" s="43" t="s">
        <v>1252</v>
      </c>
      <c r="O89" s="42">
        <v>43562</v>
      </c>
      <c r="P89" s="45"/>
      <c r="Q89" s="38" t="s">
        <v>642</v>
      </c>
      <c r="R89" s="66" t="s">
        <v>211</v>
      </c>
      <c r="S89" s="38"/>
    </row>
    <row r="90" spans="2:19" s="32" customFormat="1" ht="33" customHeight="1">
      <c r="B90" s="46" t="s">
        <v>210</v>
      </c>
      <c r="C90" s="35" t="s">
        <v>1253</v>
      </c>
      <c r="D90" s="36" t="s">
        <v>1251</v>
      </c>
      <c r="E90" s="37">
        <v>43519</v>
      </c>
      <c r="F90" s="38" t="s">
        <v>218</v>
      </c>
      <c r="G90" s="39">
        <v>640</v>
      </c>
      <c r="H90" s="38">
        <f>SUM(G90/20)</f>
        <v>32</v>
      </c>
      <c r="I90" s="38">
        <f>SUM(H90/32)</f>
        <v>1</v>
      </c>
      <c r="J90" s="38"/>
      <c r="K90" s="40">
        <v>43562</v>
      </c>
      <c r="L90" s="41" t="s">
        <v>480</v>
      </c>
      <c r="M90" s="42">
        <v>43564</v>
      </c>
      <c r="N90" s="43" t="s">
        <v>646</v>
      </c>
      <c r="O90" s="42">
        <v>43569</v>
      </c>
      <c r="P90" s="45"/>
      <c r="Q90" s="38" t="s">
        <v>642</v>
      </c>
      <c r="R90" s="66" t="s">
        <v>211</v>
      </c>
      <c r="S90" s="38"/>
    </row>
    <row r="91" spans="2:19" s="32" customFormat="1" ht="33" customHeight="1">
      <c r="B91" s="46" t="s">
        <v>210</v>
      </c>
      <c r="C91" s="35" t="s">
        <v>431</v>
      </c>
      <c r="D91" s="36" t="s">
        <v>1254</v>
      </c>
      <c r="E91" s="37">
        <v>43523</v>
      </c>
      <c r="F91" s="38" t="s">
        <v>218</v>
      </c>
      <c r="G91" s="39">
        <v>3200</v>
      </c>
      <c r="H91" s="38">
        <f t="shared" si="11"/>
        <v>160</v>
      </c>
      <c r="I91" s="38">
        <f t="shared" si="12"/>
        <v>5</v>
      </c>
      <c r="J91" s="38"/>
      <c r="K91" s="40">
        <v>43597</v>
      </c>
      <c r="L91" s="41" t="s">
        <v>605</v>
      </c>
      <c r="M91" s="42">
        <v>43594</v>
      </c>
      <c r="N91" s="43" t="s">
        <v>1255</v>
      </c>
      <c r="O91" s="42">
        <v>43598</v>
      </c>
      <c r="P91" s="45"/>
      <c r="Q91" s="38" t="s">
        <v>641</v>
      </c>
      <c r="R91" s="66" t="s">
        <v>211</v>
      </c>
      <c r="S91" s="38"/>
    </row>
    <row r="92" spans="2:19" s="32" customFormat="1" ht="33" customHeight="1">
      <c r="B92" s="46" t="s">
        <v>210</v>
      </c>
      <c r="C92" s="35" t="s">
        <v>1256</v>
      </c>
      <c r="D92" s="36" t="s">
        <v>1254</v>
      </c>
      <c r="E92" s="37">
        <v>43523</v>
      </c>
      <c r="F92" s="38" t="s">
        <v>218</v>
      </c>
      <c r="G92" s="39">
        <v>640</v>
      </c>
      <c r="H92" s="38">
        <f>SUM(G92/20)</f>
        <v>32</v>
      </c>
      <c r="I92" s="38">
        <f>SUM(H92/32)</f>
        <v>1</v>
      </c>
      <c r="J92" s="38"/>
      <c r="K92" s="40">
        <v>43618</v>
      </c>
      <c r="L92" s="41" t="s">
        <v>1257</v>
      </c>
      <c r="M92" s="42">
        <v>43613</v>
      </c>
      <c r="N92" s="43" t="s">
        <v>1258</v>
      </c>
      <c r="O92" s="42">
        <v>43618</v>
      </c>
      <c r="P92" s="45"/>
      <c r="Q92" s="38" t="s">
        <v>641</v>
      </c>
      <c r="R92" s="66" t="s">
        <v>211</v>
      </c>
      <c r="S92" s="38"/>
    </row>
    <row r="93" spans="2:19" s="32" customFormat="1" ht="33" customHeight="1">
      <c r="B93" s="46" t="s">
        <v>210</v>
      </c>
      <c r="C93" s="35" t="s">
        <v>1259</v>
      </c>
      <c r="D93" s="36" t="s">
        <v>739</v>
      </c>
      <c r="E93" s="37">
        <v>43532</v>
      </c>
      <c r="F93" s="38" t="s">
        <v>218</v>
      </c>
      <c r="G93" s="39">
        <v>2560</v>
      </c>
      <c r="H93" s="38">
        <f t="shared" ref="H93:H94" si="13">SUM(G93/20)</f>
        <v>128</v>
      </c>
      <c r="I93" s="38">
        <f t="shared" ref="I93:I94" si="14">SUM(H93/32)</f>
        <v>4</v>
      </c>
      <c r="J93" s="38"/>
      <c r="K93" s="40">
        <v>43618</v>
      </c>
      <c r="L93" s="41" t="s">
        <v>1257</v>
      </c>
      <c r="M93" s="42">
        <v>43613</v>
      </c>
      <c r="N93" s="43" t="s">
        <v>1258</v>
      </c>
      <c r="O93" s="42">
        <v>43618</v>
      </c>
      <c r="P93" s="45"/>
      <c r="Q93" s="38" t="s">
        <v>970</v>
      </c>
      <c r="R93" s="66" t="s">
        <v>211</v>
      </c>
      <c r="S93" s="38"/>
    </row>
    <row r="94" spans="2:19" s="32" customFormat="1" ht="33" customHeight="1">
      <c r="B94" s="46" t="s">
        <v>210</v>
      </c>
      <c r="C94" s="35" t="s">
        <v>589</v>
      </c>
      <c r="D94" s="161" t="s">
        <v>1260</v>
      </c>
      <c r="E94" s="37">
        <v>43558</v>
      </c>
      <c r="F94" s="38" t="s">
        <v>218</v>
      </c>
      <c r="G94" s="39">
        <v>3200</v>
      </c>
      <c r="H94" s="38">
        <f t="shared" si="13"/>
        <v>160</v>
      </c>
      <c r="I94" s="38">
        <f t="shared" si="14"/>
        <v>5</v>
      </c>
      <c r="J94" s="38"/>
      <c r="K94" s="40">
        <v>43639</v>
      </c>
      <c r="L94" s="41" t="s">
        <v>1261</v>
      </c>
      <c r="M94" s="42">
        <v>43634</v>
      </c>
      <c r="N94" s="43" t="s">
        <v>1262</v>
      </c>
      <c r="O94" s="42">
        <v>43639</v>
      </c>
      <c r="P94" s="45"/>
      <c r="Q94" s="38" t="s">
        <v>973</v>
      </c>
      <c r="R94" s="66" t="s">
        <v>211</v>
      </c>
      <c r="S94" s="38"/>
    </row>
    <row r="95" spans="2:19" s="34" customFormat="1" ht="33" customHeight="1">
      <c r="B95" s="47" t="s">
        <v>1263</v>
      </c>
      <c r="C95" s="48" t="s">
        <v>1264</v>
      </c>
      <c r="D95" s="49" t="s">
        <v>1265</v>
      </c>
      <c r="E95" s="50"/>
      <c r="F95" s="52" t="s">
        <v>1266</v>
      </c>
      <c r="G95" s="51">
        <v>640</v>
      </c>
      <c r="H95" s="52">
        <f t="shared" si="11"/>
        <v>32</v>
      </c>
      <c r="I95" s="52">
        <f t="shared" si="12"/>
        <v>1</v>
      </c>
      <c r="J95" s="52"/>
      <c r="K95" s="53">
        <v>43513</v>
      </c>
      <c r="L95" s="54" t="s">
        <v>276</v>
      </c>
      <c r="M95" s="55">
        <v>43508</v>
      </c>
      <c r="N95" s="56" t="s">
        <v>1210</v>
      </c>
      <c r="O95" s="55">
        <v>43513</v>
      </c>
      <c r="P95" s="58"/>
      <c r="Q95" s="52"/>
      <c r="R95" s="63" t="s">
        <v>211</v>
      </c>
      <c r="S95" s="52"/>
    </row>
    <row r="96" spans="2:19" s="34" customFormat="1" ht="33" customHeight="1">
      <c r="B96" s="47" t="s">
        <v>1263</v>
      </c>
      <c r="C96" s="48" t="s">
        <v>234</v>
      </c>
      <c r="D96" s="49" t="s">
        <v>1267</v>
      </c>
      <c r="E96" s="50">
        <v>43519</v>
      </c>
      <c r="F96" s="52" t="s">
        <v>1266</v>
      </c>
      <c r="G96" s="51">
        <v>1280</v>
      </c>
      <c r="H96" s="52">
        <f t="shared" si="11"/>
        <v>64</v>
      </c>
      <c r="I96" s="52">
        <f t="shared" si="12"/>
        <v>2</v>
      </c>
      <c r="J96" s="52"/>
      <c r="K96" s="53">
        <v>43576</v>
      </c>
      <c r="L96" s="54" t="s">
        <v>1247</v>
      </c>
      <c r="M96" s="55">
        <v>43550</v>
      </c>
      <c r="N96" s="56" t="s">
        <v>1248</v>
      </c>
      <c r="O96" s="55">
        <v>43555</v>
      </c>
      <c r="P96" s="58" t="s">
        <v>655</v>
      </c>
      <c r="Q96" s="52" t="s">
        <v>613</v>
      </c>
      <c r="R96" s="63" t="s">
        <v>211</v>
      </c>
      <c r="S96" s="52"/>
    </row>
    <row r="97" spans="2:19" s="32" customFormat="1" ht="33" customHeight="1">
      <c r="B97" s="46" t="s">
        <v>1268</v>
      </c>
      <c r="C97" s="35" t="s">
        <v>235</v>
      </c>
      <c r="D97" s="36" t="s">
        <v>744</v>
      </c>
      <c r="E97" s="37">
        <v>43532</v>
      </c>
      <c r="F97" s="38" t="s">
        <v>1269</v>
      </c>
      <c r="G97" s="39">
        <v>1280</v>
      </c>
      <c r="H97" s="38">
        <f t="shared" si="11"/>
        <v>64</v>
      </c>
      <c r="I97" s="38">
        <f t="shared" si="12"/>
        <v>2</v>
      </c>
      <c r="J97" s="38"/>
      <c r="K97" s="40">
        <v>43597</v>
      </c>
      <c r="L97" s="41" t="s">
        <v>605</v>
      </c>
      <c r="M97" s="42">
        <v>43594</v>
      </c>
      <c r="N97" s="43" t="s">
        <v>772</v>
      </c>
      <c r="O97" s="42">
        <v>43598</v>
      </c>
      <c r="P97" s="45"/>
      <c r="Q97" s="38" t="s">
        <v>641</v>
      </c>
      <c r="R97" s="66" t="s">
        <v>211</v>
      </c>
      <c r="S97" s="38"/>
    </row>
    <row r="98" spans="2:19" s="30" customFormat="1" ht="33" customHeight="1">
      <c r="B98" s="46" t="s">
        <v>1270</v>
      </c>
      <c r="C98" s="35" t="s">
        <v>225</v>
      </c>
      <c r="D98" s="36" t="s">
        <v>487</v>
      </c>
      <c r="E98" s="37">
        <v>43490</v>
      </c>
      <c r="F98" s="38" t="s">
        <v>1271</v>
      </c>
      <c r="G98" s="39">
        <v>1520</v>
      </c>
      <c r="H98" s="38">
        <f>SUM(G98/190)</f>
        <v>8</v>
      </c>
      <c r="I98" s="38">
        <f>SUM(H98/4)</f>
        <v>2</v>
      </c>
      <c r="J98" s="38"/>
      <c r="K98" s="40">
        <v>43569</v>
      </c>
      <c r="L98" s="41" t="s">
        <v>417</v>
      </c>
      <c r="M98" s="42">
        <v>43564</v>
      </c>
      <c r="N98" s="43" t="s">
        <v>1272</v>
      </c>
      <c r="O98" s="42">
        <v>43569</v>
      </c>
      <c r="P98" s="45"/>
      <c r="Q98" s="38"/>
      <c r="R98" s="66" t="s">
        <v>1273</v>
      </c>
      <c r="S98" s="46"/>
    </row>
    <row r="99" spans="2:19" s="30" customFormat="1" ht="33" customHeight="1">
      <c r="B99" s="46" t="s">
        <v>1270</v>
      </c>
      <c r="C99" s="35" t="s">
        <v>226</v>
      </c>
      <c r="D99" s="36" t="s">
        <v>833</v>
      </c>
      <c r="E99" s="37">
        <v>43546</v>
      </c>
      <c r="F99" s="38" t="s">
        <v>1271</v>
      </c>
      <c r="G99" s="39">
        <v>1520</v>
      </c>
      <c r="H99" s="38">
        <f>SUM(G99/190)</f>
        <v>8</v>
      </c>
      <c r="I99" s="38">
        <f>SUM(H99/4)</f>
        <v>2</v>
      </c>
      <c r="J99" s="38"/>
      <c r="K99" s="40">
        <v>43632</v>
      </c>
      <c r="L99" s="41" t="s">
        <v>1274</v>
      </c>
      <c r="M99" s="42">
        <v>43627</v>
      </c>
      <c r="N99" s="43" t="s">
        <v>1275</v>
      </c>
      <c r="O99" s="42">
        <v>43632</v>
      </c>
      <c r="P99" s="45"/>
      <c r="Q99" s="38"/>
      <c r="R99" s="66" t="s">
        <v>1276</v>
      </c>
      <c r="S99" s="46"/>
    </row>
    <row r="100" spans="2:19" s="33" customFormat="1" ht="33" customHeight="1">
      <c r="B100" s="47" t="s">
        <v>1277</v>
      </c>
      <c r="C100" s="48" t="s">
        <v>90</v>
      </c>
      <c r="D100" s="49" t="s">
        <v>1278</v>
      </c>
      <c r="E100" s="50"/>
      <c r="F100" s="47" t="s">
        <v>236</v>
      </c>
      <c r="G100" s="51">
        <v>800</v>
      </c>
      <c r="H100" s="52">
        <f t="shared" ref="H100:H111" si="15">SUM(G100/200)</f>
        <v>4</v>
      </c>
      <c r="I100" s="52">
        <f t="shared" ref="I100:I111" si="16">SUM(H100/4)</f>
        <v>1</v>
      </c>
      <c r="J100" s="52"/>
      <c r="K100" s="53">
        <v>43513</v>
      </c>
      <c r="L100" s="54" t="s">
        <v>1279</v>
      </c>
      <c r="M100" s="55">
        <v>43515</v>
      </c>
      <c r="N100" s="56" t="s">
        <v>1280</v>
      </c>
      <c r="O100" s="55">
        <v>43520</v>
      </c>
      <c r="P100" s="58" t="s">
        <v>1281</v>
      </c>
      <c r="Q100" s="52"/>
      <c r="R100" s="63"/>
      <c r="S100" s="47"/>
    </row>
    <row r="101" spans="2:19" s="33" customFormat="1" ht="33" customHeight="1">
      <c r="B101" s="47" t="s">
        <v>1277</v>
      </c>
      <c r="C101" s="48" t="s">
        <v>90</v>
      </c>
      <c r="D101" s="49" t="s">
        <v>1278</v>
      </c>
      <c r="E101" s="50"/>
      <c r="F101" s="47" t="s">
        <v>236</v>
      </c>
      <c r="G101" s="51">
        <v>1600</v>
      </c>
      <c r="H101" s="52">
        <f t="shared" si="15"/>
        <v>8</v>
      </c>
      <c r="I101" s="52">
        <f t="shared" si="16"/>
        <v>2</v>
      </c>
      <c r="J101" s="52"/>
      <c r="K101" s="53">
        <v>43520</v>
      </c>
      <c r="L101" s="54" t="s">
        <v>1279</v>
      </c>
      <c r="M101" s="55">
        <v>43515</v>
      </c>
      <c r="N101" s="56" t="s">
        <v>1280</v>
      </c>
      <c r="O101" s="55">
        <v>43520</v>
      </c>
      <c r="P101" s="58" t="s">
        <v>1282</v>
      </c>
      <c r="Q101" s="52"/>
      <c r="R101" s="63"/>
      <c r="S101" s="47"/>
    </row>
    <row r="102" spans="2:19" s="33" customFormat="1" ht="33" customHeight="1">
      <c r="B102" s="47" t="s">
        <v>1277</v>
      </c>
      <c r="C102" s="48" t="s">
        <v>1283</v>
      </c>
      <c r="D102" s="49" t="s">
        <v>1278</v>
      </c>
      <c r="E102" s="50"/>
      <c r="F102" s="47" t="s">
        <v>236</v>
      </c>
      <c r="G102" s="51">
        <v>2400</v>
      </c>
      <c r="H102" s="52">
        <f t="shared" si="15"/>
        <v>12</v>
      </c>
      <c r="I102" s="52">
        <f t="shared" si="16"/>
        <v>3</v>
      </c>
      <c r="J102" s="52"/>
      <c r="K102" s="53">
        <v>43527</v>
      </c>
      <c r="L102" s="54" t="s">
        <v>1284</v>
      </c>
      <c r="M102" s="55">
        <v>43531</v>
      </c>
      <c r="N102" s="56" t="s">
        <v>568</v>
      </c>
      <c r="O102" s="55">
        <v>43535</v>
      </c>
      <c r="P102" s="58"/>
      <c r="Q102" s="52"/>
      <c r="R102" s="63"/>
      <c r="S102" s="47" t="s">
        <v>1285</v>
      </c>
    </row>
    <row r="103" spans="2:19" s="33" customFormat="1" ht="33" customHeight="1">
      <c r="B103" s="47" t="s">
        <v>238</v>
      </c>
      <c r="C103" s="48" t="s">
        <v>1286</v>
      </c>
      <c r="D103" s="49" t="s">
        <v>435</v>
      </c>
      <c r="E103" s="50"/>
      <c r="F103" s="52" t="s">
        <v>236</v>
      </c>
      <c r="G103" s="51">
        <v>2400</v>
      </c>
      <c r="H103" s="52">
        <f t="shared" si="15"/>
        <v>12</v>
      </c>
      <c r="I103" s="52">
        <f t="shared" si="16"/>
        <v>3</v>
      </c>
      <c r="J103" s="52"/>
      <c r="K103" s="53">
        <v>43548</v>
      </c>
      <c r="L103" s="54" t="s">
        <v>1287</v>
      </c>
      <c r="M103" s="55">
        <v>43543</v>
      </c>
      <c r="N103" s="56" t="s">
        <v>1288</v>
      </c>
      <c r="O103" s="55">
        <v>43548</v>
      </c>
      <c r="P103" s="58"/>
      <c r="Q103" s="52"/>
      <c r="R103" s="63"/>
      <c r="S103" s="47"/>
    </row>
    <row r="104" spans="2:19" s="30" customFormat="1" ht="33" customHeight="1">
      <c r="B104" s="46" t="s">
        <v>238</v>
      </c>
      <c r="C104" s="35" t="s">
        <v>1289</v>
      </c>
      <c r="D104" s="36" t="s">
        <v>474</v>
      </c>
      <c r="E104" s="37"/>
      <c r="F104" s="38" t="s">
        <v>236</v>
      </c>
      <c r="G104" s="39">
        <v>3200</v>
      </c>
      <c r="H104" s="38">
        <f t="shared" si="15"/>
        <v>16</v>
      </c>
      <c r="I104" s="38">
        <f t="shared" si="16"/>
        <v>4</v>
      </c>
      <c r="J104" s="38"/>
      <c r="K104" s="40">
        <v>43562</v>
      </c>
      <c r="L104" s="41" t="s">
        <v>1290</v>
      </c>
      <c r="M104" s="42">
        <v>43557</v>
      </c>
      <c r="N104" s="43" t="s">
        <v>1291</v>
      </c>
      <c r="O104" s="42">
        <v>43562</v>
      </c>
      <c r="P104" s="45"/>
      <c r="Q104" s="38"/>
      <c r="R104" s="66"/>
      <c r="S104" s="46"/>
    </row>
    <row r="105" spans="2:19" s="30" customFormat="1" ht="33" customHeight="1">
      <c r="B105" s="46" t="s">
        <v>238</v>
      </c>
      <c r="C105" s="35" t="s">
        <v>1292</v>
      </c>
      <c r="D105" s="36" t="s">
        <v>475</v>
      </c>
      <c r="E105" s="37"/>
      <c r="F105" s="38" t="s">
        <v>236</v>
      </c>
      <c r="G105" s="39">
        <v>1600</v>
      </c>
      <c r="H105" s="38">
        <f t="shared" si="15"/>
        <v>8</v>
      </c>
      <c r="I105" s="38">
        <f t="shared" si="16"/>
        <v>2</v>
      </c>
      <c r="J105" s="38"/>
      <c r="K105" s="40">
        <v>43562</v>
      </c>
      <c r="L105" s="41" t="s">
        <v>1293</v>
      </c>
      <c r="M105" s="42">
        <v>43564</v>
      </c>
      <c r="N105" s="43" t="s">
        <v>1272</v>
      </c>
      <c r="O105" s="42">
        <v>43569</v>
      </c>
      <c r="P105" s="45"/>
      <c r="Q105" s="38"/>
      <c r="R105" s="66"/>
      <c r="S105" s="46"/>
    </row>
    <row r="106" spans="2:19" s="30" customFormat="1" ht="33" customHeight="1">
      <c r="B106" s="46" t="s">
        <v>238</v>
      </c>
      <c r="C106" s="35" t="s">
        <v>1294</v>
      </c>
      <c r="D106" s="36" t="s">
        <v>488</v>
      </c>
      <c r="E106" s="37">
        <v>43495</v>
      </c>
      <c r="F106" s="38" t="s">
        <v>236</v>
      </c>
      <c r="G106" s="39">
        <v>1600</v>
      </c>
      <c r="H106" s="38">
        <f t="shared" si="15"/>
        <v>8</v>
      </c>
      <c r="I106" s="38">
        <f t="shared" si="16"/>
        <v>2</v>
      </c>
      <c r="J106" s="38"/>
      <c r="K106" s="40">
        <v>43583</v>
      </c>
      <c r="L106" s="41" t="s">
        <v>1295</v>
      </c>
      <c r="M106" s="42">
        <v>43578</v>
      </c>
      <c r="N106" s="43" t="s">
        <v>1296</v>
      </c>
      <c r="O106" s="42">
        <v>43583</v>
      </c>
      <c r="P106" s="45"/>
      <c r="Q106" s="38"/>
      <c r="R106" s="66"/>
      <c r="S106" s="46"/>
    </row>
    <row r="107" spans="2:19" s="30" customFormat="1" ht="33" customHeight="1">
      <c r="B107" s="46" t="s">
        <v>238</v>
      </c>
      <c r="C107" s="35" t="s">
        <v>1297</v>
      </c>
      <c r="D107" s="36" t="s">
        <v>598</v>
      </c>
      <c r="E107" s="37">
        <v>43519</v>
      </c>
      <c r="F107" s="38" t="s">
        <v>236</v>
      </c>
      <c r="G107" s="39">
        <v>3200</v>
      </c>
      <c r="H107" s="38">
        <f t="shared" si="15"/>
        <v>16</v>
      </c>
      <c r="I107" s="38">
        <f t="shared" si="16"/>
        <v>4</v>
      </c>
      <c r="J107" s="38"/>
      <c r="K107" s="40">
        <v>43597</v>
      </c>
      <c r="L107" s="41" t="s">
        <v>1298</v>
      </c>
      <c r="M107" s="42">
        <v>43592</v>
      </c>
      <c r="N107" s="43" t="s">
        <v>1299</v>
      </c>
      <c r="O107" s="42">
        <v>43597</v>
      </c>
      <c r="P107" s="45"/>
      <c r="Q107" s="38"/>
      <c r="R107" s="66"/>
      <c r="S107" s="46"/>
    </row>
    <row r="108" spans="2:19" s="30" customFormat="1" ht="33" customHeight="1">
      <c r="B108" s="46" t="s">
        <v>238</v>
      </c>
      <c r="C108" s="35" t="s">
        <v>226</v>
      </c>
      <c r="D108" s="36" t="s">
        <v>749</v>
      </c>
      <c r="E108" s="37">
        <v>43532</v>
      </c>
      <c r="F108" s="38" t="s">
        <v>236</v>
      </c>
      <c r="G108" s="39">
        <v>3200</v>
      </c>
      <c r="H108" s="38">
        <f t="shared" si="15"/>
        <v>16</v>
      </c>
      <c r="I108" s="38">
        <f t="shared" si="16"/>
        <v>4</v>
      </c>
      <c r="J108" s="38"/>
      <c r="K108" s="40">
        <v>43625</v>
      </c>
      <c r="L108" s="41" t="s">
        <v>1300</v>
      </c>
      <c r="M108" s="42">
        <v>43620</v>
      </c>
      <c r="N108" s="43" t="s">
        <v>1301</v>
      </c>
      <c r="O108" s="42" t="s">
        <v>1302</v>
      </c>
      <c r="P108" s="45"/>
      <c r="Q108" s="38"/>
      <c r="R108" s="66"/>
      <c r="S108" s="46"/>
    </row>
    <row r="109" spans="2:19" s="30" customFormat="1" ht="33" customHeight="1">
      <c r="B109" s="46" t="s">
        <v>238</v>
      </c>
      <c r="C109" s="35" t="s">
        <v>233</v>
      </c>
      <c r="D109" s="36" t="s">
        <v>750</v>
      </c>
      <c r="E109" s="37">
        <v>43532</v>
      </c>
      <c r="F109" s="38" t="s">
        <v>236</v>
      </c>
      <c r="G109" s="39">
        <v>3200</v>
      </c>
      <c r="H109" s="38">
        <f t="shared" si="15"/>
        <v>16</v>
      </c>
      <c r="I109" s="38">
        <f t="shared" si="16"/>
        <v>4</v>
      </c>
      <c r="J109" s="38"/>
      <c r="K109" s="40">
        <v>43646</v>
      </c>
      <c r="L109" s="41" t="s">
        <v>1303</v>
      </c>
      <c r="M109" s="42">
        <v>43641</v>
      </c>
      <c r="N109" s="43" t="s">
        <v>1304</v>
      </c>
      <c r="O109" s="42">
        <v>43646</v>
      </c>
      <c r="P109" s="45"/>
      <c r="Q109" s="38"/>
      <c r="R109" s="66"/>
      <c r="S109" s="46"/>
    </row>
    <row r="110" spans="2:19" s="173" customFormat="1" ht="33" customHeight="1">
      <c r="B110" s="162" t="s">
        <v>238</v>
      </c>
      <c r="C110" s="163" t="s">
        <v>285</v>
      </c>
      <c r="D110" s="161" t="s">
        <v>1305</v>
      </c>
      <c r="E110" s="164">
        <v>43567</v>
      </c>
      <c r="F110" s="165" t="s">
        <v>236</v>
      </c>
      <c r="G110" s="166">
        <v>3200</v>
      </c>
      <c r="H110" s="165">
        <f t="shared" si="15"/>
        <v>16</v>
      </c>
      <c r="I110" s="165">
        <f t="shared" si="16"/>
        <v>4</v>
      </c>
      <c r="J110" s="165"/>
      <c r="K110" s="167">
        <v>43660</v>
      </c>
      <c r="L110" s="168"/>
      <c r="M110" s="169"/>
      <c r="N110" s="170"/>
      <c r="O110" s="169"/>
      <c r="P110" s="171"/>
      <c r="Q110" s="165"/>
      <c r="R110" s="172"/>
      <c r="S110" s="162"/>
    </row>
    <row r="111" spans="2:19" s="173" customFormat="1" ht="33" customHeight="1">
      <c r="B111" s="162" t="s">
        <v>238</v>
      </c>
      <c r="C111" s="163" t="s">
        <v>331</v>
      </c>
      <c r="D111" s="161" t="s">
        <v>1306</v>
      </c>
      <c r="E111" s="164">
        <v>43567</v>
      </c>
      <c r="F111" s="165" t="s">
        <v>236</v>
      </c>
      <c r="G111" s="166">
        <v>3200</v>
      </c>
      <c r="H111" s="165">
        <f t="shared" si="15"/>
        <v>16</v>
      </c>
      <c r="I111" s="165">
        <f t="shared" si="16"/>
        <v>4</v>
      </c>
      <c r="J111" s="165"/>
      <c r="K111" s="167">
        <v>43674</v>
      </c>
      <c r="L111" s="168"/>
      <c r="M111" s="169"/>
      <c r="N111" s="170"/>
      <c r="O111" s="169"/>
      <c r="P111" s="171"/>
      <c r="Q111" s="165"/>
      <c r="R111" s="172"/>
      <c r="S111" s="162"/>
    </row>
    <row r="112" spans="2:19" s="30" customFormat="1">
      <c r="C112" s="22"/>
      <c r="D112" s="23"/>
      <c r="G112" s="24"/>
      <c r="K112" s="25"/>
      <c r="M112" s="26"/>
      <c r="N112" s="28"/>
      <c r="O112" s="26"/>
      <c r="R112" s="27"/>
    </row>
    <row r="113" spans="2:19" s="30" customFormat="1">
      <c r="C113" s="22"/>
      <c r="D113" s="23"/>
      <c r="G113" s="24"/>
      <c r="I113" s="30" t="s">
        <v>1307</v>
      </c>
      <c r="K113" s="25"/>
      <c r="M113" s="26"/>
      <c r="N113" s="28"/>
      <c r="O113" s="26"/>
      <c r="R113" s="27"/>
    </row>
    <row r="114" spans="2:19" s="19" customFormat="1">
      <c r="B114"/>
      <c r="C114" s="15"/>
      <c r="D114" s="1"/>
      <c r="E114"/>
      <c r="F114"/>
      <c r="G114" s="11"/>
      <c r="H114"/>
      <c r="I114"/>
      <c r="J114"/>
      <c r="K114" s="13"/>
      <c r="L114"/>
      <c r="N114" s="28"/>
      <c r="P114"/>
      <c r="Q114"/>
      <c r="R114" s="17"/>
      <c r="S114"/>
    </row>
    <row r="115" spans="2:19" s="19" customFormat="1">
      <c r="B115"/>
      <c r="C115" s="15"/>
      <c r="D115" s="1"/>
      <c r="E115"/>
      <c r="F115"/>
      <c r="G115" s="11"/>
      <c r="H115"/>
      <c r="I115"/>
      <c r="J115"/>
      <c r="K115" s="13"/>
      <c r="L115"/>
      <c r="N115" s="28"/>
      <c r="P115"/>
      <c r="Q115"/>
      <c r="R115" s="17"/>
      <c r="S115"/>
    </row>
    <row r="116" spans="2:19" s="19" customFormat="1">
      <c r="B116"/>
      <c r="C116" s="15"/>
      <c r="D116" s="1"/>
      <c r="E116"/>
      <c r="F116"/>
      <c r="G116" s="11"/>
      <c r="H116"/>
      <c r="I116"/>
      <c r="J116"/>
      <c r="K116" s="13"/>
      <c r="L116"/>
      <c r="N116" s="28"/>
      <c r="P116"/>
      <c r="Q116"/>
      <c r="R116" s="17"/>
      <c r="S116"/>
    </row>
    <row r="117" spans="2:19" s="19" customFormat="1">
      <c r="B117"/>
      <c r="C117" s="15"/>
      <c r="D117" s="1"/>
      <c r="E117"/>
      <c r="F117"/>
      <c r="G117" s="11"/>
      <c r="H117"/>
      <c r="I117"/>
      <c r="J117"/>
      <c r="K117" s="13"/>
      <c r="L117"/>
      <c r="N117" s="28"/>
      <c r="P117"/>
      <c r="Q117"/>
      <c r="R117" s="17"/>
      <c r="S117"/>
    </row>
    <row r="118" spans="2:19" s="19" customFormat="1">
      <c r="B118"/>
      <c r="C118" s="15"/>
      <c r="D118" s="1"/>
      <c r="E118"/>
      <c r="F118"/>
      <c r="G118" s="11"/>
      <c r="H118"/>
      <c r="I118"/>
      <c r="J118"/>
      <c r="K118" s="13"/>
      <c r="L118"/>
      <c r="N118" s="28"/>
      <c r="P118"/>
      <c r="Q118"/>
      <c r="R118" s="17"/>
      <c r="S118"/>
    </row>
    <row r="119" spans="2:19" s="19" customFormat="1">
      <c r="B119"/>
      <c r="C119" s="15"/>
      <c r="D119" s="1"/>
      <c r="E119"/>
      <c r="F119"/>
      <c r="G119" s="11"/>
      <c r="H119"/>
      <c r="I119"/>
      <c r="J119"/>
      <c r="K119" s="13"/>
      <c r="L119"/>
      <c r="N119" s="28"/>
      <c r="P119"/>
      <c r="Q119"/>
      <c r="R119" s="17"/>
      <c r="S119"/>
    </row>
    <row r="120" spans="2:19">
      <c r="N120" s="28"/>
    </row>
    <row r="121" spans="2:19">
      <c r="N121" s="28"/>
    </row>
    <row r="122" spans="2:19">
      <c r="N122" s="28"/>
    </row>
    <row r="123" spans="2:19">
      <c r="N123" s="28"/>
    </row>
    <row r="124" spans="2:19">
      <c r="N124" s="28"/>
    </row>
    <row r="125" spans="2:19" s="19" customFormat="1">
      <c r="B125"/>
      <c r="C125" s="15"/>
      <c r="D125" s="1"/>
      <c r="E125"/>
      <c r="F125"/>
      <c r="G125" s="11"/>
      <c r="H125"/>
      <c r="I125"/>
      <c r="J125"/>
      <c r="K125" s="13"/>
      <c r="L125"/>
      <c r="N125" s="28"/>
      <c r="P125"/>
      <c r="Q125"/>
      <c r="R125" s="17"/>
      <c r="S125"/>
    </row>
    <row r="126" spans="2:19" s="19" customFormat="1">
      <c r="B126"/>
      <c r="C126" s="15"/>
      <c r="D126" s="1"/>
      <c r="E126"/>
      <c r="F126"/>
      <c r="G126" s="11"/>
      <c r="H126"/>
      <c r="I126"/>
      <c r="J126"/>
      <c r="K126" s="13"/>
      <c r="L126"/>
      <c r="N126" s="28"/>
      <c r="P126"/>
      <c r="Q126"/>
      <c r="R126" s="17"/>
      <c r="S126"/>
    </row>
    <row r="127" spans="2:19" s="19" customFormat="1">
      <c r="B127"/>
      <c r="C127" s="15"/>
      <c r="D127" s="1"/>
      <c r="E127"/>
      <c r="F127"/>
      <c r="G127" s="11"/>
      <c r="H127"/>
      <c r="I127"/>
      <c r="J127"/>
      <c r="K127" s="13"/>
      <c r="L127"/>
      <c r="N127" s="28"/>
      <c r="P127"/>
      <c r="Q127"/>
      <c r="R127" s="17"/>
      <c r="S127"/>
    </row>
    <row r="128" spans="2:19" s="19" customFormat="1">
      <c r="B128"/>
      <c r="C128" s="15"/>
      <c r="D128" s="1"/>
      <c r="E128"/>
      <c r="F128"/>
      <c r="G128" s="11"/>
      <c r="H128"/>
      <c r="I128"/>
      <c r="J128"/>
      <c r="K128" s="13"/>
      <c r="L128"/>
      <c r="N128" s="28"/>
      <c r="P128"/>
      <c r="Q128"/>
      <c r="R128" s="17"/>
      <c r="S128"/>
    </row>
    <row r="129" spans="2:19" s="19" customFormat="1">
      <c r="B129"/>
      <c r="C129" s="15"/>
      <c r="D129" s="1"/>
      <c r="E129"/>
      <c r="F129"/>
      <c r="G129" s="11"/>
      <c r="H129"/>
      <c r="I129"/>
      <c r="J129"/>
      <c r="K129" s="13"/>
      <c r="L129"/>
      <c r="N129" s="28"/>
      <c r="P129"/>
      <c r="Q129"/>
      <c r="R129" s="17"/>
      <c r="S129"/>
    </row>
    <row r="130" spans="2:19" s="19" customFormat="1">
      <c r="B130"/>
      <c r="C130" s="15"/>
      <c r="D130" s="1"/>
      <c r="E130"/>
      <c r="F130"/>
      <c r="G130" s="11"/>
      <c r="H130"/>
      <c r="I130"/>
      <c r="J130"/>
      <c r="K130" s="13"/>
      <c r="L130"/>
      <c r="N130" s="28"/>
      <c r="P130"/>
      <c r="Q130"/>
      <c r="R130" s="17"/>
      <c r="S130"/>
    </row>
  </sheetData>
  <autoFilter ref="B2:R109" xr:uid="{00000000-0009-0000-0000-000024000000}"/>
  <phoneticPr fontId="1"/>
  <pageMargins left="0.23622047244094491" right="0.23622047244094491" top="0.35433070866141736" bottom="0.35433070866141736" header="0.31496062992125984" footer="0.31496062992125984"/>
  <pageSetup paperSize="9" scale="94" fitToHeight="0" orientation="landscape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45">
    <pageSetUpPr fitToPage="1"/>
  </sheetPr>
  <dimension ref="B1:S116"/>
  <sheetViews>
    <sheetView zoomScale="80" zoomScaleNormal="80" workbookViewId="0">
      <pane xSplit="3" ySplit="2" topLeftCell="D24" activePane="bottomRight" state="frozen"/>
      <selection activeCell="B70" sqref="B70"/>
      <selection pane="topRight" activeCell="B70" sqref="B70"/>
      <selection pane="bottomLeft" activeCell="B70" sqref="B70"/>
      <selection pane="bottomRight" activeCell="B40" sqref="B40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15.87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4.8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C2" s="14" t="s">
        <v>92</v>
      </c>
      <c r="D2" s="5" t="s">
        <v>0</v>
      </c>
      <c r="E2" s="6" t="s">
        <v>93</v>
      </c>
      <c r="F2" s="6" t="s">
        <v>11</v>
      </c>
      <c r="G2" s="10" t="s">
        <v>1</v>
      </c>
      <c r="H2" s="6" t="s">
        <v>15</v>
      </c>
      <c r="I2" s="6" t="s">
        <v>16</v>
      </c>
      <c r="J2" s="6" t="s">
        <v>95</v>
      </c>
      <c r="K2" s="12" t="s">
        <v>7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85</v>
      </c>
      <c r="Q2" s="6" t="s">
        <v>8</v>
      </c>
      <c r="R2" s="16" t="s">
        <v>6</v>
      </c>
      <c r="S2" s="16" t="s">
        <v>80</v>
      </c>
    </row>
    <row r="3" spans="2:19" s="33" customFormat="1" ht="33" customHeight="1">
      <c r="B3" s="47" t="s">
        <v>220</v>
      </c>
      <c r="C3" s="48" t="s">
        <v>670</v>
      </c>
      <c r="D3" s="49" t="s">
        <v>262</v>
      </c>
      <c r="E3" s="50">
        <v>43378</v>
      </c>
      <c r="F3" s="49" t="s">
        <v>79</v>
      </c>
      <c r="G3" s="51">
        <v>10000</v>
      </c>
      <c r="H3" s="52">
        <f t="shared" ref="H3:H27" si="0">SUM(G3/250)</f>
        <v>40</v>
      </c>
      <c r="I3" s="52">
        <f t="shared" ref="I3:I37" si="1">SUM(H3/4)</f>
        <v>10</v>
      </c>
      <c r="J3" s="49"/>
      <c r="K3" s="53">
        <v>43485</v>
      </c>
      <c r="L3" s="54" t="s">
        <v>419</v>
      </c>
      <c r="M3" s="55">
        <v>43500</v>
      </c>
      <c r="N3" s="56" t="s">
        <v>337</v>
      </c>
      <c r="O3" s="55">
        <v>43506</v>
      </c>
      <c r="P3" s="54"/>
      <c r="Q3" s="49"/>
      <c r="R3" s="57" t="s">
        <v>298</v>
      </c>
      <c r="S3" s="47" t="s">
        <v>418</v>
      </c>
    </row>
    <row r="4" spans="2:19" s="33" customFormat="1" ht="33" customHeight="1">
      <c r="B4" s="47" t="s">
        <v>220</v>
      </c>
      <c r="C4" s="48" t="s">
        <v>671</v>
      </c>
      <c r="D4" s="49" t="s">
        <v>451</v>
      </c>
      <c r="E4" s="50">
        <v>43392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43141</v>
      </c>
      <c r="L4" s="54" t="s">
        <v>338</v>
      </c>
      <c r="M4" s="55">
        <v>43500</v>
      </c>
      <c r="N4" s="56" t="s">
        <v>337</v>
      </c>
      <c r="O4" s="55">
        <v>43141</v>
      </c>
      <c r="P4" s="54"/>
      <c r="Q4" s="49"/>
      <c r="R4" s="57" t="s">
        <v>355</v>
      </c>
      <c r="S4" s="47"/>
    </row>
    <row r="5" spans="2:19" s="33" customFormat="1" ht="33" customHeight="1">
      <c r="B5" s="47" t="s">
        <v>78</v>
      </c>
      <c r="C5" s="48" t="s">
        <v>254</v>
      </c>
      <c r="D5" s="49" t="s">
        <v>264</v>
      </c>
      <c r="E5" s="50">
        <v>43378</v>
      </c>
      <c r="F5" s="49" t="s">
        <v>79</v>
      </c>
      <c r="G5" s="51">
        <v>20000</v>
      </c>
      <c r="H5" s="52">
        <f t="shared" si="0"/>
        <v>80</v>
      </c>
      <c r="I5" s="52">
        <f t="shared" si="1"/>
        <v>20</v>
      </c>
      <c r="J5" s="49"/>
      <c r="K5" s="53">
        <v>43141</v>
      </c>
      <c r="L5" s="54" t="s">
        <v>338</v>
      </c>
      <c r="M5" s="55">
        <v>43500</v>
      </c>
      <c r="N5" s="56" t="s">
        <v>337</v>
      </c>
      <c r="O5" s="55">
        <v>43141</v>
      </c>
      <c r="P5" s="54"/>
      <c r="Q5" s="49" t="s">
        <v>82</v>
      </c>
      <c r="R5" s="57" t="s">
        <v>300</v>
      </c>
      <c r="S5" s="47"/>
    </row>
    <row r="6" spans="2:19" s="33" customFormat="1" ht="33" customHeight="1">
      <c r="B6" s="47" t="s">
        <v>78</v>
      </c>
      <c r="C6" s="48" t="s">
        <v>301</v>
      </c>
      <c r="D6" s="49" t="s">
        <v>302</v>
      </c>
      <c r="E6" s="50">
        <v>43420</v>
      </c>
      <c r="F6" s="49" t="s">
        <v>63</v>
      </c>
      <c r="G6" s="51">
        <v>40000</v>
      </c>
      <c r="H6" s="52">
        <f t="shared" si="0"/>
        <v>160</v>
      </c>
      <c r="I6" s="52">
        <f t="shared" si="1"/>
        <v>40</v>
      </c>
      <c r="J6" s="49"/>
      <c r="K6" s="53">
        <v>43513</v>
      </c>
      <c r="L6" s="54" t="s">
        <v>340</v>
      </c>
      <c r="M6" s="55">
        <v>43504</v>
      </c>
      <c r="N6" s="56" t="s">
        <v>339</v>
      </c>
      <c r="O6" s="55">
        <v>43148</v>
      </c>
      <c r="P6" s="54"/>
      <c r="Q6" s="49" t="s">
        <v>82</v>
      </c>
      <c r="R6" s="57" t="s">
        <v>303</v>
      </c>
      <c r="S6" s="47"/>
    </row>
    <row r="7" spans="2:19" s="33" customFormat="1" ht="33" customHeight="1">
      <c r="B7" s="47" t="s">
        <v>220</v>
      </c>
      <c r="C7" s="48" t="s">
        <v>304</v>
      </c>
      <c r="D7" s="49" t="s">
        <v>305</v>
      </c>
      <c r="E7" s="50">
        <v>43420</v>
      </c>
      <c r="F7" s="49" t="s">
        <v>91</v>
      </c>
      <c r="G7" s="51">
        <v>10000</v>
      </c>
      <c r="H7" s="52">
        <f t="shared" si="0"/>
        <v>40</v>
      </c>
      <c r="I7" s="52">
        <f t="shared" si="1"/>
        <v>10</v>
      </c>
      <c r="J7" s="49"/>
      <c r="K7" s="53">
        <v>43155</v>
      </c>
      <c r="L7" s="54" t="s">
        <v>342</v>
      </c>
      <c r="M7" s="55">
        <v>43514</v>
      </c>
      <c r="N7" s="56" t="s">
        <v>341</v>
      </c>
      <c r="O7" s="55">
        <v>43155</v>
      </c>
      <c r="P7" s="54"/>
      <c r="Q7" s="49"/>
      <c r="R7" s="57" t="s">
        <v>673</v>
      </c>
      <c r="S7" s="47"/>
    </row>
    <row r="8" spans="2:19" s="33" customFormat="1" ht="33" customHeight="1">
      <c r="B8" s="47" t="s">
        <v>78</v>
      </c>
      <c r="C8" s="48" t="s">
        <v>306</v>
      </c>
      <c r="D8" s="49" t="s">
        <v>307</v>
      </c>
      <c r="E8" s="50">
        <v>43420</v>
      </c>
      <c r="F8" s="49" t="s">
        <v>240</v>
      </c>
      <c r="G8" s="51">
        <v>30000</v>
      </c>
      <c r="H8" s="52">
        <f t="shared" si="0"/>
        <v>120</v>
      </c>
      <c r="I8" s="52">
        <f t="shared" si="1"/>
        <v>30</v>
      </c>
      <c r="J8" s="49"/>
      <c r="K8" s="53">
        <v>43520</v>
      </c>
      <c r="L8" s="54" t="s">
        <v>342</v>
      </c>
      <c r="M8" s="55">
        <v>43514</v>
      </c>
      <c r="N8" s="56" t="s">
        <v>341</v>
      </c>
      <c r="O8" s="55">
        <v>43155</v>
      </c>
      <c r="P8" s="54"/>
      <c r="Q8" s="49" t="s">
        <v>82</v>
      </c>
      <c r="R8" s="57" t="s">
        <v>359</v>
      </c>
      <c r="S8" s="47"/>
    </row>
    <row r="9" spans="2:19" s="33" customFormat="1" ht="33" customHeight="1">
      <c r="B9" s="47" t="s">
        <v>220</v>
      </c>
      <c r="C9" s="48" t="s">
        <v>309</v>
      </c>
      <c r="D9" s="49" t="s">
        <v>310</v>
      </c>
      <c r="E9" s="50">
        <v>43420</v>
      </c>
      <c r="F9" s="49" t="s">
        <v>79</v>
      </c>
      <c r="G9" s="51">
        <v>7000</v>
      </c>
      <c r="H9" s="52">
        <f t="shared" si="0"/>
        <v>28</v>
      </c>
      <c r="I9" s="52">
        <f t="shared" si="1"/>
        <v>7</v>
      </c>
      <c r="J9" s="49"/>
      <c r="K9" s="53">
        <v>43541</v>
      </c>
      <c r="L9" s="54" t="s">
        <v>751</v>
      </c>
      <c r="M9" s="55">
        <v>43542</v>
      </c>
      <c r="N9" s="56" t="s">
        <v>649</v>
      </c>
      <c r="O9" s="55">
        <v>43183</v>
      </c>
      <c r="P9" s="54" t="s">
        <v>753</v>
      </c>
      <c r="Q9" s="49"/>
      <c r="R9" s="57" t="s">
        <v>452</v>
      </c>
      <c r="S9" s="47"/>
    </row>
    <row r="10" spans="2:19" s="33" customFormat="1" ht="33" customHeight="1">
      <c r="B10" s="47" t="s">
        <v>78</v>
      </c>
      <c r="C10" s="48" t="s">
        <v>311</v>
      </c>
      <c r="D10" s="49" t="s">
        <v>312</v>
      </c>
      <c r="E10" s="50">
        <v>43420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43169</v>
      </c>
      <c r="L10" s="54" t="s">
        <v>343</v>
      </c>
      <c r="M10" s="55">
        <v>43528</v>
      </c>
      <c r="N10" s="56" t="s">
        <v>439</v>
      </c>
      <c r="O10" s="55">
        <v>43534</v>
      </c>
      <c r="P10" s="54"/>
      <c r="Q10" s="49" t="s">
        <v>82</v>
      </c>
      <c r="R10" s="57" t="s">
        <v>313</v>
      </c>
      <c r="S10" s="47"/>
    </row>
    <row r="11" spans="2:19" s="33" customFormat="1" ht="33" customHeight="1">
      <c r="B11" s="47" t="s">
        <v>78</v>
      </c>
      <c r="C11" s="48" t="s">
        <v>374</v>
      </c>
      <c r="D11" s="49" t="s">
        <v>375</v>
      </c>
      <c r="E11" s="50">
        <v>43455</v>
      </c>
      <c r="F11" s="49" t="s">
        <v>79</v>
      </c>
      <c r="G11" s="51">
        <v>21000</v>
      </c>
      <c r="H11" s="52">
        <f t="shared" si="0"/>
        <v>84</v>
      </c>
      <c r="I11" s="52">
        <f t="shared" si="1"/>
        <v>21</v>
      </c>
      <c r="J11" s="49"/>
      <c r="K11" s="53">
        <v>43541</v>
      </c>
      <c r="L11" s="54" t="s">
        <v>751</v>
      </c>
      <c r="M11" s="55">
        <v>43542</v>
      </c>
      <c r="N11" s="56" t="s">
        <v>649</v>
      </c>
      <c r="O11" s="55">
        <v>43183</v>
      </c>
      <c r="P11" s="54" t="s">
        <v>754</v>
      </c>
      <c r="Q11" s="49" t="s">
        <v>82</v>
      </c>
      <c r="R11" s="57" t="s">
        <v>376</v>
      </c>
      <c r="S11" s="47"/>
    </row>
    <row r="12" spans="2:19" s="30" customFormat="1" ht="33" customHeight="1">
      <c r="B12" s="46" t="s">
        <v>220</v>
      </c>
      <c r="C12" s="35" t="s">
        <v>377</v>
      </c>
      <c r="D12" s="36" t="s">
        <v>378</v>
      </c>
      <c r="E12" s="37">
        <v>43455</v>
      </c>
      <c r="F12" s="36" t="s">
        <v>91</v>
      </c>
      <c r="G12" s="39">
        <v>14000</v>
      </c>
      <c r="H12" s="38">
        <f t="shared" ref="H12" si="2">SUM(G12/250)</f>
        <v>56</v>
      </c>
      <c r="I12" s="38">
        <f t="shared" ref="I12" si="3">SUM(H12/4)</f>
        <v>14</v>
      </c>
      <c r="J12" s="36"/>
      <c r="K12" s="40">
        <v>43548</v>
      </c>
      <c r="L12" s="41" t="s">
        <v>802</v>
      </c>
      <c r="M12" s="42">
        <v>43563</v>
      </c>
      <c r="N12" s="43" t="s">
        <v>619</v>
      </c>
      <c r="O12" s="42">
        <v>43569</v>
      </c>
      <c r="P12" s="41" t="s">
        <v>985</v>
      </c>
      <c r="Q12" s="36"/>
      <c r="R12" s="44" t="s">
        <v>379</v>
      </c>
      <c r="S12" s="46"/>
    </row>
    <row r="13" spans="2:19" s="33" customFormat="1" ht="33" customHeight="1">
      <c r="B13" s="47" t="s">
        <v>78</v>
      </c>
      <c r="C13" s="48" t="s">
        <v>380</v>
      </c>
      <c r="D13" s="49" t="s">
        <v>381</v>
      </c>
      <c r="E13" s="50">
        <v>43455</v>
      </c>
      <c r="F13" s="49" t="s">
        <v>240</v>
      </c>
      <c r="G13" s="51">
        <v>40000</v>
      </c>
      <c r="H13" s="52">
        <f t="shared" si="0"/>
        <v>160</v>
      </c>
      <c r="I13" s="52">
        <f t="shared" si="1"/>
        <v>40</v>
      </c>
      <c r="J13" s="49"/>
      <c r="K13" s="53">
        <v>43555</v>
      </c>
      <c r="L13" s="54" t="s">
        <v>674</v>
      </c>
      <c r="M13" s="55">
        <v>43549</v>
      </c>
      <c r="N13" s="56" t="s">
        <v>752</v>
      </c>
      <c r="O13" s="55">
        <v>43555</v>
      </c>
      <c r="P13" s="54" t="s">
        <v>755</v>
      </c>
      <c r="Q13" s="49" t="s">
        <v>82</v>
      </c>
      <c r="R13" s="57" t="s">
        <v>675</v>
      </c>
      <c r="S13" s="47"/>
    </row>
    <row r="14" spans="2:19" s="30" customFormat="1" ht="33" customHeight="1">
      <c r="B14" s="46" t="s">
        <v>220</v>
      </c>
      <c r="C14" s="35" t="s">
        <v>421</v>
      </c>
      <c r="D14" s="36" t="s">
        <v>453</v>
      </c>
      <c r="E14" s="37">
        <v>43483</v>
      </c>
      <c r="F14" s="36" t="s">
        <v>79</v>
      </c>
      <c r="G14" s="39">
        <v>20000</v>
      </c>
      <c r="H14" s="38">
        <f t="shared" si="0"/>
        <v>80</v>
      </c>
      <c r="I14" s="38">
        <f t="shared" si="1"/>
        <v>20</v>
      </c>
      <c r="J14" s="36"/>
      <c r="K14" s="40">
        <v>43576</v>
      </c>
      <c r="L14" s="41" t="s">
        <v>443</v>
      </c>
      <c r="M14" s="42">
        <v>43570</v>
      </c>
      <c r="N14" s="43" t="s">
        <v>440</v>
      </c>
      <c r="O14" s="42">
        <v>43576</v>
      </c>
      <c r="P14" s="41" t="s">
        <v>981</v>
      </c>
      <c r="Q14" s="36"/>
      <c r="R14" s="44" t="s">
        <v>454</v>
      </c>
      <c r="S14" s="46"/>
    </row>
    <row r="15" spans="2:19" s="30" customFormat="1" ht="33" customHeight="1">
      <c r="B15" s="46" t="s">
        <v>78</v>
      </c>
      <c r="C15" s="35" t="s">
        <v>422</v>
      </c>
      <c r="D15" s="36" t="s">
        <v>455</v>
      </c>
      <c r="E15" s="37">
        <v>43483</v>
      </c>
      <c r="F15" s="36" t="s">
        <v>91</v>
      </c>
      <c r="G15" s="39">
        <v>10000</v>
      </c>
      <c r="H15" s="38">
        <f>SUM(G15/250)</f>
        <v>40</v>
      </c>
      <c r="I15" s="38">
        <f t="shared" si="1"/>
        <v>10</v>
      </c>
      <c r="J15" s="36"/>
      <c r="K15" s="40">
        <v>43618</v>
      </c>
      <c r="L15" s="41" t="s">
        <v>442</v>
      </c>
      <c r="M15" s="42">
        <v>43612</v>
      </c>
      <c r="N15" s="43" t="s">
        <v>677</v>
      </c>
      <c r="O15" s="42">
        <v>43618</v>
      </c>
      <c r="P15" s="41"/>
      <c r="Q15" s="36" t="s">
        <v>82</v>
      </c>
      <c r="R15" s="44" t="s">
        <v>678</v>
      </c>
      <c r="S15" s="46"/>
    </row>
    <row r="16" spans="2:19" s="30" customFormat="1" ht="33" customHeight="1">
      <c r="B16" s="46" t="s">
        <v>220</v>
      </c>
      <c r="C16" s="35" t="s">
        <v>679</v>
      </c>
      <c r="D16" s="36" t="s">
        <v>455</v>
      </c>
      <c r="E16" s="37">
        <v>43523</v>
      </c>
      <c r="F16" s="36" t="s">
        <v>91</v>
      </c>
      <c r="G16" s="39">
        <v>10000</v>
      </c>
      <c r="H16" s="38">
        <f>SUM(G16/250)</f>
        <v>40</v>
      </c>
      <c r="I16" s="38">
        <f t="shared" si="1"/>
        <v>10</v>
      </c>
      <c r="J16" s="36"/>
      <c r="K16" s="40">
        <v>43618</v>
      </c>
      <c r="L16" s="41" t="s">
        <v>638</v>
      </c>
      <c r="M16" s="42">
        <v>43612</v>
      </c>
      <c r="N16" s="43" t="s">
        <v>636</v>
      </c>
      <c r="O16" s="42">
        <v>43618</v>
      </c>
      <c r="P16" s="41"/>
      <c r="Q16" s="36"/>
      <c r="R16" s="44" t="s">
        <v>680</v>
      </c>
      <c r="S16" s="46"/>
    </row>
    <row r="17" spans="2:19" s="30" customFormat="1" ht="33" customHeight="1">
      <c r="B17" s="46" t="s">
        <v>78</v>
      </c>
      <c r="C17" s="35" t="s">
        <v>423</v>
      </c>
      <c r="D17" s="36" t="s">
        <v>457</v>
      </c>
      <c r="E17" s="37">
        <v>43483</v>
      </c>
      <c r="F17" s="36" t="s">
        <v>79</v>
      </c>
      <c r="G17" s="39">
        <v>20000</v>
      </c>
      <c r="H17" s="38">
        <f t="shared" si="0"/>
        <v>80</v>
      </c>
      <c r="I17" s="38">
        <f t="shared" si="1"/>
        <v>20</v>
      </c>
      <c r="J17" s="36"/>
      <c r="K17" s="40">
        <v>43576</v>
      </c>
      <c r="L17" s="41" t="s">
        <v>443</v>
      </c>
      <c r="M17" s="42">
        <v>43570</v>
      </c>
      <c r="N17" s="43" t="s">
        <v>440</v>
      </c>
      <c r="O17" s="42">
        <v>43576</v>
      </c>
      <c r="P17" s="41" t="s">
        <v>982</v>
      </c>
      <c r="Q17" s="36" t="s">
        <v>82</v>
      </c>
      <c r="R17" s="44" t="s">
        <v>458</v>
      </c>
      <c r="S17" s="46"/>
    </row>
    <row r="18" spans="2:19" s="30" customFormat="1" ht="33" customHeight="1">
      <c r="B18" s="46" t="s">
        <v>220</v>
      </c>
      <c r="C18" s="35" t="s">
        <v>425</v>
      </c>
      <c r="D18" s="36" t="s">
        <v>459</v>
      </c>
      <c r="E18" s="37">
        <v>43483</v>
      </c>
      <c r="F18" s="36" t="s">
        <v>79</v>
      </c>
      <c r="G18" s="39">
        <v>20000</v>
      </c>
      <c r="H18" s="38">
        <f t="shared" si="0"/>
        <v>80</v>
      </c>
      <c r="I18" s="38">
        <f t="shared" si="1"/>
        <v>20</v>
      </c>
      <c r="J18" s="36"/>
      <c r="K18" s="40">
        <v>43583</v>
      </c>
      <c r="L18" s="41" t="s">
        <v>444</v>
      </c>
      <c r="M18" s="42">
        <v>43577</v>
      </c>
      <c r="N18" s="43" t="s">
        <v>441</v>
      </c>
      <c r="O18" s="42">
        <v>43583</v>
      </c>
      <c r="P18" s="41"/>
      <c r="Q18" s="36"/>
      <c r="R18" s="44" t="s">
        <v>482</v>
      </c>
      <c r="S18" s="46"/>
    </row>
    <row r="19" spans="2:19" s="30" customFormat="1" ht="33" customHeight="1">
      <c r="B19" s="46" t="s">
        <v>78</v>
      </c>
      <c r="C19" s="35" t="s">
        <v>462</v>
      </c>
      <c r="D19" s="36" t="s">
        <v>483</v>
      </c>
      <c r="E19" s="37">
        <v>43490</v>
      </c>
      <c r="F19" s="36" t="s">
        <v>79</v>
      </c>
      <c r="G19" s="39">
        <v>20000</v>
      </c>
      <c r="H19" s="38">
        <f t="shared" si="0"/>
        <v>80</v>
      </c>
      <c r="I19" s="38">
        <f t="shared" si="1"/>
        <v>20</v>
      </c>
      <c r="J19" s="36"/>
      <c r="K19" s="40">
        <v>43583</v>
      </c>
      <c r="L19" s="41" t="s">
        <v>444</v>
      </c>
      <c r="M19" s="42">
        <v>43577</v>
      </c>
      <c r="N19" s="43" t="s">
        <v>441</v>
      </c>
      <c r="O19" s="42">
        <v>43583</v>
      </c>
      <c r="P19" s="41" t="s">
        <v>983</v>
      </c>
      <c r="Q19" s="36" t="s">
        <v>82</v>
      </c>
      <c r="R19" s="44" t="s">
        <v>463</v>
      </c>
      <c r="S19" s="46"/>
    </row>
    <row r="20" spans="2:19" s="30" customFormat="1" ht="33" customHeight="1">
      <c r="B20" s="46" t="s">
        <v>78</v>
      </c>
      <c r="C20" s="35" t="s">
        <v>570</v>
      </c>
      <c r="D20" s="36" t="s">
        <v>571</v>
      </c>
      <c r="E20" s="37">
        <v>43519</v>
      </c>
      <c r="F20" s="36" t="s">
        <v>79</v>
      </c>
      <c r="G20" s="39">
        <v>20000</v>
      </c>
      <c r="H20" s="38">
        <f t="shared" si="0"/>
        <v>80</v>
      </c>
      <c r="I20" s="38">
        <f t="shared" si="1"/>
        <v>20</v>
      </c>
      <c r="J20" s="36"/>
      <c r="K20" s="40">
        <v>43590</v>
      </c>
      <c r="L20" s="41" t="s">
        <v>602</v>
      </c>
      <c r="M20" s="42">
        <v>43577</v>
      </c>
      <c r="N20" s="43" t="s">
        <v>441</v>
      </c>
      <c r="O20" s="42">
        <v>43583</v>
      </c>
      <c r="P20" s="41" t="s">
        <v>984</v>
      </c>
      <c r="Q20" s="36" t="s">
        <v>82</v>
      </c>
      <c r="R20" s="44" t="s">
        <v>682</v>
      </c>
      <c r="S20" s="46"/>
    </row>
    <row r="21" spans="2:19" s="30" customFormat="1" ht="33" customHeight="1">
      <c r="B21" s="46" t="s">
        <v>78</v>
      </c>
      <c r="C21" s="35" t="s">
        <v>573</v>
      </c>
      <c r="D21" s="36" t="s">
        <v>574</v>
      </c>
      <c r="E21" s="37">
        <v>43519</v>
      </c>
      <c r="F21" s="36" t="s">
        <v>79</v>
      </c>
      <c r="G21" s="39">
        <v>20000</v>
      </c>
      <c r="H21" s="38">
        <f t="shared" si="0"/>
        <v>80</v>
      </c>
      <c r="I21" s="38">
        <f t="shared" si="1"/>
        <v>20</v>
      </c>
      <c r="J21" s="36"/>
      <c r="K21" s="40">
        <v>43604</v>
      </c>
      <c r="L21" s="41" t="s">
        <v>757</v>
      </c>
      <c r="M21" s="42">
        <v>43598</v>
      </c>
      <c r="N21" s="43" t="s">
        <v>756</v>
      </c>
      <c r="O21" s="42">
        <v>43604</v>
      </c>
      <c r="P21" s="41"/>
      <c r="Q21" s="36" t="s">
        <v>82</v>
      </c>
      <c r="R21" s="44" t="s">
        <v>784</v>
      </c>
      <c r="S21" s="46"/>
    </row>
    <row r="22" spans="2:19" s="30" customFormat="1" ht="33" customHeight="1">
      <c r="B22" s="46" t="s">
        <v>78</v>
      </c>
      <c r="C22" s="35" t="s">
        <v>576</v>
      </c>
      <c r="D22" s="36" t="s">
        <v>577</v>
      </c>
      <c r="E22" s="37">
        <v>43519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43611</v>
      </c>
      <c r="L22" s="41" t="s">
        <v>683</v>
      </c>
      <c r="M22" s="42">
        <v>43605</v>
      </c>
      <c r="N22" s="43" t="s">
        <v>639</v>
      </c>
      <c r="O22" s="42">
        <v>43611</v>
      </c>
      <c r="P22" s="41"/>
      <c r="Q22" s="36" t="s">
        <v>82</v>
      </c>
      <c r="R22" s="44" t="s">
        <v>684</v>
      </c>
      <c r="S22" s="46"/>
    </row>
    <row r="23" spans="2:19" s="30" customFormat="1" ht="33" customHeight="1">
      <c r="B23" s="46" t="s">
        <v>78</v>
      </c>
      <c r="C23" s="35" t="s">
        <v>785</v>
      </c>
      <c r="D23" s="36" t="s">
        <v>577</v>
      </c>
      <c r="E23" s="37">
        <v>43519</v>
      </c>
      <c r="F23" s="36" t="s">
        <v>91</v>
      </c>
      <c r="G23" s="39">
        <v>10000</v>
      </c>
      <c r="H23" s="38">
        <f t="shared" si="0"/>
        <v>40</v>
      </c>
      <c r="I23" s="38">
        <f t="shared" si="1"/>
        <v>10</v>
      </c>
      <c r="J23" s="36"/>
      <c r="K23" s="40">
        <v>43598</v>
      </c>
      <c r="L23" s="41" t="s">
        <v>803</v>
      </c>
      <c r="M23" s="42">
        <v>43598</v>
      </c>
      <c r="N23" s="43" t="s">
        <v>804</v>
      </c>
      <c r="O23" s="42">
        <v>43604</v>
      </c>
      <c r="P23" s="41"/>
      <c r="Q23" s="36" t="s">
        <v>82</v>
      </c>
      <c r="R23" s="44" t="s">
        <v>786</v>
      </c>
      <c r="S23" s="46"/>
    </row>
    <row r="24" spans="2:19" s="30" customFormat="1" ht="33" customHeight="1">
      <c r="B24" s="46" t="s">
        <v>220</v>
      </c>
      <c r="C24" s="35" t="s">
        <v>579</v>
      </c>
      <c r="D24" s="36" t="s">
        <v>580</v>
      </c>
      <c r="E24" s="37">
        <v>43519</v>
      </c>
      <c r="F24" s="36" t="s">
        <v>79</v>
      </c>
      <c r="G24" s="39">
        <v>10000</v>
      </c>
      <c r="H24" s="38">
        <f t="shared" si="0"/>
        <v>40</v>
      </c>
      <c r="I24" s="38">
        <f t="shared" si="1"/>
        <v>10</v>
      </c>
      <c r="J24" s="36"/>
      <c r="K24" s="40">
        <v>43598</v>
      </c>
      <c r="L24" s="41" t="s">
        <v>803</v>
      </c>
      <c r="M24" s="42">
        <v>43598</v>
      </c>
      <c r="N24" s="43" t="s">
        <v>804</v>
      </c>
      <c r="O24" s="42">
        <v>43604</v>
      </c>
      <c r="P24" s="41"/>
      <c r="Q24" s="36"/>
      <c r="R24" s="44" t="s">
        <v>787</v>
      </c>
      <c r="S24" s="46"/>
    </row>
    <row r="25" spans="2:19" s="30" customFormat="1" ht="33" customHeight="1">
      <c r="B25" s="46" t="s">
        <v>78</v>
      </c>
      <c r="C25" s="35" t="s">
        <v>685</v>
      </c>
      <c r="D25" s="36" t="s">
        <v>686</v>
      </c>
      <c r="E25" s="37">
        <v>43532</v>
      </c>
      <c r="F25" s="36" t="s">
        <v>79</v>
      </c>
      <c r="G25" s="39">
        <v>20000</v>
      </c>
      <c r="H25" s="38">
        <f t="shared" si="0"/>
        <v>80</v>
      </c>
      <c r="I25" s="38">
        <f t="shared" si="1"/>
        <v>20</v>
      </c>
      <c r="J25" s="36"/>
      <c r="K25" s="40">
        <v>43625</v>
      </c>
      <c r="L25" s="41" t="s">
        <v>761</v>
      </c>
      <c r="M25" s="42">
        <v>43619</v>
      </c>
      <c r="N25" s="43" t="s">
        <v>758</v>
      </c>
      <c r="O25" s="42">
        <v>43625</v>
      </c>
      <c r="P25" s="41"/>
      <c r="Q25" s="36" t="s">
        <v>82</v>
      </c>
      <c r="R25" s="44" t="s">
        <v>687</v>
      </c>
      <c r="S25" s="46"/>
    </row>
    <row r="26" spans="2:19" s="30" customFormat="1" ht="33" customHeight="1">
      <c r="B26" s="46" t="s">
        <v>220</v>
      </c>
      <c r="C26" s="35" t="s">
        <v>688</v>
      </c>
      <c r="D26" s="36" t="s">
        <v>689</v>
      </c>
      <c r="E26" s="37">
        <v>43532</v>
      </c>
      <c r="F26" s="36" t="s">
        <v>79</v>
      </c>
      <c r="G26" s="39">
        <v>20000</v>
      </c>
      <c r="H26" s="38">
        <f t="shared" si="0"/>
        <v>80</v>
      </c>
      <c r="I26" s="38">
        <f t="shared" si="1"/>
        <v>20</v>
      </c>
      <c r="J26" s="36"/>
      <c r="K26" s="40">
        <v>43632</v>
      </c>
      <c r="L26" s="41" t="s">
        <v>762</v>
      </c>
      <c r="M26" s="42">
        <v>43626</v>
      </c>
      <c r="N26" s="43" t="s">
        <v>759</v>
      </c>
      <c r="O26" s="42">
        <v>43632</v>
      </c>
      <c r="P26" s="41"/>
      <c r="Q26" s="36"/>
      <c r="R26" s="44" t="s">
        <v>690</v>
      </c>
      <c r="S26" s="46"/>
    </row>
    <row r="27" spans="2:19" s="30" customFormat="1" ht="33" customHeight="1">
      <c r="B27" s="46" t="s">
        <v>78</v>
      </c>
      <c r="C27" s="35" t="s">
        <v>691</v>
      </c>
      <c r="D27" s="36" t="s">
        <v>692</v>
      </c>
      <c r="E27" s="37">
        <v>43532</v>
      </c>
      <c r="F27" s="36" t="s">
        <v>79</v>
      </c>
      <c r="G27" s="39">
        <v>20000</v>
      </c>
      <c r="H27" s="38">
        <f t="shared" si="0"/>
        <v>80</v>
      </c>
      <c r="I27" s="38">
        <f t="shared" si="1"/>
        <v>20</v>
      </c>
      <c r="J27" s="36"/>
      <c r="K27" s="40">
        <v>43639</v>
      </c>
      <c r="L27" s="41" t="s">
        <v>763</v>
      </c>
      <c r="M27" s="42">
        <v>43633</v>
      </c>
      <c r="N27" s="43" t="s">
        <v>760</v>
      </c>
      <c r="O27" s="42">
        <v>43639</v>
      </c>
      <c r="P27" s="41"/>
      <c r="Q27" s="36" t="s">
        <v>82</v>
      </c>
      <c r="R27" s="44" t="s">
        <v>693</v>
      </c>
      <c r="S27" s="46"/>
    </row>
    <row r="28" spans="2:19" s="30" customFormat="1" ht="33" customHeight="1">
      <c r="B28" s="122" t="s">
        <v>220</v>
      </c>
      <c r="C28" s="126" t="s">
        <v>986</v>
      </c>
      <c r="D28" s="127"/>
      <c r="E28" s="128">
        <v>43566</v>
      </c>
      <c r="F28" s="127" t="s">
        <v>79</v>
      </c>
      <c r="G28" s="129">
        <v>20000</v>
      </c>
      <c r="H28" s="124">
        <f t="shared" ref="H28:H29" si="4">SUM(G28/250)</f>
        <v>80</v>
      </c>
      <c r="I28" s="124">
        <f t="shared" ref="I28:I29" si="5">SUM(H28/4)</f>
        <v>20</v>
      </c>
      <c r="J28" s="127"/>
      <c r="K28" s="130">
        <v>43611</v>
      </c>
      <c r="L28" s="119" t="s">
        <v>603</v>
      </c>
      <c r="M28" s="120">
        <v>43605</v>
      </c>
      <c r="N28" s="121" t="s">
        <v>1080</v>
      </c>
      <c r="O28" s="120">
        <v>43611</v>
      </c>
      <c r="P28" s="119"/>
      <c r="Q28" s="127"/>
      <c r="R28" s="125" t="s">
        <v>987</v>
      </c>
      <c r="S28" s="122"/>
    </row>
    <row r="29" spans="2:19" s="30" customFormat="1" ht="33" customHeight="1">
      <c r="B29" s="122" t="s">
        <v>78</v>
      </c>
      <c r="C29" s="126" t="s">
        <v>988</v>
      </c>
      <c r="D29" s="127"/>
      <c r="E29" s="128">
        <v>43566</v>
      </c>
      <c r="F29" s="127" t="s">
        <v>79</v>
      </c>
      <c r="G29" s="129">
        <v>20000</v>
      </c>
      <c r="H29" s="124">
        <f t="shared" si="4"/>
        <v>80</v>
      </c>
      <c r="I29" s="124">
        <f t="shared" si="5"/>
        <v>20</v>
      </c>
      <c r="J29" s="127"/>
      <c r="K29" s="130">
        <v>43632</v>
      </c>
      <c r="L29" s="119" t="s">
        <v>1081</v>
      </c>
      <c r="M29" s="120">
        <v>43626</v>
      </c>
      <c r="N29" s="121" t="s">
        <v>1082</v>
      </c>
      <c r="O29" s="120">
        <v>43632</v>
      </c>
      <c r="P29" s="119"/>
      <c r="Q29" s="127" t="s">
        <v>82</v>
      </c>
      <c r="R29" s="125" t="s">
        <v>989</v>
      </c>
      <c r="S29" s="122"/>
    </row>
    <row r="30" spans="2:19" s="96" customFormat="1" ht="33" customHeight="1">
      <c r="B30" s="47" t="s">
        <v>17</v>
      </c>
      <c r="C30" s="48" t="s">
        <v>353</v>
      </c>
      <c r="D30" s="49" t="s">
        <v>383</v>
      </c>
      <c r="E30" s="50">
        <v>43434</v>
      </c>
      <c r="F30" s="52" t="s">
        <v>84</v>
      </c>
      <c r="G30" s="51">
        <v>9200</v>
      </c>
      <c r="H30" s="52">
        <f t="shared" ref="H30:H37" si="6">SUM(G30/230)</f>
        <v>40</v>
      </c>
      <c r="I30" s="52">
        <f t="shared" si="1"/>
        <v>10</v>
      </c>
      <c r="J30" s="49"/>
      <c r="K30" s="53">
        <v>43148</v>
      </c>
      <c r="L30" s="54" t="s">
        <v>276</v>
      </c>
      <c r="M30" s="55">
        <v>43508</v>
      </c>
      <c r="N30" s="56" t="s">
        <v>620</v>
      </c>
      <c r="O30" s="55">
        <v>43513</v>
      </c>
      <c r="P30" s="58"/>
      <c r="Q30" s="52" t="s">
        <v>82</v>
      </c>
      <c r="R30" s="57" t="s">
        <v>360</v>
      </c>
      <c r="S30" s="47"/>
    </row>
    <row r="31" spans="2:19" s="96" customFormat="1" ht="33" customHeight="1">
      <c r="B31" s="47" t="s">
        <v>17</v>
      </c>
      <c r="C31" s="48" t="s">
        <v>361</v>
      </c>
      <c r="D31" s="49" t="s">
        <v>384</v>
      </c>
      <c r="E31" s="50">
        <v>43441</v>
      </c>
      <c r="F31" s="52" t="s">
        <v>84</v>
      </c>
      <c r="G31" s="51">
        <v>9200</v>
      </c>
      <c r="H31" s="52">
        <f t="shared" si="6"/>
        <v>40</v>
      </c>
      <c r="I31" s="52">
        <f t="shared" si="1"/>
        <v>10</v>
      </c>
      <c r="J31" s="49"/>
      <c r="K31" s="53">
        <v>43548</v>
      </c>
      <c r="L31" s="54" t="s">
        <v>476</v>
      </c>
      <c r="M31" s="55">
        <v>43543</v>
      </c>
      <c r="N31" s="56" t="s">
        <v>621</v>
      </c>
      <c r="O31" s="55">
        <v>43548</v>
      </c>
      <c r="P31" s="58"/>
      <c r="Q31" s="52" t="s">
        <v>82</v>
      </c>
      <c r="R31" s="57" t="s">
        <v>362</v>
      </c>
      <c r="S31" s="47"/>
    </row>
    <row r="32" spans="2:19" s="67" customFormat="1" ht="33" customHeight="1">
      <c r="B32" s="46" t="s">
        <v>17</v>
      </c>
      <c r="C32" s="35" t="s">
        <v>427</v>
      </c>
      <c r="D32" s="36" t="s">
        <v>491</v>
      </c>
      <c r="E32" s="37">
        <v>43483</v>
      </c>
      <c r="F32" s="38" t="s">
        <v>84</v>
      </c>
      <c r="G32" s="39">
        <v>9200</v>
      </c>
      <c r="H32" s="38">
        <f t="shared" si="6"/>
        <v>40</v>
      </c>
      <c r="I32" s="38">
        <f t="shared" si="1"/>
        <v>10</v>
      </c>
      <c r="J32" s="36"/>
      <c r="K32" s="40">
        <v>43576</v>
      </c>
      <c r="L32" s="41" t="s">
        <v>446</v>
      </c>
      <c r="M32" s="42">
        <v>43571</v>
      </c>
      <c r="N32" s="43" t="s">
        <v>445</v>
      </c>
      <c r="O32" s="42">
        <v>43576</v>
      </c>
      <c r="P32" s="45"/>
      <c r="Q32" s="38" t="s">
        <v>82</v>
      </c>
      <c r="R32" s="44" t="s">
        <v>466</v>
      </c>
      <c r="S32" s="46"/>
    </row>
    <row r="33" spans="2:19" s="67" customFormat="1" ht="33" customHeight="1">
      <c r="B33" s="46" t="s">
        <v>17</v>
      </c>
      <c r="C33" s="35" t="s">
        <v>581</v>
      </c>
      <c r="D33" s="36" t="s">
        <v>582</v>
      </c>
      <c r="E33" s="37">
        <v>43519</v>
      </c>
      <c r="F33" s="38" t="s">
        <v>84</v>
      </c>
      <c r="G33" s="39">
        <v>9200</v>
      </c>
      <c r="H33" s="38">
        <f t="shared" si="6"/>
        <v>40</v>
      </c>
      <c r="I33" s="38">
        <f t="shared" si="1"/>
        <v>10</v>
      </c>
      <c r="J33" s="36"/>
      <c r="K33" s="40">
        <v>43632</v>
      </c>
      <c r="L33" s="41" t="s">
        <v>807</v>
      </c>
      <c r="M33" s="42">
        <v>43627</v>
      </c>
      <c r="N33" s="43" t="s">
        <v>769</v>
      </c>
      <c r="O33" s="42">
        <v>43632</v>
      </c>
      <c r="P33" s="45"/>
      <c r="Q33" s="38" t="s">
        <v>82</v>
      </c>
      <c r="R33" s="44" t="s">
        <v>825</v>
      </c>
      <c r="S33" s="46"/>
    </row>
    <row r="34" spans="2:19" s="67" customFormat="1" ht="33" customHeight="1">
      <c r="B34" s="46" t="s">
        <v>17</v>
      </c>
      <c r="C34" s="35" t="s">
        <v>694</v>
      </c>
      <c r="D34" s="36" t="s">
        <v>695</v>
      </c>
      <c r="E34" s="37">
        <v>43532</v>
      </c>
      <c r="F34" s="38" t="s">
        <v>314</v>
      </c>
      <c r="G34" s="39">
        <v>9200</v>
      </c>
      <c r="H34" s="38">
        <f t="shared" si="6"/>
        <v>40</v>
      </c>
      <c r="I34" s="38">
        <f t="shared" si="1"/>
        <v>10</v>
      </c>
      <c r="J34" s="36"/>
      <c r="K34" s="40">
        <v>43667</v>
      </c>
      <c r="L34" s="41" t="s">
        <v>990</v>
      </c>
      <c r="M34" s="42">
        <v>43662</v>
      </c>
      <c r="N34" s="43" t="s">
        <v>991</v>
      </c>
      <c r="O34" s="42">
        <v>43667</v>
      </c>
      <c r="P34" s="45"/>
      <c r="Q34" s="38" t="s">
        <v>82</v>
      </c>
      <c r="R34" s="44" t="s">
        <v>826</v>
      </c>
      <c r="S34" s="46"/>
    </row>
    <row r="35" spans="2:19" s="96" customFormat="1" ht="33" customHeight="1">
      <c r="B35" s="47" t="s">
        <v>33</v>
      </c>
      <c r="C35" s="48" t="s">
        <v>230</v>
      </c>
      <c r="D35" s="49" t="s">
        <v>231</v>
      </c>
      <c r="E35" s="50"/>
      <c r="F35" s="52"/>
      <c r="G35" s="51">
        <v>9200</v>
      </c>
      <c r="H35" s="52">
        <f t="shared" si="6"/>
        <v>40</v>
      </c>
      <c r="I35" s="52">
        <f t="shared" si="1"/>
        <v>10</v>
      </c>
      <c r="J35" s="49"/>
      <c r="K35" s="53">
        <v>43155</v>
      </c>
      <c r="L35" s="54" t="s">
        <v>365</v>
      </c>
      <c r="M35" s="55">
        <v>43515</v>
      </c>
      <c r="N35" s="56" t="s">
        <v>347</v>
      </c>
      <c r="O35" s="55">
        <v>43520</v>
      </c>
      <c r="P35" s="58" t="s">
        <v>364</v>
      </c>
      <c r="Q35" s="52"/>
      <c r="R35" s="57" t="s">
        <v>696</v>
      </c>
      <c r="S35" s="47" t="s">
        <v>216</v>
      </c>
    </row>
    <row r="36" spans="2:19" s="67" customFormat="1" ht="33" customHeight="1">
      <c r="B36" s="46" t="s">
        <v>33</v>
      </c>
      <c r="C36" s="35" t="s">
        <v>255</v>
      </c>
      <c r="D36" s="36" t="s">
        <v>269</v>
      </c>
      <c r="E36" s="37">
        <v>43378</v>
      </c>
      <c r="F36" s="38" t="s">
        <v>84</v>
      </c>
      <c r="G36" s="39">
        <v>18400</v>
      </c>
      <c r="H36" s="38">
        <f t="shared" si="6"/>
        <v>80</v>
      </c>
      <c r="I36" s="38">
        <f t="shared" si="1"/>
        <v>20</v>
      </c>
      <c r="J36" s="36"/>
      <c r="K36" s="141" t="s">
        <v>467</v>
      </c>
      <c r="L36" s="142"/>
      <c r="M36" s="143"/>
      <c r="N36" s="144"/>
      <c r="O36" s="143"/>
      <c r="P36" s="45"/>
      <c r="Q36" s="38"/>
      <c r="R36" s="44" t="s">
        <v>363</v>
      </c>
      <c r="S36" s="46"/>
    </row>
    <row r="37" spans="2:19" s="67" customFormat="1" ht="33" customHeight="1">
      <c r="B37" s="46" t="s">
        <v>81</v>
      </c>
      <c r="C37" s="35" t="s">
        <v>279</v>
      </c>
      <c r="D37" s="36" t="s">
        <v>622</v>
      </c>
      <c r="E37" s="37">
        <v>43392</v>
      </c>
      <c r="F37" s="38" t="s">
        <v>84</v>
      </c>
      <c r="G37" s="39">
        <v>13800</v>
      </c>
      <c r="H37" s="38">
        <f t="shared" si="6"/>
        <v>60</v>
      </c>
      <c r="I37" s="38">
        <f t="shared" si="1"/>
        <v>15</v>
      </c>
      <c r="J37" s="38"/>
      <c r="K37" s="40">
        <v>43597</v>
      </c>
      <c r="L37" s="41" t="s">
        <v>623</v>
      </c>
      <c r="M37" s="42">
        <v>43594</v>
      </c>
      <c r="N37" s="43" t="s">
        <v>624</v>
      </c>
      <c r="O37" s="42">
        <v>43598</v>
      </c>
      <c r="P37" s="45"/>
      <c r="Q37" s="46"/>
      <c r="R37" s="44" t="s">
        <v>625</v>
      </c>
      <c r="S37" s="46"/>
    </row>
    <row r="38" spans="2:19" s="96" customFormat="1" ht="33" customHeight="1">
      <c r="B38" s="47" t="s">
        <v>81</v>
      </c>
      <c r="C38" s="48" t="s">
        <v>316</v>
      </c>
      <c r="D38" s="49" t="s">
        <v>317</v>
      </c>
      <c r="E38" s="50">
        <v>43420</v>
      </c>
      <c r="F38" s="52" t="s">
        <v>314</v>
      </c>
      <c r="G38" s="51">
        <v>18400</v>
      </c>
      <c r="H38" s="52">
        <f>SUM(G38/230)</f>
        <v>80</v>
      </c>
      <c r="I38" s="52">
        <f>SUM(H38/4)</f>
        <v>20</v>
      </c>
      <c r="J38" s="52"/>
      <c r="K38" s="53">
        <v>43525</v>
      </c>
      <c r="L38" s="54" t="s">
        <v>365</v>
      </c>
      <c r="M38" s="55">
        <v>43515</v>
      </c>
      <c r="N38" s="56" t="s">
        <v>347</v>
      </c>
      <c r="O38" s="55">
        <v>43520</v>
      </c>
      <c r="P38" s="58" t="s">
        <v>626</v>
      </c>
      <c r="Q38" s="47"/>
      <c r="R38" s="57" t="s">
        <v>349</v>
      </c>
      <c r="S38" s="47" t="s">
        <v>350</v>
      </c>
    </row>
    <row r="39" spans="2:19" s="67" customFormat="1" ht="33" customHeight="1">
      <c r="B39" s="46" t="s">
        <v>81</v>
      </c>
      <c r="C39" s="35" t="s">
        <v>318</v>
      </c>
      <c r="D39" s="36" t="s">
        <v>319</v>
      </c>
      <c r="E39" s="37">
        <v>43420</v>
      </c>
      <c r="F39" s="38" t="s">
        <v>314</v>
      </c>
      <c r="G39" s="39">
        <v>17940</v>
      </c>
      <c r="H39" s="38">
        <f>SUM(G39/230)</f>
        <v>78</v>
      </c>
      <c r="I39" s="38">
        <f>SUM(H39/4)</f>
        <v>19.5</v>
      </c>
      <c r="J39" s="38"/>
      <c r="K39" s="40">
        <v>43576</v>
      </c>
      <c r="L39" s="41" t="s">
        <v>480</v>
      </c>
      <c r="M39" s="42">
        <v>43564</v>
      </c>
      <c r="N39" s="43" t="s">
        <v>496</v>
      </c>
      <c r="O39" s="42">
        <v>43569</v>
      </c>
      <c r="P39" s="45"/>
      <c r="Q39" s="46"/>
      <c r="R39" s="44" t="s">
        <v>627</v>
      </c>
      <c r="S39" s="46" t="s">
        <v>699</v>
      </c>
    </row>
    <row r="40" spans="2:19" s="67" customFormat="1" ht="33" customHeight="1">
      <c r="B40" s="46" t="s">
        <v>81</v>
      </c>
      <c r="C40" s="35" t="s">
        <v>700</v>
      </c>
      <c r="D40" s="36" t="s">
        <v>701</v>
      </c>
      <c r="E40" s="37">
        <v>43532</v>
      </c>
      <c r="F40" s="38" t="s">
        <v>314</v>
      </c>
      <c r="G40" s="39">
        <v>13800</v>
      </c>
      <c r="H40" s="38">
        <f t="shared" ref="H40:H43" si="7">SUM(G40/230)</f>
        <v>60</v>
      </c>
      <c r="I40" s="38">
        <f t="shared" ref="I40:I43" si="8">SUM(H40/4)</f>
        <v>15</v>
      </c>
      <c r="J40" s="38"/>
      <c r="K40" s="40">
        <v>43625</v>
      </c>
      <c r="L40" s="41" t="s">
        <v>992</v>
      </c>
      <c r="M40" s="42">
        <v>43620</v>
      </c>
      <c r="N40" s="43" t="s">
        <v>768</v>
      </c>
      <c r="O40" s="42">
        <v>43625</v>
      </c>
      <c r="P40" s="45"/>
      <c r="Q40" s="46"/>
      <c r="R40" s="44" t="s">
        <v>993</v>
      </c>
      <c r="S40" s="46"/>
    </row>
    <row r="41" spans="2:19" s="67" customFormat="1" ht="33" customHeight="1">
      <c r="B41" s="46" t="s">
        <v>81</v>
      </c>
      <c r="C41" s="35" t="s">
        <v>702</v>
      </c>
      <c r="D41" s="36" t="s">
        <v>703</v>
      </c>
      <c r="E41" s="37">
        <v>43532</v>
      </c>
      <c r="F41" s="38" t="s">
        <v>314</v>
      </c>
      <c r="G41" s="39">
        <v>9200</v>
      </c>
      <c r="H41" s="38">
        <f t="shared" si="7"/>
        <v>40</v>
      </c>
      <c r="I41" s="38">
        <f t="shared" si="8"/>
        <v>10</v>
      </c>
      <c r="J41" s="38"/>
      <c r="K41" s="40">
        <v>43646</v>
      </c>
      <c r="L41" s="41" t="s">
        <v>994</v>
      </c>
      <c r="M41" s="42">
        <v>43641</v>
      </c>
      <c r="N41" s="43" t="s">
        <v>776</v>
      </c>
      <c r="O41" s="42">
        <v>43646</v>
      </c>
      <c r="P41" s="45"/>
      <c r="Q41" s="46"/>
      <c r="R41" s="44" t="s">
        <v>995</v>
      </c>
      <c r="S41" s="46"/>
    </row>
    <row r="42" spans="2:19" s="67" customFormat="1" ht="33" customHeight="1">
      <c r="B42" s="46" t="s">
        <v>81</v>
      </c>
      <c r="C42" s="35" t="s">
        <v>852</v>
      </c>
      <c r="D42" s="36"/>
      <c r="E42" s="37">
        <v>43558</v>
      </c>
      <c r="F42" s="38" t="s">
        <v>996</v>
      </c>
      <c r="G42" s="39">
        <v>9200</v>
      </c>
      <c r="H42" s="38">
        <f t="shared" si="7"/>
        <v>40</v>
      </c>
      <c r="I42" s="38">
        <f t="shared" si="8"/>
        <v>10</v>
      </c>
      <c r="J42" s="38"/>
      <c r="K42" s="40">
        <v>43646</v>
      </c>
      <c r="L42" s="41" t="s">
        <v>997</v>
      </c>
      <c r="M42" s="42">
        <v>43641</v>
      </c>
      <c r="N42" s="43" t="s">
        <v>998</v>
      </c>
      <c r="O42" s="42">
        <v>43646</v>
      </c>
      <c r="P42" s="45"/>
      <c r="Q42" s="46"/>
      <c r="R42" s="44" t="s">
        <v>995</v>
      </c>
      <c r="S42" s="46"/>
    </row>
    <row r="43" spans="2:19" s="67" customFormat="1" ht="33" customHeight="1">
      <c r="B43" s="135" t="s">
        <v>999</v>
      </c>
      <c r="C43" s="136" t="s">
        <v>1000</v>
      </c>
      <c r="D43" s="137" t="s">
        <v>705</v>
      </c>
      <c r="E43" s="138">
        <v>43532</v>
      </c>
      <c r="F43" s="139" t="s">
        <v>1001</v>
      </c>
      <c r="G43" s="140">
        <v>920</v>
      </c>
      <c r="H43" s="139">
        <f t="shared" si="7"/>
        <v>4</v>
      </c>
      <c r="I43" s="139">
        <f t="shared" si="8"/>
        <v>1</v>
      </c>
      <c r="J43" s="139"/>
      <c r="K43" s="141">
        <v>43609</v>
      </c>
      <c r="L43" s="142"/>
      <c r="M43" s="143"/>
      <c r="N43" s="144"/>
      <c r="O43" s="143"/>
      <c r="P43" s="145"/>
      <c r="Q43" s="135"/>
      <c r="R43" s="146"/>
      <c r="S43" s="135" t="s">
        <v>1002</v>
      </c>
    </row>
    <row r="44" spans="2:19" s="67" customFormat="1" ht="33" customHeight="1">
      <c r="B44" s="46" t="s">
        <v>1003</v>
      </c>
      <c r="C44" s="35" t="s">
        <v>1004</v>
      </c>
      <c r="D44" s="36" t="s">
        <v>1005</v>
      </c>
      <c r="E44" s="37">
        <v>43511</v>
      </c>
      <c r="F44" s="38" t="s">
        <v>1006</v>
      </c>
      <c r="G44" s="39">
        <v>460</v>
      </c>
      <c r="H44" s="38">
        <f>SUM(G44/230)</f>
        <v>2</v>
      </c>
      <c r="I44" s="38">
        <f>SUM(H44/4)</f>
        <v>0.5</v>
      </c>
      <c r="J44" s="38"/>
      <c r="K44" s="40">
        <v>43576</v>
      </c>
      <c r="L44" s="41" t="s">
        <v>480</v>
      </c>
      <c r="M44" s="42">
        <v>43564</v>
      </c>
      <c r="N44" s="43" t="s">
        <v>646</v>
      </c>
      <c r="O44" s="42">
        <v>43569</v>
      </c>
      <c r="P44" s="45"/>
      <c r="Q44" s="46"/>
      <c r="R44" s="44" t="s">
        <v>1007</v>
      </c>
      <c r="S44" s="46"/>
    </row>
    <row r="45" spans="2:19" s="33" customFormat="1" ht="33" customHeight="1">
      <c r="B45" s="47" t="s">
        <v>1008</v>
      </c>
      <c r="C45" s="48" t="s">
        <v>321</v>
      </c>
      <c r="D45" s="49" t="s">
        <v>322</v>
      </c>
      <c r="E45" s="50">
        <v>43420</v>
      </c>
      <c r="F45" s="52" t="s">
        <v>1006</v>
      </c>
      <c r="G45" s="51">
        <v>3200</v>
      </c>
      <c r="H45" s="52">
        <f t="shared" ref="H45:H53" si="9">SUM(G45/20)</f>
        <v>160</v>
      </c>
      <c r="I45" s="52">
        <f t="shared" ref="I45:I53" si="10">SUM(H45/32)</f>
        <v>5</v>
      </c>
      <c r="J45" s="59"/>
      <c r="K45" s="53">
        <v>43513</v>
      </c>
      <c r="L45" s="54" t="s">
        <v>276</v>
      </c>
      <c r="M45" s="55">
        <v>43508</v>
      </c>
      <c r="N45" s="56" t="s">
        <v>1009</v>
      </c>
      <c r="O45" s="55">
        <v>43148</v>
      </c>
      <c r="P45" s="58"/>
      <c r="Q45" s="60" t="s">
        <v>89</v>
      </c>
      <c r="R45" s="57" t="s">
        <v>1010</v>
      </c>
      <c r="S45" s="47"/>
    </row>
    <row r="46" spans="2:19" s="33" customFormat="1" ht="33" customHeight="1">
      <c r="B46" s="47" t="s">
        <v>1008</v>
      </c>
      <c r="C46" s="48" t="s">
        <v>324</v>
      </c>
      <c r="D46" s="49" t="s">
        <v>325</v>
      </c>
      <c r="E46" s="50">
        <v>43420</v>
      </c>
      <c r="F46" s="52" t="s">
        <v>1006</v>
      </c>
      <c r="G46" s="51">
        <v>1920</v>
      </c>
      <c r="H46" s="52">
        <f t="shared" si="9"/>
        <v>96</v>
      </c>
      <c r="I46" s="52">
        <f t="shared" si="10"/>
        <v>3</v>
      </c>
      <c r="J46" s="59"/>
      <c r="K46" s="53">
        <v>43541</v>
      </c>
      <c r="L46" s="54" t="s">
        <v>1011</v>
      </c>
      <c r="M46" s="55">
        <v>43531</v>
      </c>
      <c r="N46" s="56" t="s">
        <v>1012</v>
      </c>
      <c r="O46" s="55">
        <v>43535</v>
      </c>
      <c r="P46" s="58"/>
      <c r="Q46" s="60" t="s">
        <v>89</v>
      </c>
      <c r="R46" s="57" t="s">
        <v>1013</v>
      </c>
      <c r="S46" s="47" t="s">
        <v>645</v>
      </c>
    </row>
    <row r="47" spans="2:19" s="33" customFormat="1" ht="33" customHeight="1">
      <c r="B47" s="47" t="s">
        <v>1008</v>
      </c>
      <c r="C47" s="48" t="s">
        <v>1014</v>
      </c>
      <c r="D47" s="49" t="s">
        <v>325</v>
      </c>
      <c r="E47" s="50">
        <v>43420</v>
      </c>
      <c r="F47" s="52" t="s">
        <v>1006</v>
      </c>
      <c r="G47" s="51">
        <v>1280</v>
      </c>
      <c r="H47" s="52">
        <f t="shared" si="9"/>
        <v>64</v>
      </c>
      <c r="I47" s="52">
        <f t="shared" si="10"/>
        <v>2</v>
      </c>
      <c r="J47" s="59"/>
      <c r="K47" s="53">
        <v>43541</v>
      </c>
      <c r="L47" s="54" t="s">
        <v>563</v>
      </c>
      <c r="M47" s="55">
        <v>43536</v>
      </c>
      <c r="N47" s="56" t="s">
        <v>1015</v>
      </c>
      <c r="O47" s="55">
        <v>43541</v>
      </c>
      <c r="P47" s="58"/>
      <c r="Q47" s="60" t="s">
        <v>89</v>
      </c>
      <c r="R47" s="57" t="s">
        <v>1013</v>
      </c>
      <c r="S47" s="47" t="s">
        <v>395</v>
      </c>
    </row>
    <row r="48" spans="2:19" s="33" customFormat="1" ht="33" customHeight="1">
      <c r="B48" s="47" t="s">
        <v>1008</v>
      </c>
      <c r="C48" s="48" t="s">
        <v>430</v>
      </c>
      <c r="D48" s="49" t="s">
        <v>470</v>
      </c>
      <c r="E48" s="50">
        <v>43473</v>
      </c>
      <c r="F48" s="52" t="s">
        <v>1006</v>
      </c>
      <c r="G48" s="51">
        <v>1920</v>
      </c>
      <c r="H48" s="52">
        <f t="shared" si="9"/>
        <v>96</v>
      </c>
      <c r="I48" s="52">
        <f t="shared" si="10"/>
        <v>3</v>
      </c>
      <c r="J48" s="59"/>
      <c r="K48" s="53">
        <v>43555</v>
      </c>
      <c r="L48" s="54" t="s">
        <v>1016</v>
      </c>
      <c r="M48" s="55">
        <v>43550</v>
      </c>
      <c r="N48" s="56" t="s">
        <v>1017</v>
      </c>
      <c r="O48" s="55">
        <v>43555</v>
      </c>
      <c r="P48" s="58"/>
      <c r="Q48" s="60" t="s">
        <v>89</v>
      </c>
      <c r="R48" s="57" t="s">
        <v>1018</v>
      </c>
      <c r="S48" s="47"/>
    </row>
    <row r="49" spans="2:19" s="30" customFormat="1" ht="33" customHeight="1">
      <c r="B49" s="46" t="s">
        <v>1008</v>
      </c>
      <c r="C49" s="35" t="s">
        <v>430</v>
      </c>
      <c r="D49" s="36" t="s">
        <v>470</v>
      </c>
      <c r="E49" s="37">
        <v>43473</v>
      </c>
      <c r="F49" s="38" t="s">
        <v>1006</v>
      </c>
      <c r="G49" s="39">
        <v>1920</v>
      </c>
      <c r="H49" s="38">
        <f t="shared" si="9"/>
        <v>96</v>
      </c>
      <c r="I49" s="38">
        <f t="shared" si="10"/>
        <v>3</v>
      </c>
      <c r="J49" s="61"/>
      <c r="K49" s="40">
        <v>43555</v>
      </c>
      <c r="L49" s="41" t="s">
        <v>1019</v>
      </c>
      <c r="M49" s="42">
        <v>43564</v>
      </c>
      <c r="N49" s="43" t="s">
        <v>1020</v>
      </c>
      <c r="O49" s="42">
        <v>43569</v>
      </c>
      <c r="P49" s="45"/>
      <c r="Q49" s="62" t="s">
        <v>89</v>
      </c>
      <c r="R49" s="44" t="s">
        <v>1018</v>
      </c>
      <c r="S49" s="46"/>
    </row>
    <row r="50" spans="2:19" s="30" customFormat="1" ht="33" customHeight="1">
      <c r="B50" s="46" t="s">
        <v>1008</v>
      </c>
      <c r="C50" s="35" t="s">
        <v>519</v>
      </c>
      <c r="D50" s="36" t="s">
        <v>710</v>
      </c>
      <c r="E50" s="37">
        <v>43511</v>
      </c>
      <c r="F50" s="38" t="s">
        <v>1006</v>
      </c>
      <c r="G50" s="39">
        <v>640</v>
      </c>
      <c r="H50" s="38">
        <f t="shared" si="9"/>
        <v>32</v>
      </c>
      <c r="I50" s="38">
        <f t="shared" si="10"/>
        <v>1</v>
      </c>
      <c r="J50" s="61"/>
      <c r="K50" s="40">
        <v>43555</v>
      </c>
      <c r="L50" s="41" t="s">
        <v>1021</v>
      </c>
      <c r="M50" s="42">
        <v>43557</v>
      </c>
      <c r="N50" s="43" t="s">
        <v>1022</v>
      </c>
      <c r="O50" s="42">
        <v>43562</v>
      </c>
      <c r="P50" s="45"/>
      <c r="Q50" s="62" t="s">
        <v>89</v>
      </c>
      <c r="R50" s="44" t="s">
        <v>1018</v>
      </c>
      <c r="S50" s="46"/>
    </row>
    <row r="51" spans="2:19" s="30" customFormat="1" ht="33" customHeight="1">
      <c r="B51" s="46" t="s">
        <v>1008</v>
      </c>
      <c r="C51" s="35" t="s">
        <v>520</v>
      </c>
      <c r="D51" s="36" t="s">
        <v>584</v>
      </c>
      <c r="E51" s="37">
        <v>43511</v>
      </c>
      <c r="F51" s="38" t="s">
        <v>1006</v>
      </c>
      <c r="G51" s="39">
        <v>1920</v>
      </c>
      <c r="H51" s="38">
        <f t="shared" si="9"/>
        <v>96</v>
      </c>
      <c r="I51" s="38">
        <f t="shared" si="10"/>
        <v>3</v>
      </c>
      <c r="J51" s="61"/>
      <c r="K51" s="40">
        <v>43576</v>
      </c>
      <c r="L51" s="41" t="s">
        <v>503</v>
      </c>
      <c r="M51" s="42">
        <v>43571</v>
      </c>
      <c r="N51" s="43" t="s">
        <v>1023</v>
      </c>
      <c r="O51" s="42">
        <v>43576</v>
      </c>
      <c r="P51" s="45"/>
      <c r="Q51" s="62" t="s">
        <v>89</v>
      </c>
      <c r="R51" s="44" t="s">
        <v>1024</v>
      </c>
      <c r="S51" s="46"/>
    </row>
    <row r="52" spans="2:19" s="30" customFormat="1" ht="33" customHeight="1">
      <c r="B52" s="46" t="s">
        <v>1008</v>
      </c>
      <c r="C52" s="35" t="s">
        <v>586</v>
      </c>
      <c r="D52" s="36" t="s">
        <v>640</v>
      </c>
      <c r="E52" s="37">
        <v>43519</v>
      </c>
      <c r="F52" s="38" t="s">
        <v>1006</v>
      </c>
      <c r="G52" s="39">
        <v>1920</v>
      </c>
      <c r="H52" s="38">
        <f t="shared" si="9"/>
        <v>96</v>
      </c>
      <c r="I52" s="38">
        <f t="shared" si="10"/>
        <v>3</v>
      </c>
      <c r="J52" s="61"/>
      <c r="K52" s="40">
        <v>43611</v>
      </c>
      <c r="L52" s="119" t="s">
        <v>607</v>
      </c>
      <c r="M52" s="120">
        <v>43601</v>
      </c>
      <c r="N52" s="121" t="s">
        <v>601</v>
      </c>
      <c r="O52" s="120">
        <v>43605</v>
      </c>
      <c r="P52" s="45"/>
      <c r="Q52" s="62"/>
      <c r="R52" s="44" t="s">
        <v>1025</v>
      </c>
      <c r="S52" s="122" t="s">
        <v>980</v>
      </c>
    </row>
    <row r="53" spans="2:19" s="30" customFormat="1" ht="33" customHeight="1">
      <c r="B53" s="46" t="s">
        <v>1008</v>
      </c>
      <c r="C53" s="35" t="s">
        <v>713</v>
      </c>
      <c r="D53" s="36" t="s">
        <v>714</v>
      </c>
      <c r="E53" s="37">
        <v>43532</v>
      </c>
      <c r="F53" s="38" t="s">
        <v>1006</v>
      </c>
      <c r="G53" s="39">
        <v>2560</v>
      </c>
      <c r="H53" s="38">
        <f t="shared" si="9"/>
        <v>128</v>
      </c>
      <c r="I53" s="38">
        <f t="shared" si="10"/>
        <v>4</v>
      </c>
      <c r="J53" s="61"/>
      <c r="K53" s="130">
        <v>43639</v>
      </c>
      <c r="L53" s="119" t="s">
        <v>1083</v>
      </c>
      <c r="M53" s="120">
        <v>43634</v>
      </c>
      <c r="N53" s="121" t="s">
        <v>1084</v>
      </c>
      <c r="O53" s="120">
        <v>43639</v>
      </c>
      <c r="P53" s="45"/>
      <c r="Q53" s="62" t="s">
        <v>89</v>
      </c>
      <c r="R53" s="125" t="s">
        <v>1026</v>
      </c>
      <c r="S53" s="46"/>
    </row>
    <row r="54" spans="2:19" s="33" customFormat="1" ht="33" customHeight="1">
      <c r="B54" s="47" t="s">
        <v>38</v>
      </c>
      <c r="C54" s="48" t="s">
        <v>224</v>
      </c>
      <c r="D54" s="49" t="s">
        <v>328</v>
      </c>
      <c r="E54" s="50">
        <v>43420</v>
      </c>
      <c r="F54" s="52" t="s">
        <v>1027</v>
      </c>
      <c r="G54" s="64">
        <v>640</v>
      </c>
      <c r="H54" s="52">
        <f>SUBTOTAL(9,G54)/20</f>
        <v>32</v>
      </c>
      <c r="I54" s="52">
        <f>H54/32</f>
        <v>1</v>
      </c>
      <c r="J54" s="52"/>
      <c r="K54" s="53">
        <v>43520</v>
      </c>
      <c r="L54" s="54" t="s">
        <v>1028</v>
      </c>
      <c r="M54" s="55">
        <v>43515</v>
      </c>
      <c r="N54" s="56" t="s">
        <v>1029</v>
      </c>
      <c r="O54" s="55">
        <v>43155</v>
      </c>
      <c r="P54" s="58" t="s">
        <v>1030</v>
      </c>
      <c r="Q54" s="52"/>
      <c r="R54" s="63" t="s">
        <v>1031</v>
      </c>
      <c r="S54" s="47"/>
    </row>
    <row r="55" spans="2:19" s="30" customFormat="1" ht="33" customHeight="1">
      <c r="B55" s="46" t="s">
        <v>38</v>
      </c>
      <c r="C55" s="35" t="s">
        <v>225</v>
      </c>
      <c r="D55" s="36" t="s">
        <v>587</v>
      </c>
      <c r="E55" s="37">
        <v>43519</v>
      </c>
      <c r="F55" s="38" t="s">
        <v>1027</v>
      </c>
      <c r="G55" s="65">
        <v>640</v>
      </c>
      <c r="H55" s="38">
        <f>SUBTOTAL(9,G55)/20</f>
        <v>32</v>
      </c>
      <c r="I55" s="38">
        <f>H55/32</f>
        <v>1</v>
      </c>
      <c r="J55" s="38"/>
      <c r="K55" s="40">
        <v>43583</v>
      </c>
      <c r="L55" s="41" t="s">
        <v>565</v>
      </c>
      <c r="M55" s="42">
        <v>43578</v>
      </c>
      <c r="N55" s="43" t="s">
        <v>1032</v>
      </c>
      <c r="O55" s="42">
        <v>43583</v>
      </c>
      <c r="P55" s="45"/>
      <c r="Q55" s="38"/>
      <c r="R55" s="66" t="s">
        <v>1033</v>
      </c>
      <c r="S55" s="46"/>
    </row>
    <row r="56" spans="2:19" s="33" customFormat="1" ht="33" customHeight="1">
      <c r="B56" s="47" t="s">
        <v>88</v>
      </c>
      <c r="C56" s="48" t="s">
        <v>331</v>
      </c>
      <c r="D56" s="49" t="s">
        <v>332</v>
      </c>
      <c r="E56" s="50">
        <v>43420</v>
      </c>
      <c r="F56" s="52" t="s">
        <v>1034</v>
      </c>
      <c r="G56" s="64">
        <v>760</v>
      </c>
      <c r="H56" s="52">
        <f>SUBTOTAL(9,G56)/190</f>
        <v>4</v>
      </c>
      <c r="I56" s="52">
        <f>H56/4</f>
        <v>1</v>
      </c>
      <c r="J56" s="52"/>
      <c r="K56" s="53">
        <v>43520</v>
      </c>
      <c r="L56" s="54" t="s">
        <v>1035</v>
      </c>
      <c r="M56" s="55">
        <v>43515</v>
      </c>
      <c r="N56" s="56" t="s">
        <v>1036</v>
      </c>
      <c r="O56" s="55">
        <v>43155</v>
      </c>
      <c r="P56" s="58" t="s">
        <v>1037</v>
      </c>
      <c r="Q56" s="52"/>
      <c r="R56" s="63" t="s">
        <v>1038</v>
      </c>
      <c r="S56" s="47"/>
    </row>
    <row r="57" spans="2:19" s="30" customFormat="1" ht="33" customHeight="1">
      <c r="B57" s="46" t="s">
        <v>88</v>
      </c>
      <c r="C57" s="35" t="s">
        <v>431</v>
      </c>
      <c r="D57" s="36" t="s">
        <v>471</v>
      </c>
      <c r="E57" s="37">
        <v>43483</v>
      </c>
      <c r="F57" s="38" t="s">
        <v>1039</v>
      </c>
      <c r="G57" s="65">
        <v>760</v>
      </c>
      <c r="H57" s="38">
        <f>SUBTOTAL(9,G57)/190</f>
        <v>4</v>
      </c>
      <c r="I57" s="38">
        <f>H57/4</f>
        <v>1</v>
      </c>
      <c r="J57" s="38"/>
      <c r="K57" s="40">
        <v>43569</v>
      </c>
      <c r="L57" s="41" t="s">
        <v>417</v>
      </c>
      <c r="M57" s="42">
        <v>43564</v>
      </c>
      <c r="N57" s="43" t="s">
        <v>496</v>
      </c>
      <c r="O57" s="42">
        <v>43569</v>
      </c>
      <c r="P57" s="45"/>
      <c r="Q57" s="38"/>
      <c r="R57" s="66" t="s">
        <v>493</v>
      </c>
      <c r="S57" s="46"/>
    </row>
    <row r="58" spans="2:19" s="30" customFormat="1" ht="33" customHeight="1">
      <c r="B58" s="46" t="s">
        <v>88</v>
      </c>
      <c r="C58" s="35" t="s">
        <v>523</v>
      </c>
      <c r="D58" s="36" t="s">
        <v>588</v>
      </c>
      <c r="E58" s="37">
        <v>43511</v>
      </c>
      <c r="F58" s="38" t="s">
        <v>214</v>
      </c>
      <c r="G58" s="65">
        <v>760</v>
      </c>
      <c r="H58" s="38">
        <f>SUBTOTAL(9,G58)/190</f>
        <v>4</v>
      </c>
      <c r="I58" s="38">
        <f>H58/4</f>
        <v>1</v>
      </c>
      <c r="J58" s="38"/>
      <c r="K58" s="40">
        <v>43583</v>
      </c>
      <c r="L58" s="41" t="s">
        <v>565</v>
      </c>
      <c r="M58" s="42">
        <v>43578</v>
      </c>
      <c r="N58" s="43" t="s">
        <v>447</v>
      </c>
      <c r="O58" s="42">
        <v>43583</v>
      </c>
      <c r="P58" s="45"/>
      <c r="Q58" s="38"/>
      <c r="R58" s="66" t="s">
        <v>320</v>
      </c>
      <c r="S58" s="46"/>
    </row>
    <row r="59" spans="2:19" s="30" customFormat="1" ht="33" customHeight="1">
      <c r="B59" s="46" t="s">
        <v>88</v>
      </c>
      <c r="C59" s="35" t="s">
        <v>589</v>
      </c>
      <c r="D59" s="36" t="s">
        <v>590</v>
      </c>
      <c r="E59" s="37">
        <v>43519</v>
      </c>
      <c r="F59" s="38" t="s">
        <v>214</v>
      </c>
      <c r="G59" s="65">
        <v>760</v>
      </c>
      <c r="H59" s="38">
        <f>SUBTOTAL(9,G59)/190</f>
        <v>4</v>
      </c>
      <c r="I59" s="38">
        <f>H59/4</f>
        <v>1</v>
      </c>
      <c r="J59" s="38"/>
      <c r="K59" s="40">
        <v>43597</v>
      </c>
      <c r="L59" s="41" t="s">
        <v>716</v>
      </c>
      <c r="M59" s="42">
        <v>43592</v>
      </c>
      <c r="N59" s="43" t="s">
        <v>717</v>
      </c>
      <c r="O59" s="42">
        <v>43597</v>
      </c>
      <c r="P59" s="45"/>
      <c r="Q59" s="38"/>
      <c r="R59" s="66" t="s">
        <v>469</v>
      </c>
      <c r="S59" s="46"/>
    </row>
    <row r="60" spans="2:19" s="33" customFormat="1" ht="33" customHeight="1">
      <c r="B60" s="47" t="s">
        <v>83</v>
      </c>
      <c r="C60" s="48" t="s">
        <v>718</v>
      </c>
      <c r="D60" s="49" t="s">
        <v>336</v>
      </c>
      <c r="E60" s="50">
        <v>43420</v>
      </c>
      <c r="F60" s="52" t="s">
        <v>77</v>
      </c>
      <c r="G60" s="51">
        <v>5760</v>
      </c>
      <c r="H60" s="52">
        <f>SUM(G60/240)</f>
        <v>24</v>
      </c>
      <c r="I60" s="52">
        <f t="shared" ref="I60:I68" si="11">SUM(H60/4)</f>
        <v>6</v>
      </c>
      <c r="J60" s="52"/>
      <c r="K60" s="53">
        <v>43148</v>
      </c>
      <c r="L60" s="54" t="s">
        <v>276</v>
      </c>
      <c r="M60" s="55">
        <v>43508</v>
      </c>
      <c r="N60" s="56" t="s">
        <v>620</v>
      </c>
      <c r="O60" s="55">
        <v>43148</v>
      </c>
      <c r="P60" s="58"/>
      <c r="Q60" s="52"/>
      <c r="R60" s="118" t="s">
        <v>629</v>
      </c>
      <c r="S60" s="47"/>
    </row>
    <row r="61" spans="2:19" s="33" customFormat="1" ht="33" customHeight="1">
      <c r="B61" s="47" t="s">
        <v>83</v>
      </c>
      <c r="C61" s="48" t="s">
        <v>477</v>
      </c>
      <c r="D61" s="49" t="s">
        <v>494</v>
      </c>
      <c r="E61" s="50">
        <v>43462</v>
      </c>
      <c r="F61" s="52" t="s">
        <v>77</v>
      </c>
      <c r="G61" s="51">
        <v>960</v>
      </c>
      <c r="H61" s="52">
        <f>SUM(G61/240)</f>
        <v>4</v>
      </c>
      <c r="I61" s="52">
        <f t="shared" si="11"/>
        <v>1</v>
      </c>
      <c r="J61" s="52"/>
      <c r="K61" s="53">
        <v>43148</v>
      </c>
      <c r="L61" s="54" t="s">
        <v>276</v>
      </c>
      <c r="M61" s="55">
        <v>43508</v>
      </c>
      <c r="N61" s="56" t="s">
        <v>620</v>
      </c>
      <c r="O61" s="55">
        <v>43148</v>
      </c>
      <c r="P61" s="58"/>
      <c r="Q61" s="52"/>
      <c r="R61" s="118" t="s">
        <v>629</v>
      </c>
      <c r="S61" s="47"/>
    </row>
    <row r="62" spans="2:19" s="33" customFormat="1" ht="33" customHeight="1">
      <c r="B62" s="47" t="s">
        <v>83</v>
      </c>
      <c r="C62" s="48" t="s">
        <v>630</v>
      </c>
      <c r="D62" s="49" t="s">
        <v>494</v>
      </c>
      <c r="E62" s="50">
        <v>43462</v>
      </c>
      <c r="F62" s="52" t="s">
        <v>77</v>
      </c>
      <c r="G62" s="51">
        <v>960</v>
      </c>
      <c r="H62" s="52">
        <f t="shared" ref="H62:H68" si="12">SUM(G62/240)</f>
        <v>4</v>
      </c>
      <c r="I62" s="52">
        <f t="shared" si="11"/>
        <v>1</v>
      </c>
      <c r="J62" s="52"/>
      <c r="K62" s="53">
        <v>43148</v>
      </c>
      <c r="L62" s="54" t="s">
        <v>628</v>
      </c>
      <c r="M62" s="55">
        <v>43531</v>
      </c>
      <c r="N62" s="56" t="s">
        <v>568</v>
      </c>
      <c r="O62" s="55">
        <v>43535</v>
      </c>
      <c r="P62" s="58" t="s">
        <v>656</v>
      </c>
      <c r="Q62" s="52"/>
      <c r="R62" s="118" t="s">
        <v>629</v>
      </c>
      <c r="S62" s="47" t="s">
        <v>609</v>
      </c>
    </row>
    <row r="63" spans="2:19" s="33" customFormat="1" ht="33" customHeight="1">
      <c r="B63" s="47" t="s">
        <v>83</v>
      </c>
      <c r="C63" s="48" t="s">
        <v>478</v>
      </c>
      <c r="D63" s="49" t="s">
        <v>485</v>
      </c>
      <c r="E63" s="50">
        <v>43462</v>
      </c>
      <c r="F63" s="52" t="s">
        <v>77</v>
      </c>
      <c r="G63" s="51">
        <v>2880</v>
      </c>
      <c r="H63" s="52">
        <f t="shared" si="12"/>
        <v>12</v>
      </c>
      <c r="I63" s="52">
        <f t="shared" si="11"/>
        <v>3</v>
      </c>
      <c r="J63" s="52"/>
      <c r="K63" s="53">
        <v>43541</v>
      </c>
      <c r="L63" s="54" t="s">
        <v>628</v>
      </c>
      <c r="M63" s="55">
        <v>43531</v>
      </c>
      <c r="N63" s="56" t="s">
        <v>568</v>
      </c>
      <c r="O63" s="55">
        <v>43535</v>
      </c>
      <c r="P63" s="58" t="s">
        <v>657</v>
      </c>
      <c r="Q63" s="52"/>
      <c r="R63" s="118" t="s">
        <v>486</v>
      </c>
      <c r="S63" s="47" t="s">
        <v>610</v>
      </c>
    </row>
    <row r="64" spans="2:19" s="33" customFormat="1" ht="33" customHeight="1">
      <c r="B64" s="47" t="s">
        <v>83</v>
      </c>
      <c r="C64" s="48" t="s">
        <v>232</v>
      </c>
      <c r="D64" s="49" t="s">
        <v>386</v>
      </c>
      <c r="E64" s="50">
        <v>43455</v>
      </c>
      <c r="F64" s="52" t="s">
        <v>77</v>
      </c>
      <c r="G64" s="51">
        <v>5760</v>
      </c>
      <c r="H64" s="52">
        <f t="shared" si="12"/>
        <v>24</v>
      </c>
      <c r="I64" s="52">
        <f t="shared" si="11"/>
        <v>6</v>
      </c>
      <c r="J64" s="52"/>
      <c r="K64" s="53">
        <v>43541</v>
      </c>
      <c r="L64" s="54" t="s">
        <v>476</v>
      </c>
      <c r="M64" s="55">
        <v>43543</v>
      </c>
      <c r="N64" s="56" t="s">
        <v>621</v>
      </c>
      <c r="O64" s="55">
        <v>43548</v>
      </c>
      <c r="P64" s="58" t="s">
        <v>720</v>
      </c>
      <c r="Q64" s="52"/>
      <c r="R64" s="118" t="s">
        <v>721</v>
      </c>
      <c r="S64" s="47"/>
    </row>
    <row r="65" spans="2:19" s="30" customFormat="1" ht="33" customHeight="1">
      <c r="B65" s="46" t="s">
        <v>83</v>
      </c>
      <c r="C65" s="35" t="s">
        <v>244</v>
      </c>
      <c r="D65" s="36" t="s">
        <v>722</v>
      </c>
      <c r="E65" s="37">
        <v>43483</v>
      </c>
      <c r="F65" s="38" t="s">
        <v>77</v>
      </c>
      <c r="G65" s="39">
        <v>6720</v>
      </c>
      <c r="H65" s="38">
        <f t="shared" si="12"/>
        <v>28</v>
      </c>
      <c r="I65" s="38">
        <f t="shared" si="11"/>
        <v>7</v>
      </c>
      <c r="J65" s="38"/>
      <c r="K65" s="40">
        <v>43569</v>
      </c>
      <c r="L65" s="41" t="s">
        <v>480</v>
      </c>
      <c r="M65" s="42">
        <v>43564</v>
      </c>
      <c r="N65" s="43" t="s">
        <v>646</v>
      </c>
      <c r="O65" s="42">
        <v>43569</v>
      </c>
      <c r="P65" s="45" t="s">
        <v>659</v>
      </c>
      <c r="Q65" s="38"/>
      <c r="R65" s="115" t="s">
        <v>473</v>
      </c>
      <c r="S65" s="46"/>
    </row>
    <row r="66" spans="2:19" s="30" customFormat="1" ht="33" customHeight="1">
      <c r="B66" s="46" t="s">
        <v>83</v>
      </c>
      <c r="C66" s="35" t="s">
        <v>723</v>
      </c>
      <c r="D66" s="36" t="s">
        <v>472</v>
      </c>
      <c r="E66" s="37">
        <v>43483</v>
      </c>
      <c r="F66" s="38" t="s">
        <v>77</v>
      </c>
      <c r="G66" s="39">
        <v>5760</v>
      </c>
      <c r="H66" s="38">
        <f>SUM(G66/240)</f>
        <v>24</v>
      </c>
      <c r="I66" s="38">
        <f>SUM(H66/4)</f>
        <v>6</v>
      </c>
      <c r="J66" s="38"/>
      <c r="K66" s="40">
        <v>43583</v>
      </c>
      <c r="L66" s="41" t="s">
        <v>448</v>
      </c>
      <c r="M66" s="42">
        <v>43578</v>
      </c>
      <c r="N66" s="43" t="s">
        <v>447</v>
      </c>
      <c r="O66" s="42">
        <v>43583</v>
      </c>
      <c r="P66" s="45" t="s">
        <v>795</v>
      </c>
      <c r="Q66" s="38"/>
      <c r="R66" s="115" t="s">
        <v>473</v>
      </c>
      <c r="S66" s="46"/>
    </row>
    <row r="67" spans="2:19" s="30" customFormat="1" ht="33" customHeight="1">
      <c r="B67" s="46" t="s">
        <v>83</v>
      </c>
      <c r="C67" s="35" t="s">
        <v>258</v>
      </c>
      <c r="D67" s="36" t="s">
        <v>591</v>
      </c>
      <c r="E67" s="37">
        <v>43519</v>
      </c>
      <c r="F67" s="38" t="s">
        <v>77</v>
      </c>
      <c r="G67" s="39">
        <v>5760</v>
      </c>
      <c r="H67" s="38">
        <f t="shared" si="12"/>
        <v>24</v>
      </c>
      <c r="I67" s="38">
        <f t="shared" si="11"/>
        <v>6</v>
      </c>
      <c r="J67" s="38"/>
      <c r="K67" s="40">
        <v>43605</v>
      </c>
      <c r="L67" s="41" t="s">
        <v>724</v>
      </c>
      <c r="M67" s="42">
        <v>43601</v>
      </c>
      <c r="N67" s="43" t="s">
        <v>725</v>
      </c>
      <c r="O67" s="42">
        <v>43605</v>
      </c>
      <c r="P67" s="45" t="s">
        <v>663</v>
      </c>
      <c r="Q67" s="38"/>
      <c r="R67" s="115" t="s">
        <v>726</v>
      </c>
      <c r="S67" s="46"/>
    </row>
    <row r="68" spans="2:19" s="30" customFormat="1" ht="33" customHeight="1">
      <c r="B68" s="46" t="s">
        <v>83</v>
      </c>
      <c r="C68" s="35" t="s">
        <v>321</v>
      </c>
      <c r="D68" s="36" t="s">
        <v>727</v>
      </c>
      <c r="E68" s="37">
        <v>43532</v>
      </c>
      <c r="F68" s="38" t="s">
        <v>77</v>
      </c>
      <c r="G68" s="39">
        <v>6720</v>
      </c>
      <c r="H68" s="38">
        <f t="shared" si="12"/>
        <v>28</v>
      </c>
      <c r="I68" s="38">
        <f t="shared" si="11"/>
        <v>7</v>
      </c>
      <c r="J68" s="38"/>
      <c r="K68" s="40">
        <v>43633</v>
      </c>
      <c r="L68" s="41" t="s">
        <v>770</v>
      </c>
      <c r="M68" s="42">
        <v>43627</v>
      </c>
      <c r="N68" s="43" t="s">
        <v>769</v>
      </c>
      <c r="O68" s="42">
        <v>43632</v>
      </c>
      <c r="P68" s="45"/>
      <c r="Q68" s="38"/>
      <c r="R68" s="115" t="s">
        <v>728</v>
      </c>
      <c r="S68" s="46"/>
    </row>
    <row r="69" spans="2:19" s="34" customFormat="1" ht="33" customHeight="1">
      <c r="B69" s="47" t="s">
        <v>210</v>
      </c>
      <c r="C69" s="48" t="s">
        <v>225</v>
      </c>
      <c r="D69" s="49" t="s">
        <v>433</v>
      </c>
      <c r="E69" s="50">
        <v>43473</v>
      </c>
      <c r="F69" s="52" t="s">
        <v>218</v>
      </c>
      <c r="G69" s="51">
        <v>1920</v>
      </c>
      <c r="H69" s="52">
        <f t="shared" ref="H69:H85" si="13">SUM(G69/20)</f>
        <v>96</v>
      </c>
      <c r="I69" s="52">
        <f t="shared" ref="I69:I85" si="14">SUM(H69/32)</f>
        <v>3</v>
      </c>
      <c r="J69" s="52"/>
      <c r="K69" s="53">
        <v>43520</v>
      </c>
      <c r="L69" s="54" t="s">
        <v>365</v>
      </c>
      <c r="M69" s="55">
        <v>43515</v>
      </c>
      <c r="N69" s="56" t="s">
        <v>347</v>
      </c>
      <c r="O69" s="55">
        <v>43520</v>
      </c>
      <c r="P69" s="58"/>
      <c r="Q69" s="52"/>
      <c r="R69" s="63" t="s">
        <v>211</v>
      </c>
      <c r="S69" s="52"/>
    </row>
    <row r="70" spans="2:19" s="34" customFormat="1" ht="33" customHeight="1">
      <c r="B70" s="47" t="s">
        <v>210</v>
      </c>
      <c r="C70" s="48" t="s">
        <v>226</v>
      </c>
      <c r="D70" s="49" t="s">
        <v>593</v>
      </c>
      <c r="E70" s="50">
        <v>43483</v>
      </c>
      <c r="F70" s="52" t="s">
        <v>218</v>
      </c>
      <c r="G70" s="51">
        <v>640</v>
      </c>
      <c r="H70" s="52">
        <f t="shared" si="13"/>
        <v>32</v>
      </c>
      <c r="I70" s="52">
        <f t="shared" si="14"/>
        <v>1</v>
      </c>
      <c r="J70" s="52"/>
      <c r="K70" s="53">
        <v>43534</v>
      </c>
      <c r="L70" s="54" t="s">
        <v>631</v>
      </c>
      <c r="M70" s="55"/>
      <c r="N70" s="56"/>
      <c r="O70" s="55">
        <v>43520</v>
      </c>
      <c r="P70" s="58" t="s">
        <v>651</v>
      </c>
      <c r="Q70" s="52"/>
      <c r="R70" s="63" t="s">
        <v>211</v>
      </c>
      <c r="S70" s="52"/>
    </row>
    <row r="71" spans="2:19" s="34" customFormat="1" ht="33" customHeight="1">
      <c r="B71" s="47" t="s">
        <v>210</v>
      </c>
      <c r="C71" s="48" t="s">
        <v>226</v>
      </c>
      <c r="D71" s="49" t="s">
        <v>434</v>
      </c>
      <c r="E71" s="50">
        <v>43483</v>
      </c>
      <c r="F71" s="52" t="s">
        <v>218</v>
      </c>
      <c r="G71" s="51">
        <v>1920</v>
      </c>
      <c r="H71" s="52">
        <f t="shared" si="13"/>
        <v>96</v>
      </c>
      <c r="I71" s="52">
        <f t="shared" si="14"/>
        <v>3</v>
      </c>
      <c r="J71" s="52"/>
      <c r="K71" s="53">
        <v>43534</v>
      </c>
      <c r="L71" s="54" t="s">
        <v>729</v>
      </c>
      <c r="M71" s="55">
        <v>43524</v>
      </c>
      <c r="N71" s="56" t="s">
        <v>730</v>
      </c>
      <c r="O71" s="55">
        <v>43528</v>
      </c>
      <c r="P71" s="58" t="s">
        <v>652</v>
      </c>
      <c r="Q71" s="52" t="s">
        <v>615</v>
      </c>
      <c r="R71" s="63" t="s">
        <v>211</v>
      </c>
      <c r="S71" s="52"/>
    </row>
    <row r="72" spans="2:19" s="34" customFormat="1" ht="33" customHeight="1">
      <c r="B72" s="47" t="s">
        <v>210</v>
      </c>
      <c r="C72" s="48" t="s">
        <v>226</v>
      </c>
      <c r="D72" s="49" t="s">
        <v>434</v>
      </c>
      <c r="E72" s="50">
        <v>43483</v>
      </c>
      <c r="F72" s="52" t="s">
        <v>218</v>
      </c>
      <c r="G72" s="51">
        <v>1280</v>
      </c>
      <c r="H72" s="52">
        <f t="shared" si="13"/>
        <v>64</v>
      </c>
      <c r="I72" s="52">
        <f t="shared" si="14"/>
        <v>2</v>
      </c>
      <c r="J72" s="52"/>
      <c r="K72" s="53">
        <v>43534</v>
      </c>
      <c r="L72" s="54" t="s">
        <v>628</v>
      </c>
      <c r="M72" s="55">
        <v>43531</v>
      </c>
      <c r="N72" s="56" t="s">
        <v>568</v>
      </c>
      <c r="O72" s="55">
        <v>43535</v>
      </c>
      <c r="P72" s="58" t="s">
        <v>731</v>
      </c>
      <c r="Q72" s="52" t="s">
        <v>614</v>
      </c>
      <c r="R72" s="63" t="s">
        <v>211</v>
      </c>
      <c r="S72" s="52" t="s">
        <v>732</v>
      </c>
    </row>
    <row r="73" spans="2:19" s="34" customFormat="1" ht="33" customHeight="1">
      <c r="B73" s="47" t="s">
        <v>210</v>
      </c>
      <c r="C73" s="48" t="s">
        <v>233</v>
      </c>
      <c r="D73" s="49" t="s">
        <v>525</v>
      </c>
      <c r="E73" s="50">
        <v>43507</v>
      </c>
      <c r="F73" s="52" t="s">
        <v>218</v>
      </c>
      <c r="G73" s="51">
        <v>1920</v>
      </c>
      <c r="H73" s="52">
        <f t="shared" si="13"/>
        <v>96</v>
      </c>
      <c r="I73" s="52">
        <f t="shared" si="14"/>
        <v>3</v>
      </c>
      <c r="J73" s="52"/>
      <c r="K73" s="53">
        <v>43541</v>
      </c>
      <c r="L73" s="54" t="s">
        <v>733</v>
      </c>
      <c r="M73" s="55">
        <v>43536</v>
      </c>
      <c r="N73" s="56" t="s">
        <v>708</v>
      </c>
      <c r="O73" s="55">
        <v>43541</v>
      </c>
      <c r="P73" s="58" t="s">
        <v>654</v>
      </c>
      <c r="Q73" s="52" t="s">
        <v>612</v>
      </c>
      <c r="R73" s="63" t="s">
        <v>211</v>
      </c>
      <c r="S73" s="52"/>
    </row>
    <row r="74" spans="2:19" s="34" customFormat="1" ht="33" customHeight="1">
      <c r="B74" s="47" t="s">
        <v>210</v>
      </c>
      <c r="C74" s="48" t="s">
        <v>734</v>
      </c>
      <c r="D74" s="49" t="s">
        <v>525</v>
      </c>
      <c r="E74" s="50">
        <v>43519</v>
      </c>
      <c r="F74" s="52" t="s">
        <v>218</v>
      </c>
      <c r="G74" s="51">
        <v>1920</v>
      </c>
      <c r="H74" s="52">
        <f t="shared" si="13"/>
        <v>96</v>
      </c>
      <c r="I74" s="52">
        <f t="shared" si="14"/>
        <v>3</v>
      </c>
      <c r="J74" s="52"/>
      <c r="K74" s="53">
        <v>43555</v>
      </c>
      <c r="L74" s="54" t="s">
        <v>644</v>
      </c>
      <c r="M74" s="55">
        <v>43550</v>
      </c>
      <c r="N74" s="56" t="s">
        <v>344</v>
      </c>
      <c r="O74" s="55">
        <v>43555</v>
      </c>
      <c r="P74" s="58"/>
      <c r="Q74" s="52" t="s">
        <v>613</v>
      </c>
      <c r="R74" s="63" t="s">
        <v>211</v>
      </c>
      <c r="S74" s="52"/>
    </row>
    <row r="75" spans="2:19" s="32" customFormat="1" ht="33" customHeight="1">
      <c r="B75" s="46" t="s">
        <v>210</v>
      </c>
      <c r="C75" s="35" t="s">
        <v>285</v>
      </c>
      <c r="D75" s="36" t="s">
        <v>526</v>
      </c>
      <c r="E75" s="37">
        <v>43507</v>
      </c>
      <c r="F75" s="38" t="s">
        <v>218</v>
      </c>
      <c r="G75" s="39">
        <v>3200</v>
      </c>
      <c r="H75" s="38">
        <f t="shared" si="13"/>
        <v>160</v>
      </c>
      <c r="I75" s="38">
        <f t="shared" si="14"/>
        <v>5</v>
      </c>
      <c r="J75" s="38"/>
      <c r="K75" s="40">
        <v>43576</v>
      </c>
      <c r="L75" s="41" t="s">
        <v>503</v>
      </c>
      <c r="M75" s="42">
        <v>43571</v>
      </c>
      <c r="N75" s="43" t="s">
        <v>445</v>
      </c>
      <c r="O75" s="42">
        <v>43576</v>
      </c>
      <c r="P75" s="45"/>
      <c r="Q75" s="38" t="s">
        <v>643</v>
      </c>
      <c r="R75" s="66" t="s">
        <v>211</v>
      </c>
      <c r="S75" s="38"/>
    </row>
    <row r="76" spans="2:19" s="32" customFormat="1" ht="33" customHeight="1">
      <c r="B76" s="46" t="s">
        <v>210</v>
      </c>
      <c r="C76" s="35" t="s">
        <v>650</v>
      </c>
      <c r="D76" s="36" t="s">
        <v>526</v>
      </c>
      <c r="E76" s="37">
        <v>43507</v>
      </c>
      <c r="F76" s="38" t="s">
        <v>218</v>
      </c>
      <c r="G76" s="39">
        <v>640</v>
      </c>
      <c r="H76" s="38">
        <f>SUM(G76/20)</f>
        <v>32</v>
      </c>
      <c r="I76" s="38">
        <f>SUM(H76/32)</f>
        <v>1</v>
      </c>
      <c r="J76" s="38"/>
      <c r="K76" s="40">
        <v>43576</v>
      </c>
      <c r="L76" s="41" t="s">
        <v>448</v>
      </c>
      <c r="M76" s="42">
        <v>43578</v>
      </c>
      <c r="N76" s="43" t="s">
        <v>447</v>
      </c>
      <c r="O76" s="42">
        <v>43583</v>
      </c>
      <c r="P76" s="45"/>
      <c r="Q76" s="38" t="s">
        <v>643</v>
      </c>
      <c r="R76" s="66" t="s">
        <v>211</v>
      </c>
      <c r="S76" s="38"/>
    </row>
    <row r="77" spans="2:19" s="32" customFormat="1" ht="33" customHeight="1">
      <c r="B77" s="46" t="s">
        <v>210</v>
      </c>
      <c r="C77" s="35" t="s">
        <v>331</v>
      </c>
      <c r="D77" s="36" t="s">
        <v>632</v>
      </c>
      <c r="E77" s="37">
        <v>43519</v>
      </c>
      <c r="F77" s="38" t="s">
        <v>218</v>
      </c>
      <c r="G77" s="39">
        <v>3200</v>
      </c>
      <c r="H77" s="38">
        <f t="shared" si="13"/>
        <v>160</v>
      </c>
      <c r="I77" s="38">
        <f t="shared" si="14"/>
        <v>5</v>
      </c>
      <c r="J77" s="38"/>
      <c r="K77" s="40">
        <v>43562</v>
      </c>
      <c r="L77" s="41" t="s">
        <v>608</v>
      </c>
      <c r="M77" s="42">
        <v>43557</v>
      </c>
      <c r="N77" s="43" t="s">
        <v>712</v>
      </c>
      <c r="O77" s="42">
        <v>43562</v>
      </c>
      <c r="P77" s="45"/>
      <c r="Q77" s="38" t="s">
        <v>642</v>
      </c>
      <c r="R77" s="66" t="s">
        <v>211</v>
      </c>
      <c r="S77" s="38"/>
    </row>
    <row r="78" spans="2:19" s="32" customFormat="1" ht="33" customHeight="1">
      <c r="B78" s="46" t="s">
        <v>210</v>
      </c>
      <c r="C78" s="35" t="s">
        <v>735</v>
      </c>
      <c r="D78" s="36" t="s">
        <v>632</v>
      </c>
      <c r="E78" s="37">
        <v>43519</v>
      </c>
      <c r="F78" s="38" t="s">
        <v>218</v>
      </c>
      <c r="G78" s="39">
        <v>640</v>
      </c>
      <c r="H78" s="38">
        <f>SUM(G78/20)</f>
        <v>32</v>
      </c>
      <c r="I78" s="38">
        <f>SUM(H78/32)</f>
        <v>1</v>
      </c>
      <c r="J78" s="38"/>
      <c r="K78" s="40">
        <v>43562</v>
      </c>
      <c r="L78" s="41" t="s">
        <v>480</v>
      </c>
      <c r="M78" s="42">
        <v>43564</v>
      </c>
      <c r="N78" s="43" t="s">
        <v>646</v>
      </c>
      <c r="O78" s="42">
        <v>43569</v>
      </c>
      <c r="P78" s="45"/>
      <c r="Q78" s="38" t="s">
        <v>642</v>
      </c>
      <c r="R78" s="66" t="s">
        <v>211</v>
      </c>
      <c r="S78" s="38"/>
    </row>
    <row r="79" spans="2:19" s="32" customFormat="1" ht="33" customHeight="1">
      <c r="B79" s="46" t="s">
        <v>210</v>
      </c>
      <c r="C79" s="35" t="s">
        <v>431</v>
      </c>
      <c r="D79" s="36" t="s">
        <v>736</v>
      </c>
      <c r="E79" s="37">
        <v>43523</v>
      </c>
      <c r="F79" s="38" t="s">
        <v>218</v>
      </c>
      <c r="G79" s="39">
        <v>3200</v>
      </c>
      <c r="H79" s="38">
        <f t="shared" si="13"/>
        <v>160</v>
      </c>
      <c r="I79" s="38">
        <f t="shared" si="14"/>
        <v>5</v>
      </c>
      <c r="J79" s="38"/>
      <c r="K79" s="40">
        <v>43597</v>
      </c>
      <c r="L79" s="41" t="s">
        <v>605</v>
      </c>
      <c r="M79" s="42">
        <v>43594</v>
      </c>
      <c r="N79" s="43" t="s">
        <v>624</v>
      </c>
      <c r="O79" s="42">
        <v>43598</v>
      </c>
      <c r="P79" s="45"/>
      <c r="Q79" s="38" t="s">
        <v>641</v>
      </c>
      <c r="R79" s="66" t="s">
        <v>211</v>
      </c>
      <c r="S79" s="38"/>
    </row>
    <row r="80" spans="2:19" s="32" customFormat="1" ht="33" customHeight="1">
      <c r="B80" s="46" t="s">
        <v>210</v>
      </c>
      <c r="C80" s="35" t="s">
        <v>737</v>
      </c>
      <c r="D80" s="36" t="s">
        <v>736</v>
      </c>
      <c r="E80" s="37">
        <v>43523</v>
      </c>
      <c r="F80" s="38" t="s">
        <v>218</v>
      </c>
      <c r="G80" s="39">
        <v>640</v>
      </c>
      <c r="H80" s="38">
        <f>SUM(G80/20)</f>
        <v>32</v>
      </c>
      <c r="I80" s="38">
        <f>SUM(H80/32)</f>
        <v>1</v>
      </c>
      <c r="J80" s="38"/>
      <c r="K80" s="40">
        <v>43618</v>
      </c>
      <c r="L80" s="41" t="s">
        <v>1040</v>
      </c>
      <c r="M80" s="42">
        <v>43613</v>
      </c>
      <c r="N80" s="43" t="s">
        <v>766</v>
      </c>
      <c r="O80" s="42">
        <v>43618</v>
      </c>
      <c r="P80" s="45"/>
      <c r="Q80" s="38" t="s">
        <v>641</v>
      </c>
      <c r="R80" s="66" t="s">
        <v>211</v>
      </c>
      <c r="S80" s="38"/>
    </row>
    <row r="81" spans="2:19" s="32" customFormat="1" ht="33" customHeight="1">
      <c r="B81" s="46" t="s">
        <v>210</v>
      </c>
      <c r="C81" s="35" t="s">
        <v>738</v>
      </c>
      <c r="D81" s="36" t="s">
        <v>739</v>
      </c>
      <c r="E81" s="37">
        <v>43532</v>
      </c>
      <c r="F81" s="38" t="s">
        <v>218</v>
      </c>
      <c r="G81" s="39">
        <v>2560</v>
      </c>
      <c r="H81" s="38">
        <f t="shared" ref="H81:H82" si="15">SUM(G81/20)</f>
        <v>128</v>
      </c>
      <c r="I81" s="38">
        <f t="shared" ref="I81:I82" si="16">SUM(H81/32)</f>
        <v>4</v>
      </c>
      <c r="J81" s="38"/>
      <c r="K81" s="40">
        <v>43618</v>
      </c>
      <c r="L81" s="41" t="s">
        <v>1040</v>
      </c>
      <c r="M81" s="42">
        <v>43613</v>
      </c>
      <c r="N81" s="43" t="s">
        <v>766</v>
      </c>
      <c r="O81" s="42">
        <v>43618</v>
      </c>
      <c r="P81" s="45"/>
      <c r="Q81" s="38" t="s">
        <v>970</v>
      </c>
      <c r="R81" s="66" t="s">
        <v>211</v>
      </c>
      <c r="S81" s="38"/>
    </row>
    <row r="82" spans="2:19" s="32" customFormat="1" ht="33" customHeight="1">
      <c r="B82" s="46" t="s">
        <v>210</v>
      </c>
      <c r="C82" s="35" t="s">
        <v>589</v>
      </c>
      <c r="D82" s="36"/>
      <c r="E82" s="37">
        <v>43558</v>
      </c>
      <c r="F82" s="38" t="s">
        <v>218</v>
      </c>
      <c r="G82" s="39">
        <v>3200</v>
      </c>
      <c r="H82" s="38">
        <f t="shared" si="15"/>
        <v>160</v>
      </c>
      <c r="I82" s="38">
        <f t="shared" si="16"/>
        <v>5</v>
      </c>
      <c r="J82" s="38"/>
      <c r="K82" s="40">
        <v>43639</v>
      </c>
      <c r="L82" s="41" t="s">
        <v>1041</v>
      </c>
      <c r="M82" s="42">
        <v>43634</v>
      </c>
      <c r="N82" s="43" t="s">
        <v>764</v>
      </c>
      <c r="O82" s="42">
        <v>43639</v>
      </c>
      <c r="P82" s="45"/>
      <c r="Q82" s="38" t="s">
        <v>973</v>
      </c>
      <c r="R82" s="66" t="s">
        <v>211</v>
      </c>
      <c r="S82" s="38"/>
    </row>
    <row r="83" spans="2:19" s="34" customFormat="1" ht="33" customHeight="1">
      <c r="B83" s="47" t="s">
        <v>215</v>
      </c>
      <c r="C83" s="48" t="s">
        <v>634</v>
      </c>
      <c r="D83" s="49" t="s">
        <v>489</v>
      </c>
      <c r="E83" s="50"/>
      <c r="F83" s="52" t="s">
        <v>741</v>
      </c>
      <c r="G83" s="51">
        <v>640</v>
      </c>
      <c r="H83" s="52">
        <f t="shared" si="13"/>
        <v>32</v>
      </c>
      <c r="I83" s="52">
        <f t="shared" si="14"/>
        <v>1</v>
      </c>
      <c r="J83" s="52"/>
      <c r="K83" s="53">
        <v>43513</v>
      </c>
      <c r="L83" s="54" t="s">
        <v>276</v>
      </c>
      <c r="M83" s="55">
        <v>43508</v>
      </c>
      <c r="N83" s="56" t="s">
        <v>620</v>
      </c>
      <c r="O83" s="55">
        <v>43513</v>
      </c>
      <c r="P83" s="58"/>
      <c r="Q83" s="52"/>
      <c r="R83" s="63" t="s">
        <v>211</v>
      </c>
      <c r="S83" s="52"/>
    </row>
    <row r="84" spans="2:19" s="34" customFormat="1" ht="33" customHeight="1">
      <c r="B84" s="47" t="s">
        <v>215</v>
      </c>
      <c r="C84" s="48" t="s">
        <v>234</v>
      </c>
      <c r="D84" s="49" t="s">
        <v>742</v>
      </c>
      <c r="E84" s="50">
        <v>43519</v>
      </c>
      <c r="F84" s="52" t="s">
        <v>741</v>
      </c>
      <c r="G84" s="51">
        <v>1280</v>
      </c>
      <c r="H84" s="52">
        <f t="shared" si="13"/>
        <v>64</v>
      </c>
      <c r="I84" s="52">
        <f t="shared" si="14"/>
        <v>2</v>
      </c>
      <c r="J84" s="52"/>
      <c r="K84" s="53">
        <v>43576</v>
      </c>
      <c r="L84" s="54" t="s">
        <v>644</v>
      </c>
      <c r="M84" s="55">
        <v>43550</v>
      </c>
      <c r="N84" s="56" t="s">
        <v>344</v>
      </c>
      <c r="O84" s="55">
        <v>43555</v>
      </c>
      <c r="P84" s="58" t="s">
        <v>655</v>
      </c>
      <c r="Q84" s="52" t="s">
        <v>613</v>
      </c>
      <c r="R84" s="63" t="s">
        <v>211</v>
      </c>
      <c r="S84" s="52"/>
    </row>
    <row r="85" spans="2:19" s="32" customFormat="1" ht="33" customHeight="1">
      <c r="B85" s="46" t="s">
        <v>1042</v>
      </c>
      <c r="C85" s="35" t="s">
        <v>235</v>
      </c>
      <c r="D85" s="36" t="s">
        <v>744</v>
      </c>
      <c r="E85" s="37">
        <v>43532</v>
      </c>
      <c r="F85" s="38" t="s">
        <v>1043</v>
      </c>
      <c r="G85" s="39">
        <v>1280</v>
      </c>
      <c r="H85" s="38">
        <f t="shared" si="13"/>
        <v>64</v>
      </c>
      <c r="I85" s="38">
        <f t="shared" si="14"/>
        <v>2</v>
      </c>
      <c r="J85" s="38"/>
      <c r="K85" s="40">
        <v>43597</v>
      </c>
      <c r="L85" s="41" t="s">
        <v>605</v>
      </c>
      <c r="M85" s="42">
        <v>43594</v>
      </c>
      <c r="N85" s="43" t="s">
        <v>772</v>
      </c>
      <c r="O85" s="42">
        <v>43598</v>
      </c>
      <c r="P85" s="45"/>
      <c r="Q85" s="38" t="s">
        <v>641</v>
      </c>
      <c r="R85" s="66" t="s">
        <v>211</v>
      </c>
      <c r="S85" s="38"/>
    </row>
    <row r="86" spans="2:19" s="30" customFormat="1" ht="33" customHeight="1">
      <c r="B86" s="46" t="s">
        <v>1044</v>
      </c>
      <c r="C86" s="35" t="s">
        <v>225</v>
      </c>
      <c r="D86" s="36" t="s">
        <v>487</v>
      </c>
      <c r="E86" s="37">
        <v>43490</v>
      </c>
      <c r="F86" s="38" t="s">
        <v>1045</v>
      </c>
      <c r="G86" s="39">
        <v>1520</v>
      </c>
      <c r="H86" s="38">
        <f>SUM(G86/190)</f>
        <v>8</v>
      </c>
      <c r="I86" s="38">
        <f>SUM(H86/4)</f>
        <v>2</v>
      </c>
      <c r="J86" s="38"/>
      <c r="K86" s="40">
        <v>43569</v>
      </c>
      <c r="L86" s="41" t="s">
        <v>417</v>
      </c>
      <c r="M86" s="42">
        <v>43564</v>
      </c>
      <c r="N86" s="43" t="s">
        <v>1046</v>
      </c>
      <c r="O86" s="42">
        <v>43569</v>
      </c>
      <c r="P86" s="45"/>
      <c r="Q86" s="38"/>
      <c r="R86" s="66" t="s">
        <v>1047</v>
      </c>
      <c r="S86" s="46"/>
    </row>
    <row r="87" spans="2:19" s="30" customFormat="1" ht="33" customHeight="1">
      <c r="B87" s="46" t="s">
        <v>1044</v>
      </c>
      <c r="C87" s="35" t="s">
        <v>226</v>
      </c>
      <c r="D87" s="36" t="s">
        <v>833</v>
      </c>
      <c r="E87" s="37">
        <v>43546</v>
      </c>
      <c r="F87" s="38" t="s">
        <v>1045</v>
      </c>
      <c r="G87" s="39">
        <v>1520</v>
      </c>
      <c r="H87" s="38">
        <f>SUM(G87/190)</f>
        <v>8</v>
      </c>
      <c r="I87" s="38">
        <f>SUM(H87/4)</f>
        <v>2</v>
      </c>
      <c r="J87" s="38"/>
      <c r="K87" s="40">
        <v>43632</v>
      </c>
      <c r="L87" s="41" t="s">
        <v>1048</v>
      </c>
      <c r="M87" s="42">
        <v>43627</v>
      </c>
      <c r="N87" s="43" t="s">
        <v>1049</v>
      </c>
      <c r="O87" s="42">
        <v>43632</v>
      </c>
      <c r="P87" s="45"/>
      <c r="Q87" s="38"/>
      <c r="R87" s="66" t="s">
        <v>1050</v>
      </c>
      <c r="S87" s="46"/>
    </row>
    <row r="88" spans="2:19" s="33" customFormat="1" ht="33" customHeight="1">
      <c r="B88" s="47" t="s">
        <v>1051</v>
      </c>
      <c r="C88" s="48" t="s">
        <v>90</v>
      </c>
      <c r="D88" s="49" t="s">
        <v>1052</v>
      </c>
      <c r="E88" s="50"/>
      <c r="F88" s="47" t="s">
        <v>236</v>
      </c>
      <c r="G88" s="51">
        <v>800</v>
      </c>
      <c r="H88" s="52">
        <f t="shared" ref="H88:H97" si="17">SUM(G88/200)</f>
        <v>4</v>
      </c>
      <c r="I88" s="52">
        <f t="shared" ref="I88:I97" si="18">SUM(H88/4)</f>
        <v>1</v>
      </c>
      <c r="J88" s="52"/>
      <c r="K88" s="53">
        <v>43513</v>
      </c>
      <c r="L88" s="54" t="s">
        <v>1053</v>
      </c>
      <c r="M88" s="55">
        <v>43515</v>
      </c>
      <c r="N88" s="56" t="s">
        <v>1054</v>
      </c>
      <c r="O88" s="55">
        <v>43520</v>
      </c>
      <c r="P88" s="58" t="s">
        <v>1055</v>
      </c>
      <c r="Q88" s="52"/>
      <c r="R88" s="63"/>
      <c r="S88" s="47"/>
    </row>
    <row r="89" spans="2:19" s="33" customFormat="1" ht="33" customHeight="1">
      <c r="B89" s="47" t="s">
        <v>1051</v>
      </c>
      <c r="C89" s="48" t="s">
        <v>90</v>
      </c>
      <c r="D89" s="49" t="s">
        <v>1052</v>
      </c>
      <c r="E89" s="50"/>
      <c r="F89" s="47" t="s">
        <v>236</v>
      </c>
      <c r="G89" s="51">
        <v>1600</v>
      </c>
      <c r="H89" s="52">
        <f t="shared" si="17"/>
        <v>8</v>
      </c>
      <c r="I89" s="52">
        <f t="shared" si="18"/>
        <v>2</v>
      </c>
      <c r="J89" s="52"/>
      <c r="K89" s="53">
        <v>43520</v>
      </c>
      <c r="L89" s="54" t="s">
        <v>1053</v>
      </c>
      <c r="M89" s="55">
        <v>43515</v>
      </c>
      <c r="N89" s="56" t="s">
        <v>1054</v>
      </c>
      <c r="O89" s="55">
        <v>43520</v>
      </c>
      <c r="P89" s="58" t="s">
        <v>1056</v>
      </c>
      <c r="Q89" s="52"/>
      <c r="R89" s="63"/>
      <c r="S89" s="47"/>
    </row>
    <row r="90" spans="2:19" s="33" customFormat="1" ht="33" customHeight="1">
      <c r="B90" s="47" t="s">
        <v>1051</v>
      </c>
      <c r="C90" s="48" t="s">
        <v>1057</v>
      </c>
      <c r="D90" s="49" t="s">
        <v>1052</v>
      </c>
      <c r="E90" s="50"/>
      <c r="F90" s="47" t="s">
        <v>236</v>
      </c>
      <c r="G90" s="51">
        <v>2400</v>
      </c>
      <c r="H90" s="52">
        <f t="shared" si="17"/>
        <v>12</v>
      </c>
      <c r="I90" s="52">
        <f t="shared" si="18"/>
        <v>3</v>
      </c>
      <c r="J90" s="52"/>
      <c r="K90" s="53">
        <v>43527</v>
      </c>
      <c r="L90" s="54" t="s">
        <v>1058</v>
      </c>
      <c r="M90" s="55">
        <v>43531</v>
      </c>
      <c r="N90" s="56" t="s">
        <v>568</v>
      </c>
      <c r="O90" s="55">
        <v>43535</v>
      </c>
      <c r="P90" s="58"/>
      <c r="Q90" s="52"/>
      <c r="R90" s="63"/>
      <c r="S90" s="47" t="s">
        <v>1059</v>
      </c>
    </row>
    <row r="91" spans="2:19" s="33" customFormat="1" ht="33" customHeight="1">
      <c r="B91" s="47" t="s">
        <v>238</v>
      </c>
      <c r="C91" s="48" t="s">
        <v>1060</v>
      </c>
      <c r="D91" s="49" t="s">
        <v>435</v>
      </c>
      <c r="E91" s="50"/>
      <c r="F91" s="52" t="s">
        <v>236</v>
      </c>
      <c r="G91" s="51">
        <v>2400</v>
      </c>
      <c r="H91" s="52">
        <f t="shared" si="17"/>
        <v>12</v>
      </c>
      <c r="I91" s="52">
        <f t="shared" si="18"/>
        <v>3</v>
      </c>
      <c r="J91" s="52"/>
      <c r="K91" s="53">
        <v>43548</v>
      </c>
      <c r="L91" s="54" t="s">
        <v>1061</v>
      </c>
      <c r="M91" s="55">
        <v>43543</v>
      </c>
      <c r="N91" s="56" t="s">
        <v>1062</v>
      </c>
      <c r="O91" s="55">
        <v>43548</v>
      </c>
      <c r="P91" s="58"/>
      <c r="Q91" s="52"/>
      <c r="R91" s="63"/>
      <c r="S91" s="47"/>
    </row>
    <row r="92" spans="2:19" s="30" customFormat="1" ht="33" customHeight="1">
      <c r="B92" s="46" t="s">
        <v>238</v>
      </c>
      <c r="C92" s="35" t="s">
        <v>1063</v>
      </c>
      <c r="D92" s="36" t="s">
        <v>474</v>
      </c>
      <c r="E92" s="37"/>
      <c r="F92" s="38" t="s">
        <v>236</v>
      </c>
      <c r="G92" s="39">
        <v>3200</v>
      </c>
      <c r="H92" s="38">
        <f t="shared" si="17"/>
        <v>16</v>
      </c>
      <c r="I92" s="38">
        <f t="shared" si="18"/>
        <v>4</v>
      </c>
      <c r="J92" s="38"/>
      <c r="K92" s="40">
        <v>43562</v>
      </c>
      <c r="L92" s="41" t="s">
        <v>1064</v>
      </c>
      <c r="M92" s="42">
        <v>43557</v>
      </c>
      <c r="N92" s="43" t="s">
        <v>1065</v>
      </c>
      <c r="O92" s="42">
        <v>43562</v>
      </c>
      <c r="P92" s="45"/>
      <c r="Q92" s="38"/>
      <c r="R92" s="66"/>
      <c r="S92" s="46"/>
    </row>
    <row r="93" spans="2:19" s="30" customFormat="1" ht="33" customHeight="1">
      <c r="B93" s="46" t="s">
        <v>238</v>
      </c>
      <c r="C93" s="35" t="s">
        <v>1066</v>
      </c>
      <c r="D93" s="36" t="s">
        <v>475</v>
      </c>
      <c r="E93" s="37"/>
      <c r="F93" s="38" t="s">
        <v>236</v>
      </c>
      <c r="G93" s="39">
        <v>1600</v>
      </c>
      <c r="H93" s="38">
        <f t="shared" si="17"/>
        <v>8</v>
      </c>
      <c r="I93" s="38">
        <f t="shared" si="18"/>
        <v>2</v>
      </c>
      <c r="J93" s="38"/>
      <c r="K93" s="40">
        <v>43562</v>
      </c>
      <c r="L93" s="41" t="s">
        <v>1067</v>
      </c>
      <c r="M93" s="42">
        <v>43564</v>
      </c>
      <c r="N93" s="43" t="s">
        <v>1046</v>
      </c>
      <c r="O93" s="42">
        <v>43569</v>
      </c>
      <c r="P93" s="45"/>
      <c r="Q93" s="38"/>
      <c r="R93" s="66"/>
      <c r="S93" s="46"/>
    </row>
    <row r="94" spans="2:19" s="30" customFormat="1" ht="33" customHeight="1">
      <c r="B94" s="46" t="s">
        <v>238</v>
      </c>
      <c r="C94" s="35" t="s">
        <v>1068</v>
      </c>
      <c r="D94" s="36" t="s">
        <v>488</v>
      </c>
      <c r="E94" s="37">
        <v>43495</v>
      </c>
      <c r="F94" s="38" t="s">
        <v>236</v>
      </c>
      <c r="G94" s="39">
        <v>1600</v>
      </c>
      <c r="H94" s="38">
        <f t="shared" si="17"/>
        <v>8</v>
      </c>
      <c r="I94" s="38">
        <f t="shared" si="18"/>
        <v>2</v>
      </c>
      <c r="J94" s="38"/>
      <c r="K94" s="40">
        <v>43583</v>
      </c>
      <c r="L94" s="41" t="s">
        <v>1069</v>
      </c>
      <c r="M94" s="42">
        <v>43578</v>
      </c>
      <c r="N94" s="43" t="s">
        <v>1070</v>
      </c>
      <c r="O94" s="42">
        <v>43583</v>
      </c>
      <c r="P94" s="45"/>
      <c r="Q94" s="38"/>
      <c r="R94" s="66"/>
      <c r="S94" s="46"/>
    </row>
    <row r="95" spans="2:19" s="30" customFormat="1" ht="33" customHeight="1">
      <c r="B95" s="46" t="s">
        <v>238</v>
      </c>
      <c r="C95" s="35" t="s">
        <v>1071</v>
      </c>
      <c r="D95" s="36" t="s">
        <v>598</v>
      </c>
      <c r="E95" s="37">
        <v>43519</v>
      </c>
      <c r="F95" s="38" t="s">
        <v>236</v>
      </c>
      <c r="G95" s="39">
        <v>3200</v>
      </c>
      <c r="H95" s="38">
        <f t="shared" si="17"/>
        <v>16</v>
      </c>
      <c r="I95" s="38">
        <f t="shared" si="18"/>
        <v>4</v>
      </c>
      <c r="J95" s="38"/>
      <c r="K95" s="40">
        <v>43597</v>
      </c>
      <c r="L95" s="41" t="s">
        <v>1072</v>
      </c>
      <c r="M95" s="42">
        <v>43592</v>
      </c>
      <c r="N95" s="43" t="s">
        <v>1073</v>
      </c>
      <c r="O95" s="42">
        <v>43597</v>
      </c>
      <c r="P95" s="45"/>
      <c r="Q95" s="38"/>
      <c r="R95" s="66"/>
      <c r="S95" s="46"/>
    </row>
    <row r="96" spans="2:19" s="30" customFormat="1" ht="33" customHeight="1">
      <c r="B96" s="46" t="s">
        <v>238</v>
      </c>
      <c r="C96" s="35" t="s">
        <v>226</v>
      </c>
      <c r="D96" s="36" t="s">
        <v>749</v>
      </c>
      <c r="E96" s="37">
        <v>43532</v>
      </c>
      <c r="F96" s="38" t="s">
        <v>236</v>
      </c>
      <c r="G96" s="39">
        <v>3200</v>
      </c>
      <c r="H96" s="38">
        <f t="shared" si="17"/>
        <v>16</v>
      </c>
      <c r="I96" s="38">
        <f t="shared" si="18"/>
        <v>4</v>
      </c>
      <c r="J96" s="38"/>
      <c r="K96" s="40">
        <v>43625</v>
      </c>
      <c r="L96" s="41" t="s">
        <v>1074</v>
      </c>
      <c r="M96" s="42">
        <v>43620</v>
      </c>
      <c r="N96" s="43" t="s">
        <v>1075</v>
      </c>
      <c r="O96" s="42" t="s">
        <v>1076</v>
      </c>
      <c r="P96" s="45"/>
      <c r="Q96" s="38"/>
      <c r="R96" s="66"/>
      <c r="S96" s="46"/>
    </row>
    <row r="97" spans="2:19" s="30" customFormat="1" ht="33" customHeight="1">
      <c r="B97" s="46" t="s">
        <v>238</v>
      </c>
      <c r="C97" s="35" t="s">
        <v>233</v>
      </c>
      <c r="D97" s="36" t="s">
        <v>750</v>
      </c>
      <c r="E97" s="37">
        <v>43532</v>
      </c>
      <c r="F97" s="38" t="s">
        <v>236</v>
      </c>
      <c r="G97" s="39">
        <v>3200</v>
      </c>
      <c r="H97" s="38">
        <f t="shared" si="17"/>
        <v>16</v>
      </c>
      <c r="I97" s="38">
        <f t="shared" si="18"/>
        <v>4</v>
      </c>
      <c r="J97" s="38"/>
      <c r="K97" s="40">
        <v>43646</v>
      </c>
      <c r="L97" s="41" t="s">
        <v>1077</v>
      </c>
      <c r="M97" s="42">
        <v>43641</v>
      </c>
      <c r="N97" s="43" t="s">
        <v>1078</v>
      </c>
      <c r="O97" s="42">
        <v>43646</v>
      </c>
      <c r="P97" s="45"/>
      <c r="Q97" s="38"/>
      <c r="R97" s="66"/>
      <c r="S97" s="46"/>
    </row>
    <row r="98" spans="2:19" s="30" customFormat="1">
      <c r="C98" s="22"/>
      <c r="D98" s="23"/>
      <c r="G98" s="24"/>
      <c r="K98" s="25"/>
      <c r="M98" s="26"/>
      <c r="N98" s="28"/>
      <c r="O98" s="26"/>
      <c r="R98" s="27"/>
    </row>
    <row r="99" spans="2:19" s="30" customFormat="1">
      <c r="C99" s="22"/>
      <c r="D99" s="23"/>
      <c r="G99" s="24"/>
      <c r="I99" s="30" t="s">
        <v>1079</v>
      </c>
      <c r="K99" s="25"/>
      <c r="M99" s="26"/>
      <c r="N99" s="28"/>
      <c r="O99" s="26"/>
      <c r="R99" s="27"/>
    </row>
    <row r="100" spans="2:19" s="19" customFormat="1">
      <c r="B100"/>
      <c r="C100" s="15"/>
      <c r="D100" s="1"/>
      <c r="E100"/>
      <c r="F100"/>
      <c r="G100" s="11"/>
      <c r="H100"/>
      <c r="I100"/>
      <c r="J100"/>
      <c r="K100" s="13"/>
      <c r="L100"/>
      <c r="N100" s="28"/>
      <c r="P100"/>
      <c r="Q100"/>
      <c r="R100" s="17"/>
      <c r="S100"/>
    </row>
    <row r="101" spans="2:19" s="19" customFormat="1">
      <c r="B101"/>
      <c r="C101" s="15"/>
      <c r="D101" s="1"/>
      <c r="E101"/>
      <c r="F101"/>
      <c r="G101" s="11"/>
      <c r="H101"/>
      <c r="I101"/>
      <c r="J101"/>
      <c r="K101" s="13"/>
      <c r="L101"/>
      <c r="N101" s="28"/>
      <c r="P101"/>
      <c r="Q101"/>
      <c r="R101" s="17"/>
      <c r="S101"/>
    </row>
    <row r="102" spans="2:19" s="19" customFormat="1">
      <c r="B102"/>
      <c r="C102" s="15"/>
      <c r="D102" s="1"/>
      <c r="E102"/>
      <c r="F102"/>
      <c r="G102" s="11"/>
      <c r="H102"/>
      <c r="I102"/>
      <c r="J102"/>
      <c r="K102" s="13"/>
      <c r="L102"/>
      <c r="N102" s="28"/>
      <c r="P102"/>
      <c r="Q102"/>
      <c r="R102" s="17"/>
      <c r="S102"/>
    </row>
    <row r="103" spans="2:19" s="19" customFormat="1">
      <c r="B103"/>
      <c r="C103" s="15"/>
      <c r="D103" s="1"/>
      <c r="E103"/>
      <c r="F103"/>
      <c r="G103" s="11"/>
      <c r="H103"/>
      <c r="I103"/>
      <c r="J103"/>
      <c r="K103" s="13"/>
      <c r="L103"/>
      <c r="N103" s="28"/>
      <c r="P103"/>
      <c r="Q103"/>
      <c r="R103" s="17"/>
      <c r="S103"/>
    </row>
    <row r="104" spans="2:19" s="19" customFormat="1">
      <c r="B104"/>
      <c r="C104" s="15"/>
      <c r="D104" s="1"/>
      <c r="E104"/>
      <c r="F104"/>
      <c r="G104" s="11"/>
      <c r="H104"/>
      <c r="I104"/>
      <c r="J104"/>
      <c r="K104" s="13"/>
      <c r="L104"/>
      <c r="N104" s="28"/>
      <c r="P104"/>
      <c r="Q104"/>
      <c r="R104" s="17"/>
      <c r="S104"/>
    </row>
    <row r="105" spans="2:19" s="19" customFormat="1">
      <c r="B105"/>
      <c r="C105" s="15"/>
      <c r="D105" s="1"/>
      <c r="E105"/>
      <c r="F105"/>
      <c r="G105" s="11"/>
      <c r="H105"/>
      <c r="I105"/>
      <c r="J105"/>
      <c r="K105" s="13"/>
      <c r="L105"/>
      <c r="N105" s="28"/>
      <c r="P105"/>
      <c r="Q105"/>
      <c r="R105" s="17"/>
      <c r="S105"/>
    </row>
    <row r="106" spans="2:19">
      <c r="N106" s="28"/>
    </row>
    <row r="107" spans="2:19">
      <c r="N107" s="28"/>
    </row>
    <row r="108" spans="2:19">
      <c r="N108" s="28"/>
    </row>
    <row r="109" spans="2:19">
      <c r="N109" s="28"/>
    </row>
    <row r="110" spans="2:19">
      <c r="N110" s="28"/>
    </row>
    <row r="111" spans="2:19" s="19" customFormat="1">
      <c r="B111"/>
      <c r="C111" s="15"/>
      <c r="D111" s="1"/>
      <c r="E111"/>
      <c r="F111"/>
      <c r="G111" s="11"/>
      <c r="H111"/>
      <c r="I111"/>
      <c r="J111"/>
      <c r="K111" s="13"/>
      <c r="L111"/>
      <c r="N111" s="28"/>
      <c r="P111"/>
      <c r="Q111"/>
      <c r="R111" s="17"/>
      <c r="S111"/>
    </row>
    <row r="112" spans="2:19" s="19" customFormat="1">
      <c r="B112"/>
      <c r="C112" s="15"/>
      <c r="D112" s="1"/>
      <c r="E112"/>
      <c r="F112"/>
      <c r="G112" s="11"/>
      <c r="H112"/>
      <c r="I112"/>
      <c r="J112"/>
      <c r="K112" s="13"/>
      <c r="L112"/>
      <c r="N112" s="28"/>
      <c r="P112"/>
      <c r="Q112"/>
      <c r="R112" s="17"/>
      <c r="S112"/>
    </row>
    <row r="113" spans="2:19" s="19" customFormat="1">
      <c r="B113"/>
      <c r="C113" s="15"/>
      <c r="D113" s="1"/>
      <c r="E113"/>
      <c r="F113"/>
      <c r="G113" s="11"/>
      <c r="H113"/>
      <c r="I113"/>
      <c r="J113"/>
      <c r="K113" s="13"/>
      <c r="L113"/>
      <c r="N113" s="28"/>
      <c r="P113"/>
      <c r="Q113"/>
      <c r="R113" s="17"/>
      <c r="S113"/>
    </row>
    <row r="114" spans="2:19" s="19" customFormat="1">
      <c r="B114"/>
      <c r="C114" s="15"/>
      <c r="D114" s="1"/>
      <c r="E114"/>
      <c r="F114"/>
      <c r="G114" s="11"/>
      <c r="H114"/>
      <c r="I114"/>
      <c r="J114"/>
      <c r="K114" s="13"/>
      <c r="L114"/>
      <c r="N114" s="28"/>
      <c r="P114"/>
      <c r="Q114"/>
      <c r="R114" s="17"/>
      <c r="S114"/>
    </row>
    <row r="115" spans="2:19" s="19" customFormat="1">
      <c r="B115"/>
      <c r="C115" s="15"/>
      <c r="D115" s="1"/>
      <c r="E115"/>
      <c r="F115"/>
      <c r="G115" s="11"/>
      <c r="H115"/>
      <c r="I115"/>
      <c r="J115"/>
      <c r="K115" s="13"/>
      <c r="L115"/>
      <c r="N115" s="28"/>
      <c r="P115"/>
      <c r="Q115"/>
      <c r="R115" s="17"/>
      <c r="S115"/>
    </row>
    <row r="116" spans="2:19" s="19" customFormat="1">
      <c r="B116"/>
      <c r="C116" s="15"/>
      <c r="D116" s="1"/>
      <c r="E116"/>
      <c r="F116"/>
      <c r="G116" s="11"/>
      <c r="H116"/>
      <c r="I116"/>
      <c r="J116"/>
      <c r="K116" s="13"/>
      <c r="L116"/>
      <c r="N116" s="28"/>
      <c r="P116"/>
      <c r="Q116"/>
      <c r="R116" s="17"/>
      <c r="S116"/>
    </row>
  </sheetData>
  <autoFilter ref="B2:R97" xr:uid="{00000000-0009-0000-0000-000025000000}"/>
  <phoneticPr fontId="1"/>
  <pageMargins left="0.23622047244094491" right="0.23622047244094491" top="0.35433070866141736" bottom="0.35433070866141736" header="0.31496062992125984" footer="0.31496062992125984"/>
  <pageSetup paperSize="9" scale="94" fitToHeight="0" orientation="landscape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44">
    <pageSetUpPr fitToPage="1"/>
  </sheetPr>
  <dimension ref="B1:S114"/>
  <sheetViews>
    <sheetView zoomScale="80" zoomScaleNormal="80" workbookViewId="0">
      <pane xSplit="3" ySplit="2" topLeftCell="L9" activePane="bottomRight" state="frozen"/>
      <selection activeCell="B70" sqref="B70"/>
      <selection pane="topRight" activeCell="B70" sqref="B70"/>
      <selection pane="bottomLeft" activeCell="B70" sqref="B70"/>
      <selection pane="bottomRight" activeCell="P17" sqref="P17:P20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15.87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4.8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C2" s="14" t="s">
        <v>9</v>
      </c>
      <c r="D2" s="5" t="s">
        <v>0</v>
      </c>
      <c r="E2" s="6" t="s">
        <v>93</v>
      </c>
      <c r="F2" s="6" t="s">
        <v>94</v>
      </c>
      <c r="G2" s="10" t="s">
        <v>1</v>
      </c>
      <c r="H2" s="6" t="s">
        <v>15</v>
      </c>
      <c r="I2" s="6" t="s">
        <v>16</v>
      </c>
      <c r="J2" s="6" t="s">
        <v>12</v>
      </c>
      <c r="K2" s="12" t="s">
        <v>7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85</v>
      </c>
      <c r="Q2" s="6" t="s">
        <v>96</v>
      </c>
      <c r="R2" s="16" t="s">
        <v>6</v>
      </c>
      <c r="S2" s="16" t="s">
        <v>80</v>
      </c>
    </row>
    <row r="3" spans="2:19" s="33" customFormat="1" ht="33" customHeight="1">
      <c r="B3" s="47" t="s">
        <v>220</v>
      </c>
      <c r="C3" s="48" t="s">
        <v>396</v>
      </c>
      <c r="D3" s="49" t="s">
        <v>262</v>
      </c>
      <c r="E3" s="50">
        <v>43378</v>
      </c>
      <c r="F3" s="49" t="s">
        <v>79</v>
      </c>
      <c r="G3" s="51">
        <v>10000</v>
      </c>
      <c r="H3" s="52">
        <f t="shared" ref="H3:H27" si="0">SUM(G3/250)</f>
        <v>40</v>
      </c>
      <c r="I3" s="52">
        <f t="shared" ref="I3:I35" si="1">SUM(H3/4)</f>
        <v>10</v>
      </c>
      <c r="J3" s="49"/>
      <c r="K3" s="53">
        <v>43485</v>
      </c>
      <c r="L3" s="54" t="s">
        <v>419</v>
      </c>
      <c r="M3" s="55">
        <v>43500</v>
      </c>
      <c r="N3" s="56" t="s">
        <v>337</v>
      </c>
      <c r="O3" s="55">
        <v>43506</v>
      </c>
      <c r="P3" s="54"/>
      <c r="Q3" s="49"/>
      <c r="R3" s="57" t="s">
        <v>251</v>
      </c>
      <c r="S3" s="47" t="s">
        <v>418</v>
      </c>
    </row>
    <row r="4" spans="2:19" s="33" customFormat="1" ht="33" customHeight="1">
      <c r="B4" s="47" t="s">
        <v>220</v>
      </c>
      <c r="C4" s="48" t="s">
        <v>277</v>
      </c>
      <c r="D4" s="49" t="s">
        <v>289</v>
      </c>
      <c r="E4" s="50">
        <v>43392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43141</v>
      </c>
      <c r="L4" s="54" t="s">
        <v>266</v>
      </c>
      <c r="M4" s="55">
        <v>43500</v>
      </c>
      <c r="N4" s="56" t="s">
        <v>337</v>
      </c>
      <c r="O4" s="55">
        <v>43141</v>
      </c>
      <c r="P4" s="54"/>
      <c r="Q4" s="49"/>
      <c r="R4" s="57" t="s">
        <v>299</v>
      </c>
      <c r="S4" s="47"/>
    </row>
    <row r="5" spans="2:19" s="33" customFormat="1" ht="33" customHeight="1">
      <c r="B5" s="47" t="s">
        <v>78</v>
      </c>
      <c r="C5" s="48" t="s">
        <v>254</v>
      </c>
      <c r="D5" s="49" t="s">
        <v>264</v>
      </c>
      <c r="E5" s="50">
        <v>43378</v>
      </c>
      <c r="F5" s="49" t="s">
        <v>79</v>
      </c>
      <c r="G5" s="51">
        <v>20000</v>
      </c>
      <c r="H5" s="52">
        <f t="shared" si="0"/>
        <v>80</v>
      </c>
      <c r="I5" s="52">
        <f t="shared" si="1"/>
        <v>20</v>
      </c>
      <c r="J5" s="49"/>
      <c r="K5" s="53">
        <v>43141</v>
      </c>
      <c r="L5" s="54" t="s">
        <v>266</v>
      </c>
      <c r="M5" s="55">
        <v>43500</v>
      </c>
      <c r="N5" s="56" t="s">
        <v>337</v>
      </c>
      <c r="O5" s="55">
        <v>43141</v>
      </c>
      <c r="P5" s="54"/>
      <c r="Q5" s="49" t="s">
        <v>82</v>
      </c>
      <c r="R5" s="57" t="s">
        <v>300</v>
      </c>
      <c r="S5" s="47"/>
    </row>
    <row r="6" spans="2:19" s="33" customFormat="1" ht="33" customHeight="1">
      <c r="B6" s="47" t="s">
        <v>78</v>
      </c>
      <c r="C6" s="48" t="s">
        <v>301</v>
      </c>
      <c r="D6" s="49" t="s">
        <v>302</v>
      </c>
      <c r="E6" s="50">
        <v>43420</v>
      </c>
      <c r="F6" s="49" t="s">
        <v>63</v>
      </c>
      <c r="G6" s="51">
        <v>40000</v>
      </c>
      <c r="H6" s="52">
        <f t="shared" si="0"/>
        <v>160</v>
      </c>
      <c r="I6" s="52">
        <f t="shared" si="1"/>
        <v>40</v>
      </c>
      <c r="J6" s="49"/>
      <c r="K6" s="53">
        <v>43513</v>
      </c>
      <c r="L6" s="54" t="s">
        <v>340</v>
      </c>
      <c r="M6" s="55">
        <v>43504</v>
      </c>
      <c r="N6" s="56" t="s">
        <v>339</v>
      </c>
      <c r="O6" s="55">
        <v>43148</v>
      </c>
      <c r="P6" s="54"/>
      <c r="Q6" s="49" t="s">
        <v>82</v>
      </c>
      <c r="R6" s="57" t="s">
        <v>303</v>
      </c>
      <c r="S6" s="47"/>
    </row>
    <row r="7" spans="2:19" s="33" customFormat="1" ht="33" customHeight="1">
      <c r="B7" s="47" t="s">
        <v>220</v>
      </c>
      <c r="C7" s="48" t="s">
        <v>304</v>
      </c>
      <c r="D7" s="49" t="s">
        <v>305</v>
      </c>
      <c r="E7" s="50">
        <v>43420</v>
      </c>
      <c r="F7" s="49" t="s">
        <v>91</v>
      </c>
      <c r="G7" s="51">
        <v>10000</v>
      </c>
      <c r="H7" s="52">
        <f t="shared" si="0"/>
        <v>40</v>
      </c>
      <c r="I7" s="52">
        <f t="shared" si="1"/>
        <v>10</v>
      </c>
      <c r="J7" s="49"/>
      <c r="K7" s="53">
        <v>43155</v>
      </c>
      <c r="L7" s="54" t="s">
        <v>342</v>
      </c>
      <c r="M7" s="55">
        <v>43514</v>
      </c>
      <c r="N7" s="56" t="s">
        <v>341</v>
      </c>
      <c r="O7" s="55">
        <v>43155</v>
      </c>
      <c r="P7" s="54"/>
      <c r="Q7" s="49"/>
      <c r="R7" s="57" t="s">
        <v>358</v>
      </c>
      <c r="S7" s="47"/>
    </row>
    <row r="8" spans="2:19" s="33" customFormat="1" ht="33" customHeight="1">
      <c r="B8" s="47" t="s">
        <v>78</v>
      </c>
      <c r="C8" s="48" t="s">
        <v>306</v>
      </c>
      <c r="D8" s="49" t="s">
        <v>307</v>
      </c>
      <c r="E8" s="50">
        <v>43420</v>
      </c>
      <c r="F8" s="49" t="s">
        <v>240</v>
      </c>
      <c r="G8" s="51">
        <v>30000</v>
      </c>
      <c r="H8" s="52">
        <f t="shared" si="0"/>
        <v>120</v>
      </c>
      <c r="I8" s="52">
        <f t="shared" si="1"/>
        <v>30</v>
      </c>
      <c r="J8" s="49"/>
      <c r="K8" s="53">
        <v>43520</v>
      </c>
      <c r="L8" s="54" t="s">
        <v>342</v>
      </c>
      <c r="M8" s="55">
        <v>43514</v>
      </c>
      <c r="N8" s="56" t="s">
        <v>341</v>
      </c>
      <c r="O8" s="55">
        <v>43155</v>
      </c>
      <c r="P8" s="54"/>
      <c r="Q8" s="49" t="s">
        <v>82</v>
      </c>
      <c r="R8" s="57" t="s">
        <v>308</v>
      </c>
      <c r="S8" s="47"/>
    </row>
    <row r="9" spans="2:19" s="33" customFormat="1" ht="33" customHeight="1">
      <c r="B9" s="47" t="s">
        <v>220</v>
      </c>
      <c r="C9" s="48" t="s">
        <v>309</v>
      </c>
      <c r="D9" s="49" t="s">
        <v>310</v>
      </c>
      <c r="E9" s="50">
        <v>43420</v>
      </c>
      <c r="F9" s="49" t="s">
        <v>79</v>
      </c>
      <c r="G9" s="51">
        <v>7000</v>
      </c>
      <c r="H9" s="52">
        <f t="shared" si="0"/>
        <v>28</v>
      </c>
      <c r="I9" s="52">
        <f t="shared" si="1"/>
        <v>7</v>
      </c>
      <c r="J9" s="49"/>
      <c r="K9" s="53">
        <v>43541</v>
      </c>
      <c r="L9" s="54" t="s">
        <v>388</v>
      </c>
      <c r="M9" s="55">
        <v>43542</v>
      </c>
      <c r="N9" s="56" t="s">
        <v>649</v>
      </c>
      <c r="O9" s="55">
        <v>43183</v>
      </c>
      <c r="P9" s="54" t="s">
        <v>753</v>
      </c>
      <c r="Q9" s="49"/>
      <c r="R9" s="57" t="s">
        <v>420</v>
      </c>
      <c r="S9" s="47"/>
    </row>
    <row r="10" spans="2:19" s="33" customFormat="1" ht="33" customHeight="1">
      <c r="B10" s="47" t="s">
        <v>78</v>
      </c>
      <c r="C10" s="48" t="s">
        <v>311</v>
      </c>
      <c r="D10" s="49" t="s">
        <v>312</v>
      </c>
      <c r="E10" s="50">
        <v>43420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43169</v>
      </c>
      <c r="L10" s="54" t="s">
        <v>343</v>
      </c>
      <c r="M10" s="55">
        <v>43528</v>
      </c>
      <c r="N10" s="56" t="s">
        <v>439</v>
      </c>
      <c r="O10" s="55">
        <v>43534</v>
      </c>
      <c r="P10" s="54"/>
      <c r="Q10" s="49" t="s">
        <v>82</v>
      </c>
      <c r="R10" s="57" t="s">
        <v>313</v>
      </c>
      <c r="S10" s="47"/>
    </row>
    <row r="11" spans="2:19" s="33" customFormat="1" ht="33" customHeight="1">
      <c r="B11" s="47" t="s">
        <v>78</v>
      </c>
      <c r="C11" s="48" t="s">
        <v>374</v>
      </c>
      <c r="D11" s="49" t="s">
        <v>375</v>
      </c>
      <c r="E11" s="50">
        <v>43455</v>
      </c>
      <c r="F11" s="49" t="s">
        <v>79</v>
      </c>
      <c r="G11" s="51">
        <v>21000</v>
      </c>
      <c r="H11" s="52">
        <f t="shared" si="0"/>
        <v>84</v>
      </c>
      <c r="I11" s="52">
        <f t="shared" si="1"/>
        <v>21</v>
      </c>
      <c r="J11" s="49"/>
      <c r="K11" s="53">
        <v>43541</v>
      </c>
      <c r="L11" s="54" t="s">
        <v>388</v>
      </c>
      <c r="M11" s="55">
        <v>43542</v>
      </c>
      <c r="N11" s="56" t="s">
        <v>649</v>
      </c>
      <c r="O11" s="55">
        <v>43183</v>
      </c>
      <c r="P11" s="54" t="s">
        <v>754</v>
      </c>
      <c r="Q11" s="49" t="s">
        <v>82</v>
      </c>
      <c r="R11" s="57" t="s">
        <v>376</v>
      </c>
      <c r="S11" s="47"/>
    </row>
    <row r="12" spans="2:19" s="30" customFormat="1" ht="33" customHeight="1">
      <c r="B12" s="46" t="s">
        <v>220</v>
      </c>
      <c r="C12" s="35" t="s">
        <v>377</v>
      </c>
      <c r="D12" s="36" t="s">
        <v>378</v>
      </c>
      <c r="E12" s="37">
        <v>43455</v>
      </c>
      <c r="F12" s="36" t="s">
        <v>91</v>
      </c>
      <c r="G12" s="129">
        <v>14000</v>
      </c>
      <c r="H12" s="124">
        <f t="shared" si="0"/>
        <v>56</v>
      </c>
      <c r="I12" s="124">
        <f t="shared" si="1"/>
        <v>14</v>
      </c>
      <c r="J12" s="36"/>
      <c r="K12" s="40">
        <v>43548</v>
      </c>
      <c r="L12" s="41" t="s">
        <v>802</v>
      </c>
      <c r="M12" s="42">
        <v>43563</v>
      </c>
      <c r="N12" s="43" t="s">
        <v>438</v>
      </c>
      <c r="O12" s="42">
        <v>43569</v>
      </c>
      <c r="P12" s="119" t="s">
        <v>839</v>
      </c>
      <c r="Q12" s="36"/>
      <c r="R12" s="44" t="s">
        <v>379</v>
      </c>
      <c r="S12" s="46"/>
    </row>
    <row r="13" spans="2:19" s="33" customFormat="1" ht="33" customHeight="1">
      <c r="B13" s="47" t="s">
        <v>78</v>
      </c>
      <c r="C13" s="48" t="s">
        <v>380</v>
      </c>
      <c r="D13" s="49" t="s">
        <v>381</v>
      </c>
      <c r="E13" s="50">
        <v>43455</v>
      </c>
      <c r="F13" s="49" t="s">
        <v>240</v>
      </c>
      <c r="G13" s="51">
        <v>40000</v>
      </c>
      <c r="H13" s="52">
        <f t="shared" si="0"/>
        <v>160</v>
      </c>
      <c r="I13" s="52">
        <f t="shared" si="1"/>
        <v>40</v>
      </c>
      <c r="J13" s="49"/>
      <c r="K13" s="53">
        <v>43555</v>
      </c>
      <c r="L13" s="54" t="s">
        <v>389</v>
      </c>
      <c r="M13" s="55">
        <v>43549</v>
      </c>
      <c r="N13" s="56" t="s">
        <v>752</v>
      </c>
      <c r="O13" s="55">
        <v>43555</v>
      </c>
      <c r="P13" s="54" t="s">
        <v>755</v>
      </c>
      <c r="Q13" s="49" t="s">
        <v>82</v>
      </c>
      <c r="R13" s="57" t="s">
        <v>382</v>
      </c>
      <c r="S13" s="47"/>
    </row>
    <row r="14" spans="2:19" s="30" customFormat="1" ht="33" customHeight="1">
      <c r="B14" s="46" t="s">
        <v>220</v>
      </c>
      <c r="C14" s="35" t="s">
        <v>421</v>
      </c>
      <c r="D14" s="36" t="s">
        <v>453</v>
      </c>
      <c r="E14" s="37">
        <v>43483</v>
      </c>
      <c r="F14" s="36" t="s">
        <v>79</v>
      </c>
      <c r="G14" s="39">
        <v>20000</v>
      </c>
      <c r="H14" s="38">
        <f t="shared" si="0"/>
        <v>80</v>
      </c>
      <c r="I14" s="38">
        <f t="shared" si="1"/>
        <v>20</v>
      </c>
      <c r="J14" s="36"/>
      <c r="K14" s="40">
        <v>43576</v>
      </c>
      <c r="L14" s="41" t="s">
        <v>443</v>
      </c>
      <c r="M14" s="42">
        <v>43570</v>
      </c>
      <c r="N14" s="43" t="s">
        <v>440</v>
      </c>
      <c r="O14" s="42">
        <v>43576</v>
      </c>
      <c r="P14" s="41" t="s">
        <v>981</v>
      </c>
      <c r="Q14" s="36"/>
      <c r="R14" s="44" t="s">
        <v>454</v>
      </c>
      <c r="S14" s="46"/>
    </row>
    <row r="15" spans="2:19" s="30" customFormat="1" ht="33" customHeight="1">
      <c r="B15" s="46" t="s">
        <v>78</v>
      </c>
      <c r="C15" s="35" t="s">
        <v>422</v>
      </c>
      <c r="D15" s="36" t="s">
        <v>455</v>
      </c>
      <c r="E15" s="37">
        <v>43483</v>
      </c>
      <c r="F15" s="36" t="s">
        <v>91</v>
      </c>
      <c r="G15" s="39">
        <v>10000</v>
      </c>
      <c r="H15" s="38">
        <f>SUM(G15/250)</f>
        <v>40</v>
      </c>
      <c r="I15" s="38">
        <f t="shared" si="1"/>
        <v>10</v>
      </c>
      <c r="J15" s="36"/>
      <c r="K15" s="40">
        <v>43618</v>
      </c>
      <c r="L15" s="41" t="s">
        <v>442</v>
      </c>
      <c r="M15" s="42">
        <v>43612</v>
      </c>
      <c r="N15" s="43" t="s">
        <v>637</v>
      </c>
      <c r="O15" s="42">
        <v>43618</v>
      </c>
      <c r="P15" s="41"/>
      <c r="Q15" s="36" t="s">
        <v>82</v>
      </c>
      <c r="R15" s="44" t="s">
        <v>616</v>
      </c>
      <c r="S15" s="46"/>
    </row>
    <row r="16" spans="2:19" s="30" customFormat="1" ht="33" customHeight="1">
      <c r="B16" s="46" t="s">
        <v>220</v>
      </c>
      <c r="C16" s="35" t="s">
        <v>617</v>
      </c>
      <c r="D16" s="36" t="s">
        <v>455</v>
      </c>
      <c r="E16" s="37">
        <v>43523</v>
      </c>
      <c r="F16" s="36" t="s">
        <v>91</v>
      </c>
      <c r="G16" s="39">
        <v>10000</v>
      </c>
      <c r="H16" s="38">
        <f>SUM(G16/250)</f>
        <v>40</v>
      </c>
      <c r="I16" s="38">
        <f t="shared" si="1"/>
        <v>10</v>
      </c>
      <c r="J16" s="36"/>
      <c r="K16" s="40">
        <v>43618</v>
      </c>
      <c r="L16" s="41" t="s">
        <v>638</v>
      </c>
      <c r="M16" s="42">
        <v>43612</v>
      </c>
      <c r="N16" s="43" t="s">
        <v>636</v>
      </c>
      <c r="O16" s="42">
        <v>43618</v>
      </c>
      <c r="P16" s="41"/>
      <c r="Q16" s="36"/>
      <c r="R16" s="44" t="s">
        <v>618</v>
      </c>
      <c r="S16" s="46"/>
    </row>
    <row r="17" spans="2:19" s="30" customFormat="1" ht="33" customHeight="1">
      <c r="B17" s="46" t="s">
        <v>78</v>
      </c>
      <c r="C17" s="35" t="s">
        <v>423</v>
      </c>
      <c r="D17" s="36" t="s">
        <v>457</v>
      </c>
      <c r="E17" s="37">
        <v>43483</v>
      </c>
      <c r="F17" s="36" t="s">
        <v>79</v>
      </c>
      <c r="G17" s="39">
        <v>20000</v>
      </c>
      <c r="H17" s="38">
        <f t="shared" si="0"/>
        <v>80</v>
      </c>
      <c r="I17" s="38">
        <f t="shared" si="1"/>
        <v>20</v>
      </c>
      <c r="J17" s="36"/>
      <c r="K17" s="40">
        <v>43576</v>
      </c>
      <c r="L17" s="41" t="s">
        <v>443</v>
      </c>
      <c r="M17" s="42">
        <v>43570</v>
      </c>
      <c r="N17" s="43" t="s">
        <v>440</v>
      </c>
      <c r="O17" s="42">
        <v>43576</v>
      </c>
      <c r="P17" s="41" t="s">
        <v>982</v>
      </c>
      <c r="Q17" s="36" t="s">
        <v>82</v>
      </c>
      <c r="R17" s="44" t="s">
        <v>424</v>
      </c>
      <c r="S17" s="46"/>
    </row>
    <row r="18" spans="2:19" s="30" customFormat="1" ht="33" customHeight="1">
      <c r="B18" s="46" t="s">
        <v>220</v>
      </c>
      <c r="C18" s="35" t="s">
        <v>425</v>
      </c>
      <c r="D18" s="36" t="s">
        <v>459</v>
      </c>
      <c r="E18" s="37">
        <v>43483</v>
      </c>
      <c r="F18" s="36" t="s">
        <v>79</v>
      </c>
      <c r="G18" s="39">
        <v>20000</v>
      </c>
      <c r="H18" s="38">
        <f t="shared" si="0"/>
        <v>80</v>
      </c>
      <c r="I18" s="38">
        <f t="shared" si="1"/>
        <v>20</v>
      </c>
      <c r="J18" s="36"/>
      <c r="K18" s="40">
        <v>43583</v>
      </c>
      <c r="L18" s="41" t="s">
        <v>444</v>
      </c>
      <c r="M18" s="42">
        <v>43577</v>
      </c>
      <c r="N18" s="43" t="s">
        <v>441</v>
      </c>
      <c r="O18" s="42">
        <v>43583</v>
      </c>
      <c r="P18" s="41"/>
      <c r="Q18" s="36"/>
      <c r="R18" s="44" t="s">
        <v>426</v>
      </c>
      <c r="S18" s="46"/>
    </row>
    <row r="19" spans="2:19" s="30" customFormat="1" ht="33" customHeight="1">
      <c r="B19" s="46" t="s">
        <v>78</v>
      </c>
      <c r="C19" s="35" t="s">
        <v>462</v>
      </c>
      <c r="D19" s="36" t="s">
        <v>483</v>
      </c>
      <c r="E19" s="37">
        <v>43490</v>
      </c>
      <c r="F19" s="36" t="s">
        <v>79</v>
      </c>
      <c r="G19" s="39">
        <v>20000</v>
      </c>
      <c r="H19" s="38">
        <f t="shared" si="0"/>
        <v>80</v>
      </c>
      <c r="I19" s="38">
        <f t="shared" si="1"/>
        <v>20</v>
      </c>
      <c r="J19" s="36"/>
      <c r="K19" s="40">
        <v>43583</v>
      </c>
      <c r="L19" s="41" t="s">
        <v>444</v>
      </c>
      <c r="M19" s="42">
        <v>43577</v>
      </c>
      <c r="N19" s="43" t="s">
        <v>441</v>
      </c>
      <c r="O19" s="42">
        <v>43583</v>
      </c>
      <c r="P19" s="41" t="s">
        <v>983</v>
      </c>
      <c r="Q19" s="36" t="s">
        <v>82</v>
      </c>
      <c r="R19" s="44" t="s">
        <v>463</v>
      </c>
      <c r="S19" s="46"/>
    </row>
    <row r="20" spans="2:19" s="30" customFormat="1" ht="33" customHeight="1">
      <c r="B20" s="46" t="s">
        <v>78</v>
      </c>
      <c r="C20" s="35" t="s">
        <v>570</v>
      </c>
      <c r="D20" s="36" t="s">
        <v>571</v>
      </c>
      <c r="E20" s="37">
        <v>43519</v>
      </c>
      <c r="F20" s="36" t="s">
        <v>79</v>
      </c>
      <c r="G20" s="39">
        <v>20000</v>
      </c>
      <c r="H20" s="38">
        <f t="shared" si="0"/>
        <v>80</v>
      </c>
      <c r="I20" s="38">
        <f t="shared" si="1"/>
        <v>20</v>
      </c>
      <c r="J20" s="36"/>
      <c r="K20" s="40">
        <v>43590</v>
      </c>
      <c r="L20" s="41" t="s">
        <v>602</v>
      </c>
      <c r="M20" s="42">
        <v>43577</v>
      </c>
      <c r="N20" s="43" t="s">
        <v>441</v>
      </c>
      <c r="O20" s="42">
        <v>43583</v>
      </c>
      <c r="P20" s="41" t="s">
        <v>984</v>
      </c>
      <c r="Q20" s="36" t="s">
        <v>82</v>
      </c>
      <c r="R20" s="44" t="s">
        <v>572</v>
      </c>
      <c r="S20" s="46"/>
    </row>
    <row r="21" spans="2:19" s="30" customFormat="1" ht="33" customHeight="1">
      <c r="B21" s="46" t="s">
        <v>78</v>
      </c>
      <c r="C21" s="35" t="s">
        <v>573</v>
      </c>
      <c r="D21" s="36" t="s">
        <v>574</v>
      </c>
      <c r="E21" s="37">
        <v>43519</v>
      </c>
      <c r="F21" s="36" t="s">
        <v>79</v>
      </c>
      <c r="G21" s="39">
        <v>20000</v>
      </c>
      <c r="H21" s="38">
        <f t="shared" si="0"/>
        <v>80</v>
      </c>
      <c r="I21" s="38">
        <f t="shared" si="1"/>
        <v>20</v>
      </c>
      <c r="J21" s="36"/>
      <c r="K21" s="40">
        <v>43604</v>
      </c>
      <c r="L21" s="41" t="s">
        <v>757</v>
      </c>
      <c r="M21" s="42">
        <v>43598</v>
      </c>
      <c r="N21" s="43" t="s">
        <v>756</v>
      </c>
      <c r="O21" s="42">
        <v>43604</v>
      </c>
      <c r="P21" s="41"/>
      <c r="Q21" s="36" t="s">
        <v>82</v>
      </c>
      <c r="R21" s="44" t="s">
        <v>575</v>
      </c>
      <c r="S21" s="46"/>
    </row>
    <row r="22" spans="2:19" s="30" customFormat="1" ht="33" customHeight="1">
      <c r="B22" s="46" t="s">
        <v>78</v>
      </c>
      <c r="C22" s="35" t="s">
        <v>576</v>
      </c>
      <c r="D22" s="36" t="s">
        <v>577</v>
      </c>
      <c r="E22" s="37">
        <v>43519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43611</v>
      </c>
      <c r="L22" s="41" t="s">
        <v>604</v>
      </c>
      <c r="M22" s="42">
        <v>43605</v>
      </c>
      <c r="N22" s="43" t="s">
        <v>639</v>
      </c>
      <c r="O22" s="42">
        <v>43611</v>
      </c>
      <c r="P22" s="41"/>
      <c r="Q22" s="36" t="s">
        <v>82</v>
      </c>
      <c r="R22" s="44" t="s">
        <v>578</v>
      </c>
      <c r="S22" s="46"/>
    </row>
    <row r="23" spans="2:19" s="30" customFormat="1" ht="33" customHeight="1">
      <c r="B23" s="46" t="s">
        <v>78</v>
      </c>
      <c r="C23" s="35" t="s">
        <v>785</v>
      </c>
      <c r="D23" s="36" t="s">
        <v>577</v>
      </c>
      <c r="E23" s="37">
        <v>43519</v>
      </c>
      <c r="F23" s="36" t="s">
        <v>91</v>
      </c>
      <c r="G23" s="39">
        <v>10000</v>
      </c>
      <c r="H23" s="38">
        <f t="shared" si="0"/>
        <v>40</v>
      </c>
      <c r="I23" s="38">
        <f t="shared" si="1"/>
        <v>10</v>
      </c>
      <c r="J23" s="36"/>
      <c r="K23" s="40">
        <v>43598</v>
      </c>
      <c r="L23" s="41" t="s">
        <v>803</v>
      </c>
      <c r="M23" s="42">
        <v>43598</v>
      </c>
      <c r="N23" s="43" t="s">
        <v>804</v>
      </c>
      <c r="O23" s="42">
        <v>43604</v>
      </c>
      <c r="P23" s="41"/>
      <c r="Q23" s="36" t="s">
        <v>82</v>
      </c>
      <c r="R23" s="44" t="s">
        <v>786</v>
      </c>
      <c r="S23" s="46"/>
    </row>
    <row r="24" spans="2:19" s="30" customFormat="1" ht="33" customHeight="1">
      <c r="B24" s="46" t="s">
        <v>220</v>
      </c>
      <c r="C24" s="35" t="s">
        <v>579</v>
      </c>
      <c r="D24" s="36" t="s">
        <v>580</v>
      </c>
      <c r="E24" s="37">
        <v>43519</v>
      </c>
      <c r="F24" s="36" t="s">
        <v>79</v>
      </c>
      <c r="G24" s="39">
        <v>10000</v>
      </c>
      <c r="H24" s="38">
        <f t="shared" si="0"/>
        <v>40</v>
      </c>
      <c r="I24" s="38">
        <f t="shared" si="1"/>
        <v>10</v>
      </c>
      <c r="J24" s="36"/>
      <c r="K24" s="40">
        <v>43598</v>
      </c>
      <c r="L24" s="41" t="s">
        <v>803</v>
      </c>
      <c r="M24" s="42">
        <v>43598</v>
      </c>
      <c r="N24" s="43" t="s">
        <v>804</v>
      </c>
      <c r="O24" s="42">
        <v>43604</v>
      </c>
      <c r="P24" s="41"/>
      <c r="Q24" s="36"/>
      <c r="R24" s="44" t="s">
        <v>787</v>
      </c>
      <c r="S24" s="46"/>
    </row>
    <row r="25" spans="2:19" s="30" customFormat="1" ht="33" customHeight="1">
      <c r="B25" s="46" t="s">
        <v>78</v>
      </c>
      <c r="C25" s="35" t="s">
        <v>685</v>
      </c>
      <c r="D25" s="36" t="s">
        <v>686</v>
      </c>
      <c r="E25" s="37">
        <v>43532</v>
      </c>
      <c r="F25" s="36" t="s">
        <v>79</v>
      </c>
      <c r="G25" s="39">
        <v>20000</v>
      </c>
      <c r="H25" s="38">
        <f t="shared" si="0"/>
        <v>80</v>
      </c>
      <c r="I25" s="38">
        <f t="shared" si="1"/>
        <v>20</v>
      </c>
      <c r="J25" s="36"/>
      <c r="K25" s="40">
        <v>43625</v>
      </c>
      <c r="L25" s="41" t="s">
        <v>761</v>
      </c>
      <c r="M25" s="42">
        <v>43619</v>
      </c>
      <c r="N25" s="43" t="s">
        <v>758</v>
      </c>
      <c r="O25" s="42">
        <v>43625</v>
      </c>
      <c r="P25" s="41"/>
      <c r="Q25" s="36" t="s">
        <v>82</v>
      </c>
      <c r="R25" s="44" t="s">
        <v>687</v>
      </c>
      <c r="S25" s="46"/>
    </row>
    <row r="26" spans="2:19" s="30" customFormat="1" ht="33" customHeight="1">
      <c r="B26" s="46" t="s">
        <v>220</v>
      </c>
      <c r="C26" s="35" t="s">
        <v>688</v>
      </c>
      <c r="D26" s="36" t="s">
        <v>689</v>
      </c>
      <c r="E26" s="37">
        <v>43532</v>
      </c>
      <c r="F26" s="36" t="s">
        <v>79</v>
      </c>
      <c r="G26" s="39">
        <v>20000</v>
      </c>
      <c r="H26" s="38">
        <f t="shared" si="0"/>
        <v>80</v>
      </c>
      <c r="I26" s="38">
        <f t="shared" si="1"/>
        <v>20</v>
      </c>
      <c r="J26" s="36"/>
      <c r="K26" s="40">
        <v>43632</v>
      </c>
      <c r="L26" s="41" t="s">
        <v>762</v>
      </c>
      <c r="M26" s="42">
        <v>43626</v>
      </c>
      <c r="N26" s="43" t="s">
        <v>759</v>
      </c>
      <c r="O26" s="42">
        <v>43632</v>
      </c>
      <c r="P26" s="41"/>
      <c r="Q26" s="36"/>
      <c r="R26" s="44" t="s">
        <v>690</v>
      </c>
      <c r="S26" s="46"/>
    </row>
    <row r="27" spans="2:19" s="30" customFormat="1" ht="33" customHeight="1">
      <c r="B27" s="46" t="s">
        <v>78</v>
      </c>
      <c r="C27" s="35" t="s">
        <v>691</v>
      </c>
      <c r="D27" s="36" t="s">
        <v>692</v>
      </c>
      <c r="E27" s="37">
        <v>43532</v>
      </c>
      <c r="F27" s="36" t="s">
        <v>79</v>
      </c>
      <c r="G27" s="39">
        <v>20000</v>
      </c>
      <c r="H27" s="38">
        <f t="shared" si="0"/>
        <v>80</v>
      </c>
      <c r="I27" s="38">
        <f t="shared" si="1"/>
        <v>20</v>
      </c>
      <c r="J27" s="36"/>
      <c r="K27" s="40">
        <v>43639</v>
      </c>
      <c r="L27" s="41" t="s">
        <v>763</v>
      </c>
      <c r="M27" s="42">
        <v>43633</v>
      </c>
      <c r="N27" s="43" t="s">
        <v>760</v>
      </c>
      <c r="O27" s="42">
        <v>43639</v>
      </c>
      <c r="P27" s="41"/>
      <c r="Q27" s="36" t="s">
        <v>82</v>
      </c>
      <c r="R27" s="44" t="s">
        <v>693</v>
      </c>
      <c r="S27" s="46"/>
    </row>
    <row r="28" spans="2:19" s="96" customFormat="1" ht="33" customHeight="1">
      <c r="B28" s="47" t="s">
        <v>17</v>
      </c>
      <c r="C28" s="48" t="s">
        <v>353</v>
      </c>
      <c r="D28" s="49" t="s">
        <v>383</v>
      </c>
      <c r="E28" s="50">
        <v>43434</v>
      </c>
      <c r="F28" s="52" t="s">
        <v>84</v>
      </c>
      <c r="G28" s="51">
        <v>9200</v>
      </c>
      <c r="H28" s="52">
        <f t="shared" ref="H28:H35" si="2">SUM(G28/230)</f>
        <v>40</v>
      </c>
      <c r="I28" s="52">
        <f t="shared" si="1"/>
        <v>10</v>
      </c>
      <c r="J28" s="49"/>
      <c r="K28" s="53">
        <v>43148</v>
      </c>
      <c r="L28" s="54" t="s">
        <v>276</v>
      </c>
      <c r="M28" s="55">
        <v>43508</v>
      </c>
      <c r="N28" s="56" t="s">
        <v>345</v>
      </c>
      <c r="O28" s="55">
        <v>43513</v>
      </c>
      <c r="P28" s="58"/>
      <c r="Q28" s="52" t="s">
        <v>82</v>
      </c>
      <c r="R28" s="57" t="s">
        <v>360</v>
      </c>
      <c r="S28" s="47"/>
    </row>
    <row r="29" spans="2:19" s="96" customFormat="1" ht="33" customHeight="1">
      <c r="B29" s="47" t="s">
        <v>17</v>
      </c>
      <c r="C29" s="48" t="s">
        <v>361</v>
      </c>
      <c r="D29" s="49" t="s">
        <v>384</v>
      </c>
      <c r="E29" s="50">
        <v>43441</v>
      </c>
      <c r="F29" s="52" t="s">
        <v>84</v>
      </c>
      <c r="G29" s="51">
        <v>9200</v>
      </c>
      <c r="H29" s="52">
        <f t="shared" si="2"/>
        <v>40</v>
      </c>
      <c r="I29" s="52">
        <f t="shared" si="1"/>
        <v>10</v>
      </c>
      <c r="J29" s="49"/>
      <c r="K29" s="53">
        <v>43548</v>
      </c>
      <c r="L29" s="54" t="s">
        <v>476</v>
      </c>
      <c r="M29" s="55">
        <v>43543</v>
      </c>
      <c r="N29" s="56" t="s">
        <v>400</v>
      </c>
      <c r="O29" s="55">
        <v>43548</v>
      </c>
      <c r="P29" s="58"/>
      <c r="Q29" s="52" t="s">
        <v>82</v>
      </c>
      <c r="R29" s="57" t="s">
        <v>362</v>
      </c>
      <c r="S29" s="47"/>
    </row>
    <row r="30" spans="2:19" s="67" customFormat="1" ht="33" customHeight="1">
      <c r="B30" s="46" t="s">
        <v>17</v>
      </c>
      <c r="C30" s="35" t="s">
        <v>427</v>
      </c>
      <c r="D30" s="36" t="s">
        <v>491</v>
      </c>
      <c r="E30" s="37">
        <v>43483</v>
      </c>
      <c r="F30" s="38" t="s">
        <v>84</v>
      </c>
      <c r="G30" s="39">
        <v>9200</v>
      </c>
      <c r="H30" s="38">
        <f t="shared" si="2"/>
        <v>40</v>
      </c>
      <c r="I30" s="38">
        <f t="shared" si="1"/>
        <v>10</v>
      </c>
      <c r="J30" s="36"/>
      <c r="K30" s="40">
        <v>43576</v>
      </c>
      <c r="L30" s="41" t="s">
        <v>446</v>
      </c>
      <c r="M30" s="42">
        <v>43571</v>
      </c>
      <c r="N30" s="43" t="s">
        <v>445</v>
      </c>
      <c r="O30" s="42">
        <v>43576</v>
      </c>
      <c r="P30" s="45"/>
      <c r="Q30" s="38" t="s">
        <v>82</v>
      </c>
      <c r="R30" s="44" t="s">
        <v>466</v>
      </c>
      <c r="S30" s="46"/>
    </row>
    <row r="31" spans="2:19" s="67" customFormat="1" ht="33" customHeight="1">
      <c r="B31" s="46" t="s">
        <v>17</v>
      </c>
      <c r="C31" s="35" t="s">
        <v>581</v>
      </c>
      <c r="D31" s="36" t="s">
        <v>582</v>
      </c>
      <c r="E31" s="37">
        <v>43519</v>
      </c>
      <c r="F31" s="38" t="s">
        <v>84</v>
      </c>
      <c r="G31" s="39">
        <v>9200</v>
      </c>
      <c r="H31" s="38">
        <f t="shared" si="2"/>
        <v>40</v>
      </c>
      <c r="I31" s="38">
        <f t="shared" si="1"/>
        <v>10</v>
      </c>
      <c r="J31" s="36"/>
      <c r="K31" s="40">
        <v>43632</v>
      </c>
      <c r="L31" s="41" t="s">
        <v>807</v>
      </c>
      <c r="M31" s="42">
        <v>43627</v>
      </c>
      <c r="N31" s="43" t="s">
        <v>769</v>
      </c>
      <c r="O31" s="42">
        <v>43632</v>
      </c>
      <c r="P31" s="45"/>
      <c r="Q31" s="38" t="s">
        <v>82</v>
      </c>
      <c r="R31" s="44" t="s">
        <v>825</v>
      </c>
      <c r="S31" s="46"/>
    </row>
    <row r="32" spans="2:19" s="67" customFormat="1" ht="33" customHeight="1">
      <c r="B32" s="46" t="s">
        <v>17</v>
      </c>
      <c r="C32" s="35" t="s">
        <v>694</v>
      </c>
      <c r="D32" s="36" t="s">
        <v>695</v>
      </c>
      <c r="E32" s="37">
        <v>43532</v>
      </c>
      <c r="F32" s="38" t="s">
        <v>213</v>
      </c>
      <c r="G32" s="39">
        <v>9200</v>
      </c>
      <c r="H32" s="38">
        <f t="shared" si="2"/>
        <v>40</v>
      </c>
      <c r="I32" s="38">
        <f t="shared" si="1"/>
        <v>10</v>
      </c>
      <c r="J32" s="36"/>
      <c r="K32" s="40">
        <v>43667</v>
      </c>
      <c r="L32" s="41" t="s">
        <v>837</v>
      </c>
      <c r="M32" s="42">
        <v>43662</v>
      </c>
      <c r="N32" s="43" t="s">
        <v>836</v>
      </c>
      <c r="O32" s="42">
        <v>43667</v>
      </c>
      <c r="P32" s="45"/>
      <c r="Q32" s="38" t="s">
        <v>82</v>
      </c>
      <c r="R32" s="44" t="s">
        <v>826</v>
      </c>
      <c r="S32" s="46"/>
    </row>
    <row r="33" spans="2:19" s="96" customFormat="1" ht="33" customHeight="1">
      <c r="B33" s="47" t="s">
        <v>33</v>
      </c>
      <c r="C33" s="48" t="s">
        <v>230</v>
      </c>
      <c r="D33" s="49" t="s">
        <v>231</v>
      </c>
      <c r="E33" s="50"/>
      <c r="F33" s="52"/>
      <c r="G33" s="51">
        <v>9200</v>
      </c>
      <c r="H33" s="52">
        <f t="shared" si="2"/>
        <v>40</v>
      </c>
      <c r="I33" s="52">
        <f t="shared" si="1"/>
        <v>10</v>
      </c>
      <c r="J33" s="49"/>
      <c r="K33" s="53">
        <v>43155</v>
      </c>
      <c r="L33" s="54" t="s">
        <v>365</v>
      </c>
      <c r="M33" s="55">
        <v>43515</v>
      </c>
      <c r="N33" s="56" t="s">
        <v>347</v>
      </c>
      <c r="O33" s="55">
        <v>43520</v>
      </c>
      <c r="P33" s="58" t="s">
        <v>364</v>
      </c>
      <c r="Q33" s="52"/>
      <c r="R33" s="57" t="s">
        <v>366</v>
      </c>
      <c r="S33" s="47" t="s">
        <v>216</v>
      </c>
    </row>
    <row r="34" spans="2:19" s="67" customFormat="1" ht="33" customHeight="1">
      <c r="B34" s="46" t="s">
        <v>33</v>
      </c>
      <c r="C34" s="35" t="s">
        <v>255</v>
      </c>
      <c r="D34" s="36" t="s">
        <v>269</v>
      </c>
      <c r="E34" s="37">
        <v>43378</v>
      </c>
      <c r="F34" s="38" t="s">
        <v>84</v>
      </c>
      <c r="G34" s="39">
        <v>18400</v>
      </c>
      <c r="H34" s="38">
        <f t="shared" si="2"/>
        <v>80</v>
      </c>
      <c r="I34" s="38">
        <f t="shared" si="1"/>
        <v>20</v>
      </c>
      <c r="J34" s="36"/>
      <c r="K34" s="141" t="s">
        <v>414</v>
      </c>
      <c r="L34" s="142"/>
      <c r="M34" s="143"/>
      <c r="N34" s="144"/>
      <c r="O34" s="143"/>
      <c r="P34" s="45"/>
      <c r="Q34" s="38"/>
      <c r="R34" s="44" t="s">
        <v>363</v>
      </c>
      <c r="S34" s="46"/>
    </row>
    <row r="35" spans="2:19" s="67" customFormat="1" ht="33" customHeight="1">
      <c r="B35" s="46" t="s">
        <v>81</v>
      </c>
      <c r="C35" s="35" t="s">
        <v>279</v>
      </c>
      <c r="D35" s="36" t="s">
        <v>288</v>
      </c>
      <c r="E35" s="37">
        <v>43392</v>
      </c>
      <c r="F35" s="38" t="s">
        <v>84</v>
      </c>
      <c r="G35" s="39">
        <v>13800</v>
      </c>
      <c r="H35" s="38">
        <f t="shared" si="2"/>
        <v>60</v>
      </c>
      <c r="I35" s="38">
        <f t="shared" si="1"/>
        <v>15</v>
      </c>
      <c r="J35" s="38"/>
      <c r="K35" s="40">
        <v>43597</v>
      </c>
      <c r="L35" s="41" t="s">
        <v>562</v>
      </c>
      <c r="M35" s="42">
        <v>43594</v>
      </c>
      <c r="N35" s="43" t="s">
        <v>561</v>
      </c>
      <c r="O35" s="42">
        <v>43598</v>
      </c>
      <c r="P35" s="45"/>
      <c r="Q35" s="46"/>
      <c r="R35" s="44" t="s">
        <v>515</v>
      </c>
      <c r="S35" s="46"/>
    </row>
    <row r="36" spans="2:19" s="96" customFormat="1" ht="33" customHeight="1">
      <c r="B36" s="47" t="s">
        <v>81</v>
      </c>
      <c r="C36" s="48" t="s">
        <v>316</v>
      </c>
      <c r="D36" s="49" t="s">
        <v>317</v>
      </c>
      <c r="E36" s="50">
        <v>43420</v>
      </c>
      <c r="F36" s="52" t="s">
        <v>213</v>
      </c>
      <c r="G36" s="51">
        <v>18400</v>
      </c>
      <c r="H36" s="52">
        <f>SUM(G36/230)</f>
        <v>80</v>
      </c>
      <c r="I36" s="52">
        <f>SUM(H36/4)</f>
        <v>20</v>
      </c>
      <c r="J36" s="52"/>
      <c r="K36" s="53">
        <v>43525</v>
      </c>
      <c r="L36" s="54" t="s">
        <v>365</v>
      </c>
      <c r="M36" s="55">
        <v>43515</v>
      </c>
      <c r="N36" s="56" t="s">
        <v>347</v>
      </c>
      <c r="O36" s="55">
        <v>43520</v>
      </c>
      <c r="P36" s="58" t="s">
        <v>393</v>
      </c>
      <c r="Q36" s="47"/>
      <c r="R36" s="57" t="s">
        <v>349</v>
      </c>
      <c r="S36" s="47" t="s">
        <v>350</v>
      </c>
    </row>
    <row r="37" spans="2:19" s="67" customFormat="1" ht="33" customHeight="1">
      <c r="B37" s="46" t="s">
        <v>81</v>
      </c>
      <c r="C37" s="35" t="s">
        <v>318</v>
      </c>
      <c r="D37" s="36" t="s">
        <v>319</v>
      </c>
      <c r="E37" s="37">
        <v>43420</v>
      </c>
      <c r="F37" s="38" t="s">
        <v>213</v>
      </c>
      <c r="G37" s="39">
        <v>17940</v>
      </c>
      <c r="H37" s="38">
        <f>SUM(G37/230)</f>
        <v>78</v>
      </c>
      <c r="I37" s="38">
        <f>SUM(H37/4)</f>
        <v>19.5</v>
      </c>
      <c r="J37" s="38"/>
      <c r="K37" s="40">
        <v>43576</v>
      </c>
      <c r="L37" s="41" t="s">
        <v>480</v>
      </c>
      <c r="M37" s="42">
        <v>43564</v>
      </c>
      <c r="N37" s="43" t="s">
        <v>405</v>
      </c>
      <c r="O37" s="42">
        <v>43569</v>
      </c>
      <c r="P37" s="45"/>
      <c r="Q37" s="46"/>
      <c r="R37" s="44" t="s">
        <v>516</v>
      </c>
      <c r="S37" s="46" t="s">
        <v>391</v>
      </c>
    </row>
    <row r="38" spans="2:19" s="67" customFormat="1" ht="33" customHeight="1">
      <c r="B38" s="46" t="s">
        <v>81</v>
      </c>
      <c r="C38" s="35" t="s">
        <v>700</v>
      </c>
      <c r="D38" s="36" t="s">
        <v>701</v>
      </c>
      <c r="E38" s="37">
        <v>43532</v>
      </c>
      <c r="F38" s="38" t="s">
        <v>213</v>
      </c>
      <c r="G38" s="39">
        <v>13800</v>
      </c>
      <c r="H38" s="38">
        <f t="shared" ref="H38:H41" si="3">SUM(G38/230)</f>
        <v>60</v>
      </c>
      <c r="I38" s="38">
        <f t="shared" ref="I38:I41" si="4">SUM(H38/4)</f>
        <v>15</v>
      </c>
      <c r="J38" s="38"/>
      <c r="K38" s="130">
        <v>43625</v>
      </c>
      <c r="L38" s="119" t="s">
        <v>975</v>
      </c>
      <c r="M38" s="120">
        <v>43620</v>
      </c>
      <c r="N38" s="121" t="s">
        <v>768</v>
      </c>
      <c r="O38" s="120">
        <v>43625</v>
      </c>
      <c r="P38" s="45"/>
      <c r="Q38" s="46"/>
      <c r="R38" s="125" t="s">
        <v>850</v>
      </c>
      <c r="S38" s="46"/>
    </row>
    <row r="39" spans="2:19" s="67" customFormat="1" ht="33" customHeight="1">
      <c r="B39" s="46" t="s">
        <v>81</v>
      </c>
      <c r="C39" s="35" t="s">
        <v>702</v>
      </c>
      <c r="D39" s="36" t="s">
        <v>703</v>
      </c>
      <c r="E39" s="37">
        <v>43532</v>
      </c>
      <c r="F39" s="38" t="s">
        <v>213</v>
      </c>
      <c r="G39" s="39">
        <v>9200</v>
      </c>
      <c r="H39" s="38">
        <f t="shared" si="3"/>
        <v>40</v>
      </c>
      <c r="I39" s="38">
        <f t="shared" si="4"/>
        <v>10</v>
      </c>
      <c r="J39" s="38"/>
      <c r="K39" s="130">
        <v>43646</v>
      </c>
      <c r="L39" s="119" t="s">
        <v>976</v>
      </c>
      <c r="M39" s="120">
        <v>43641</v>
      </c>
      <c r="N39" s="121" t="s">
        <v>776</v>
      </c>
      <c r="O39" s="120">
        <v>43646</v>
      </c>
      <c r="P39" s="45"/>
      <c r="Q39" s="46"/>
      <c r="R39" s="125" t="s">
        <v>851</v>
      </c>
      <c r="S39" s="46"/>
    </row>
    <row r="40" spans="2:19" s="67" customFormat="1" ht="33" customHeight="1">
      <c r="B40" s="122" t="s">
        <v>81</v>
      </c>
      <c r="C40" s="126" t="s">
        <v>852</v>
      </c>
      <c r="D40" s="127"/>
      <c r="E40" s="128">
        <v>43558</v>
      </c>
      <c r="F40" s="124" t="s">
        <v>213</v>
      </c>
      <c r="G40" s="129">
        <v>9200</v>
      </c>
      <c r="H40" s="124">
        <f t="shared" si="3"/>
        <v>40</v>
      </c>
      <c r="I40" s="124">
        <f t="shared" si="4"/>
        <v>10</v>
      </c>
      <c r="J40" s="124"/>
      <c r="K40" s="130">
        <v>43646</v>
      </c>
      <c r="L40" s="119" t="s">
        <v>976</v>
      </c>
      <c r="M40" s="120">
        <v>43641</v>
      </c>
      <c r="N40" s="121" t="s">
        <v>776</v>
      </c>
      <c r="O40" s="120">
        <v>43646</v>
      </c>
      <c r="P40" s="123"/>
      <c r="Q40" s="122"/>
      <c r="R40" s="125" t="s">
        <v>851</v>
      </c>
      <c r="S40" s="122"/>
    </row>
    <row r="41" spans="2:19" s="67" customFormat="1" ht="33" customHeight="1">
      <c r="B41" s="135" t="s">
        <v>704</v>
      </c>
      <c r="C41" s="136" t="s">
        <v>209</v>
      </c>
      <c r="D41" s="137" t="s">
        <v>705</v>
      </c>
      <c r="E41" s="138">
        <v>43532</v>
      </c>
      <c r="F41" s="139" t="s">
        <v>213</v>
      </c>
      <c r="G41" s="140">
        <v>920</v>
      </c>
      <c r="H41" s="139">
        <f t="shared" si="3"/>
        <v>4</v>
      </c>
      <c r="I41" s="139">
        <f t="shared" si="4"/>
        <v>1</v>
      </c>
      <c r="J41" s="139"/>
      <c r="K41" s="141">
        <v>43609</v>
      </c>
      <c r="L41" s="142"/>
      <c r="M41" s="143"/>
      <c r="N41" s="144"/>
      <c r="O41" s="143"/>
      <c r="P41" s="145"/>
      <c r="Q41" s="135"/>
      <c r="R41" s="146"/>
      <c r="S41" s="135" t="s">
        <v>706</v>
      </c>
    </row>
    <row r="42" spans="2:19" s="67" customFormat="1" ht="33" customHeight="1">
      <c r="B42" s="46" t="s">
        <v>517</v>
      </c>
      <c r="C42" s="35" t="s">
        <v>209</v>
      </c>
      <c r="D42" s="36" t="s">
        <v>583</v>
      </c>
      <c r="E42" s="37">
        <v>43511</v>
      </c>
      <c r="F42" s="38" t="s">
        <v>213</v>
      </c>
      <c r="G42" s="39">
        <v>460</v>
      </c>
      <c r="H42" s="38">
        <f>SUM(G42/230)</f>
        <v>2</v>
      </c>
      <c r="I42" s="38">
        <f>SUM(H42/4)</f>
        <v>0.5</v>
      </c>
      <c r="J42" s="38"/>
      <c r="K42" s="40">
        <v>43576</v>
      </c>
      <c r="L42" s="41" t="s">
        <v>480</v>
      </c>
      <c r="M42" s="42">
        <v>43564</v>
      </c>
      <c r="N42" s="43" t="s">
        <v>646</v>
      </c>
      <c r="O42" s="42">
        <v>43569</v>
      </c>
      <c r="P42" s="45"/>
      <c r="Q42" s="46"/>
      <c r="R42" s="44" t="s">
        <v>516</v>
      </c>
      <c r="S42" s="46"/>
    </row>
    <row r="43" spans="2:19" s="33" customFormat="1" ht="33" customHeight="1">
      <c r="B43" s="47" t="s">
        <v>222</v>
      </c>
      <c r="C43" s="48" t="s">
        <v>321</v>
      </c>
      <c r="D43" s="49" t="s">
        <v>322</v>
      </c>
      <c r="E43" s="50">
        <v>43420</v>
      </c>
      <c r="F43" s="52" t="s">
        <v>213</v>
      </c>
      <c r="G43" s="51">
        <v>3200</v>
      </c>
      <c r="H43" s="52">
        <f t="shared" ref="H43:H51" si="5">SUM(G43/20)</f>
        <v>160</v>
      </c>
      <c r="I43" s="52">
        <f t="shared" ref="I43:I51" si="6">SUM(H43/32)</f>
        <v>5</v>
      </c>
      <c r="J43" s="59"/>
      <c r="K43" s="53">
        <v>43513</v>
      </c>
      <c r="L43" s="54" t="s">
        <v>276</v>
      </c>
      <c r="M43" s="55">
        <v>43508</v>
      </c>
      <c r="N43" s="56" t="s">
        <v>345</v>
      </c>
      <c r="O43" s="55">
        <v>43148</v>
      </c>
      <c r="P43" s="58"/>
      <c r="Q43" s="60" t="s">
        <v>89</v>
      </c>
      <c r="R43" s="57" t="s">
        <v>323</v>
      </c>
      <c r="S43" s="47"/>
    </row>
    <row r="44" spans="2:19" s="33" customFormat="1" ht="33" customHeight="1">
      <c r="B44" s="47" t="s">
        <v>222</v>
      </c>
      <c r="C44" s="48" t="s">
        <v>324</v>
      </c>
      <c r="D44" s="49" t="s">
        <v>325</v>
      </c>
      <c r="E44" s="50">
        <v>43420</v>
      </c>
      <c r="F44" s="52" t="s">
        <v>213</v>
      </c>
      <c r="G44" s="51">
        <v>1920</v>
      </c>
      <c r="H44" s="52">
        <f t="shared" si="5"/>
        <v>96</v>
      </c>
      <c r="I44" s="52">
        <f t="shared" si="6"/>
        <v>3</v>
      </c>
      <c r="J44" s="59"/>
      <c r="K44" s="53">
        <v>43541</v>
      </c>
      <c r="L44" s="54" t="s">
        <v>501</v>
      </c>
      <c r="M44" s="55">
        <v>43531</v>
      </c>
      <c r="N44" s="56" t="s">
        <v>569</v>
      </c>
      <c r="O44" s="55">
        <v>43535</v>
      </c>
      <c r="P44" s="58"/>
      <c r="Q44" s="60" t="s">
        <v>89</v>
      </c>
      <c r="R44" s="57" t="s">
        <v>326</v>
      </c>
      <c r="S44" s="47" t="s">
        <v>645</v>
      </c>
    </row>
    <row r="45" spans="2:19" s="33" customFormat="1" ht="33" customHeight="1">
      <c r="B45" s="47" t="s">
        <v>222</v>
      </c>
      <c r="C45" s="48" t="s">
        <v>500</v>
      </c>
      <c r="D45" s="49" t="s">
        <v>325</v>
      </c>
      <c r="E45" s="50">
        <v>43420</v>
      </c>
      <c r="F45" s="52" t="s">
        <v>213</v>
      </c>
      <c r="G45" s="51">
        <v>1280</v>
      </c>
      <c r="H45" s="52">
        <f t="shared" si="5"/>
        <v>64</v>
      </c>
      <c r="I45" s="52">
        <f t="shared" si="6"/>
        <v>2</v>
      </c>
      <c r="J45" s="59"/>
      <c r="K45" s="53">
        <v>43541</v>
      </c>
      <c r="L45" s="54" t="s">
        <v>563</v>
      </c>
      <c r="M45" s="55">
        <v>43536</v>
      </c>
      <c r="N45" s="56" t="s">
        <v>346</v>
      </c>
      <c r="O45" s="55">
        <v>43541</v>
      </c>
      <c r="P45" s="58"/>
      <c r="Q45" s="60" t="s">
        <v>89</v>
      </c>
      <c r="R45" s="57" t="s">
        <v>326</v>
      </c>
      <c r="S45" s="47" t="s">
        <v>395</v>
      </c>
    </row>
    <row r="46" spans="2:19" s="33" customFormat="1" ht="33" customHeight="1">
      <c r="B46" s="47" t="s">
        <v>222</v>
      </c>
      <c r="C46" s="48" t="s">
        <v>430</v>
      </c>
      <c r="D46" s="49" t="s">
        <v>470</v>
      </c>
      <c r="E46" s="50">
        <v>43473</v>
      </c>
      <c r="F46" s="52" t="s">
        <v>213</v>
      </c>
      <c r="G46" s="51">
        <v>1920</v>
      </c>
      <c r="H46" s="52">
        <f t="shared" si="5"/>
        <v>96</v>
      </c>
      <c r="I46" s="52">
        <f t="shared" si="6"/>
        <v>3</v>
      </c>
      <c r="J46" s="59"/>
      <c r="K46" s="53">
        <v>43555</v>
      </c>
      <c r="L46" s="54" t="s">
        <v>644</v>
      </c>
      <c r="M46" s="55">
        <v>43550</v>
      </c>
      <c r="N46" s="56" t="s">
        <v>344</v>
      </c>
      <c r="O46" s="55">
        <v>43555</v>
      </c>
      <c r="P46" s="58"/>
      <c r="Q46" s="60" t="s">
        <v>89</v>
      </c>
      <c r="R46" s="57" t="s">
        <v>518</v>
      </c>
      <c r="S46" s="47"/>
    </row>
    <row r="47" spans="2:19" s="30" customFormat="1" ht="33" customHeight="1">
      <c r="B47" s="46" t="s">
        <v>222</v>
      </c>
      <c r="C47" s="35" t="s">
        <v>430</v>
      </c>
      <c r="D47" s="36" t="s">
        <v>470</v>
      </c>
      <c r="E47" s="37">
        <v>43473</v>
      </c>
      <c r="F47" s="38" t="s">
        <v>213</v>
      </c>
      <c r="G47" s="39">
        <v>1920</v>
      </c>
      <c r="H47" s="38">
        <f t="shared" si="5"/>
        <v>96</v>
      </c>
      <c r="I47" s="38">
        <f t="shared" si="6"/>
        <v>3</v>
      </c>
      <c r="J47" s="61"/>
      <c r="K47" s="40">
        <v>43555</v>
      </c>
      <c r="L47" s="41" t="s">
        <v>449</v>
      </c>
      <c r="M47" s="42">
        <v>43564</v>
      </c>
      <c r="N47" s="43" t="s">
        <v>405</v>
      </c>
      <c r="O47" s="42">
        <v>43569</v>
      </c>
      <c r="P47" s="45"/>
      <c r="Q47" s="62" t="s">
        <v>89</v>
      </c>
      <c r="R47" s="44" t="s">
        <v>518</v>
      </c>
      <c r="S47" s="46"/>
    </row>
    <row r="48" spans="2:19" s="30" customFormat="1" ht="33" customHeight="1">
      <c r="B48" s="46" t="s">
        <v>222</v>
      </c>
      <c r="C48" s="35" t="s">
        <v>519</v>
      </c>
      <c r="D48" s="36" t="s">
        <v>710</v>
      </c>
      <c r="E48" s="37">
        <v>43511</v>
      </c>
      <c r="F48" s="38" t="s">
        <v>213</v>
      </c>
      <c r="G48" s="39">
        <v>640</v>
      </c>
      <c r="H48" s="38">
        <f t="shared" si="5"/>
        <v>32</v>
      </c>
      <c r="I48" s="38">
        <f t="shared" si="6"/>
        <v>1</v>
      </c>
      <c r="J48" s="61"/>
      <c r="K48" s="40">
        <v>43555</v>
      </c>
      <c r="L48" s="41" t="s">
        <v>564</v>
      </c>
      <c r="M48" s="42">
        <v>43557</v>
      </c>
      <c r="N48" s="43" t="s">
        <v>403</v>
      </c>
      <c r="O48" s="42">
        <v>43562</v>
      </c>
      <c r="P48" s="45"/>
      <c r="Q48" s="62" t="s">
        <v>89</v>
      </c>
      <c r="R48" s="44" t="s">
        <v>518</v>
      </c>
      <c r="S48" s="46"/>
    </row>
    <row r="49" spans="2:19" s="30" customFormat="1" ht="33" customHeight="1">
      <c r="B49" s="46" t="s">
        <v>222</v>
      </c>
      <c r="C49" s="35" t="s">
        <v>520</v>
      </c>
      <c r="D49" s="36" t="s">
        <v>584</v>
      </c>
      <c r="E49" s="37">
        <v>43511</v>
      </c>
      <c r="F49" s="38" t="s">
        <v>213</v>
      </c>
      <c r="G49" s="39">
        <v>1920</v>
      </c>
      <c r="H49" s="38">
        <f t="shared" si="5"/>
        <v>96</v>
      </c>
      <c r="I49" s="38">
        <f t="shared" si="6"/>
        <v>3</v>
      </c>
      <c r="J49" s="61"/>
      <c r="K49" s="40">
        <v>43576</v>
      </c>
      <c r="L49" s="41" t="s">
        <v>503</v>
      </c>
      <c r="M49" s="42">
        <v>43571</v>
      </c>
      <c r="N49" s="43" t="s">
        <v>445</v>
      </c>
      <c r="O49" s="42">
        <v>43576</v>
      </c>
      <c r="P49" s="45"/>
      <c r="Q49" s="62" t="s">
        <v>89</v>
      </c>
      <c r="R49" s="44" t="s">
        <v>585</v>
      </c>
      <c r="S49" s="46"/>
    </row>
    <row r="50" spans="2:19" s="30" customFormat="1" ht="33" customHeight="1">
      <c r="B50" s="46" t="s">
        <v>222</v>
      </c>
      <c r="C50" s="35" t="s">
        <v>586</v>
      </c>
      <c r="D50" s="36" t="s">
        <v>640</v>
      </c>
      <c r="E50" s="37">
        <v>43519</v>
      </c>
      <c r="F50" s="38" t="s">
        <v>213</v>
      </c>
      <c r="G50" s="39">
        <v>1920</v>
      </c>
      <c r="H50" s="38">
        <f t="shared" si="5"/>
        <v>96</v>
      </c>
      <c r="I50" s="38">
        <f t="shared" si="6"/>
        <v>3</v>
      </c>
      <c r="J50" s="61"/>
      <c r="K50" s="40">
        <v>43611</v>
      </c>
      <c r="L50" s="99" t="s">
        <v>607</v>
      </c>
      <c r="M50" s="100">
        <v>43601</v>
      </c>
      <c r="N50" s="101" t="s">
        <v>601</v>
      </c>
      <c r="O50" s="100">
        <v>43605</v>
      </c>
      <c r="P50" s="45"/>
      <c r="Q50" s="62"/>
      <c r="R50" s="44" t="s">
        <v>790</v>
      </c>
      <c r="S50" s="155" t="s">
        <v>980</v>
      </c>
    </row>
    <row r="51" spans="2:19" s="30" customFormat="1" ht="33" customHeight="1">
      <c r="B51" s="46" t="s">
        <v>222</v>
      </c>
      <c r="C51" s="35" t="s">
        <v>713</v>
      </c>
      <c r="D51" s="36" t="s">
        <v>714</v>
      </c>
      <c r="E51" s="37">
        <v>43532</v>
      </c>
      <c r="F51" s="38" t="s">
        <v>213</v>
      </c>
      <c r="G51" s="129">
        <v>2560</v>
      </c>
      <c r="H51" s="124">
        <f t="shared" si="5"/>
        <v>128</v>
      </c>
      <c r="I51" s="124">
        <f t="shared" si="6"/>
        <v>4</v>
      </c>
      <c r="J51" s="61"/>
      <c r="K51" s="40">
        <v>43632</v>
      </c>
      <c r="L51" s="41" t="s">
        <v>807</v>
      </c>
      <c r="M51" s="42">
        <v>43627</v>
      </c>
      <c r="N51" s="43" t="s">
        <v>808</v>
      </c>
      <c r="O51" s="42">
        <v>43632</v>
      </c>
      <c r="P51" s="45"/>
      <c r="Q51" s="62" t="s">
        <v>89</v>
      </c>
      <c r="R51" s="44" t="s">
        <v>791</v>
      </c>
      <c r="S51" s="46"/>
    </row>
    <row r="52" spans="2:19" s="33" customFormat="1" ht="33" customHeight="1">
      <c r="B52" s="47" t="s">
        <v>38</v>
      </c>
      <c r="C52" s="48" t="s">
        <v>224</v>
      </c>
      <c r="D52" s="49" t="s">
        <v>328</v>
      </c>
      <c r="E52" s="50">
        <v>43420</v>
      </c>
      <c r="F52" s="52" t="s">
        <v>214</v>
      </c>
      <c r="G52" s="64">
        <v>640</v>
      </c>
      <c r="H52" s="52">
        <f>SUBTOTAL(9,G52)/20</f>
        <v>32</v>
      </c>
      <c r="I52" s="52">
        <f>H52/32</f>
        <v>1</v>
      </c>
      <c r="J52" s="52"/>
      <c r="K52" s="53">
        <v>43520</v>
      </c>
      <c r="L52" s="54" t="s">
        <v>348</v>
      </c>
      <c r="M52" s="55">
        <v>43515</v>
      </c>
      <c r="N52" s="56" t="s">
        <v>347</v>
      </c>
      <c r="O52" s="55">
        <v>43155</v>
      </c>
      <c r="P52" s="58" t="s">
        <v>504</v>
      </c>
      <c r="Q52" s="52"/>
      <c r="R52" s="63" t="s">
        <v>329</v>
      </c>
      <c r="S52" s="47"/>
    </row>
    <row r="53" spans="2:19" s="30" customFormat="1" ht="33" customHeight="1">
      <c r="B53" s="46" t="s">
        <v>38</v>
      </c>
      <c r="C53" s="35" t="s">
        <v>225</v>
      </c>
      <c r="D53" s="36" t="s">
        <v>587</v>
      </c>
      <c r="E53" s="37">
        <v>43519</v>
      </c>
      <c r="F53" s="38" t="s">
        <v>214</v>
      </c>
      <c r="G53" s="65">
        <v>640</v>
      </c>
      <c r="H53" s="38">
        <f>SUBTOTAL(9,G53)/20</f>
        <v>32</v>
      </c>
      <c r="I53" s="38">
        <f>H53/32</f>
        <v>1</v>
      </c>
      <c r="J53" s="38"/>
      <c r="K53" s="40">
        <v>43583</v>
      </c>
      <c r="L53" s="41" t="s">
        <v>565</v>
      </c>
      <c r="M53" s="42">
        <v>43578</v>
      </c>
      <c r="N53" s="43" t="s">
        <v>447</v>
      </c>
      <c r="O53" s="42">
        <v>43583</v>
      </c>
      <c r="P53" s="45"/>
      <c r="Q53" s="38"/>
      <c r="R53" s="66" t="s">
        <v>515</v>
      </c>
      <c r="S53" s="46"/>
    </row>
    <row r="54" spans="2:19" s="33" customFormat="1" ht="33" customHeight="1">
      <c r="B54" s="47" t="s">
        <v>88</v>
      </c>
      <c r="C54" s="48" t="s">
        <v>331</v>
      </c>
      <c r="D54" s="49" t="s">
        <v>332</v>
      </c>
      <c r="E54" s="50">
        <v>43420</v>
      </c>
      <c r="F54" s="52" t="s">
        <v>214</v>
      </c>
      <c r="G54" s="64">
        <v>760</v>
      </c>
      <c r="H54" s="52">
        <f>SUBTOTAL(9,G54)/190</f>
        <v>4</v>
      </c>
      <c r="I54" s="52">
        <f>H54/4</f>
        <v>1</v>
      </c>
      <c r="J54" s="52"/>
      <c r="K54" s="53">
        <v>43520</v>
      </c>
      <c r="L54" s="54" t="s">
        <v>348</v>
      </c>
      <c r="M54" s="55">
        <v>43515</v>
      </c>
      <c r="N54" s="56" t="s">
        <v>347</v>
      </c>
      <c r="O54" s="55">
        <v>43155</v>
      </c>
      <c r="P54" s="58" t="s">
        <v>497</v>
      </c>
      <c r="Q54" s="52"/>
      <c r="R54" s="63" t="s">
        <v>333</v>
      </c>
      <c r="S54" s="47"/>
    </row>
    <row r="55" spans="2:19" s="30" customFormat="1" ht="33" customHeight="1">
      <c r="B55" s="46" t="s">
        <v>88</v>
      </c>
      <c r="C55" s="35" t="s">
        <v>431</v>
      </c>
      <c r="D55" s="36" t="s">
        <v>471</v>
      </c>
      <c r="E55" s="37">
        <v>43483</v>
      </c>
      <c r="F55" s="38" t="s">
        <v>214</v>
      </c>
      <c r="G55" s="65">
        <v>760</v>
      </c>
      <c r="H55" s="38">
        <f>SUBTOTAL(9,G55)/190</f>
        <v>4</v>
      </c>
      <c r="I55" s="38">
        <f>H55/4</f>
        <v>1</v>
      </c>
      <c r="J55" s="38"/>
      <c r="K55" s="40">
        <v>43569</v>
      </c>
      <c r="L55" s="41" t="s">
        <v>417</v>
      </c>
      <c r="M55" s="42">
        <v>43564</v>
      </c>
      <c r="N55" s="43" t="s">
        <v>405</v>
      </c>
      <c r="O55" s="42">
        <v>43569</v>
      </c>
      <c r="P55" s="45"/>
      <c r="Q55" s="38"/>
      <c r="R55" s="66" t="s">
        <v>493</v>
      </c>
      <c r="S55" s="46"/>
    </row>
    <row r="56" spans="2:19" s="30" customFormat="1" ht="33" customHeight="1">
      <c r="B56" s="46" t="s">
        <v>88</v>
      </c>
      <c r="C56" s="35" t="s">
        <v>523</v>
      </c>
      <c r="D56" s="36" t="s">
        <v>588</v>
      </c>
      <c r="E56" s="37">
        <v>43511</v>
      </c>
      <c r="F56" s="38" t="s">
        <v>214</v>
      </c>
      <c r="G56" s="65">
        <v>760</v>
      </c>
      <c r="H56" s="38">
        <f>SUBTOTAL(9,G56)/190</f>
        <v>4</v>
      </c>
      <c r="I56" s="38">
        <f>H56/4</f>
        <v>1</v>
      </c>
      <c r="J56" s="38"/>
      <c r="K56" s="40">
        <v>43583</v>
      </c>
      <c r="L56" s="41" t="s">
        <v>565</v>
      </c>
      <c r="M56" s="42">
        <v>43578</v>
      </c>
      <c r="N56" s="43" t="s">
        <v>447</v>
      </c>
      <c r="O56" s="42">
        <v>43583</v>
      </c>
      <c r="P56" s="45"/>
      <c r="Q56" s="38"/>
      <c r="R56" s="66" t="s">
        <v>320</v>
      </c>
      <c r="S56" s="46"/>
    </row>
    <row r="57" spans="2:19" s="30" customFormat="1" ht="33" customHeight="1">
      <c r="B57" s="46" t="s">
        <v>88</v>
      </c>
      <c r="C57" s="35" t="s">
        <v>589</v>
      </c>
      <c r="D57" s="36" t="s">
        <v>590</v>
      </c>
      <c r="E57" s="37">
        <v>43519</v>
      </c>
      <c r="F57" s="38" t="s">
        <v>214</v>
      </c>
      <c r="G57" s="65">
        <v>760</v>
      </c>
      <c r="H57" s="38">
        <f>SUBTOTAL(9,G57)/190</f>
        <v>4</v>
      </c>
      <c r="I57" s="38">
        <f>H57/4</f>
        <v>1</v>
      </c>
      <c r="J57" s="38"/>
      <c r="K57" s="40">
        <v>43597</v>
      </c>
      <c r="L57" s="41" t="s">
        <v>606</v>
      </c>
      <c r="M57" s="42">
        <v>43592</v>
      </c>
      <c r="N57" s="43" t="s">
        <v>600</v>
      </c>
      <c r="O57" s="42">
        <v>43597</v>
      </c>
      <c r="P57" s="45"/>
      <c r="Q57" s="38"/>
      <c r="R57" s="66" t="s">
        <v>469</v>
      </c>
      <c r="S57" s="46"/>
    </row>
    <row r="58" spans="2:19" s="33" customFormat="1" ht="33" customHeight="1">
      <c r="B58" s="47" t="s">
        <v>83</v>
      </c>
      <c r="C58" s="48" t="s">
        <v>335</v>
      </c>
      <c r="D58" s="49" t="s">
        <v>336</v>
      </c>
      <c r="E58" s="50">
        <v>43420</v>
      </c>
      <c r="F58" s="52" t="s">
        <v>77</v>
      </c>
      <c r="G58" s="51">
        <v>5760</v>
      </c>
      <c r="H58" s="52">
        <f>SUM(G58/240)</f>
        <v>24</v>
      </c>
      <c r="I58" s="52">
        <f t="shared" ref="I58:I66" si="7">SUM(H58/4)</f>
        <v>6</v>
      </c>
      <c r="J58" s="52"/>
      <c r="K58" s="53">
        <v>43148</v>
      </c>
      <c r="L58" s="54" t="s">
        <v>276</v>
      </c>
      <c r="M58" s="55">
        <v>43508</v>
      </c>
      <c r="N58" s="56" t="s">
        <v>345</v>
      </c>
      <c r="O58" s="55">
        <v>43148</v>
      </c>
      <c r="P58" s="58"/>
      <c r="Q58" s="52"/>
      <c r="R58" s="118" t="s">
        <v>392</v>
      </c>
      <c r="S58" s="47"/>
    </row>
    <row r="59" spans="2:19" s="33" customFormat="1" ht="33" customHeight="1">
      <c r="B59" s="47" t="s">
        <v>83</v>
      </c>
      <c r="C59" s="48" t="s">
        <v>477</v>
      </c>
      <c r="D59" s="49" t="s">
        <v>415</v>
      </c>
      <c r="E59" s="50">
        <v>43462</v>
      </c>
      <c r="F59" s="52" t="s">
        <v>77</v>
      </c>
      <c r="G59" s="51">
        <v>960</v>
      </c>
      <c r="H59" s="52">
        <f>SUM(G59/240)</f>
        <v>4</v>
      </c>
      <c r="I59" s="52">
        <f t="shared" si="7"/>
        <v>1</v>
      </c>
      <c r="J59" s="52"/>
      <c r="K59" s="53">
        <v>43148</v>
      </c>
      <c r="L59" s="54" t="s">
        <v>276</v>
      </c>
      <c r="M59" s="55">
        <v>43508</v>
      </c>
      <c r="N59" s="56" t="s">
        <v>345</v>
      </c>
      <c r="O59" s="55">
        <v>43148</v>
      </c>
      <c r="P59" s="58"/>
      <c r="Q59" s="52"/>
      <c r="R59" s="118" t="s">
        <v>392</v>
      </c>
      <c r="S59" s="47"/>
    </row>
    <row r="60" spans="2:19" s="33" customFormat="1" ht="33" customHeight="1">
      <c r="B60" s="47" t="s">
        <v>83</v>
      </c>
      <c r="C60" s="48" t="s">
        <v>408</v>
      </c>
      <c r="D60" s="49" t="s">
        <v>415</v>
      </c>
      <c r="E60" s="50">
        <v>43462</v>
      </c>
      <c r="F60" s="52" t="s">
        <v>77</v>
      </c>
      <c r="G60" s="51">
        <v>960</v>
      </c>
      <c r="H60" s="52">
        <f t="shared" ref="H60:H66" si="8">SUM(G60/240)</f>
        <v>4</v>
      </c>
      <c r="I60" s="52">
        <f t="shared" si="7"/>
        <v>1</v>
      </c>
      <c r="J60" s="52"/>
      <c r="K60" s="53">
        <v>43148</v>
      </c>
      <c r="L60" s="54" t="s">
        <v>501</v>
      </c>
      <c r="M60" s="55">
        <v>43531</v>
      </c>
      <c r="N60" s="56" t="s">
        <v>568</v>
      </c>
      <c r="O60" s="55">
        <v>43535</v>
      </c>
      <c r="P60" s="58" t="s">
        <v>656</v>
      </c>
      <c r="Q60" s="52"/>
      <c r="R60" s="118" t="s">
        <v>392</v>
      </c>
      <c r="S60" s="47" t="s">
        <v>609</v>
      </c>
    </row>
    <row r="61" spans="2:19" s="33" customFormat="1" ht="33" customHeight="1">
      <c r="B61" s="47" t="s">
        <v>83</v>
      </c>
      <c r="C61" s="48" t="s">
        <v>478</v>
      </c>
      <c r="D61" s="49" t="s">
        <v>485</v>
      </c>
      <c r="E61" s="50">
        <v>43462</v>
      </c>
      <c r="F61" s="52" t="s">
        <v>77</v>
      </c>
      <c r="G61" s="51">
        <v>2880</v>
      </c>
      <c r="H61" s="52">
        <f t="shared" si="8"/>
        <v>12</v>
      </c>
      <c r="I61" s="52">
        <f t="shared" si="7"/>
        <v>3</v>
      </c>
      <c r="J61" s="52"/>
      <c r="K61" s="53">
        <v>43541</v>
      </c>
      <c r="L61" s="54" t="s">
        <v>501</v>
      </c>
      <c r="M61" s="55">
        <v>43531</v>
      </c>
      <c r="N61" s="56" t="s">
        <v>568</v>
      </c>
      <c r="O61" s="55">
        <v>43535</v>
      </c>
      <c r="P61" s="58" t="s">
        <v>657</v>
      </c>
      <c r="Q61" s="52"/>
      <c r="R61" s="118" t="s">
        <v>486</v>
      </c>
      <c r="S61" s="47" t="s">
        <v>610</v>
      </c>
    </row>
    <row r="62" spans="2:19" s="33" customFormat="1" ht="33" customHeight="1">
      <c r="B62" s="47" t="s">
        <v>83</v>
      </c>
      <c r="C62" s="48" t="s">
        <v>232</v>
      </c>
      <c r="D62" s="49" t="s">
        <v>386</v>
      </c>
      <c r="E62" s="50">
        <v>43455</v>
      </c>
      <c r="F62" s="52" t="s">
        <v>77</v>
      </c>
      <c r="G62" s="51">
        <v>5760</v>
      </c>
      <c r="H62" s="52">
        <f t="shared" si="8"/>
        <v>24</v>
      </c>
      <c r="I62" s="52">
        <f t="shared" si="7"/>
        <v>6</v>
      </c>
      <c r="J62" s="52"/>
      <c r="K62" s="53">
        <v>43541</v>
      </c>
      <c r="L62" s="54" t="s">
        <v>476</v>
      </c>
      <c r="M62" s="55">
        <v>43543</v>
      </c>
      <c r="N62" s="56" t="s">
        <v>400</v>
      </c>
      <c r="O62" s="55">
        <v>43548</v>
      </c>
      <c r="P62" s="58" t="s">
        <v>658</v>
      </c>
      <c r="Q62" s="52"/>
      <c r="R62" s="118" t="s">
        <v>387</v>
      </c>
      <c r="S62" s="47"/>
    </row>
    <row r="63" spans="2:19" s="30" customFormat="1" ht="33" customHeight="1">
      <c r="B63" s="46" t="s">
        <v>83</v>
      </c>
      <c r="C63" s="35" t="s">
        <v>244</v>
      </c>
      <c r="D63" s="36" t="s">
        <v>722</v>
      </c>
      <c r="E63" s="37">
        <v>43483</v>
      </c>
      <c r="F63" s="38" t="s">
        <v>77</v>
      </c>
      <c r="G63" s="39">
        <v>6720</v>
      </c>
      <c r="H63" s="38">
        <f t="shared" si="8"/>
        <v>28</v>
      </c>
      <c r="I63" s="38">
        <f t="shared" si="7"/>
        <v>7</v>
      </c>
      <c r="J63" s="38"/>
      <c r="K63" s="40">
        <v>43569</v>
      </c>
      <c r="L63" s="41" t="s">
        <v>480</v>
      </c>
      <c r="M63" s="42">
        <v>43564</v>
      </c>
      <c r="N63" s="43" t="s">
        <v>646</v>
      </c>
      <c r="O63" s="42">
        <v>43569</v>
      </c>
      <c r="P63" s="45" t="s">
        <v>659</v>
      </c>
      <c r="Q63" s="38"/>
      <c r="R63" s="115" t="s">
        <v>432</v>
      </c>
      <c r="S63" s="46"/>
    </row>
    <row r="64" spans="2:19" s="30" customFormat="1" ht="33" customHeight="1">
      <c r="B64" s="46" t="s">
        <v>83</v>
      </c>
      <c r="C64" s="35" t="s">
        <v>660</v>
      </c>
      <c r="D64" s="36" t="s">
        <v>472</v>
      </c>
      <c r="E64" s="37">
        <v>43483</v>
      </c>
      <c r="F64" s="38" t="s">
        <v>77</v>
      </c>
      <c r="G64" s="39">
        <v>5760</v>
      </c>
      <c r="H64" s="38">
        <f>SUM(G64/240)</f>
        <v>24</v>
      </c>
      <c r="I64" s="38">
        <f>SUM(H64/4)</f>
        <v>6</v>
      </c>
      <c r="J64" s="38"/>
      <c r="K64" s="40">
        <v>43583</v>
      </c>
      <c r="L64" s="41" t="s">
        <v>448</v>
      </c>
      <c r="M64" s="42">
        <v>43578</v>
      </c>
      <c r="N64" s="43" t="s">
        <v>447</v>
      </c>
      <c r="O64" s="42">
        <v>43583</v>
      </c>
      <c r="P64" s="45" t="s">
        <v>662</v>
      </c>
      <c r="Q64" s="38"/>
      <c r="R64" s="115" t="s">
        <v>432</v>
      </c>
      <c r="S64" s="46"/>
    </row>
    <row r="65" spans="2:19" s="30" customFormat="1" ht="33" customHeight="1">
      <c r="B65" s="46" t="s">
        <v>83</v>
      </c>
      <c r="C65" s="35" t="s">
        <v>258</v>
      </c>
      <c r="D65" s="36" t="s">
        <v>591</v>
      </c>
      <c r="E65" s="37">
        <v>43519</v>
      </c>
      <c r="F65" s="38" t="s">
        <v>77</v>
      </c>
      <c r="G65" s="39">
        <v>5760</v>
      </c>
      <c r="H65" s="38">
        <f t="shared" si="8"/>
        <v>24</v>
      </c>
      <c r="I65" s="38">
        <f t="shared" si="7"/>
        <v>6</v>
      </c>
      <c r="J65" s="38"/>
      <c r="K65" s="40">
        <v>43605</v>
      </c>
      <c r="L65" s="41" t="s">
        <v>607</v>
      </c>
      <c r="M65" s="42">
        <v>43601</v>
      </c>
      <c r="N65" s="43" t="s">
        <v>601</v>
      </c>
      <c r="O65" s="42">
        <v>43605</v>
      </c>
      <c r="P65" s="45" t="s">
        <v>663</v>
      </c>
      <c r="Q65" s="38"/>
      <c r="R65" s="115" t="s">
        <v>592</v>
      </c>
      <c r="S65" s="46"/>
    </row>
    <row r="66" spans="2:19" s="30" customFormat="1" ht="33" customHeight="1">
      <c r="B66" s="46" t="s">
        <v>83</v>
      </c>
      <c r="C66" s="35" t="s">
        <v>321</v>
      </c>
      <c r="D66" s="36" t="s">
        <v>727</v>
      </c>
      <c r="E66" s="37">
        <v>43532</v>
      </c>
      <c r="F66" s="38" t="s">
        <v>77</v>
      </c>
      <c r="G66" s="39">
        <v>6720</v>
      </c>
      <c r="H66" s="38">
        <f t="shared" si="8"/>
        <v>28</v>
      </c>
      <c r="I66" s="38">
        <f t="shared" si="7"/>
        <v>7</v>
      </c>
      <c r="J66" s="38"/>
      <c r="K66" s="40">
        <v>43633</v>
      </c>
      <c r="L66" s="41" t="s">
        <v>770</v>
      </c>
      <c r="M66" s="42">
        <v>43627</v>
      </c>
      <c r="N66" s="43" t="s">
        <v>769</v>
      </c>
      <c r="O66" s="42">
        <v>43632</v>
      </c>
      <c r="P66" s="45"/>
      <c r="Q66" s="38"/>
      <c r="R66" s="115" t="s">
        <v>728</v>
      </c>
      <c r="S66" s="46"/>
    </row>
    <row r="67" spans="2:19" s="34" customFormat="1" ht="33" customHeight="1">
      <c r="B67" s="47" t="s">
        <v>210</v>
      </c>
      <c r="C67" s="48" t="s">
        <v>225</v>
      </c>
      <c r="D67" s="49" t="s">
        <v>433</v>
      </c>
      <c r="E67" s="50">
        <v>43473</v>
      </c>
      <c r="F67" s="52" t="s">
        <v>218</v>
      </c>
      <c r="G67" s="51">
        <v>1920</v>
      </c>
      <c r="H67" s="52">
        <f t="shared" ref="H67:H83" si="9">SUM(G67/20)</f>
        <v>96</v>
      </c>
      <c r="I67" s="52">
        <f t="shared" ref="I67:I83" si="10">SUM(H67/32)</f>
        <v>3</v>
      </c>
      <c r="J67" s="52"/>
      <c r="K67" s="53">
        <v>43520</v>
      </c>
      <c r="L67" s="54" t="s">
        <v>365</v>
      </c>
      <c r="M67" s="55">
        <v>43515</v>
      </c>
      <c r="N67" s="56" t="s">
        <v>347</v>
      </c>
      <c r="O67" s="55">
        <v>43520</v>
      </c>
      <c r="P67" s="58"/>
      <c r="Q67" s="52"/>
      <c r="R67" s="63" t="s">
        <v>211</v>
      </c>
      <c r="S67" s="52"/>
    </row>
    <row r="68" spans="2:19" s="34" customFormat="1" ht="33" customHeight="1">
      <c r="B68" s="47" t="s">
        <v>210</v>
      </c>
      <c r="C68" s="48" t="s">
        <v>226</v>
      </c>
      <c r="D68" s="49" t="s">
        <v>593</v>
      </c>
      <c r="E68" s="50">
        <v>43483</v>
      </c>
      <c r="F68" s="52" t="s">
        <v>218</v>
      </c>
      <c r="G68" s="51">
        <v>640</v>
      </c>
      <c r="H68" s="52">
        <f t="shared" si="9"/>
        <v>32</v>
      </c>
      <c r="I68" s="52">
        <f t="shared" si="10"/>
        <v>1</v>
      </c>
      <c r="J68" s="52"/>
      <c r="K68" s="53">
        <v>43534</v>
      </c>
      <c r="L68" s="54" t="s">
        <v>566</v>
      </c>
      <c r="M68" s="55"/>
      <c r="N68" s="56"/>
      <c r="O68" s="55">
        <v>43520</v>
      </c>
      <c r="P68" s="58" t="s">
        <v>651</v>
      </c>
      <c r="Q68" s="52"/>
      <c r="R68" s="63" t="s">
        <v>211</v>
      </c>
      <c r="S68" s="52"/>
    </row>
    <row r="69" spans="2:19" s="34" customFormat="1" ht="33" customHeight="1">
      <c r="B69" s="47" t="s">
        <v>210</v>
      </c>
      <c r="C69" s="48" t="s">
        <v>226</v>
      </c>
      <c r="D69" s="49" t="s">
        <v>434</v>
      </c>
      <c r="E69" s="50">
        <v>43483</v>
      </c>
      <c r="F69" s="52" t="s">
        <v>218</v>
      </c>
      <c r="G69" s="51">
        <v>1920</v>
      </c>
      <c r="H69" s="52">
        <f t="shared" si="9"/>
        <v>96</v>
      </c>
      <c r="I69" s="52">
        <f t="shared" si="10"/>
        <v>3</v>
      </c>
      <c r="J69" s="52"/>
      <c r="K69" s="53">
        <v>43534</v>
      </c>
      <c r="L69" s="54" t="s">
        <v>567</v>
      </c>
      <c r="M69" s="55">
        <v>43524</v>
      </c>
      <c r="N69" s="56" t="s">
        <v>594</v>
      </c>
      <c r="O69" s="55">
        <v>43528</v>
      </c>
      <c r="P69" s="58" t="s">
        <v>652</v>
      </c>
      <c r="Q69" s="52" t="s">
        <v>615</v>
      </c>
      <c r="R69" s="63" t="s">
        <v>211</v>
      </c>
      <c r="S69" s="52"/>
    </row>
    <row r="70" spans="2:19" s="34" customFormat="1" ht="33" customHeight="1">
      <c r="B70" s="47" t="s">
        <v>210</v>
      </c>
      <c r="C70" s="48" t="s">
        <v>226</v>
      </c>
      <c r="D70" s="49" t="s">
        <v>434</v>
      </c>
      <c r="E70" s="50">
        <v>43483</v>
      </c>
      <c r="F70" s="52" t="s">
        <v>218</v>
      </c>
      <c r="G70" s="51">
        <v>1280</v>
      </c>
      <c r="H70" s="52">
        <f t="shared" si="9"/>
        <v>64</v>
      </c>
      <c r="I70" s="52">
        <f t="shared" si="10"/>
        <v>2</v>
      </c>
      <c r="J70" s="52"/>
      <c r="K70" s="53">
        <v>43534</v>
      </c>
      <c r="L70" s="54" t="s">
        <v>501</v>
      </c>
      <c r="M70" s="55">
        <v>43531</v>
      </c>
      <c r="N70" s="56" t="s">
        <v>568</v>
      </c>
      <c r="O70" s="55">
        <v>43535</v>
      </c>
      <c r="P70" s="58" t="s">
        <v>653</v>
      </c>
      <c r="Q70" s="52" t="s">
        <v>614</v>
      </c>
      <c r="R70" s="63" t="s">
        <v>211</v>
      </c>
      <c r="S70" s="52" t="s">
        <v>611</v>
      </c>
    </row>
    <row r="71" spans="2:19" s="34" customFormat="1" ht="33" customHeight="1">
      <c r="B71" s="47" t="s">
        <v>210</v>
      </c>
      <c r="C71" s="48" t="s">
        <v>233</v>
      </c>
      <c r="D71" s="49" t="s">
        <v>525</v>
      </c>
      <c r="E71" s="50">
        <v>43507</v>
      </c>
      <c r="F71" s="52" t="s">
        <v>218</v>
      </c>
      <c r="G71" s="51">
        <v>1920</v>
      </c>
      <c r="H71" s="52">
        <f t="shared" si="9"/>
        <v>96</v>
      </c>
      <c r="I71" s="52">
        <f t="shared" si="10"/>
        <v>3</v>
      </c>
      <c r="J71" s="52"/>
      <c r="K71" s="53">
        <v>43541</v>
      </c>
      <c r="L71" s="54" t="s">
        <v>502</v>
      </c>
      <c r="M71" s="55">
        <v>43536</v>
      </c>
      <c r="N71" s="56" t="s">
        <v>346</v>
      </c>
      <c r="O71" s="55">
        <v>43541</v>
      </c>
      <c r="P71" s="58" t="s">
        <v>654</v>
      </c>
      <c r="Q71" s="52" t="s">
        <v>612</v>
      </c>
      <c r="R71" s="63" t="s">
        <v>211</v>
      </c>
      <c r="S71" s="52"/>
    </row>
    <row r="72" spans="2:19" s="34" customFormat="1" ht="33" customHeight="1">
      <c r="B72" s="47" t="s">
        <v>210</v>
      </c>
      <c r="C72" s="48" t="s">
        <v>595</v>
      </c>
      <c r="D72" s="49" t="s">
        <v>525</v>
      </c>
      <c r="E72" s="50">
        <v>43519</v>
      </c>
      <c r="F72" s="52" t="s">
        <v>218</v>
      </c>
      <c r="G72" s="51">
        <v>1920</v>
      </c>
      <c r="H72" s="52">
        <f t="shared" si="9"/>
        <v>96</v>
      </c>
      <c r="I72" s="52">
        <f t="shared" si="10"/>
        <v>3</v>
      </c>
      <c r="J72" s="52"/>
      <c r="K72" s="53">
        <v>43555</v>
      </c>
      <c r="L72" s="54" t="s">
        <v>644</v>
      </c>
      <c r="M72" s="55">
        <v>43550</v>
      </c>
      <c r="N72" s="56" t="s">
        <v>344</v>
      </c>
      <c r="O72" s="55">
        <v>43555</v>
      </c>
      <c r="P72" s="58"/>
      <c r="Q72" s="52" t="s">
        <v>613</v>
      </c>
      <c r="R72" s="63" t="s">
        <v>211</v>
      </c>
      <c r="S72" s="52"/>
    </row>
    <row r="73" spans="2:19" s="32" customFormat="1" ht="33" customHeight="1">
      <c r="B73" s="46" t="s">
        <v>210</v>
      </c>
      <c r="C73" s="35" t="s">
        <v>285</v>
      </c>
      <c r="D73" s="36" t="s">
        <v>526</v>
      </c>
      <c r="E73" s="37">
        <v>43507</v>
      </c>
      <c r="F73" s="38" t="s">
        <v>218</v>
      </c>
      <c r="G73" s="39">
        <v>3200</v>
      </c>
      <c r="H73" s="38">
        <f t="shared" si="9"/>
        <v>160</v>
      </c>
      <c r="I73" s="38">
        <f t="shared" si="10"/>
        <v>5</v>
      </c>
      <c r="J73" s="38"/>
      <c r="K73" s="40">
        <v>43576</v>
      </c>
      <c r="L73" s="41" t="s">
        <v>503</v>
      </c>
      <c r="M73" s="42">
        <v>43571</v>
      </c>
      <c r="N73" s="43" t="s">
        <v>445</v>
      </c>
      <c r="O73" s="42">
        <v>43576</v>
      </c>
      <c r="P73" s="45"/>
      <c r="Q73" s="38" t="s">
        <v>643</v>
      </c>
      <c r="R73" s="66" t="s">
        <v>211</v>
      </c>
      <c r="S73" s="38"/>
    </row>
    <row r="74" spans="2:19" s="32" customFormat="1" ht="33" customHeight="1">
      <c r="B74" s="46" t="s">
        <v>210</v>
      </c>
      <c r="C74" s="35" t="s">
        <v>650</v>
      </c>
      <c r="D74" s="36" t="s">
        <v>526</v>
      </c>
      <c r="E74" s="37">
        <v>43507</v>
      </c>
      <c r="F74" s="38" t="s">
        <v>218</v>
      </c>
      <c r="G74" s="39">
        <v>640</v>
      </c>
      <c r="H74" s="38">
        <f>SUM(G74/20)</f>
        <v>32</v>
      </c>
      <c r="I74" s="38">
        <f>SUM(H74/32)</f>
        <v>1</v>
      </c>
      <c r="J74" s="38"/>
      <c r="K74" s="40">
        <v>43576</v>
      </c>
      <c r="L74" s="41" t="s">
        <v>448</v>
      </c>
      <c r="M74" s="42">
        <v>43578</v>
      </c>
      <c r="N74" s="43" t="s">
        <v>447</v>
      </c>
      <c r="O74" s="42">
        <v>43583</v>
      </c>
      <c r="P74" s="45"/>
      <c r="Q74" s="38" t="s">
        <v>643</v>
      </c>
      <c r="R74" s="66" t="s">
        <v>211</v>
      </c>
      <c r="S74" s="38"/>
    </row>
    <row r="75" spans="2:19" s="32" customFormat="1" ht="33" customHeight="1">
      <c r="B75" s="46" t="s">
        <v>210</v>
      </c>
      <c r="C75" s="35" t="s">
        <v>331</v>
      </c>
      <c r="D75" s="36" t="s">
        <v>632</v>
      </c>
      <c r="E75" s="37">
        <v>43519</v>
      </c>
      <c r="F75" s="38" t="s">
        <v>218</v>
      </c>
      <c r="G75" s="39">
        <v>3200</v>
      </c>
      <c r="H75" s="38">
        <f t="shared" si="9"/>
        <v>160</v>
      </c>
      <c r="I75" s="38">
        <f t="shared" si="10"/>
        <v>5</v>
      </c>
      <c r="J75" s="38"/>
      <c r="K75" s="40">
        <v>43562</v>
      </c>
      <c r="L75" s="41" t="s">
        <v>608</v>
      </c>
      <c r="M75" s="42">
        <v>43557</v>
      </c>
      <c r="N75" s="43" t="s">
        <v>403</v>
      </c>
      <c r="O75" s="42">
        <v>43562</v>
      </c>
      <c r="P75" s="45"/>
      <c r="Q75" s="38" t="s">
        <v>642</v>
      </c>
      <c r="R75" s="66" t="s">
        <v>211</v>
      </c>
      <c r="S75" s="38"/>
    </row>
    <row r="76" spans="2:19" s="32" customFormat="1" ht="33" customHeight="1">
      <c r="B76" s="46" t="s">
        <v>210</v>
      </c>
      <c r="C76" s="35" t="s">
        <v>647</v>
      </c>
      <c r="D76" s="36" t="s">
        <v>632</v>
      </c>
      <c r="E76" s="37">
        <v>43519</v>
      </c>
      <c r="F76" s="38" t="s">
        <v>218</v>
      </c>
      <c r="G76" s="39">
        <v>640</v>
      </c>
      <c r="H76" s="38">
        <f>SUM(G76/20)</f>
        <v>32</v>
      </c>
      <c r="I76" s="38">
        <f>SUM(H76/32)</f>
        <v>1</v>
      </c>
      <c r="J76" s="38"/>
      <c r="K76" s="40">
        <v>43562</v>
      </c>
      <c r="L76" s="41" t="s">
        <v>480</v>
      </c>
      <c r="M76" s="42">
        <v>43564</v>
      </c>
      <c r="N76" s="43" t="s">
        <v>646</v>
      </c>
      <c r="O76" s="42">
        <v>43569</v>
      </c>
      <c r="P76" s="45"/>
      <c r="Q76" s="38" t="s">
        <v>642</v>
      </c>
      <c r="R76" s="66" t="s">
        <v>211</v>
      </c>
      <c r="S76" s="38"/>
    </row>
    <row r="77" spans="2:19" s="32" customFormat="1" ht="33" customHeight="1">
      <c r="B77" s="46" t="s">
        <v>210</v>
      </c>
      <c r="C77" s="35" t="s">
        <v>431</v>
      </c>
      <c r="D77" s="36" t="s">
        <v>633</v>
      </c>
      <c r="E77" s="37">
        <v>43523</v>
      </c>
      <c r="F77" s="38" t="s">
        <v>218</v>
      </c>
      <c r="G77" s="39">
        <v>3200</v>
      </c>
      <c r="H77" s="38">
        <f t="shared" si="9"/>
        <v>160</v>
      </c>
      <c r="I77" s="38">
        <f t="shared" si="10"/>
        <v>5</v>
      </c>
      <c r="J77" s="38"/>
      <c r="K77" s="40">
        <v>43597</v>
      </c>
      <c r="L77" s="41" t="s">
        <v>605</v>
      </c>
      <c r="M77" s="42">
        <v>43594</v>
      </c>
      <c r="N77" s="43" t="s">
        <v>561</v>
      </c>
      <c r="O77" s="42">
        <v>43598</v>
      </c>
      <c r="P77" s="45"/>
      <c r="Q77" s="38" t="s">
        <v>641</v>
      </c>
      <c r="R77" s="66" t="s">
        <v>211</v>
      </c>
      <c r="S77" s="38"/>
    </row>
    <row r="78" spans="2:19" s="32" customFormat="1" ht="33" customHeight="1">
      <c r="B78" s="46" t="s">
        <v>210</v>
      </c>
      <c r="C78" s="35" t="s">
        <v>648</v>
      </c>
      <c r="D78" s="36" t="s">
        <v>633</v>
      </c>
      <c r="E78" s="37">
        <v>43523</v>
      </c>
      <c r="F78" s="38" t="s">
        <v>218</v>
      </c>
      <c r="G78" s="39">
        <v>640</v>
      </c>
      <c r="H78" s="38">
        <f>SUM(G78/20)</f>
        <v>32</v>
      </c>
      <c r="I78" s="38">
        <f>SUM(H78/32)</f>
        <v>1</v>
      </c>
      <c r="J78" s="38"/>
      <c r="K78" s="130">
        <v>43618</v>
      </c>
      <c r="L78" s="119" t="s">
        <v>977</v>
      </c>
      <c r="M78" s="120">
        <v>43613</v>
      </c>
      <c r="N78" s="121" t="s">
        <v>766</v>
      </c>
      <c r="O78" s="120">
        <v>43618</v>
      </c>
      <c r="P78" s="45"/>
      <c r="Q78" s="38" t="s">
        <v>641</v>
      </c>
      <c r="R78" s="66" t="s">
        <v>211</v>
      </c>
      <c r="S78" s="38"/>
    </row>
    <row r="79" spans="2:19" s="32" customFormat="1" ht="33" customHeight="1">
      <c r="B79" s="46" t="s">
        <v>210</v>
      </c>
      <c r="C79" s="35" t="s">
        <v>738</v>
      </c>
      <c r="D79" s="36" t="s">
        <v>739</v>
      </c>
      <c r="E79" s="37">
        <v>43532</v>
      </c>
      <c r="F79" s="38" t="s">
        <v>218</v>
      </c>
      <c r="G79" s="39">
        <v>2560</v>
      </c>
      <c r="H79" s="38">
        <f t="shared" ref="H79:H80" si="11">SUM(G79/20)</f>
        <v>128</v>
      </c>
      <c r="I79" s="38">
        <f t="shared" ref="I79:I80" si="12">SUM(H79/32)</f>
        <v>4</v>
      </c>
      <c r="J79" s="38"/>
      <c r="K79" s="130">
        <v>43618</v>
      </c>
      <c r="L79" s="119" t="s">
        <v>977</v>
      </c>
      <c r="M79" s="120">
        <v>43613</v>
      </c>
      <c r="N79" s="121" t="s">
        <v>766</v>
      </c>
      <c r="O79" s="120">
        <v>43618</v>
      </c>
      <c r="P79" s="45"/>
      <c r="Q79" s="124" t="s">
        <v>970</v>
      </c>
      <c r="R79" s="66" t="s">
        <v>211</v>
      </c>
      <c r="S79" s="38"/>
    </row>
    <row r="80" spans="2:19" s="32" customFormat="1" ht="33" customHeight="1">
      <c r="B80" s="122" t="s">
        <v>210</v>
      </c>
      <c r="C80" s="126" t="s">
        <v>589</v>
      </c>
      <c r="D80" s="127"/>
      <c r="E80" s="128">
        <v>43558</v>
      </c>
      <c r="F80" s="124" t="s">
        <v>218</v>
      </c>
      <c r="G80" s="129">
        <v>3200</v>
      </c>
      <c r="H80" s="124">
        <f t="shared" si="11"/>
        <v>160</v>
      </c>
      <c r="I80" s="124">
        <f t="shared" si="12"/>
        <v>5</v>
      </c>
      <c r="J80" s="124"/>
      <c r="K80" s="130">
        <v>43639</v>
      </c>
      <c r="L80" s="119" t="s">
        <v>978</v>
      </c>
      <c r="M80" s="120">
        <v>43634</v>
      </c>
      <c r="N80" s="121" t="s">
        <v>764</v>
      </c>
      <c r="O80" s="120">
        <v>43639</v>
      </c>
      <c r="P80" s="123"/>
      <c r="Q80" s="124" t="s">
        <v>973</v>
      </c>
      <c r="R80" s="134" t="s">
        <v>211</v>
      </c>
      <c r="S80" s="124"/>
    </row>
    <row r="81" spans="2:19" s="34" customFormat="1" ht="33" customHeight="1">
      <c r="B81" s="47" t="s">
        <v>215</v>
      </c>
      <c r="C81" s="48" t="s">
        <v>207</v>
      </c>
      <c r="D81" s="49" t="s">
        <v>416</v>
      </c>
      <c r="E81" s="50"/>
      <c r="F81" s="52" t="s">
        <v>228</v>
      </c>
      <c r="G81" s="51">
        <v>640</v>
      </c>
      <c r="H81" s="52">
        <f t="shared" si="9"/>
        <v>32</v>
      </c>
      <c r="I81" s="52">
        <f t="shared" si="10"/>
        <v>1</v>
      </c>
      <c r="J81" s="52"/>
      <c r="K81" s="53">
        <v>43513</v>
      </c>
      <c r="L81" s="54" t="s">
        <v>276</v>
      </c>
      <c r="M81" s="55">
        <v>43508</v>
      </c>
      <c r="N81" s="56" t="s">
        <v>345</v>
      </c>
      <c r="O81" s="55">
        <v>43513</v>
      </c>
      <c r="P81" s="58"/>
      <c r="Q81" s="52"/>
      <c r="R81" s="63" t="s">
        <v>211</v>
      </c>
      <c r="S81" s="52"/>
    </row>
    <row r="82" spans="2:19" s="34" customFormat="1" ht="33" customHeight="1">
      <c r="B82" s="47" t="s">
        <v>215</v>
      </c>
      <c r="C82" s="48" t="s">
        <v>234</v>
      </c>
      <c r="D82" s="49" t="s">
        <v>635</v>
      </c>
      <c r="E82" s="50">
        <v>43519</v>
      </c>
      <c r="F82" s="52" t="s">
        <v>228</v>
      </c>
      <c r="G82" s="51">
        <v>1280</v>
      </c>
      <c r="H82" s="52">
        <f t="shared" si="9"/>
        <v>64</v>
      </c>
      <c r="I82" s="52">
        <f t="shared" si="10"/>
        <v>2</v>
      </c>
      <c r="J82" s="52"/>
      <c r="K82" s="53">
        <v>43576</v>
      </c>
      <c r="L82" s="54" t="s">
        <v>644</v>
      </c>
      <c r="M82" s="55">
        <v>43550</v>
      </c>
      <c r="N82" s="56" t="s">
        <v>344</v>
      </c>
      <c r="O82" s="55">
        <v>43555</v>
      </c>
      <c r="P82" s="58" t="s">
        <v>655</v>
      </c>
      <c r="Q82" s="52" t="s">
        <v>613</v>
      </c>
      <c r="R82" s="63" t="s">
        <v>211</v>
      </c>
      <c r="S82" s="52"/>
    </row>
    <row r="83" spans="2:19" s="32" customFormat="1" ht="33" customHeight="1">
      <c r="B83" s="46" t="s">
        <v>215</v>
      </c>
      <c r="C83" s="35" t="s">
        <v>235</v>
      </c>
      <c r="D83" s="36" t="s">
        <v>744</v>
      </c>
      <c r="E83" s="37">
        <v>43532</v>
      </c>
      <c r="F83" s="38" t="s">
        <v>228</v>
      </c>
      <c r="G83" s="39">
        <v>1280</v>
      </c>
      <c r="H83" s="38">
        <f t="shared" si="9"/>
        <v>64</v>
      </c>
      <c r="I83" s="38">
        <f t="shared" si="10"/>
        <v>2</v>
      </c>
      <c r="J83" s="38"/>
      <c r="K83" s="40">
        <v>43597</v>
      </c>
      <c r="L83" s="41" t="s">
        <v>605</v>
      </c>
      <c r="M83" s="42">
        <v>43594</v>
      </c>
      <c r="N83" s="43" t="s">
        <v>772</v>
      </c>
      <c r="O83" s="42">
        <v>43598</v>
      </c>
      <c r="P83" s="45"/>
      <c r="Q83" s="38" t="s">
        <v>641</v>
      </c>
      <c r="R83" s="66" t="s">
        <v>211</v>
      </c>
      <c r="S83" s="38"/>
    </row>
    <row r="84" spans="2:19" s="30" customFormat="1" ht="33" customHeight="1">
      <c r="B84" s="46" t="s">
        <v>86</v>
      </c>
      <c r="C84" s="35" t="s">
        <v>225</v>
      </c>
      <c r="D84" s="36" t="s">
        <v>487</v>
      </c>
      <c r="E84" s="37">
        <v>43490</v>
      </c>
      <c r="F84" s="38" t="s">
        <v>87</v>
      </c>
      <c r="G84" s="39">
        <v>1520</v>
      </c>
      <c r="H84" s="38">
        <f>SUM(G84/190)</f>
        <v>8</v>
      </c>
      <c r="I84" s="38">
        <f>SUM(H84/4)</f>
        <v>2</v>
      </c>
      <c r="J84" s="38"/>
      <c r="K84" s="40">
        <v>43569</v>
      </c>
      <c r="L84" s="41" t="s">
        <v>417</v>
      </c>
      <c r="M84" s="42">
        <v>43564</v>
      </c>
      <c r="N84" s="43" t="s">
        <v>405</v>
      </c>
      <c r="O84" s="42">
        <v>43569</v>
      </c>
      <c r="P84" s="45"/>
      <c r="Q84" s="38"/>
      <c r="R84" s="66" t="s">
        <v>495</v>
      </c>
      <c r="S84" s="46"/>
    </row>
    <row r="85" spans="2:19" s="30" customFormat="1" ht="33" customHeight="1">
      <c r="B85" s="46" t="s">
        <v>86</v>
      </c>
      <c r="C85" s="35" t="s">
        <v>226</v>
      </c>
      <c r="D85" s="36" t="s">
        <v>833</v>
      </c>
      <c r="E85" s="37">
        <v>43546</v>
      </c>
      <c r="F85" s="38" t="s">
        <v>87</v>
      </c>
      <c r="G85" s="39">
        <v>1520</v>
      </c>
      <c r="H85" s="38">
        <f>SUM(G85/190)</f>
        <v>8</v>
      </c>
      <c r="I85" s="38">
        <f>SUM(H85/4)</f>
        <v>2</v>
      </c>
      <c r="J85" s="38"/>
      <c r="K85" s="130">
        <v>43632</v>
      </c>
      <c r="L85" s="119" t="s">
        <v>838</v>
      </c>
      <c r="M85" s="120">
        <v>43627</v>
      </c>
      <c r="N85" s="121" t="s">
        <v>769</v>
      </c>
      <c r="O85" s="120">
        <v>43632</v>
      </c>
      <c r="P85" s="45"/>
      <c r="Q85" s="38"/>
      <c r="R85" s="134" t="s">
        <v>928</v>
      </c>
      <c r="S85" s="46"/>
    </row>
    <row r="86" spans="2:19" s="33" customFormat="1" ht="33" customHeight="1">
      <c r="B86" s="47" t="s">
        <v>223</v>
      </c>
      <c r="C86" s="48" t="s">
        <v>90</v>
      </c>
      <c r="D86" s="49" t="s">
        <v>237</v>
      </c>
      <c r="E86" s="50"/>
      <c r="F86" s="47" t="s">
        <v>236</v>
      </c>
      <c r="G86" s="51">
        <v>800</v>
      </c>
      <c r="H86" s="52">
        <f t="shared" ref="H86:H95" si="13">SUM(G86/200)</f>
        <v>4</v>
      </c>
      <c r="I86" s="52">
        <f t="shared" ref="I86:I95" si="14">SUM(H86/4)</f>
        <v>1</v>
      </c>
      <c r="J86" s="52"/>
      <c r="K86" s="53">
        <v>43513</v>
      </c>
      <c r="L86" s="54" t="s">
        <v>348</v>
      </c>
      <c r="M86" s="55">
        <v>43515</v>
      </c>
      <c r="N86" s="56" t="s">
        <v>347</v>
      </c>
      <c r="O86" s="55">
        <v>43520</v>
      </c>
      <c r="P86" s="58" t="s">
        <v>505</v>
      </c>
      <c r="Q86" s="52"/>
      <c r="R86" s="63"/>
      <c r="S86" s="47"/>
    </row>
    <row r="87" spans="2:19" s="33" customFormat="1" ht="33" customHeight="1">
      <c r="B87" s="47" t="s">
        <v>223</v>
      </c>
      <c r="C87" s="48" t="s">
        <v>90</v>
      </c>
      <c r="D87" s="49" t="s">
        <v>237</v>
      </c>
      <c r="E87" s="50"/>
      <c r="F87" s="47" t="s">
        <v>236</v>
      </c>
      <c r="G87" s="51">
        <v>1600</v>
      </c>
      <c r="H87" s="52">
        <f t="shared" si="13"/>
        <v>8</v>
      </c>
      <c r="I87" s="52">
        <f t="shared" si="14"/>
        <v>2</v>
      </c>
      <c r="J87" s="52"/>
      <c r="K87" s="53">
        <v>43520</v>
      </c>
      <c r="L87" s="54" t="s">
        <v>348</v>
      </c>
      <c r="M87" s="55">
        <v>43515</v>
      </c>
      <c r="N87" s="56" t="s">
        <v>347</v>
      </c>
      <c r="O87" s="55">
        <v>43520</v>
      </c>
      <c r="P87" s="58" t="s">
        <v>506</v>
      </c>
      <c r="Q87" s="52"/>
      <c r="R87" s="63"/>
      <c r="S87" s="47"/>
    </row>
    <row r="88" spans="2:19" s="33" customFormat="1" ht="33" customHeight="1">
      <c r="B88" s="47" t="s">
        <v>223</v>
      </c>
      <c r="C88" s="48" t="s">
        <v>399</v>
      </c>
      <c r="D88" s="49" t="s">
        <v>237</v>
      </c>
      <c r="E88" s="50"/>
      <c r="F88" s="47" t="s">
        <v>236</v>
      </c>
      <c r="G88" s="51">
        <v>2400</v>
      </c>
      <c r="H88" s="52">
        <f t="shared" si="13"/>
        <v>12</v>
      </c>
      <c r="I88" s="52">
        <f t="shared" si="14"/>
        <v>3</v>
      </c>
      <c r="J88" s="52"/>
      <c r="K88" s="53">
        <v>43527</v>
      </c>
      <c r="L88" s="54" t="s">
        <v>402</v>
      </c>
      <c r="M88" s="55">
        <v>43531</v>
      </c>
      <c r="N88" s="56" t="s">
        <v>568</v>
      </c>
      <c r="O88" s="55">
        <v>43535</v>
      </c>
      <c r="P88" s="58"/>
      <c r="Q88" s="52"/>
      <c r="R88" s="63"/>
      <c r="S88" s="47" t="s">
        <v>611</v>
      </c>
    </row>
    <row r="89" spans="2:19" s="33" customFormat="1" ht="33" customHeight="1">
      <c r="B89" s="47" t="s">
        <v>238</v>
      </c>
      <c r="C89" s="48" t="s">
        <v>227</v>
      </c>
      <c r="D89" s="49" t="s">
        <v>435</v>
      </c>
      <c r="E89" s="50"/>
      <c r="F89" s="52" t="s">
        <v>236</v>
      </c>
      <c r="G89" s="51">
        <v>2400</v>
      </c>
      <c r="H89" s="52">
        <f t="shared" si="13"/>
        <v>12</v>
      </c>
      <c r="I89" s="52">
        <f t="shared" si="14"/>
        <v>3</v>
      </c>
      <c r="J89" s="52"/>
      <c r="K89" s="53">
        <v>43548</v>
      </c>
      <c r="L89" s="54" t="s">
        <v>401</v>
      </c>
      <c r="M89" s="55">
        <v>43543</v>
      </c>
      <c r="N89" s="56" t="s">
        <v>400</v>
      </c>
      <c r="O89" s="55">
        <v>43548</v>
      </c>
      <c r="P89" s="58"/>
      <c r="Q89" s="52"/>
      <c r="R89" s="63"/>
      <c r="S89" s="47"/>
    </row>
    <row r="90" spans="2:19" s="30" customFormat="1" ht="33" customHeight="1">
      <c r="B90" s="46" t="s">
        <v>238</v>
      </c>
      <c r="C90" s="35" t="s">
        <v>274</v>
      </c>
      <c r="D90" s="36" t="s">
        <v>474</v>
      </c>
      <c r="E90" s="37"/>
      <c r="F90" s="38" t="s">
        <v>236</v>
      </c>
      <c r="G90" s="39">
        <v>3200</v>
      </c>
      <c r="H90" s="38">
        <f t="shared" si="13"/>
        <v>16</v>
      </c>
      <c r="I90" s="38">
        <f t="shared" si="14"/>
        <v>4</v>
      </c>
      <c r="J90" s="38"/>
      <c r="K90" s="40">
        <v>43562</v>
      </c>
      <c r="L90" s="41" t="s">
        <v>406</v>
      </c>
      <c r="M90" s="42">
        <v>43557</v>
      </c>
      <c r="N90" s="43" t="s">
        <v>403</v>
      </c>
      <c r="O90" s="42">
        <v>43562</v>
      </c>
      <c r="P90" s="45"/>
      <c r="Q90" s="38"/>
      <c r="R90" s="66"/>
      <c r="S90" s="46"/>
    </row>
    <row r="91" spans="2:19" s="30" customFormat="1" ht="33" customHeight="1">
      <c r="B91" s="46" t="s">
        <v>238</v>
      </c>
      <c r="C91" s="35" t="s">
        <v>404</v>
      </c>
      <c r="D91" s="36" t="s">
        <v>475</v>
      </c>
      <c r="E91" s="37"/>
      <c r="F91" s="38" t="s">
        <v>236</v>
      </c>
      <c r="G91" s="39">
        <v>1600</v>
      </c>
      <c r="H91" s="38">
        <f t="shared" si="13"/>
        <v>8</v>
      </c>
      <c r="I91" s="38">
        <f t="shared" si="14"/>
        <v>2</v>
      </c>
      <c r="J91" s="38"/>
      <c r="K91" s="40">
        <v>43562</v>
      </c>
      <c r="L91" s="41" t="s">
        <v>407</v>
      </c>
      <c r="M91" s="42">
        <v>43564</v>
      </c>
      <c r="N91" s="43" t="s">
        <v>405</v>
      </c>
      <c r="O91" s="42">
        <v>43569</v>
      </c>
      <c r="P91" s="45"/>
      <c r="Q91" s="38"/>
      <c r="R91" s="66"/>
      <c r="S91" s="46"/>
    </row>
    <row r="92" spans="2:19" s="30" customFormat="1" ht="33" customHeight="1">
      <c r="B92" s="46" t="s">
        <v>238</v>
      </c>
      <c r="C92" s="35" t="s">
        <v>490</v>
      </c>
      <c r="D92" s="36" t="s">
        <v>488</v>
      </c>
      <c r="E92" s="37">
        <v>43495</v>
      </c>
      <c r="F92" s="38" t="s">
        <v>236</v>
      </c>
      <c r="G92" s="39">
        <v>1600</v>
      </c>
      <c r="H92" s="38">
        <f t="shared" si="13"/>
        <v>8</v>
      </c>
      <c r="I92" s="38">
        <f t="shared" si="14"/>
        <v>2</v>
      </c>
      <c r="J92" s="38"/>
      <c r="K92" s="40">
        <v>43583</v>
      </c>
      <c r="L92" s="41" t="s">
        <v>481</v>
      </c>
      <c r="M92" s="42">
        <v>43578</v>
      </c>
      <c r="N92" s="43" t="s">
        <v>447</v>
      </c>
      <c r="O92" s="42">
        <v>43583</v>
      </c>
      <c r="P92" s="45"/>
      <c r="Q92" s="38"/>
      <c r="R92" s="66"/>
      <c r="S92" s="46"/>
    </row>
    <row r="93" spans="2:19" s="30" customFormat="1" ht="33" customHeight="1">
      <c r="B93" s="46" t="s">
        <v>238</v>
      </c>
      <c r="C93" s="35" t="s">
        <v>597</v>
      </c>
      <c r="D93" s="36" t="s">
        <v>598</v>
      </c>
      <c r="E93" s="37">
        <v>43519</v>
      </c>
      <c r="F93" s="38" t="s">
        <v>236</v>
      </c>
      <c r="G93" s="39">
        <v>3200</v>
      </c>
      <c r="H93" s="38">
        <f t="shared" si="13"/>
        <v>16</v>
      </c>
      <c r="I93" s="38">
        <f t="shared" si="14"/>
        <v>4</v>
      </c>
      <c r="J93" s="38"/>
      <c r="K93" s="40">
        <v>43597</v>
      </c>
      <c r="L93" s="41" t="s">
        <v>606</v>
      </c>
      <c r="M93" s="42">
        <v>43592</v>
      </c>
      <c r="N93" s="43" t="s">
        <v>600</v>
      </c>
      <c r="O93" s="42">
        <v>43597</v>
      </c>
      <c r="P93" s="45"/>
      <c r="Q93" s="38"/>
      <c r="R93" s="66"/>
      <c r="S93" s="46"/>
    </row>
    <row r="94" spans="2:19" s="30" customFormat="1" ht="33" customHeight="1">
      <c r="B94" s="46" t="s">
        <v>238</v>
      </c>
      <c r="C94" s="35" t="s">
        <v>226</v>
      </c>
      <c r="D94" s="36" t="s">
        <v>749</v>
      </c>
      <c r="E94" s="37">
        <v>43532</v>
      </c>
      <c r="F94" s="38" t="s">
        <v>236</v>
      </c>
      <c r="G94" s="39">
        <v>3200</v>
      </c>
      <c r="H94" s="38">
        <f t="shared" si="13"/>
        <v>16</v>
      </c>
      <c r="I94" s="38">
        <f t="shared" si="14"/>
        <v>4</v>
      </c>
      <c r="J94" s="38"/>
      <c r="K94" s="40">
        <v>43625</v>
      </c>
      <c r="L94" s="41" t="s">
        <v>777</v>
      </c>
      <c r="M94" s="42">
        <v>43620</v>
      </c>
      <c r="N94" s="43" t="s">
        <v>768</v>
      </c>
      <c r="O94" s="42" t="s">
        <v>775</v>
      </c>
      <c r="P94" s="45"/>
      <c r="Q94" s="38"/>
      <c r="R94" s="66"/>
      <c r="S94" s="46"/>
    </row>
    <row r="95" spans="2:19" s="30" customFormat="1" ht="33" customHeight="1">
      <c r="B95" s="46" t="s">
        <v>238</v>
      </c>
      <c r="C95" s="35" t="s">
        <v>233</v>
      </c>
      <c r="D95" s="36" t="s">
        <v>750</v>
      </c>
      <c r="E95" s="37">
        <v>43532</v>
      </c>
      <c r="F95" s="38" t="s">
        <v>236</v>
      </c>
      <c r="G95" s="39">
        <v>3200</v>
      </c>
      <c r="H95" s="38">
        <f t="shared" si="13"/>
        <v>16</v>
      </c>
      <c r="I95" s="38">
        <f t="shared" si="14"/>
        <v>4</v>
      </c>
      <c r="J95" s="38"/>
      <c r="K95" s="40">
        <v>43646</v>
      </c>
      <c r="L95" s="41" t="s">
        <v>778</v>
      </c>
      <c r="M95" s="42">
        <v>43641</v>
      </c>
      <c r="N95" s="43" t="s">
        <v>776</v>
      </c>
      <c r="O95" s="42">
        <v>43646</v>
      </c>
      <c r="P95" s="45"/>
      <c r="Q95" s="38"/>
      <c r="R95" s="66"/>
      <c r="S95" s="46"/>
    </row>
    <row r="96" spans="2:19" s="30" customFormat="1">
      <c r="C96" s="22"/>
      <c r="D96" s="23"/>
      <c r="G96" s="24"/>
      <c r="K96" s="25"/>
      <c r="M96" s="26"/>
      <c r="N96" s="28"/>
      <c r="O96" s="26"/>
      <c r="R96" s="27"/>
    </row>
    <row r="97" spans="2:19" s="30" customFormat="1">
      <c r="C97" s="22"/>
      <c r="D97" s="23"/>
      <c r="G97" s="24"/>
      <c r="I97" s="30" t="s">
        <v>292</v>
      </c>
      <c r="K97" s="25"/>
      <c r="M97" s="26"/>
      <c r="N97" s="28"/>
      <c r="O97" s="26"/>
      <c r="R97" s="27"/>
    </row>
    <row r="98" spans="2:19" s="19" customFormat="1">
      <c r="B98"/>
      <c r="C98" s="15"/>
      <c r="D98" s="1"/>
      <c r="E98"/>
      <c r="F98"/>
      <c r="G98" s="11"/>
      <c r="H98"/>
      <c r="I98"/>
      <c r="J98"/>
      <c r="K98" s="13"/>
      <c r="L98"/>
      <c r="N98" s="28"/>
      <c r="P98"/>
      <c r="Q98"/>
      <c r="R98" s="17"/>
      <c r="S98"/>
    </row>
    <row r="99" spans="2:19" s="19" customFormat="1">
      <c r="B99"/>
      <c r="C99" s="15"/>
      <c r="D99" s="1"/>
      <c r="E99"/>
      <c r="F99"/>
      <c r="G99" s="11"/>
      <c r="H99"/>
      <c r="I99"/>
      <c r="J99"/>
      <c r="K99" s="13"/>
      <c r="L99"/>
      <c r="N99" s="28"/>
      <c r="P99"/>
      <c r="Q99"/>
      <c r="R99" s="17"/>
      <c r="S99"/>
    </row>
    <row r="100" spans="2:19" s="19" customFormat="1">
      <c r="B100"/>
      <c r="C100" s="15"/>
      <c r="D100" s="1"/>
      <c r="E100"/>
      <c r="F100"/>
      <c r="G100" s="11"/>
      <c r="H100"/>
      <c r="I100"/>
      <c r="J100"/>
      <c r="K100" s="13"/>
      <c r="L100"/>
      <c r="N100" s="28"/>
      <c r="P100"/>
      <c r="Q100"/>
      <c r="R100" s="17"/>
      <c r="S100"/>
    </row>
    <row r="101" spans="2:19" s="19" customFormat="1">
      <c r="B101"/>
      <c r="C101" s="15"/>
      <c r="D101" s="1"/>
      <c r="E101"/>
      <c r="F101"/>
      <c r="G101" s="11"/>
      <c r="H101"/>
      <c r="I101"/>
      <c r="J101"/>
      <c r="K101" s="13"/>
      <c r="L101"/>
      <c r="N101" s="28"/>
      <c r="P101"/>
      <c r="Q101"/>
      <c r="R101" s="17"/>
      <c r="S101"/>
    </row>
    <row r="102" spans="2:19" s="19" customFormat="1">
      <c r="B102"/>
      <c r="C102" s="15"/>
      <c r="D102" s="1"/>
      <c r="E102"/>
      <c r="F102"/>
      <c r="G102" s="11"/>
      <c r="H102"/>
      <c r="I102"/>
      <c r="J102"/>
      <c r="K102" s="13"/>
      <c r="L102"/>
      <c r="N102" s="28"/>
      <c r="P102"/>
      <c r="Q102"/>
      <c r="R102" s="17"/>
      <c r="S102"/>
    </row>
    <row r="103" spans="2:19" s="19" customFormat="1">
      <c r="B103"/>
      <c r="C103" s="15"/>
      <c r="D103" s="1"/>
      <c r="E103"/>
      <c r="F103"/>
      <c r="G103" s="11"/>
      <c r="H103"/>
      <c r="I103"/>
      <c r="J103"/>
      <c r="K103" s="13"/>
      <c r="L103"/>
      <c r="N103" s="28"/>
      <c r="P103"/>
      <c r="Q103"/>
      <c r="R103" s="17"/>
      <c r="S103"/>
    </row>
    <row r="104" spans="2:19">
      <c r="N104" s="28"/>
    </row>
    <row r="105" spans="2:19">
      <c r="N105" s="28"/>
    </row>
    <row r="106" spans="2:19">
      <c r="N106" s="28"/>
    </row>
    <row r="107" spans="2:19">
      <c r="N107" s="28"/>
    </row>
    <row r="108" spans="2:19">
      <c r="N108" s="28"/>
    </row>
    <row r="109" spans="2:19" s="19" customFormat="1">
      <c r="B109"/>
      <c r="C109" s="15"/>
      <c r="D109" s="1"/>
      <c r="E109"/>
      <c r="F109"/>
      <c r="G109" s="11"/>
      <c r="H109"/>
      <c r="I109"/>
      <c r="J109"/>
      <c r="K109" s="13"/>
      <c r="L109"/>
      <c r="N109" s="28"/>
      <c r="P109"/>
      <c r="Q109"/>
      <c r="R109" s="17"/>
      <c r="S109"/>
    </row>
    <row r="110" spans="2:19" s="19" customFormat="1">
      <c r="B110"/>
      <c r="C110" s="15"/>
      <c r="D110" s="1"/>
      <c r="E110"/>
      <c r="F110"/>
      <c r="G110" s="11"/>
      <c r="H110"/>
      <c r="I110"/>
      <c r="J110"/>
      <c r="K110" s="13"/>
      <c r="L110"/>
      <c r="N110" s="28"/>
      <c r="P110"/>
      <c r="Q110"/>
      <c r="R110" s="17"/>
      <c r="S110"/>
    </row>
    <row r="111" spans="2:19" s="19" customFormat="1">
      <c r="B111"/>
      <c r="C111" s="15"/>
      <c r="D111" s="1"/>
      <c r="E111"/>
      <c r="F111"/>
      <c r="G111" s="11"/>
      <c r="H111"/>
      <c r="I111"/>
      <c r="J111"/>
      <c r="K111" s="13"/>
      <c r="L111"/>
      <c r="N111" s="28"/>
      <c r="P111"/>
      <c r="Q111"/>
      <c r="R111" s="17"/>
      <c r="S111"/>
    </row>
    <row r="112" spans="2:19" s="19" customFormat="1">
      <c r="B112"/>
      <c r="C112" s="15"/>
      <c r="D112" s="1"/>
      <c r="E112"/>
      <c r="F112"/>
      <c r="G112" s="11"/>
      <c r="H112"/>
      <c r="I112"/>
      <c r="J112"/>
      <c r="K112" s="13"/>
      <c r="L112"/>
      <c r="N112" s="28"/>
      <c r="P112"/>
      <c r="Q112"/>
      <c r="R112" s="17"/>
      <c r="S112"/>
    </row>
    <row r="113" spans="2:19" s="19" customFormat="1">
      <c r="B113"/>
      <c r="C113" s="15"/>
      <c r="D113" s="1"/>
      <c r="E113"/>
      <c r="F113"/>
      <c r="G113" s="11"/>
      <c r="H113"/>
      <c r="I113"/>
      <c r="J113"/>
      <c r="K113" s="13"/>
      <c r="L113"/>
      <c r="N113" s="28"/>
      <c r="P113"/>
      <c r="Q113"/>
      <c r="R113" s="17"/>
      <c r="S113"/>
    </row>
    <row r="114" spans="2:19" s="19" customFormat="1">
      <c r="B114"/>
      <c r="C114" s="15"/>
      <c r="D114" s="1"/>
      <c r="E114"/>
      <c r="F114"/>
      <c r="G114" s="11"/>
      <c r="H114"/>
      <c r="I114"/>
      <c r="J114"/>
      <c r="K114" s="13"/>
      <c r="L114"/>
      <c r="N114" s="28"/>
      <c r="P114"/>
      <c r="Q114"/>
      <c r="R114" s="17"/>
      <c r="S114"/>
    </row>
  </sheetData>
  <autoFilter ref="B2:R95" xr:uid="{00000000-0009-0000-0000-000026000000}"/>
  <phoneticPr fontId="1"/>
  <pageMargins left="0.23622047244094491" right="0.23622047244094491" top="0.35433070866141736" bottom="0.35433070866141736" header="0.31496062992125984" footer="0.31496062992125984"/>
  <pageSetup paperSize="9" scale="94" fitToHeight="0" orientation="landscape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43" filterMode="1">
    <pageSetUpPr fitToPage="1"/>
  </sheetPr>
  <dimension ref="B1:S114"/>
  <sheetViews>
    <sheetView zoomScale="80" zoomScaleNormal="80" workbookViewId="0">
      <pane xSplit="3" ySplit="2" topLeftCell="D3" activePane="bottomRight" state="frozen"/>
      <selection activeCell="B70" sqref="B70"/>
      <selection pane="topRight" activeCell="B70" sqref="B70"/>
      <selection pane="bottomLeft" activeCell="B70" sqref="B70"/>
      <selection pane="bottomRight" activeCell="E101" sqref="E101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15.87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4.8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C2" s="14" t="s">
        <v>293</v>
      </c>
      <c r="D2" s="5" t="s">
        <v>0</v>
      </c>
      <c r="E2" s="6" t="s">
        <v>294</v>
      </c>
      <c r="F2" s="6" t="s">
        <v>295</v>
      </c>
      <c r="G2" s="10" t="s">
        <v>1</v>
      </c>
      <c r="H2" s="6" t="s">
        <v>15</v>
      </c>
      <c r="I2" s="6" t="s">
        <v>16</v>
      </c>
      <c r="J2" s="6" t="s">
        <v>450</v>
      </c>
      <c r="K2" s="12" t="s">
        <v>296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219</v>
      </c>
      <c r="Q2" s="6" t="s">
        <v>527</v>
      </c>
      <c r="R2" s="16" t="s">
        <v>6</v>
      </c>
      <c r="S2" s="16" t="s">
        <v>669</v>
      </c>
    </row>
    <row r="3" spans="2:19" s="33" customFormat="1" ht="33" hidden="1" customHeight="1">
      <c r="B3" s="47" t="s">
        <v>220</v>
      </c>
      <c r="C3" s="48" t="s">
        <v>396</v>
      </c>
      <c r="D3" s="49" t="s">
        <v>262</v>
      </c>
      <c r="E3" s="50">
        <v>43378</v>
      </c>
      <c r="F3" s="49" t="s">
        <v>79</v>
      </c>
      <c r="G3" s="51">
        <v>10000</v>
      </c>
      <c r="H3" s="52">
        <f t="shared" ref="H3:H27" si="0">SUM(G3/250)</f>
        <v>40</v>
      </c>
      <c r="I3" s="52">
        <f t="shared" ref="I3:I35" si="1">SUM(H3/4)</f>
        <v>10</v>
      </c>
      <c r="J3" s="49"/>
      <c r="K3" s="53">
        <v>43485</v>
      </c>
      <c r="L3" s="54" t="s">
        <v>419</v>
      </c>
      <c r="M3" s="55">
        <v>43500</v>
      </c>
      <c r="N3" s="56" t="s">
        <v>337</v>
      </c>
      <c r="O3" s="55">
        <v>43506</v>
      </c>
      <c r="P3" s="54"/>
      <c r="Q3" s="49"/>
      <c r="R3" s="57" t="s">
        <v>251</v>
      </c>
      <c r="S3" s="47" t="s">
        <v>418</v>
      </c>
    </row>
    <row r="4" spans="2:19" s="33" customFormat="1" ht="33" hidden="1" customHeight="1">
      <c r="B4" s="47" t="s">
        <v>220</v>
      </c>
      <c r="C4" s="48" t="s">
        <v>277</v>
      </c>
      <c r="D4" s="49" t="s">
        <v>289</v>
      </c>
      <c r="E4" s="50">
        <v>43392</v>
      </c>
      <c r="F4" s="49" t="s">
        <v>79</v>
      </c>
      <c r="G4" s="51">
        <v>20000</v>
      </c>
      <c r="H4" s="52">
        <f t="shared" si="0"/>
        <v>80</v>
      </c>
      <c r="I4" s="52">
        <f t="shared" si="1"/>
        <v>20</v>
      </c>
      <c r="J4" s="49"/>
      <c r="K4" s="53">
        <v>43141</v>
      </c>
      <c r="L4" s="54" t="s">
        <v>338</v>
      </c>
      <c r="M4" s="55">
        <v>43500</v>
      </c>
      <c r="N4" s="56" t="s">
        <v>337</v>
      </c>
      <c r="O4" s="55">
        <v>43141</v>
      </c>
      <c r="P4" s="54"/>
      <c r="Q4" s="49"/>
      <c r="R4" s="57" t="s">
        <v>355</v>
      </c>
      <c r="S4" s="47"/>
    </row>
    <row r="5" spans="2:19" s="33" customFormat="1" ht="33" hidden="1" customHeight="1">
      <c r="B5" s="47" t="s">
        <v>78</v>
      </c>
      <c r="C5" s="48" t="s">
        <v>254</v>
      </c>
      <c r="D5" s="49" t="s">
        <v>264</v>
      </c>
      <c r="E5" s="50">
        <v>43378</v>
      </c>
      <c r="F5" s="49" t="s">
        <v>79</v>
      </c>
      <c r="G5" s="51">
        <v>20000</v>
      </c>
      <c r="H5" s="52">
        <f t="shared" si="0"/>
        <v>80</v>
      </c>
      <c r="I5" s="52">
        <f t="shared" si="1"/>
        <v>20</v>
      </c>
      <c r="J5" s="49"/>
      <c r="K5" s="53">
        <v>43141</v>
      </c>
      <c r="L5" s="54" t="s">
        <v>338</v>
      </c>
      <c r="M5" s="55">
        <v>43500</v>
      </c>
      <c r="N5" s="56" t="s">
        <v>337</v>
      </c>
      <c r="O5" s="55">
        <v>43141</v>
      </c>
      <c r="P5" s="54"/>
      <c r="Q5" s="49" t="s">
        <v>82</v>
      </c>
      <c r="R5" s="57" t="s">
        <v>356</v>
      </c>
      <c r="S5" s="47"/>
    </row>
    <row r="6" spans="2:19" s="33" customFormat="1" ht="33" hidden="1" customHeight="1">
      <c r="B6" s="47" t="s">
        <v>78</v>
      </c>
      <c r="C6" s="48" t="s">
        <v>301</v>
      </c>
      <c r="D6" s="49" t="s">
        <v>302</v>
      </c>
      <c r="E6" s="50">
        <v>43420</v>
      </c>
      <c r="F6" s="49" t="s">
        <v>63</v>
      </c>
      <c r="G6" s="51">
        <v>40000</v>
      </c>
      <c r="H6" s="52">
        <f t="shared" si="0"/>
        <v>160</v>
      </c>
      <c r="I6" s="52">
        <f t="shared" si="1"/>
        <v>40</v>
      </c>
      <c r="J6" s="49"/>
      <c r="K6" s="53">
        <v>43513</v>
      </c>
      <c r="L6" s="54" t="s">
        <v>340</v>
      </c>
      <c r="M6" s="55">
        <v>43504</v>
      </c>
      <c r="N6" s="56" t="s">
        <v>339</v>
      </c>
      <c r="O6" s="55">
        <v>43148</v>
      </c>
      <c r="P6" s="54"/>
      <c r="Q6" s="49" t="s">
        <v>82</v>
      </c>
      <c r="R6" s="57" t="s">
        <v>357</v>
      </c>
      <c r="S6" s="47"/>
    </row>
    <row r="7" spans="2:19" s="33" customFormat="1" ht="33" hidden="1" customHeight="1">
      <c r="B7" s="47" t="s">
        <v>220</v>
      </c>
      <c r="C7" s="48" t="s">
        <v>304</v>
      </c>
      <c r="D7" s="49" t="s">
        <v>305</v>
      </c>
      <c r="E7" s="50">
        <v>43420</v>
      </c>
      <c r="F7" s="49" t="s">
        <v>297</v>
      </c>
      <c r="G7" s="51">
        <v>10000</v>
      </c>
      <c r="H7" s="52">
        <f t="shared" si="0"/>
        <v>40</v>
      </c>
      <c r="I7" s="52">
        <f t="shared" si="1"/>
        <v>10</v>
      </c>
      <c r="J7" s="49"/>
      <c r="K7" s="53">
        <v>43155</v>
      </c>
      <c r="L7" s="54" t="s">
        <v>342</v>
      </c>
      <c r="M7" s="55">
        <v>43514</v>
      </c>
      <c r="N7" s="56" t="s">
        <v>341</v>
      </c>
      <c r="O7" s="55">
        <v>43155</v>
      </c>
      <c r="P7" s="54"/>
      <c r="Q7" s="49"/>
      <c r="R7" s="57" t="s">
        <v>358</v>
      </c>
      <c r="S7" s="47"/>
    </row>
    <row r="8" spans="2:19" s="33" customFormat="1" ht="33" hidden="1" customHeight="1">
      <c r="B8" s="47" t="s">
        <v>78</v>
      </c>
      <c r="C8" s="48" t="s">
        <v>306</v>
      </c>
      <c r="D8" s="49" t="s">
        <v>307</v>
      </c>
      <c r="E8" s="50">
        <v>43420</v>
      </c>
      <c r="F8" s="49" t="s">
        <v>240</v>
      </c>
      <c r="G8" s="51">
        <v>30000</v>
      </c>
      <c r="H8" s="52">
        <f t="shared" si="0"/>
        <v>120</v>
      </c>
      <c r="I8" s="52">
        <f t="shared" si="1"/>
        <v>30</v>
      </c>
      <c r="J8" s="49"/>
      <c r="K8" s="53">
        <v>43520</v>
      </c>
      <c r="L8" s="54" t="s">
        <v>342</v>
      </c>
      <c r="M8" s="55">
        <v>43514</v>
      </c>
      <c r="N8" s="56" t="s">
        <v>341</v>
      </c>
      <c r="O8" s="55">
        <v>43155</v>
      </c>
      <c r="P8" s="54"/>
      <c r="Q8" s="49" t="s">
        <v>82</v>
      </c>
      <c r="R8" s="57" t="s">
        <v>359</v>
      </c>
      <c r="S8" s="47"/>
    </row>
    <row r="9" spans="2:19" s="33" customFormat="1" ht="33" hidden="1" customHeight="1">
      <c r="B9" s="47" t="s">
        <v>220</v>
      </c>
      <c r="C9" s="48" t="s">
        <v>309</v>
      </c>
      <c r="D9" s="49" t="s">
        <v>310</v>
      </c>
      <c r="E9" s="50">
        <v>43420</v>
      </c>
      <c r="F9" s="49" t="s">
        <v>79</v>
      </c>
      <c r="G9" s="51">
        <v>7000</v>
      </c>
      <c r="H9" s="52">
        <f t="shared" si="0"/>
        <v>28</v>
      </c>
      <c r="I9" s="52">
        <f t="shared" si="1"/>
        <v>7</v>
      </c>
      <c r="J9" s="49"/>
      <c r="K9" s="53">
        <v>43541</v>
      </c>
      <c r="L9" s="54" t="s">
        <v>388</v>
      </c>
      <c r="M9" s="55">
        <v>43542</v>
      </c>
      <c r="N9" s="56" t="s">
        <v>649</v>
      </c>
      <c r="O9" s="55">
        <v>43183</v>
      </c>
      <c r="P9" s="54" t="s">
        <v>753</v>
      </c>
      <c r="Q9" s="49"/>
      <c r="R9" s="57" t="s">
        <v>452</v>
      </c>
      <c r="S9" s="47"/>
    </row>
    <row r="10" spans="2:19" s="33" customFormat="1" ht="33" hidden="1" customHeight="1">
      <c r="B10" s="47" t="s">
        <v>78</v>
      </c>
      <c r="C10" s="48" t="s">
        <v>311</v>
      </c>
      <c r="D10" s="49" t="s">
        <v>312</v>
      </c>
      <c r="E10" s="50">
        <v>43420</v>
      </c>
      <c r="F10" s="49" t="s">
        <v>79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43169</v>
      </c>
      <c r="L10" s="54" t="s">
        <v>343</v>
      </c>
      <c r="M10" s="55">
        <v>43528</v>
      </c>
      <c r="N10" s="56" t="s">
        <v>439</v>
      </c>
      <c r="O10" s="55">
        <v>43534</v>
      </c>
      <c r="P10" s="54"/>
      <c r="Q10" s="49" t="s">
        <v>82</v>
      </c>
      <c r="R10" s="57" t="s">
        <v>373</v>
      </c>
      <c r="S10" s="47"/>
    </row>
    <row r="11" spans="2:19" s="33" customFormat="1" ht="33" hidden="1" customHeight="1">
      <c r="B11" s="47" t="s">
        <v>78</v>
      </c>
      <c r="C11" s="48" t="s">
        <v>374</v>
      </c>
      <c r="D11" s="49" t="s">
        <v>375</v>
      </c>
      <c r="E11" s="50">
        <v>43455</v>
      </c>
      <c r="F11" s="49" t="s">
        <v>79</v>
      </c>
      <c r="G11" s="51">
        <v>21000</v>
      </c>
      <c r="H11" s="52">
        <f t="shared" si="0"/>
        <v>84</v>
      </c>
      <c r="I11" s="52">
        <f t="shared" si="1"/>
        <v>21</v>
      </c>
      <c r="J11" s="49"/>
      <c r="K11" s="53">
        <v>43541</v>
      </c>
      <c r="L11" s="54" t="s">
        <v>388</v>
      </c>
      <c r="M11" s="55">
        <v>43542</v>
      </c>
      <c r="N11" s="56" t="s">
        <v>649</v>
      </c>
      <c r="O11" s="55">
        <v>43183</v>
      </c>
      <c r="P11" s="54" t="s">
        <v>754</v>
      </c>
      <c r="Q11" s="49" t="s">
        <v>82</v>
      </c>
      <c r="R11" s="57" t="s">
        <v>376</v>
      </c>
      <c r="S11" s="47"/>
    </row>
    <row r="12" spans="2:19" s="30" customFormat="1" ht="33" hidden="1" customHeight="1">
      <c r="B12" s="46" t="s">
        <v>220</v>
      </c>
      <c r="C12" s="35" t="s">
        <v>377</v>
      </c>
      <c r="D12" s="36" t="s">
        <v>378</v>
      </c>
      <c r="E12" s="37">
        <v>43455</v>
      </c>
      <c r="F12" s="36" t="s">
        <v>297</v>
      </c>
      <c r="G12" s="129">
        <v>14000</v>
      </c>
      <c r="H12" s="124">
        <f t="shared" ref="H12" si="2">SUM(G12/250)</f>
        <v>56</v>
      </c>
      <c r="I12" s="124">
        <f t="shared" ref="I12" si="3">SUM(H12/4)</f>
        <v>14</v>
      </c>
      <c r="J12" s="36"/>
      <c r="K12" s="40">
        <v>43548</v>
      </c>
      <c r="L12" s="41" t="s">
        <v>802</v>
      </c>
      <c r="M12" s="42">
        <v>43563</v>
      </c>
      <c r="N12" s="43" t="s">
        <v>438</v>
      </c>
      <c r="O12" s="42">
        <v>43569</v>
      </c>
      <c r="P12" s="119" t="s">
        <v>839</v>
      </c>
      <c r="Q12" s="36"/>
      <c r="R12" s="44" t="s">
        <v>379</v>
      </c>
      <c r="S12" s="46"/>
    </row>
    <row r="13" spans="2:19" s="33" customFormat="1" ht="33" hidden="1" customHeight="1">
      <c r="B13" s="47" t="s">
        <v>78</v>
      </c>
      <c r="C13" s="48" t="s">
        <v>380</v>
      </c>
      <c r="D13" s="49" t="s">
        <v>381</v>
      </c>
      <c r="E13" s="50">
        <v>43455</v>
      </c>
      <c r="F13" s="49" t="s">
        <v>240</v>
      </c>
      <c r="G13" s="51">
        <v>40000</v>
      </c>
      <c r="H13" s="52">
        <f t="shared" si="0"/>
        <v>160</v>
      </c>
      <c r="I13" s="52">
        <f t="shared" si="1"/>
        <v>40</v>
      </c>
      <c r="J13" s="49"/>
      <c r="K13" s="53">
        <v>43555</v>
      </c>
      <c r="L13" s="54" t="s">
        <v>389</v>
      </c>
      <c r="M13" s="55">
        <v>43549</v>
      </c>
      <c r="N13" s="56" t="s">
        <v>752</v>
      </c>
      <c r="O13" s="55">
        <v>43555</v>
      </c>
      <c r="P13" s="54" t="s">
        <v>755</v>
      </c>
      <c r="Q13" s="49" t="s">
        <v>82</v>
      </c>
      <c r="R13" s="57" t="s">
        <v>382</v>
      </c>
      <c r="S13" s="47"/>
    </row>
    <row r="14" spans="2:19" s="30" customFormat="1" ht="33" hidden="1" customHeight="1">
      <c r="B14" s="46" t="s">
        <v>220</v>
      </c>
      <c r="C14" s="35" t="s">
        <v>421</v>
      </c>
      <c r="D14" s="36" t="s">
        <v>453</v>
      </c>
      <c r="E14" s="37">
        <v>43483</v>
      </c>
      <c r="F14" s="36" t="s">
        <v>79</v>
      </c>
      <c r="G14" s="39">
        <v>20000</v>
      </c>
      <c r="H14" s="38">
        <f t="shared" si="0"/>
        <v>80</v>
      </c>
      <c r="I14" s="38">
        <f t="shared" si="1"/>
        <v>20</v>
      </c>
      <c r="J14" s="36"/>
      <c r="K14" s="40">
        <v>43576</v>
      </c>
      <c r="L14" s="41" t="s">
        <v>443</v>
      </c>
      <c r="M14" s="42">
        <v>43570</v>
      </c>
      <c r="N14" s="43" t="s">
        <v>440</v>
      </c>
      <c r="O14" s="42">
        <v>43576</v>
      </c>
      <c r="P14" s="41"/>
      <c r="Q14" s="36"/>
      <c r="R14" s="44" t="s">
        <v>454</v>
      </c>
      <c r="S14" s="46"/>
    </row>
    <row r="15" spans="2:19" s="30" customFormat="1" ht="33" hidden="1" customHeight="1">
      <c r="B15" s="46" t="s">
        <v>78</v>
      </c>
      <c r="C15" s="35" t="s">
        <v>422</v>
      </c>
      <c r="D15" s="36" t="s">
        <v>455</v>
      </c>
      <c r="E15" s="37">
        <v>43483</v>
      </c>
      <c r="F15" s="36" t="s">
        <v>297</v>
      </c>
      <c r="G15" s="39">
        <v>10000</v>
      </c>
      <c r="H15" s="38">
        <f>SUM(G15/250)</f>
        <v>40</v>
      </c>
      <c r="I15" s="38">
        <f t="shared" si="1"/>
        <v>10</v>
      </c>
      <c r="J15" s="36"/>
      <c r="K15" s="40">
        <v>43618</v>
      </c>
      <c r="L15" s="41" t="s">
        <v>456</v>
      </c>
      <c r="M15" s="42">
        <v>43612</v>
      </c>
      <c r="N15" s="43" t="s">
        <v>677</v>
      </c>
      <c r="O15" s="42">
        <v>43618</v>
      </c>
      <c r="P15" s="41"/>
      <c r="Q15" s="36" t="s">
        <v>82</v>
      </c>
      <c r="R15" s="44" t="s">
        <v>678</v>
      </c>
      <c r="S15" s="46"/>
    </row>
    <row r="16" spans="2:19" s="30" customFormat="1" ht="33" hidden="1" customHeight="1">
      <c r="B16" s="46" t="s">
        <v>220</v>
      </c>
      <c r="C16" s="35" t="s">
        <v>679</v>
      </c>
      <c r="D16" s="36" t="s">
        <v>455</v>
      </c>
      <c r="E16" s="37">
        <v>43523</v>
      </c>
      <c r="F16" s="36" t="s">
        <v>297</v>
      </c>
      <c r="G16" s="39">
        <v>10000</v>
      </c>
      <c r="H16" s="38">
        <f>SUM(G16/250)</f>
        <v>40</v>
      </c>
      <c r="I16" s="38">
        <f t="shared" si="1"/>
        <v>10</v>
      </c>
      <c r="J16" s="36"/>
      <c r="K16" s="40">
        <v>43618</v>
      </c>
      <c r="L16" s="41" t="s">
        <v>638</v>
      </c>
      <c r="M16" s="42">
        <v>43612</v>
      </c>
      <c r="N16" s="43" t="s">
        <v>636</v>
      </c>
      <c r="O16" s="42">
        <v>43618</v>
      </c>
      <c r="P16" s="41"/>
      <c r="Q16" s="36"/>
      <c r="R16" s="44" t="s">
        <v>680</v>
      </c>
      <c r="S16" s="46"/>
    </row>
    <row r="17" spans="2:19" s="30" customFormat="1" ht="33" hidden="1" customHeight="1">
      <c r="B17" s="46" t="s">
        <v>78</v>
      </c>
      <c r="C17" s="35" t="s">
        <v>423</v>
      </c>
      <c r="D17" s="36" t="s">
        <v>457</v>
      </c>
      <c r="E17" s="37">
        <v>43483</v>
      </c>
      <c r="F17" s="36" t="s">
        <v>79</v>
      </c>
      <c r="G17" s="39">
        <v>20000</v>
      </c>
      <c r="H17" s="38">
        <f t="shared" si="0"/>
        <v>80</v>
      </c>
      <c r="I17" s="38">
        <f t="shared" si="1"/>
        <v>20</v>
      </c>
      <c r="J17" s="36"/>
      <c r="K17" s="40">
        <v>43576</v>
      </c>
      <c r="L17" s="41" t="s">
        <v>443</v>
      </c>
      <c r="M17" s="42">
        <v>43570</v>
      </c>
      <c r="N17" s="43" t="s">
        <v>440</v>
      </c>
      <c r="O17" s="42">
        <v>43576</v>
      </c>
      <c r="P17" s="41"/>
      <c r="Q17" s="36" t="s">
        <v>82</v>
      </c>
      <c r="R17" s="44" t="s">
        <v>458</v>
      </c>
      <c r="S17" s="46"/>
    </row>
    <row r="18" spans="2:19" s="30" customFormat="1" ht="33" hidden="1" customHeight="1">
      <c r="B18" s="46" t="s">
        <v>220</v>
      </c>
      <c r="C18" s="35" t="s">
        <v>425</v>
      </c>
      <c r="D18" s="36" t="s">
        <v>459</v>
      </c>
      <c r="E18" s="37">
        <v>43483</v>
      </c>
      <c r="F18" s="36" t="s">
        <v>79</v>
      </c>
      <c r="G18" s="39">
        <v>20000</v>
      </c>
      <c r="H18" s="38">
        <f t="shared" si="0"/>
        <v>80</v>
      </c>
      <c r="I18" s="38">
        <f t="shared" si="1"/>
        <v>20</v>
      </c>
      <c r="J18" s="36"/>
      <c r="K18" s="40">
        <v>43583</v>
      </c>
      <c r="L18" s="41" t="s">
        <v>460</v>
      </c>
      <c r="M18" s="42">
        <v>43577</v>
      </c>
      <c r="N18" s="43" t="s">
        <v>461</v>
      </c>
      <c r="O18" s="42">
        <v>43583</v>
      </c>
      <c r="P18" s="41"/>
      <c r="Q18" s="36"/>
      <c r="R18" s="44" t="s">
        <v>681</v>
      </c>
      <c r="S18" s="46"/>
    </row>
    <row r="19" spans="2:19" s="30" customFormat="1" ht="33" hidden="1" customHeight="1">
      <c r="B19" s="46" t="s">
        <v>78</v>
      </c>
      <c r="C19" s="35" t="s">
        <v>462</v>
      </c>
      <c r="D19" s="36" t="s">
        <v>483</v>
      </c>
      <c r="E19" s="37">
        <v>43490</v>
      </c>
      <c r="F19" s="36" t="s">
        <v>79</v>
      </c>
      <c r="G19" s="39">
        <v>20000</v>
      </c>
      <c r="H19" s="38">
        <f t="shared" si="0"/>
        <v>80</v>
      </c>
      <c r="I19" s="38">
        <f t="shared" si="1"/>
        <v>20</v>
      </c>
      <c r="J19" s="36"/>
      <c r="K19" s="40">
        <v>43583</v>
      </c>
      <c r="L19" s="41" t="s">
        <v>460</v>
      </c>
      <c r="M19" s="42">
        <v>43577</v>
      </c>
      <c r="N19" s="43" t="s">
        <v>461</v>
      </c>
      <c r="O19" s="42">
        <v>43583</v>
      </c>
      <c r="P19" s="41"/>
      <c r="Q19" s="36" t="s">
        <v>82</v>
      </c>
      <c r="R19" s="44" t="s">
        <v>513</v>
      </c>
      <c r="S19" s="46"/>
    </row>
    <row r="20" spans="2:19" s="30" customFormat="1" ht="33" hidden="1" customHeight="1">
      <c r="B20" s="46" t="s">
        <v>78</v>
      </c>
      <c r="C20" s="35" t="s">
        <v>570</v>
      </c>
      <c r="D20" s="36" t="s">
        <v>571</v>
      </c>
      <c r="E20" s="37">
        <v>43519</v>
      </c>
      <c r="F20" s="36" t="s">
        <v>79</v>
      </c>
      <c r="G20" s="39">
        <v>20000</v>
      </c>
      <c r="H20" s="38">
        <f t="shared" si="0"/>
        <v>80</v>
      </c>
      <c r="I20" s="38">
        <f t="shared" si="1"/>
        <v>20</v>
      </c>
      <c r="J20" s="36"/>
      <c r="K20" s="40">
        <v>43590</v>
      </c>
      <c r="L20" s="41" t="s">
        <v>602</v>
      </c>
      <c r="M20" s="42">
        <v>43577</v>
      </c>
      <c r="N20" s="43" t="s">
        <v>461</v>
      </c>
      <c r="O20" s="42">
        <v>43583</v>
      </c>
      <c r="P20" s="41"/>
      <c r="Q20" s="36" t="s">
        <v>82</v>
      </c>
      <c r="R20" s="44" t="s">
        <v>840</v>
      </c>
      <c r="S20" s="46"/>
    </row>
    <row r="21" spans="2:19" s="30" customFormat="1" ht="33" hidden="1" customHeight="1">
      <c r="B21" s="46" t="s">
        <v>78</v>
      </c>
      <c r="C21" s="35" t="s">
        <v>573</v>
      </c>
      <c r="D21" s="36" t="s">
        <v>574</v>
      </c>
      <c r="E21" s="37">
        <v>43519</v>
      </c>
      <c r="F21" s="36" t="s">
        <v>79</v>
      </c>
      <c r="G21" s="39">
        <v>20000</v>
      </c>
      <c r="H21" s="38">
        <f t="shared" si="0"/>
        <v>80</v>
      </c>
      <c r="I21" s="38">
        <f t="shared" si="1"/>
        <v>20</v>
      </c>
      <c r="J21" s="36"/>
      <c r="K21" s="40">
        <v>43604</v>
      </c>
      <c r="L21" s="41" t="s">
        <v>757</v>
      </c>
      <c r="M21" s="42">
        <v>43598</v>
      </c>
      <c r="N21" s="43" t="s">
        <v>756</v>
      </c>
      <c r="O21" s="42">
        <v>43604</v>
      </c>
      <c r="P21" s="41"/>
      <c r="Q21" s="36" t="s">
        <v>82</v>
      </c>
      <c r="R21" s="44" t="s">
        <v>841</v>
      </c>
      <c r="S21" s="46"/>
    </row>
    <row r="22" spans="2:19" s="30" customFormat="1" ht="33" hidden="1" customHeight="1">
      <c r="B22" s="46" t="s">
        <v>78</v>
      </c>
      <c r="C22" s="35" t="s">
        <v>576</v>
      </c>
      <c r="D22" s="36" t="s">
        <v>577</v>
      </c>
      <c r="E22" s="37">
        <v>43519</v>
      </c>
      <c r="F22" s="36" t="s">
        <v>79</v>
      </c>
      <c r="G22" s="39">
        <v>20000</v>
      </c>
      <c r="H22" s="38">
        <f t="shared" si="0"/>
        <v>80</v>
      </c>
      <c r="I22" s="38">
        <f t="shared" si="1"/>
        <v>20</v>
      </c>
      <c r="J22" s="36"/>
      <c r="K22" s="40">
        <v>43611</v>
      </c>
      <c r="L22" s="41" t="s">
        <v>842</v>
      </c>
      <c r="M22" s="42">
        <v>43605</v>
      </c>
      <c r="N22" s="43" t="s">
        <v>843</v>
      </c>
      <c r="O22" s="42">
        <v>43611</v>
      </c>
      <c r="P22" s="41"/>
      <c r="Q22" s="36" t="s">
        <v>82</v>
      </c>
      <c r="R22" s="44" t="s">
        <v>684</v>
      </c>
      <c r="S22" s="46"/>
    </row>
    <row r="23" spans="2:19" s="30" customFormat="1" ht="33" hidden="1" customHeight="1">
      <c r="B23" s="46" t="s">
        <v>78</v>
      </c>
      <c r="C23" s="35" t="s">
        <v>819</v>
      </c>
      <c r="D23" s="36" t="s">
        <v>577</v>
      </c>
      <c r="E23" s="37">
        <v>43519</v>
      </c>
      <c r="F23" s="36" t="s">
        <v>297</v>
      </c>
      <c r="G23" s="39">
        <v>10000</v>
      </c>
      <c r="H23" s="38">
        <f t="shared" si="0"/>
        <v>40</v>
      </c>
      <c r="I23" s="38">
        <f t="shared" si="1"/>
        <v>10</v>
      </c>
      <c r="J23" s="36"/>
      <c r="K23" s="40">
        <v>43598</v>
      </c>
      <c r="L23" s="41" t="s">
        <v>803</v>
      </c>
      <c r="M23" s="42">
        <v>43598</v>
      </c>
      <c r="N23" s="43" t="s">
        <v>804</v>
      </c>
      <c r="O23" s="42">
        <v>43604</v>
      </c>
      <c r="P23" s="41"/>
      <c r="Q23" s="36" t="s">
        <v>82</v>
      </c>
      <c r="R23" s="44" t="s">
        <v>844</v>
      </c>
      <c r="S23" s="46"/>
    </row>
    <row r="24" spans="2:19" s="30" customFormat="1" ht="33" hidden="1" customHeight="1">
      <c r="B24" s="46" t="s">
        <v>220</v>
      </c>
      <c r="C24" s="35" t="s">
        <v>579</v>
      </c>
      <c r="D24" s="36" t="s">
        <v>580</v>
      </c>
      <c r="E24" s="37">
        <v>43519</v>
      </c>
      <c r="F24" s="36" t="s">
        <v>79</v>
      </c>
      <c r="G24" s="39">
        <v>10000</v>
      </c>
      <c r="H24" s="38">
        <f t="shared" si="0"/>
        <v>40</v>
      </c>
      <c r="I24" s="38">
        <f t="shared" si="1"/>
        <v>10</v>
      </c>
      <c r="J24" s="36"/>
      <c r="K24" s="40">
        <v>43598</v>
      </c>
      <c r="L24" s="41" t="s">
        <v>803</v>
      </c>
      <c r="M24" s="42">
        <v>43598</v>
      </c>
      <c r="N24" s="43" t="s">
        <v>804</v>
      </c>
      <c r="O24" s="42">
        <v>43604</v>
      </c>
      <c r="P24" s="41"/>
      <c r="Q24" s="36"/>
      <c r="R24" s="44" t="s">
        <v>821</v>
      </c>
      <c r="S24" s="46"/>
    </row>
    <row r="25" spans="2:19" s="30" customFormat="1" ht="33" hidden="1" customHeight="1">
      <c r="B25" s="46" t="s">
        <v>78</v>
      </c>
      <c r="C25" s="35" t="s">
        <v>685</v>
      </c>
      <c r="D25" s="36" t="s">
        <v>686</v>
      </c>
      <c r="E25" s="37">
        <v>43532</v>
      </c>
      <c r="F25" s="36" t="s">
        <v>79</v>
      </c>
      <c r="G25" s="39">
        <v>20000</v>
      </c>
      <c r="H25" s="38">
        <f t="shared" si="0"/>
        <v>80</v>
      </c>
      <c r="I25" s="38">
        <f t="shared" si="1"/>
        <v>20</v>
      </c>
      <c r="J25" s="36"/>
      <c r="K25" s="40">
        <v>43625</v>
      </c>
      <c r="L25" s="41" t="s">
        <v>761</v>
      </c>
      <c r="M25" s="42">
        <v>43619</v>
      </c>
      <c r="N25" s="43" t="s">
        <v>758</v>
      </c>
      <c r="O25" s="42">
        <v>43625</v>
      </c>
      <c r="P25" s="41"/>
      <c r="Q25" s="36" t="s">
        <v>82</v>
      </c>
      <c r="R25" s="44" t="s">
        <v>823</v>
      </c>
      <c r="S25" s="46"/>
    </row>
    <row r="26" spans="2:19" s="30" customFormat="1" ht="33" hidden="1" customHeight="1">
      <c r="B26" s="46" t="s">
        <v>220</v>
      </c>
      <c r="C26" s="35" t="s">
        <v>688</v>
      </c>
      <c r="D26" s="36" t="s">
        <v>689</v>
      </c>
      <c r="E26" s="37">
        <v>43532</v>
      </c>
      <c r="F26" s="36" t="s">
        <v>79</v>
      </c>
      <c r="G26" s="39">
        <v>20000</v>
      </c>
      <c r="H26" s="38">
        <f t="shared" si="0"/>
        <v>80</v>
      </c>
      <c r="I26" s="38">
        <f t="shared" si="1"/>
        <v>20</v>
      </c>
      <c r="J26" s="36"/>
      <c r="K26" s="40">
        <v>43632</v>
      </c>
      <c r="L26" s="41" t="s">
        <v>762</v>
      </c>
      <c r="M26" s="42">
        <v>43626</v>
      </c>
      <c r="N26" s="43" t="s">
        <v>759</v>
      </c>
      <c r="O26" s="42">
        <v>43632</v>
      </c>
      <c r="P26" s="41"/>
      <c r="Q26" s="36"/>
      <c r="R26" s="44" t="s">
        <v>845</v>
      </c>
      <c r="S26" s="46"/>
    </row>
    <row r="27" spans="2:19" s="30" customFormat="1" ht="33" hidden="1" customHeight="1">
      <c r="B27" s="46" t="s">
        <v>78</v>
      </c>
      <c r="C27" s="35" t="s">
        <v>691</v>
      </c>
      <c r="D27" s="36" t="s">
        <v>692</v>
      </c>
      <c r="E27" s="37">
        <v>43532</v>
      </c>
      <c r="F27" s="36" t="s">
        <v>79</v>
      </c>
      <c r="G27" s="39">
        <v>20000</v>
      </c>
      <c r="H27" s="38">
        <f t="shared" si="0"/>
        <v>80</v>
      </c>
      <c r="I27" s="38">
        <f t="shared" si="1"/>
        <v>20</v>
      </c>
      <c r="J27" s="36"/>
      <c r="K27" s="40">
        <v>43639</v>
      </c>
      <c r="L27" s="41" t="s">
        <v>763</v>
      </c>
      <c r="M27" s="42">
        <v>43633</v>
      </c>
      <c r="N27" s="43" t="s">
        <v>760</v>
      </c>
      <c r="O27" s="42">
        <v>43639</v>
      </c>
      <c r="P27" s="41"/>
      <c r="Q27" s="36" t="s">
        <v>82</v>
      </c>
      <c r="R27" s="44" t="s">
        <v>693</v>
      </c>
      <c r="S27" s="46"/>
    </row>
    <row r="28" spans="2:19" s="96" customFormat="1" ht="33" hidden="1" customHeight="1">
      <c r="B28" s="47" t="s">
        <v>17</v>
      </c>
      <c r="C28" s="48" t="s">
        <v>353</v>
      </c>
      <c r="D28" s="49" t="s">
        <v>383</v>
      </c>
      <c r="E28" s="50">
        <v>43434</v>
      </c>
      <c r="F28" s="52" t="s">
        <v>84</v>
      </c>
      <c r="G28" s="51">
        <v>9200</v>
      </c>
      <c r="H28" s="52">
        <f t="shared" ref="H28:H35" si="4">SUM(G28/230)</f>
        <v>40</v>
      </c>
      <c r="I28" s="52">
        <f t="shared" si="1"/>
        <v>10</v>
      </c>
      <c r="J28" s="49"/>
      <c r="K28" s="53">
        <v>43148</v>
      </c>
      <c r="L28" s="54" t="s">
        <v>276</v>
      </c>
      <c r="M28" s="55">
        <v>43508</v>
      </c>
      <c r="N28" s="56" t="s">
        <v>345</v>
      </c>
      <c r="O28" s="55">
        <v>43513</v>
      </c>
      <c r="P28" s="58"/>
      <c r="Q28" s="52" t="s">
        <v>82</v>
      </c>
      <c r="R28" s="57" t="s">
        <v>360</v>
      </c>
      <c r="S28" s="47"/>
    </row>
    <row r="29" spans="2:19" s="96" customFormat="1" ht="33" hidden="1" customHeight="1">
      <c r="B29" s="47" t="s">
        <v>17</v>
      </c>
      <c r="C29" s="48" t="s">
        <v>361</v>
      </c>
      <c r="D29" s="49" t="s">
        <v>384</v>
      </c>
      <c r="E29" s="50">
        <v>43441</v>
      </c>
      <c r="F29" s="52" t="s">
        <v>84</v>
      </c>
      <c r="G29" s="51">
        <v>9200</v>
      </c>
      <c r="H29" s="52">
        <f t="shared" si="4"/>
        <v>40</v>
      </c>
      <c r="I29" s="52">
        <f t="shared" si="1"/>
        <v>10</v>
      </c>
      <c r="J29" s="49"/>
      <c r="K29" s="53">
        <v>43548</v>
      </c>
      <c r="L29" s="54" t="s">
        <v>476</v>
      </c>
      <c r="M29" s="55">
        <v>43543</v>
      </c>
      <c r="N29" s="56" t="s">
        <v>400</v>
      </c>
      <c r="O29" s="55">
        <v>43548</v>
      </c>
      <c r="P29" s="58"/>
      <c r="Q29" s="52" t="s">
        <v>82</v>
      </c>
      <c r="R29" s="57" t="s">
        <v>362</v>
      </c>
      <c r="S29" s="47"/>
    </row>
    <row r="30" spans="2:19" s="67" customFormat="1" ht="33" hidden="1" customHeight="1">
      <c r="B30" s="46" t="s">
        <v>17</v>
      </c>
      <c r="C30" s="35" t="s">
        <v>427</v>
      </c>
      <c r="D30" s="36" t="s">
        <v>514</v>
      </c>
      <c r="E30" s="37">
        <v>43483</v>
      </c>
      <c r="F30" s="38" t="s">
        <v>84</v>
      </c>
      <c r="G30" s="39">
        <v>9200</v>
      </c>
      <c r="H30" s="38">
        <f t="shared" si="4"/>
        <v>40</v>
      </c>
      <c r="I30" s="38">
        <f t="shared" si="1"/>
        <v>10</v>
      </c>
      <c r="J30" s="36"/>
      <c r="K30" s="40">
        <v>43576</v>
      </c>
      <c r="L30" s="41" t="s">
        <v>464</v>
      </c>
      <c r="M30" s="42">
        <v>43571</v>
      </c>
      <c r="N30" s="43" t="s">
        <v>465</v>
      </c>
      <c r="O30" s="42">
        <v>43576</v>
      </c>
      <c r="P30" s="45"/>
      <c r="Q30" s="38" t="s">
        <v>82</v>
      </c>
      <c r="R30" s="44" t="s">
        <v>466</v>
      </c>
      <c r="S30" s="46"/>
    </row>
    <row r="31" spans="2:19" s="67" customFormat="1" ht="33" hidden="1" customHeight="1">
      <c r="B31" s="46" t="s">
        <v>17</v>
      </c>
      <c r="C31" s="35" t="s">
        <v>581</v>
      </c>
      <c r="D31" s="36" t="s">
        <v>582</v>
      </c>
      <c r="E31" s="37">
        <v>43519</v>
      </c>
      <c r="F31" s="38" t="s">
        <v>84</v>
      </c>
      <c r="G31" s="39">
        <v>9200</v>
      </c>
      <c r="H31" s="38">
        <f t="shared" si="4"/>
        <v>40</v>
      </c>
      <c r="I31" s="38">
        <f t="shared" si="1"/>
        <v>10</v>
      </c>
      <c r="J31" s="36"/>
      <c r="K31" s="40">
        <v>43632</v>
      </c>
      <c r="L31" s="41" t="s">
        <v>807</v>
      </c>
      <c r="M31" s="42">
        <v>43627</v>
      </c>
      <c r="N31" s="43" t="s">
        <v>769</v>
      </c>
      <c r="O31" s="42">
        <v>43632</v>
      </c>
      <c r="P31" s="45"/>
      <c r="Q31" s="38" t="s">
        <v>82</v>
      </c>
      <c r="R31" s="44" t="s">
        <v>846</v>
      </c>
      <c r="S31" s="46"/>
    </row>
    <row r="32" spans="2:19" s="67" customFormat="1" ht="33" hidden="1" customHeight="1">
      <c r="B32" s="46" t="s">
        <v>17</v>
      </c>
      <c r="C32" s="35" t="s">
        <v>694</v>
      </c>
      <c r="D32" s="36" t="s">
        <v>695</v>
      </c>
      <c r="E32" s="37">
        <v>43532</v>
      </c>
      <c r="F32" s="38" t="s">
        <v>213</v>
      </c>
      <c r="G32" s="39">
        <v>9200</v>
      </c>
      <c r="H32" s="38">
        <f t="shared" si="4"/>
        <v>40</v>
      </c>
      <c r="I32" s="38">
        <f t="shared" si="1"/>
        <v>10</v>
      </c>
      <c r="J32" s="36"/>
      <c r="K32" s="40">
        <v>43667</v>
      </c>
      <c r="L32" s="41" t="s">
        <v>837</v>
      </c>
      <c r="M32" s="42">
        <v>43662</v>
      </c>
      <c r="N32" s="43" t="s">
        <v>847</v>
      </c>
      <c r="O32" s="42">
        <v>43667</v>
      </c>
      <c r="P32" s="45"/>
      <c r="Q32" s="38" t="s">
        <v>82</v>
      </c>
      <c r="R32" s="44" t="s">
        <v>848</v>
      </c>
      <c r="S32" s="46"/>
    </row>
    <row r="33" spans="2:19" s="96" customFormat="1" ht="33" hidden="1" customHeight="1">
      <c r="B33" s="47" t="s">
        <v>33</v>
      </c>
      <c r="C33" s="48" t="s">
        <v>230</v>
      </c>
      <c r="D33" s="49" t="s">
        <v>231</v>
      </c>
      <c r="E33" s="50"/>
      <c r="F33" s="52"/>
      <c r="G33" s="51">
        <v>9200</v>
      </c>
      <c r="H33" s="52">
        <f t="shared" si="4"/>
        <v>40</v>
      </c>
      <c r="I33" s="52">
        <f t="shared" si="1"/>
        <v>10</v>
      </c>
      <c r="J33" s="49"/>
      <c r="K33" s="53">
        <v>43155</v>
      </c>
      <c r="L33" s="54" t="s">
        <v>365</v>
      </c>
      <c r="M33" s="55">
        <v>43515</v>
      </c>
      <c r="N33" s="56" t="s">
        <v>347</v>
      </c>
      <c r="O33" s="55">
        <v>43520</v>
      </c>
      <c r="P33" s="58" t="s">
        <v>385</v>
      </c>
      <c r="Q33" s="52"/>
      <c r="R33" s="57" t="s">
        <v>366</v>
      </c>
      <c r="S33" s="47" t="s">
        <v>216</v>
      </c>
    </row>
    <row r="34" spans="2:19" s="67" customFormat="1" ht="33" hidden="1" customHeight="1">
      <c r="B34" s="46" t="s">
        <v>33</v>
      </c>
      <c r="C34" s="35" t="s">
        <v>255</v>
      </c>
      <c r="D34" s="36" t="s">
        <v>269</v>
      </c>
      <c r="E34" s="37">
        <v>43378</v>
      </c>
      <c r="F34" s="38" t="s">
        <v>84</v>
      </c>
      <c r="G34" s="39">
        <v>18400</v>
      </c>
      <c r="H34" s="38">
        <f t="shared" si="4"/>
        <v>80</v>
      </c>
      <c r="I34" s="38">
        <f t="shared" si="1"/>
        <v>20</v>
      </c>
      <c r="J34" s="36"/>
      <c r="K34" s="141" t="s">
        <v>467</v>
      </c>
      <c r="L34" s="142"/>
      <c r="M34" s="143"/>
      <c r="N34" s="144"/>
      <c r="O34" s="143"/>
      <c r="P34" s="45"/>
      <c r="Q34" s="38"/>
      <c r="R34" s="44" t="s">
        <v>363</v>
      </c>
      <c r="S34" s="46"/>
    </row>
    <row r="35" spans="2:19" s="67" customFormat="1" ht="33" hidden="1" customHeight="1">
      <c r="B35" s="46" t="s">
        <v>81</v>
      </c>
      <c r="C35" s="35" t="s">
        <v>279</v>
      </c>
      <c r="D35" s="36" t="s">
        <v>288</v>
      </c>
      <c r="E35" s="37">
        <v>43392</v>
      </c>
      <c r="F35" s="38" t="s">
        <v>84</v>
      </c>
      <c r="G35" s="39">
        <v>13800</v>
      </c>
      <c r="H35" s="38">
        <f t="shared" si="4"/>
        <v>60</v>
      </c>
      <c r="I35" s="38">
        <f t="shared" si="1"/>
        <v>15</v>
      </c>
      <c r="J35" s="38"/>
      <c r="K35" s="40">
        <v>43597</v>
      </c>
      <c r="L35" s="41" t="s">
        <v>697</v>
      </c>
      <c r="M35" s="42">
        <v>43594</v>
      </c>
      <c r="N35" s="43" t="s">
        <v>624</v>
      </c>
      <c r="O35" s="42">
        <v>43598</v>
      </c>
      <c r="P35" s="45"/>
      <c r="Q35" s="46"/>
      <c r="R35" s="44" t="s">
        <v>547</v>
      </c>
      <c r="S35" s="46"/>
    </row>
    <row r="36" spans="2:19" s="96" customFormat="1" ht="33" hidden="1" customHeight="1">
      <c r="B36" s="47" t="s">
        <v>81</v>
      </c>
      <c r="C36" s="48" t="s">
        <v>316</v>
      </c>
      <c r="D36" s="49" t="s">
        <v>317</v>
      </c>
      <c r="E36" s="50">
        <v>43420</v>
      </c>
      <c r="F36" s="52" t="s">
        <v>213</v>
      </c>
      <c r="G36" s="51">
        <v>18400</v>
      </c>
      <c r="H36" s="52">
        <f>SUM(G36/230)</f>
        <v>80</v>
      </c>
      <c r="I36" s="52">
        <f>SUM(H36/4)</f>
        <v>20</v>
      </c>
      <c r="J36" s="52"/>
      <c r="K36" s="53">
        <v>43525</v>
      </c>
      <c r="L36" s="54" t="s">
        <v>365</v>
      </c>
      <c r="M36" s="55">
        <v>43515</v>
      </c>
      <c r="N36" s="56" t="s">
        <v>347</v>
      </c>
      <c r="O36" s="55">
        <v>43520</v>
      </c>
      <c r="P36" s="58" t="s">
        <v>393</v>
      </c>
      <c r="Q36" s="47"/>
      <c r="R36" s="57" t="s">
        <v>349</v>
      </c>
      <c r="S36" s="47" t="s">
        <v>350</v>
      </c>
    </row>
    <row r="37" spans="2:19" s="67" customFormat="1" ht="33" hidden="1" customHeight="1">
      <c r="B37" s="46" t="s">
        <v>81</v>
      </c>
      <c r="C37" s="35" t="s">
        <v>318</v>
      </c>
      <c r="D37" s="36" t="s">
        <v>319</v>
      </c>
      <c r="E37" s="37">
        <v>43420</v>
      </c>
      <c r="F37" s="38" t="s">
        <v>213</v>
      </c>
      <c r="G37" s="39">
        <v>17940</v>
      </c>
      <c r="H37" s="38">
        <f>SUM(G37/230)</f>
        <v>78</v>
      </c>
      <c r="I37" s="38">
        <f>SUM(H37/4)</f>
        <v>19.5</v>
      </c>
      <c r="J37" s="38"/>
      <c r="K37" s="40">
        <v>43576</v>
      </c>
      <c r="L37" s="41" t="s">
        <v>480</v>
      </c>
      <c r="M37" s="42">
        <v>43564</v>
      </c>
      <c r="N37" s="43" t="s">
        <v>437</v>
      </c>
      <c r="O37" s="42">
        <v>43569</v>
      </c>
      <c r="P37" s="45"/>
      <c r="Q37" s="46"/>
      <c r="R37" s="44" t="s">
        <v>516</v>
      </c>
      <c r="S37" s="46" t="s">
        <v>391</v>
      </c>
    </row>
    <row r="38" spans="2:19" s="67" customFormat="1" ht="33" hidden="1" customHeight="1">
      <c r="B38" s="46" t="s">
        <v>81</v>
      </c>
      <c r="C38" s="35" t="s">
        <v>849</v>
      </c>
      <c r="D38" s="36" t="s">
        <v>701</v>
      </c>
      <c r="E38" s="37">
        <v>43532</v>
      </c>
      <c r="F38" s="38" t="s">
        <v>213</v>
      </c>
      <c r="G38" s="39">
        <v>13800</v>
      </c>
      <c r="H38" s="38">
        <f t="shared" ref="H38:H41" si="5">SUM(G38/230)</f>
        <v>60</v>
      </c>
      <c r="I38" s="38">
        <f t="shared" ref="I38:I41" si="6">SUM(H38/4)</f>
        <v>15</v>
      </c>
      <c r="J38" s="38"/>
      <c r="K38" s="130">
        <v>43625</v>
      </c>
      <c r="L38" s="119" t="s">
        <v>975</v>
      </c>
      <c r="M38" s="120">
        <v>43620</v>
      </c>
      <c r="N38" s="121" t="s">
        <v>968</v>
      </c>
      <c r="O38" s="120">
        <v>43625</v>
      </c>
      <c r="P38" s="45"/>
      <c r="Q38" s="46"/>
      <c r="R38" s="125" t="s">
        <v>850</v>
      </c>
      <c r="S38" s="46"/>
    </row>
    <row r="39" spans="2:19" s="67" customFormat="1" ht="33" hidden="1" customHeight="1">
      <c r="B39" s="46" t="s">
        <v>81</v>
      </c>
      <c r="C39" s="35" t="s">
        <v>702</v>
      </c>
      <c r="D39" s="36" t="s">
        <v>703</v>
      </c>
      <c r="E39" s="37">
        <v>43532</v>
      </c>
      <c r="F39" s="38" t="s">
        <v>213</v>
      </c>
      <c r="G39" s="39">
        <v>9200</v>
      </c>
      <c r="H39" s="38">
        <f t="shared" si="5"/>
        <v>40</v>
      </c>
      <c r="I39" s="38">
        <f t="shared" si="6"/>
        <v>10</v>
      </c>
      <c r="J39" s="38"/>
      <c r="K39" s="130">
        <v>43646</v>
      </c>
      <c r="L39" s="119" t="s">
        <v>976</v>
      </c>
      <c r="M39" s="120">
        <v>43641</v>
      </c>
      <c r="N39" s="121" t="s">
        <v>969</v>
      </c>
      <c r="O39" s="120">
        <v>43646</v>
      </c>
      <c r="P39" s="45"/>
      <c r="Q39" s="46"/>
      <c r="R39" s="125" t="s">
        <v>851</v>
      </c>
      <c r="S39" s="46"/>
    </row>
    <row r="40" spans="2:19" s="67" customFormat="1" ht="33" hidden="1" customHeight="1">
      <c r="B40" s="122" t="s">
        <v>81</v>
      </c>
      <c r="C40" s="126" t="s">
        <v>852</v>
      </c>
      <c r="D40" s="127"/>
      <c r="E40" s="128">
        <v>43558</v>
      </c>
      <c r="F40" s="124" t="s">
        <v>213</v>
      </c>
      <c r="G40" s="129">
        <v>9200</v>
      </c>
      <c r="H40" s="124">
        <f t="shared" si="5"/>
        <v>40</v>
      </c>
      <c r="I40" s="124">
        <f t="shared" si="6"/>
        <v>10</v>
      </c>
      <c r="J40" s="124"/>
      <c r="K40" s="130">
        <v>43646</v>
      </c>
      <c r="L40" s="119" t="s">
        <v>976</v>
      </c>
      <c r="M40" s="120">
        <v>43641</v>
      </c>
      <c r="N40" s="121" t="s">
        <v>969</v>
      </c>
      <c r="O40" s="120">
        <v>43646</v>
      </c>
      <c r="P40" s="123"/>
      <c r="Q40" s="122"/>
      <c r="R40" s="125" t="s">
        <v>851</v>
      </c>
      <c r="S40" s="122"/>
    </row>
    <row r="41" spans="2:19" s="67" customFormat="1" ht="33" hidden="1" customHeight="1">
      <c r="B41" s="135" t="s">
        <v>853</v>
      </c>
      <c r="C41" s="136" t="s">
        <v>209</v>
      </c>
      <c r="D41" s="137" t="s">
        <v>705</v>
      </c>
      <c r="E41" s="138">
        <v>43532</v>
      </c>
      <c r="F41" s="139" t="s">
        <v>213</v>
      </c>
      <c r="G41" s="140">
        <v>920</v>
      </c>
      <c r="H41" s="139">
        <f t="shared" si="5"/>
        <v>4</v>
      </c>
      <c r="I41" s="139">
        <f t="shared" si="6"/>
        <v>1</v>
      </c>
      <c r="J41" s="139"/>
      <c r="K41" s="141">
        <v>43609</v>
      </c>
      <c r="L41" s="142"/>
      <c r="M41" s="143"/>
      <c r="N41" s="144"/>
      <c r="O41" s="143"/>
      <c r="P41" s="145"/>
      <c r="Q41" s="135"/>
      <c r="R41" s="146"/>
      <c r="S41" s="135" t="s">
        <v>828</v>
      </c>
    </row>
    <row r="42" spans="2:19" s="67" customFormat="1" ht="33" hidden="1" customHeight="1">
      <c r="B42" s="46" t="s">
        <v>707</v>
      </c>
      <c r="C42" s="35" t="s">
        <v>209</v>
      </c>
      <c r="D42" s="36" t="s">
        <v>854</v>
      </c>
      <c r="E42" s="37">
        <v>43511</v>
      </c>
      <c r="F42" s="38" t="s">
        <v>213</v>
      </c>
      <c r="G42" s="39">
        <v>460</v>
      </c>
      <c r="H42" s="38">
        <f>SUM(G42/230)</f>
        <v>2</v>
      </c>
      <c r="I42" s="38">
        <f>SUM(H42/4)</f>
        <v>0.5</v>
      </c>
      <c r="J42" s="38"/>
      <c r="K42" s="40">
        <v>43576</v>
      </c>
      <c r="L42" s="41" t="s">
        <v>480</v>
      </c>
      <c r="M42" s="42">
        <v>43564</v>
      </c>
      <c r="N42" s="43" t="s">
        <v>646</v>
      </c>
      <c r="O42" s="42">
        <v>43569</v>
      </c>
      <c r="P42" s="45"/>
      <c r="Q42" s="46"/>
      <c r="R42" s="44" t="s">
        <v>516</v>
      </c>
      <c r="S42" s="46"/>
    </row>
    <row r="43" spans="2:19" s="33" customFormat="1" ht="33" hidden="1" customHeight="1">
      <c r="B43" s="47" t="s">
        <v>222</v>
      </c>
      <c r="C43" s="48" t="s">
        <v>321</v>
      </c>
      <c r="D43" s="49" t="s">
        <v>322</v>
      </c>
      <c r="E43" s="50">
        <v>43420</v>
      </c>
      <c r="F43" s="52" t="s">
        <v>213</v>
      </c>
      <c r="G43" s="51">
        <v>3200</v>
      </c>
      <c r="H43" s="52">
        <f t="shared" ref="H43:H51" si="7">SUM(G43/20)</f>
        <v>160</v>
      </c>
      <c r="I43" s="52">
        <f t="shared" ref="I43:I51" si="8">SUM(H43/32)</f>
        <v>5</v>
      </c>
      <c r="J43" s="59"/>
      <c r="K43" s="53">
        <v>43513</v>
      </c>
      <c r="L43" s="54" t="s">
        <v>276</v>
      </c>
      <c r="M43" s="55">
        <v>43508</v>
      </c>
      <c r="N43" s="56" t="s">
        <v>345</v>
      </c>
      <c r="O43" s="55">
        <v>43148</v>
      </c>
      <c r="P43" s="58"/>
      <c r="Q43" s="60" t="s">
        <v>89</v>
      </c>
      <c r="R43" s="57" t="s">
        <v>428</v>
      </c>
      <c r="S43" s="47"/>
    </row>
    <row r="44" spans="2:19" s="33" customFormat="1" ht="33" hidden="1" customHeight="1">
      <c r="B44" s="47" t="s">
        <v>222</v>
      </c>
      <c r="C44" s="48" t="s">
        <v>324</v>
      </c>
      <c r="D44" s="49" t="s">
        <v>325</v>
      </c>
      <c r="E44" s="50">
        <v>43420</v>
      </c>
      <c r="F44" s="52" t="s">
        <v>213</v>
      </c>
      <c r="G44" s="51">
        <v>1920</v>
      </c>
      <c r="H44" s="52">
        <f t="shared" si="7"/>
        <v>96</v>
      </c>
      <c r="I44" s="52">
        <f t="shared" si="8"/>
        <v>3</v>
      </c>
      <c r="J44" s="59"/>
      <c r="K44" s="53">
        <v>43541</v>
      </c>
      <c r="L44" s="54" t="s">
        <v>524</v>
      </c>
      <c r="M44" s="55">
        <v>43531</v>
      </c>
      <c r="N44" s="56" t="s">
        <v>569</v>
      </c>
      <c r="O44" s="55">
        <v>43535</v>
      </c>
      <c r="P44" s="58"/>
      <c r="Q44" s="60" t="s">
        <v>89</v>
      </c>
      <c r="R44" s="57" t="s">
        <v>429</v>
      </c>
      <c r="S44" s="47" t="s">
        <v>645</v>
      </c>
    </row>
    <row r="45" spans="2:19" s="33" customFormat="1" ht="33" hidden="1" customHeight="1">
      <c r="B45" s="47" t="s">
        <v>222</v>
      </c>
      <c r="C45" s="48" t="s">
        <v>500</v>
      </c>
      <c r="D45" s="49" t="s">
        <v>325</v>
      </c>
      <c r="E45" s="50">
        <v>43420</v>
      </c>
      <c r="F45" s="52" t="s">
        <v>213</v>
      </c>
      <c r="G45" s="51">
        <v>1280</v>
      </c>
      <c r="H45" s="52">
        <f t="shared" si="7"/>
        <v>64</v>
      </c>
      <c r="I45" s="52">
        <f t="shared" si="8"/>
        <v>2</v>
      </c>
      <c r="J45" s="59"/>
      <c r="K45" s="53">
        <v>43541</v>
      </c>
      <c r="L45" s="54" t="s">
        <v>563</v>
      </c>
      <c r="M45" s="55">
        <v>43536</v>
      </c>
      <c r="N45" s="56" t="s">
        <v>346</v>
      </c>
      <c r="O45" s="55">
        <v>43541</v>
      </c>
      <c r="P45" s="58"/>
      <c r="Q45" s="60" t="s">
        <v>89</v>
      </c>
      <c r="R45" s="57" t="s">
        <v>429</v>
      </c>
      <c r="S45" s="47" t="s">
        <v>395</v>
      </c>
    </row>
    <row r="46" spans="2:19" s="33" customFormat="1" ht="33" hidden="1" customHeight="1">
      <c r="B46" s="47" t="s">
        <v>222</v>
      </c>
      <c r="C46" s="48" t="s">
        <v>430</v>
      </c>
      <c r="D46" s="49" t="s">
        <v>470</v>
      </c>
      <c r="E46" s="50">
        <v>43473</v>
      </c>
      <c r="F46" s="52" t="s">
        <v>213</v>
      </c>
      <c r="G46" s="51">
        <v>1920</v>
      </c>
      <c r="H46" s="52">
        <f t="shared" si="7"/>
        <v>96</v>
      </c>
      <c r="I46" s="52">
        <f t="shared" si="8"/>
        <v>3</v>
      </c>
      <c r="J46" s="59"/>
      <c r="K46" s="53">
        <v>43555</v>
      </c>
      <c r="L46" s="54" t="s">
        <v>709</v>
      </c>
      <c r="M46" s="55">
        <v>43550</v>
      </c>
      <c r="N46" s="56" t="s">
        <v>344</v>
      </c>
      <c r="O46" s="55">
        <v>43555</v>
      </c>
      <c r="P46" s="58"/>
      <c r="Q46" s="60" t="s">
        <v>89</v>
      </c>
      <c r="R46" s="57" t="s">
        <v>829</v>
      </c>
      <c r="S46" s="47"/>
    </row>
    <row r="47" spans="2:19" s="30" customFormat="1" ht="33" hidden="1" customHeight="1">
      <c r="B47" s="46" t="s">
        <v>222</v>
      </c>
      <c r="C47" s="35" t="s">
        <v>430</v>
      </c>
      <c r="D47" s="36" t="s">
        <v>470</v>
      </c>
      <c r="E47" s="37">
        <v>43473</v>
      </c>
      <c r="F47" s="38" t="s">
        <v>213</v>
      </c>
      <c r="G47" s="39">
        <v>1920</v>
      </c>
      <c r="H47" s="38">
        <f t="shared" si="7"/>
        <v>96</v>
      </c>
      <c r="I47" s="38">
        <f t="shared" si="8"/>
        <v>3</v>
      </c>
      <c r="J47" s="61"/>
      <c r="K47" s="40">
        <v>43555</v>
      </c>
      <c r="L47" s="41" t="s">
        <v>484</v>
      </c>
      <c r="M47" s="42">
        <v>43564</v>
      </c>
      <c r="N47" s="43" t="s">
        <v>437</v>
      </c>
      <c r="O47" s="42">
        <v>43569</v>
      </c>
      <c r="P47" s="45"/>
      <c r="Q47" s="62" t="s">
        <v>89</v>
      </c>
      <c r="R47" s="44" t="s">
        <v>829</v>
      </c>
      <c r="S47" s="46"/>
    </row>
    <row r="48" spans="2:19" s="30" customFormat="1" ht="33" hidden="1" customHeight="1">
      <c r="B48" s="46" t="s">
        <v>222</v>
      </c>
      <c r="C48" s="35" t="s">
        <v>519</v>
      </c>
      <c r="D48" s="36" t="s">
        <v>710</v>
      </c>
      <c r="E48" s="37">
        <v>43511</v>
      </c>
      <c r="F48" s="38" t="s">
        <v>213</v>
      </c>
      <c r="G48" s="39">
        <v>640</v>
      </c>
      <c r="H48" s="38">
        <f t="shared" si="7"/>
        <v>32</v>
      </c>
      <c r="I48" s="38">
        <f t="shared" si="8"/>
        <v>1</v>
      </c>
      <c r="J48" s="61"/>
      <c r="K48" s="40">
        <v>43555</v>
      </c>
      <c r="L48" s="41" t="s">
        <v>711</v>
      </c>
      <c r="M48" s="42">
        <v>43557</v>
      </c>
      <c r="N48" s="43" t="s">
        <v>436</v>
      </c>
      <c r="O48" s="42">
        <v>43562</v>
      </c>
      <c r="P48" s="45"/>
      <c r="Q48" s="62" t="s">
        <v>89</v>
      </c>
      <c r="R48" s="44" t="s">
        <v>829</v>
      </c>
      <c r="S48" s="46"/>
    </row>
    <row r="49" spans="2:19" s="30" customFormat="1" ht="33" hidden="1" customHeight="1">
      <c r="B49" s="46" t="s">
        <v>222</v>
      </c>
      <c r="C49" s="35" t="s">
        <v>520</v>
      </c>
      <c r="D49" s="36" t="s">
        <v>584</v>
      </c>
      <c r="E49" s="37">
        <v>43511</v>
      </c>
      <c r="F49" s="38" t="s">
        <v>213</v>
      </c>
      <c r="G49" s="39">
        <v>1920</v>
      </c>
      <c r="H49" s="38">
        <f t="shared" si="7"/>
        <v>96</v>
      </c>
      <c r="I49" s="38">
        <f t="shared" si="8"/>
        <v>3</v>
      </c>
      <c r="J49" s="61"/>
      <c r="K49" s="40">
        <v>43576</v>
      </c>
      <c r="L49" s="41" t="s">
        <v>503</v>
      </c>
      <c r="M49" s="42">
        <v>43571</v>
      </c>
      <c r="N49" s="43" t="s">
        <v>465</v>
      </c>
      <c r="O49" s="42">
        <v>43576</v>
      </c>
      <c r="P49" s="45"/>
      <c r="Q49" s="62" t="s">
        <v>89</v>
      </c>
      <c r="R49" s="44" t="s">
        <v>789</v>
      </c>
      <c r="S49" s="46"/>
    </row>
    <row r="50" spans="2:19" s="30" customFormat="1" ht="33" customHeight="1">
      <c r="B50" s="46" t="s">
        <v>222</v>
      </c>
      <c r="C50" s="35" t="s">
        <v>586</v>
      </c>
      <c r="D50" s="36" t="s">
        <v>640</v>
      </c>
      <c r="E50" s="37">
        <v>43519</v>
      </c>
      <c r="F50" s="38" t="s">
        <v>213</v>
      </c>
      <c r="G50" s="39">
        <v>1920</v>
      </c>
      <c r="H50" s="38">
        <f t="shared" si="7"/>
        <v>96</v>
      </c>
      <c r="I50" s="38">
        <f t="shared" si="8"/>
        <v>3</v>
      </c>
      <c r="J50" s="61"/>
      <c r="K50" s="40">
        <v>43611</v>
      </c>
      <c r="L50" s="41" t="s">
        <v>805</v>
      </c>
      <c r="M50" s="42">
        <v>43606</v>
      </c>
      <c r="N50" s="43" t="s">
        <v>806</v>
      </c>
      <c r="O50" s="42">
        <v>43611</v>
      </c>
      <c r="P50" s="45"/>
      <c r="Q50" s="62"/>
      <c r="R50" s="44" t="s">
        <v>855</v>
      </c>
      <c r="S50" s="46"/>
    </row>
    <row r="51" spans="2:19" s="30" customFormat="1" ht="33" hidden="1" customHeight="1">
      <c r="B51" s="46" t="s">
        <v>222</v>
      </c>
      <c r="C51" s="35" t="s">
        <v>713</v>
      </c>
      <c r="D51" s="36" t="s">
        <v>714</v>
      </c>
      <c r="E51" s="37">
        <v>43532</v>
      </c>
      <c r="F51" s="38" t="s">
        <v>213</v>
      </c>
      <c r="G51" s="129">
        <v>2560</v>
      </c>
      <c r="H51" s="124">
        <f t="shared" si="7"/>
        <v>128</v>
      </c>
      <c r="I51" s="124">
        <f t="shared" si="8"/>
        <v>4</v>
      </c>
      <c r="J51" s="61"/>
      <c r="K51" s="40">
        <v>43632</v>
      </c>
      <c r="L51" s="41" t="s">
        <v>807</v>
      </c>
      <c r="M51" s="42">
        <v>43627</v>
      </c>
      <c r="N51" s="43" t="s">
        <v>808</v>
      </c>
      <c r="O51" s="42">
        <v>43632</v>
      </c>
      <c r="P51" s="45"/>
      <c r="Q51" s="62" t="s">
        <v>89</v>
      </c>
      <c r="R51" s="44" t="s">
        <v>856</v>
      </c>
      <c r="S51" s="46"/>
    </row>
    <row r="52" spans="2:19" s="33" customFormat="1" ht="33" hidden="1" customHeight="1">
      <c r="B52" s="47" t="s">
        <v>38</v>
      </c>
      <c r="C52" s="48" t="s">
        <v>224</v>
      </c>
      <c r="D52" s="49" t="s">
        <v>328</v>
      </c>
      <c r="E52" s="50">
        <v>43420</v>
      </c>
      <c r="F52" s="52" t="s">
        <v>214</v>
      </c>
      <c r="G52" s="64">
        <v>640</v>
      </c>
      <c r="H52" s="52">
        <f>SUBTOTAL(9,G52)/20</f>
        <v>0</v>
      </c>
      <c r="I52" s="52">
        <f>H52/32</f>
        <v>0</v>
      </c>
      <c r="J52" s="52"/>
      <c r="K52" s="53">
        <v>43520</v>
      </c>
      <c r="L52" s="54" t="s">
        <v>348</v>
      </c>
      <c r="M52" s="55">
        <v>43515</v>
      </c>
      <c r="N52" s="56" t="s">
        <v>347</v>
      </c>
      <c r="O52" s="55">
        <v>43155</v>
      </c>
      <c r="P52" s="58" t="s">
        <v>792</v>
      </c>
      <c r="Q52" s="52"/>
      <c r="R52" s="63" t="s">
        <v>329</v>
      </c>
      <c r="S52" s="47"/>
    </row>
    <row r="53" spans="2:19" s="30" customFormat="1" ht="33" hidden="1" customHeight="1">
      <c r="B53" s="46" t="s">
        <v>38</v>
      </c>
      <c r="C53" s="35" t="s">
        <v>225</v>
      </c>
      <c r="D53" s="36" t="s">
        <v>587</v>
      </c>
      <c r="E53" s="37">
        <v>43519</v>
      </c>
      <c r="F53" s="38" t="s">
        <v>214</v>
      </c>
      <c r="G53" s="65">
        <v>640</v>
      </c>
      <c r="H53" s="38">
        <f>SUBTOTAL(9,G53)/20</f>
        <v>0</v>
      </c>
      <c r="I53" s="38">
        <f>H53/32</f>
        <v>0</v>
      </c>
      <c r="J53" s="38"/>
      <c r="K53" s="40">
        <v>43583</v>
      </c>
      <c r="L53" s="41" t="s">
        <v>565</v>
      </c>
      <c r="M53" s="42">
        <v>43578</v>
      </c>
      <c r="N53" s="43" t="s">
        <v>468</v>
      </c>
      <c r="O53" s="42">
        <v>43583</v>
      </c>
      <c r="P53" s="45"/>
      <c r="Q53" s="38"/>
      <c r="R53" s="66" t="s">
        <v>547</v>
      </c>
      <c r="S53" s="46"/>
    </row>
    <row r="54" spans="2:19" s="33" customFormat="1" ht="33" hidden="1" customHeight="1">
      <c r="B54" s="47" t="s">
        <v>88</v>
      </c>
      <c r="C54" s="48" t="s">
        <v>331</v>
      </c>
      <c r="D54" s="49" t="s">
        <v>332</v>
      </c>
      <c r="E54" s="50">
        <v>43420</v>
      </c>
      <c r="F54" s="52" t="s">
        <v>214</v>
      </c>
      <c r="G54" s="64">
        <v>760</v>
      </c>
      <c r="H54" s="52">
        <f>SUBTOTAL(9,G54)/190</f>
        <v>0</v>
      </c>
      <c r="I54" s="52">
        <f>H54/4</f>
        <v>0</v>
      </c>
      <c r="J54" s="52"/>
      <c r="K54" s="53">
        <v>43520</v>
      </c>
      <c r="L54" s="54" t="s">
        <v>348</v>
      </c>
      <c r="M54" s="55">
        <v>43515</v>
      </c>
      <c r="N54" s="56" t="s">
        <v>347</v>
      </c>
      <c r="O54" s="55">
        <v>43155</v>
      </c>
      <c r="P54" s="58" t="s">
        <v>521</v>
      </c>
      <c r="Q54" s="52"/>
      <c r="R54" s="63" t="s">
        <v>333</v>
      </c>
      <c r="S54" s="47"/>
    </row>
    <row r="55" spans="2:19" s="30" customFormat="1" ht="33" hidden="1" customHeight="1">
      <c r="B55" s="46" t="s">
        <v>88</v>
      </c>
      <c r="C55" s="35" t="s">
        <v>431</v>
      </c>
      <c r="D55" s="36" t="s">
        <v>471</v>
      </c>
      <c r="E55" s="37">
        <v>43483</v>
      </c>
      <c r="F55" s="38" t="s">
        <v>214</v>
      </c>
      <c r="G55" s="65">
        <v>760</v>
      </c>
      <c r="H55" s="38">
        <f>SUBTOTAL(9,G55)/190</f>
        <v>0</v>
      </c>
      <c r="I55" s="38">
        <f>H55/4</f>
        <v>0</v>
      </c>
      <c r="J55" s="38"/>
      <c r="K55" s="40">
        <v>43569</v>
      </c>
      <c r="L55" s="41" t="s">
        <v>417</v>
      </c>
      <c r="M55" s="42">
        <v>43564</v>
      </c>
      <c r="N55" s="43" t="s">
        <v>437</v>
      </c>
      <c r="O55" s="42">
        <v>43569</v>
      </c>
      <c r="P55" s="45"/>
      <c r="Q55" s="38"/>
      <c r="R55" s="66" t="s">
        <v>522</v>
      </c>
      <c r="S55" s="46"/>
    </row>
    <row r="56" spans="2:19" s="30" customFormat="1" ht="33" hidden="1" customHeight="1">
      <c r="B56" s="46" t="s">
        <v>88</v>
      </c>
      <c r="C56" s="35" t="s">
        <v>523</v>
      </c>
      <c r="D56" s="36" t="s">
        <v>588</v>
      </c>
      <c r="E56" s="37">
        <v>43511</v>
      </c>
      <c r="F56" s="38" t="s">
        <v>214</v>
      </c>
      <c r="G56" s="65">
        <v>760</v>
      </c>
      <c r="H56" s="38">
        <f>SUBTOTAL(9,G56)/190</f>
        <v>0</v>
      </c>
      <c r="I56" s="38">
        <f>H56/4</f>
        <v>0</v>
      </c>
      <c r="J56" s="38"/>
      <c r="K56" s="40">
        <v>43583</v>
      </c>
      <c r="L56" s="41" t="s">
        <v>565</v>
      </c>
      <c r="M56" s="42">
        <v>43578</v>
      </c>
      <c r="N56" s="43" t="s">
        <v>468</v>
      </c>
      <c r="O56" s="42">
        <v>43583</v>
      </c>
      <c r="P56" s="45"/>
      <c r="Q56" s="38"/>
      <c r="R56" s="66" t="s">
        <v>793</v>
      </c>
      <c r="S56" s="46"/>
    </row>
    <row r="57" spans="2:19" s="30" customFormat="1" ht="33" hidden="1" customHeight="1">
      <c r="B57" s="46" t="s">
        <v>88</v>
      </c>
      <c r="C57" s="35" t="s">
        <v>589</v>
      </c>
      <c r="D57" s="36" t="s">
        <v>590</v>
      </c>
      <c r="E57" s="37">
        <v>43519</v>
      </c>
      <c r="F57" s="38" t="s">
        <v>214</v>
      </c>
      <c r="G57" s="65">
        <v>760</v>
      </c>
      <c r="H57" s="38">
        <f>SUBTOTAL(9,G57)/190</f>
        <v>0</v>
      </c>
      <c r="I57" s="38">
        <f>H57/4</f>
        <v>0</v>
      </c>
      <c r="J57" s="38"/>
      <c r="K57" s="40">
        <v>43597</v>
      </c>
      <c r="L57" s="41" t="s">
        <v>857</v>
      </c>
      <c r="M57" s="42">
        <v>43592</v>
      </c>
      <c r="N57" s="43" t="s">
        <v>858</v>
      </c>
      <c r="O57" s="42">
        <v>43597</v>
      </c>
      <c r="P57" s="45"/>
      <c r="Q57" s="38"/>
      <c r="R57" s="66" t="s">
        <v>859</v>
      </c>
      <c r="S57" s="46"/>
    </row>
    <row r="58" spans="2:19" s="33" customFormat="1" ht="33" hidden="1" customHeight="1">
      <c r="B58" s="47" t="s">
        <v>83</v>
      </c>
      <c r="C58" s="48" t="s">
        <v>863</v>
      </c>
      <c r="D58" s="49" t="s">
        <v>336</v>
      </c>
      <c r="E58" s="50">
        <v>43420</v>
      </c>
      <c r="F58" s="52" t="s">
        <v>77</v>
      </c>
      <c r="G58" s="51">
        <v>5760</v>
      </c>
      <c r="H58" s="52">
        <f>SUM(G58/240)</f>
        <v>24</v>
      </c>
      <c r="I58" s="52">
        <f t="shared" ref="I58:I66" si="9">SUM(H58/4)</f>
        <v>6</v>
      </c>
      <c r="J58" s="52"/>
      <c r="K58" s="53">
        <v>43148</v>
      </c>
      <c r="L58" s="54" t="s">
        <v>276</v>
      </c>
      <c r="M58" s="55">
        <v>43508</v>
      </c>
      <c r="N58" s="56" t="s">
        <v>864</v>
      </c>
      <c r="O58" s="55">
        <v>43148</v>
      </c>
      <c r="P58" s="58"/>
      <c r="Q58" s="52"/>
      <c r="R58" s="118" t="s">
        <v>865</v>
      </c>
      <c r="S58" s="47"/>
    </row>
    <row r="59" spans="2:19" s="33" customFormat="1" ht="33" hidden="1" customHeight="1">
      <c r="B59" s="47" t="s">
        <v>83</v>
      </c>
      <c r="C59" s="48" t="s">
        <v>866</v>
      </c>
      <c r="D59" s="49" t="s">
        <v>867</v>
      </c>
      <c r="E59" s="50">
        <v>43462</v>
      </c>
      <c r="F59" s="52" t="s">
        <v>77</v>
      </c>
      <c r="G59" s="51">
        <v>960</v>
      </c>
      <c r="H59" s="52">
        <f>SUM(G59/240)</f>
        <v>4</v>
      </c>
      <c r="I59" s="52">
        <f t="shared" si="9"/>
        <v>1</v>
      </c>
      <c r="J59" s="52"/>
      <c r="K59" s="53">
        <v>43148</v>
      </c>
      <c r="L59" s="54" t="s">
        <v>276</v>
      </c>
      <c r="M59" s="55">
        <v>43508</v>
      </c>
      <c r="N59" s="56" t="s">
        <v>864</v>
      </c>
      <c r="O59" s="55">
        <v>43148</v>
      </c>
      <c r="P59" s="58"/>
      <c r="Q59" s="52"/>
      <c r="R59" s="118" t="s">
        <v>865</v>
      </c>
      <c r="S59" s="47"/>
    </row>
    <row r="60" spans="2:19" s="33" customFormat="1" ht="33" hidden="1" customHeight="1">
      <c r="B60" s="47" t="s">
        <v>83</v>
      </c>
      <c r="C60" s="48" t="s">
        <v>868</v>
      </c>
      <c r="D60" s="49" t="s">
        <v>867</v>
      </c>
      <c r="E60" s="50">
        <v>43462</v>
      </c>
      <c r="F60" s="52" t="s">
        <v>77</v>
      </c>
      <c r="G60" s="51">
        <v>960</v>
      </c>
      <c r="H60" s="52">
        <f t="shared" ref="H60:H66" si="10">SUM(G60/240)</f>
        <v>4</v>
      </c>
      <c r="I60" s="52">
        <f t="shared" si="9"/>
        <v>1</v>
      </c>
      <c r="J60" s="52"/>
      <c r="K60" s="53">
        <v>43148</v>
      </c>
      <c r="L60" s="54" t="s">
        <v>869</v>
      </c>
      <c r="M60" s="55">
        <v>43531</v>
      </c>
      <c r="N60" s="56" t="s">
        <v>568</v>
      </c>
      <c r="O60" s="55">
        <v>43535</v>
      </c>
      <c r="P60" s="58" t="s">
        <v>870</v>
      </c>
      <c r="Q60" s="52"/>
      <c r="R60" s="118" t="s">
        <v>865</v>
      </c>
      <c r="S60" s="47" t="s">
        <v>609</v>
      </c>
    </row>
    <row r="61" spans="2:19" s="33" customFormat="1" ht="33" hidden="1" customHeight="1">
      <c r="B61" s="47" t="s">
        <v>83</v>
      </c>
      <c r="C61" s="48" t="s">
        <v>871</v>
      </c>
      <c r="D61" s="49" t="s">
        <v>872</v>
      </c>
      <c r="E61" s="50">
        <v>43462</v>
      </c>
      <c r="F61" s="52" t="s">
        <v>77</v>
      </c>
      <c r="G61" s="51">
        <v>2880</v>
      </c>
      <c r="H61" s="52">
        <f t="shared" si="10"/>
        <v>12</v>
      </c>
      <c r="I61" s="52">
        <f t="shared" si="9"/>
        <v>3</v>
      </c>
      <c r="J61" s="52"/>
      <c r="K61" s="53">
        <v>43541</v>
      </c>
      <c r="L61" s="54" t="s">
        <v>869</v>
      </c>
      <c r="M61" s="55">
        <v>43531</v>
      </c>
      <c r="N61" s="56" t="s">
        <v>568</v>
      </c>
      <c r="O61" s="55">
        <v>43535</v>
      </c>
      <c r="P61" s="58" t="s">
        <v>657</v>
      </c>
      <c r="Q61" s="52"/>
      <c r="R61" s="118" t="s">
        <v>486</v>
      </c>
      <c r="S61" s="47" t="s">
        <v>610</v>
      </c>
    </row>
    <row r="62" spans="2:19" s="33" customFormat="1" ht="33" hidden="1" customHeight="1">
      <c r="B62" s="47" t="s">
        <v>83</v>
      </c>
      <c r="C62" s="48" t="s">
        <v>232</v>
      </c>
      <c r="D62" s="49" t="s">
        <v>386</v>
      </c>
      <c r="E62" s="50">
        <v>43455</v>
      </c>
      <c r="F62" s="52" t="s">
        <v>77</v>
      </c>
      <c r="G62" s="51">
        <v>5760</v>
      </c>
      <c r="H62" s="52">
        <f t="shared" si="10"/>
        <v>24</v>
      </c>
      <c r="I62" s="52">
        <f t="shared" si="9"/>
        <v>6</v>
      </c>
      <c r="J62" s="52"/>
      <c r="K62" s="53">
        <v>43541</v>
      </c>
      <c r="L62" s="54" t="s">
        <v>873</v>
      </c>
      <c r="M62" s="55">
        <v>43543</v>
      </c>
      <c r="N62" s="56" t="s">
        <v>874</v>
      </c>
      <c r="O62" s="55">
        <v>43548</v>
      </c>
      <c r="P62" s="58" t="s">
        <v>875</v>
      </c>
      <c r="Q62" s="52"/>
      <c r="R62" s="118" t="s">
        <v>876</v>
      </c>
      <c r="S62" s="47"/>
    </row>
    <row r="63" spans="2:19" s="30" customFormat="1" ht="33" hidden="1" customHeight="1">
      <c r="B63" s="46" t="s">
        <v>83</v>
      </c>
      <c r="C63" s="35" t="s">
        <v>244</v>
      </c>
      <c r="D63" s="36" t="s">
        <v>722</v>
      </c>
      <c r="E63" s="37">
        <v>43483</v>
      </c>
      <c r="F63" s="38" t="s">
        <v>77</v>
      </c>
      <c r="G63" s="39">
        <v>6720</v>
      </c>
      <c r="H63" s="38">
        <f t="shared" si="10"/>
        <v>28</v>
      </c>
      <c r="I63" s="38">
        <f t="shared" si="9"/>
        <v>7</v>
      </c>
      <c r="J63" s="38"/>
      <c r="K63" s="40">
        <v>43569</v>
      </c>
      <c r="L63" s="41" t="s">
        <v>480</v>
      </c>
      <c r="M63" s="42">
        <v>43564</v>
      </c>
      <c r="N63" s="43" t="s">
        <v>646</v>
      </c>
      <c r="O63" s="42">
        <v>43569</v>
      </c>
      <c r="P63" s="45" t="s">
        <v>877</v>
      </c>
      <c r="Q63" s="38"/>
      <c r="R63" s="115" t="s">
        <v>878</v>
      </c>
      <c r="S63" s="46"/>
    </row>
    <row r="64" spans="2:19" s="30" customFormat="1" ht="33" hidden="1" customHeight="1">
      <c r="B64" s="46" t="s">
        <v>83</v>
      </c>
      <c r="C64" s="35" t="s">
        <v>879</v>
      </c>
      <c r="D64" s="36" t="s">
        <v>472</v>
      </c>
      <c r="E64" s="37">
        <v>43483</v>
      </c>
      <c r="F64" s="38" t="s">
        <v>77</v>
      </c>
      <c r="G64" s="39">
        <v>5760</v>
      </c>
      <c r="H64" s="38">
        <f>SUM(G64/240)</f>
        <v>24</v>
      </c>
      <c r="I64" s="38">
        <f>SUM(H64/4)</f>
        <v>6</v>
      </c>
      <c r="J64" s="38"/>
      <c r="K64" s="40">
        <v>43583</v>
      </c>
      <c r="L64" s="41" t="s">
        <v>448</v>
      </c>
      <c r="M64" s="42">
        <v>43578</v>
      </c>
      <c r="N64" s="43" t="s">
        <v>880</v>
      </c>
      <c r="O64" s="42">
        <v>43583</v>
      </c>
      <c r="P64" s="45" t="s">
        <v>881</v>
      </c>
      <c r="Q64" s="38"/>
      <c r="R64" s="115" t="s">
        <v>878</v>
      </c>
      <c r="S64" s="46"/>
    </row>
    <row r="65" spans="2:19" s="30" customFormat="1" ht="33" hidden="1" customHeight="1">
      <c r="B65" s="46" t="s">
        <v>83</v>
      </c>
      <c r="C65" s="35" t="s">
        <v>258</v>
      </c>
      <c r="D65" s="36" t="s">
        <v>591</v>
      </c>
      <c r="E65" s="37">
        <v>43519</v>
      </c>
      <c r="F65" s="38" t="s">
        <v>77</v>
      </c>
      <c r="G65" s="39">
        <v>5760</v>
      </c>
      <c r="H65" s="38">
        <f t="shared" si="10"/>
        <v>24</v>
      </c>
      <c r="I65" s="38">
        <f t="shared" si="9"/>
        <v>6</v>
      </c>
      <c r="J65" s="38"/>
      <c r="K65" s="40">
        <v>43605</v>
      </c>
      <c r="L65" s="41" t="s">
        <v>882</v>
      </c>
      <c r="M65" s="42">
        <v>43601</v>
      </c>
      <c r="N65" s="43" t="s">
        <v>883</v>
      </c>
      <c r="O65" s="42">
        <v>43605</v>
      </c>
      <c r="P65" s="45" t="s">
        <v>884</v>
      </c>
      <c r="Q65" s="38"/>
      <c r="R65" s="115" t="s">
        <v>885</v>
      </c>
      <c r="S65" s="46"/>
    </row>
    <row r="66" spans="2:19" s="30" customFormat="1" ht="33" hidden="1" customHeight="1">
      <c r="B66" s="46" t="s">
        <v>83</v>
      </c>
      <c r="C66" s="35" t="s">
        <v>321</v>
      </c>
      <c r="D66" s="36" t="s">
        <v>727</v>
      </c>
      <c r="E66" s="37">
        <v>43532</v>
      </c>
      <c r="F66" s="38" t="s">
        <v>77</v>
      </c>
      <c r="G66" s="39">
        <v>6720</v>
      </c>
      <c r="H66" s="38">
        <f t="shared" si="10"/>
        <v>28</v>
      </c>
      <c r="I66" s="38">
        <f t="shared" si="9"/>
        <v>7</v>
      </c>
      <c r="J66" s="38"/>
      <c r="K66" s="40">
        <v>43633</v>
      </c>
      <c r="L66" s="41" t="s">
        <v>886</v>
      </c>
      <c r="M66" s="42">
        <v>43627</v>
      </c>
      <c r="N66" s="43" t="s">
        <v>887</v>
      </c>
      <c r="O66" s="42">
        <v>43632</v>
      </c>
      <c r="P66" s="45"/>
      <c r="Q66" s="38"/>
      <c r="R66" s="115" t="s">
        <v>888</v>
      </c>
      <c r="S66" s="46"/>
    </row>
    <row r="67" spans="2:19" s="34" customFormat="1" ht="33" hidden="1" customHeight="1">
      <c r="B67" s="47" t="s">
        <v>210</v>
      </c>
      <c r="C67" s="48" t="s">
        <v>225</v>
      </c>
      <c r="D67" s="49" t="s">
        <v>433</v>
      </c>
      <c r="E67" s="50">
        <v>43473</v>
      </c>
      <c r="F67" s="52" t="s">
        <v>218</v>
      </c>
      <c r="G67" s="51">
        <v>1920</v>
      </c>
      <c r="H67" s="52">
        <f t="shared" ref="H67:H83" si="11">SUM(G67/20)</f>
        <v>96</v>
      </c>
      <c r="I67" s="52">
        <f t="shared" ref="I67:I83" si="12">SUM(H67/32)</f>
        <v>3</v>
      </c>
      <c r="J67" s="52"/>
      <c r="K67" s="53">
        <v>43520</v>
      </c>
      <c r="L67" s="54" t="s">
        <v>889</v>
      </c>
      <c r="M67" s="55">
        <v>43515</v>
      </c>
      <c r="N67" s="56" t="s">
        <v>890</v>
      </c>
      <c r="O67" s="55">
        <v>43520</v>
      </c>
      <c r="P67" s="58"/>
      <c r="Q67" s="52"/>
      <c r="R67" s="63" t="s">
        <v>211</v>
      </c>
      <c r="S67" s="52"/>
    </row>
    <row r="68" spans="2:19" s="34" customFormat="1" ht="33" hidden="1" customHeight="1">
      <c r="B68" s="47" t="s">
        <v>210</v>
      </c>
      <c r="C68" s="48" t="s">
        <v>226</v>
      </c>
      <c r="D68" s="49" t="s">
        <v>593</v>
      </c>
      <c r="E68" s="50">
        <v>43483</v>
      </c>
      <c r="F68" s="52" t="s">
        <v>218</v>
      </c>
      <c r="G68" s="51">
        <v>640</v>
      </c>
      <c r="H68" s="52">
        <f t="shared" si="11"/>
        <v>32</v>
      </c>
      <c r="I68" s="52">
        <f t="shared" si="12"/>
        <v>1</v>
      </c>
      <c r="J68" s="52"/>
      <c r="K68" s="53">
        <v>43534</v>
      </c>
      <c r="L68" s="54" t="s">
        <v>891</v>
      </c>
      <c r="M68" s="55"/>
      <c r="N68" s="56"/>
      <c r="O68" s="55">
        <v>43520</v>
      </c>
      <c r="P68" s="58" t="s">
        <v>651</v>
      </c>
      <c r="Q68" s="52"/>
      <c r="R68" s="63" t="s">
        <v>211</v>
      </c>
      <c r="S68" s="52"/>
    </row>
    <row r="69" spans="2:19" s="34" customFormat="1" ht="33" hidden="1" customHeight="1">
      <c r="B69" s="47" t="s">
        <v>210</v>
      </c>
      <c r="C69" s="48" t="s">
        <v>226</v>
      </c>
      <c r="D69" s="49" t="s">
        <v>434</v>
      </c>
      <c r="E69" s="50">
        <v>43483</v>
      </c>
      <c r="F69" s="52" t="s">
        <v>218</v>
      </c>
      <c r="G69" s="51">
        <v>1920</v>
      </c>
      <c r="H69" s="52">
        <f t="shared" si="11"/>
        <v>96</v>
      </c>
      <c r="I69" s="52">
        <f t="shared" si="12"/>
        <v>3</v>
      </c>
      <c r="J69" s="52"/>
      <c r="K69" s="53">
        <v>43534</v>
      </c>
      <c r="L69" s="54" t="s">
        <v>892</v>
      </c>
      <c r="M69" s="55">
        <v>43524</v>
      </c>
      <c r="N69" s="56" t="s">
        <v>893</v>
      </c>
      <c r="O69" s="55">
        <v>43528</v>
      </c>
      <c r="P69" s="58" t="s">
        <v>894</v>
      </c>
      <c r="Q69" s="52" t="s">
        <v>615</v>
      </c>
      <c r="R69" s="63" t="s">
        <v>211</v>
      </c>
      <c r="S69" s="52"/>
    </row>
    <row r="70" spans="2:19" s="34" customFormat="1" ht="33" hidden="1" customHeight="1">
      <c r="B70" s="47" t="s">
        <v>210</v>
      </c>
      <c r="C70" s="48" t="s">
        <v>226</v>
      </c>
      <c r="D70" s="49" t="s">
        <v>434</v>
      </c>
      <c r="E70" s="50">
        <v>43483</v>
      </c>
      <c r="F70" s="52" t="s">
        <v>218</v>
      </c>
      <c r="G70" s="51">
        <v>1280</v>
      </c>
      <c r="H70" s="52">
        <f t="shared" si="11"/>
        <v>64</v>
      </c>
      <c r="I70" s="52">
        <f t="shared" si="12"/>
        <v>2</v>
      </c>
      <c r="J70" s="52"/>
      <c r="K70" s="53">
        <v>43534</v>
      </c>
      <c r="L70" s="54" t="s">
        <v>869</v>
      </c>
      <c r="M70" s="55">
        <v>43531</v>
      </c>
      <c r="N70" s="56" t="s">
        <v>568</v>
      </c>
      <c r="O70" s="55">
        <v>43535</v>
      </c>
      <c r="P70" s="58" t="s">
        <v>895</v>
      </c>
      <c r="Q70" s="52" t="s">
        <v>614</v>
      </c>
      <c r="R70" s="63" t="s">
        <v>211</v>
      </c>
      <c r="S70" s="52" t="s">
        <v>896</v>
      </c>
    </row>
    <row r="71" spans="2:19" s="34" customFormat="1" ht="33" hidden="1" customHeight="1">
      <c r="B71" s="47" t="s">
        <v>210</v>
      </c>
      <c r="C71" s="48" t="s">
        <v>233</v>
      </c>
      <c r="D71" s="49" t="s">
        <v>525</v>
      </c>
      <c r="E71" s="50">
        <v>43507</v>
      </c>
      <c r="F71" s="52" t="s">
        <v>218</v>
      </c>
      <c r="G71" s="51">
        <v>1920</v>
      </c>
      <c r="H71" s="52">
        <f t="shared" si="11"/>
        <v>96</v>
      </c>
      <c r="I71" s="52">
        <f t="shared" si="12"/>
        <v>3</v>
      </c>
      <c r="J71" s="52"/>
      <c r="K71" s="53">
        <v>43541</v>
      </c>
      <c r="L71" s="54" t="s">
        <v>897</v>
      </c>
      <c r="M71" s="55">
        <v>43536</v>
      </c>
      <c r="N71" s="56" t="s">
        <v>898</v>
      </c>
      <c r="O71" s="55">
        <v>43541</v>
      </c>
      <c r="P71" s="58" t="s">
        <v>899</v>
      </c>
      <c r="Q71" s="52" t="s">
        <v>612</v>
      </c>
      <c r="R71" s="63" t="s">
        <v>211</v>
      </c>
      <c r="S71" s="52"/>
    </row>
    <row r="72" spans="2:19" s="34" customFormat="1" ht="33" hidden="1" customHeight="1">
      <c r="B72" s="47" t="s">
        <v>210</v>
      </c>
      <c r="C72" s="48" t="s">
        <v>900</v>
      </c>
      <c r="D72" s="49" t="s">
        <v>525</v>
      </c>
      <c r="E72" s="50">
        <v>43519</v>
      </c>
      <c r="F72" s="52" t="s">
        <v>218</v>
      </c>
      <c r="G72" s="51">
        <v>1920</v>
      </c>
      <c r="H72" s="52">
        <f t="shared" si="11"/>
        <v>96</v>
      </c>
      <c r="I72" s="52">
        <f t="shared" si="12"/>
        <v>3</v>
      </c>
      <c r="J72" s="52"/>
      <c r="K72" s="53">
        <v>43555</v>
      </c>
      <c r="L72" s="54" t="s">
        <v>901</v>
      </c>
      <c r="M72" s="55">
        <v>43550</v>
      </c>
      <c r="N72" s="56" t="s">
        <v>902</v>
      </c>
      <c r="O72" s="55">
        <v>43555</v>
      </c>
      <c r="P72" s="58"/>
      <c r="Q72" s="52" t="s">
        <v>613</v>
      </c>
      <c r="R72" s="63" t="s">
        <v>211</v>
      </c>
      <c r="S72" s="52"/>
    </row>
    <row r="73" spans="2:19" s="32" customFormat="1" ht="33" hidden="1" customHeight="1">
      <c r="B73" s="46" t="s">
        <v>210</v>
      </c>
      <c r="C73" s="35" t="s">
        <v>285</v>
      </c>
      <c r="D73" s="36" t="s">
        <v>526</v>
      </c>
      <c r="E73" s="37">
        <v>43507</v>
      </c>
      <c r="F73" s="38" t="s">
        <v>218</v>
      </c>
      <c r="G73" s="39">
        <v>3200</v>
      </c>
      <c r="H73" s="38">
        <f t="shared" si="11"/>
        <v>160</v>
      </c>
      <c r="I73" s="38">
        <f t="shared" si="12"/>
        <v>5</v>
      </c>
      <c r="J73" s="38"/>
      <c r="K73" s="40">
        <v>43576</v>
      </c>
      <c r="L73" s="41" t="s">
        <v>503</v>
      </c>
      <c r="M73" s="42">
        <v>43571</v>
      </c>
      <c r="N73" s="43" t="s">
        <v>903</v>
      </c>
      <c r="O73" s="42">
        <v>43576</v>
      </c>
      <c r="P73" s="45"/>
      <c r="Q73" s="38" t="s">
        <v>643</v>
      </c>
      <c r="R73" s="66" t="s">
        <v>211</v>
      </c>
      <c r="S73" s="38"/>
    </row>
    <row r="74" spans="2:19" s="32" customFormat="1" ht="33" hidden="1" customHeight="1">
      <c r="B74" s="46" t="s">
        <v>210</v>
      </c>
      <c r="C74" s="35" t="s">
        <v>904</v>
      </c>
      <c r="D74" s="36" t="s">
        <v>526</v>
      </c>
      <c r="E74" s="37">
        <v>43507</v>
      </c>
      <c r="F74" s="38" t="s">
        <v>218</v>
      </c>
      <c r="G74" s="39">
        <v>640</v>
      </c>
      <c r="H74" s="38">
        <f>SUM(G74/20)</f>
        <v>32</v>
      </c>
      <c r="I74" s="38">
        <f>SUM(H74/32)</f>
        <v>1</v>
      </c>
      <c r="J74" s="38"/>
      <c r="K74" s="40">
        <v>43576</v>
      </c>
      <c r="L74" s="41" t="s">
        <v>448</v>
      </c>
      <c r="M74" s="42">
        <v>43578</v>
      </c>
      <c r="N74" s="43" t="s">
        <v>880</v>
      </c>
      <c r="O74" s="42">
        <v>43583</v>
      </c>
      <c r="P74" s="45"/>
      <c r="Q74" s="38" t="s">
        <v>643</v>
      </c>
      <c r="R74" s="66" t="s">
        <v>211</v>
      </c>
      <c r="S74" s="38"/>
    </row>
    <row r="75" spans="2:19" s="32" customFormat="1" ht="33" hidden="1" customHeight="1">
      <c r="B75" s="46" t="s">
        <v>210</v>
      </c>
      <c r="C75" s="35" t="s">
        <v>331</v>
      </c>
      <c r="D75" s="36" t="s">
        <v>905</v>
      </c>
      <c r="E75" s="37">
        <v>43519</v>
      </c>
      <c r="F75" s="38" t="s">
        <v>218</v>
      </c>
      <c r="G75" s="39">
        <v>3200</v>
      </c>
      <c r="H75" s="38">
        <f t="shared" si="11"/>
        <v>160</v>
      </c>
      <c r="I75" s="38">
        <f t="shared" si="12"/>
        <v>5</v>
      </c>
      <c r="J75" s="38"/>
      <c r="K75" s="40">
        <v>43562</v>
      </c>
      <c r="L75" s="41" t="s">
        <v>608</v>
      </c>
      <c r="M75" s="42">
        <v>43557</v>
      </c>
      <c r="N75" s="43" t="s">
        <v>906</v>
      </c>
      <c r="O75" s="42">
        <v>43562</v>
      </c>
      <c r="P75" s="45"/>
      <c r="Q75" s="38" t="s">
        <v>642</v>
      </c>
      <c r="R75" s="66" t="s">
        <v>211</v>
      </c>
      <c r="S75" s="38"/>
    </row>
    <row r="76" spans="2:19" s="32" customFormat="1" ht="33" hidden="1" customHeight="1">
      <c r="B76" s="46" t="s">
        <v>210</v>
      </c>
      <c r="C76" s="35" t="s">
        <v>907</v>
      </c>
      <c r="D76" s="36" t="s">
        <v>905</v>
      </c>
      <c r="E76" s="37">
        <v>43519</v>
      </c>
      <c r="F76" s="38" t="s">
        <v>218</v>
      </c>
      <c r="G76" s="39">
        <v>640</v>
      </c>
      <c r="H76" s="38">
        <f>SUM(G76/20)</f>
        <v>32</v>
      </c>
      <c r="I76" s="38">
        <f>SUM(H76/32)</f>
        <v>1</v>
      </c>
      <c r="J76" s="38"/>
      <c r="K76" s="40">
        <v>43562</v>
      </c>
      <c r="L76" s="41" t="s">
        <v>480</v>
      </c>
      <c r="M76" s="42">
        <v>43564</v>
      </c>
      <c r="N76" s="43" t="s">
        <v>646</v>
      </c>
      <c r="O76" s="42">
        <v>43569</v>
      </c>
      <c r="P76" s="45"/>
      <c r="Q76" s="38" t="s">
        <v>642</v>
      </c>
      <c r="R76" s="66" t="s">
        <v>211</v>
      </c>
      <c r="S76" s="38"/>
    </row>
    <row r="77" spans="2:19" s="32" customFormat="1" ht="33" hidden="1" customHeight="1">
      <c r="B77" s="46" t="s">
        <v>210</v>
      </c>
      <c r="C77" s="35" t="s">
        <v>431</v>
      </c>
      <c r="D77" s="36" t="s">
        <v>908</v>
      </c>
      <c r="E77" s="37">
        <v>43523</v>
      </c>
      <c r="F77" s="38" t="s">
        <v>218</v>
      </c>
      <c r="G77" s="39">
        <v>3200</v>
      </c>
      <c r="H77" s="38">
        <f t="shared" si="11"/>
        <v>160</v>
      </c>
      <c r="I77" s="38">
        <f t="shared" si="12"/>
        <v>5</v>
      </c>
      <c r="J77" s="38"/>
      <c r="K77" s="40">
        <v>43597</v>
      </c>
      <c r="L77" s="41" t="s">
        <v>605</v>
      </c>
      <c r="M77" s="42">
        <v>43594</v>
      </c>
      <c r="N77" s="43" t="s">
        <v>909</v>
      </c>
      <c r="O77" s="42">
        <v>43598</v>
      </c>
      <c r="P77" s="45"/>
      <c r="Q77" s="38" t="s">
        <v>641</v>
      </c>
      <c r="R77" s="66" t="s">
        <v>211</v>
      </c>
      <c r="S77" s="38"/>
    </row>
    <row r="78" spans="2:19" s="32" customFormat="1" ht="33" hidden="1" customHeight="1">
      <c r="B78" s="46" t="s">
        <v>210</v>
      </c>
      <c r="C78" s="35" t="s">
        <v>910</v>
      </c>
      <c r="D78" s="36" t="s">
        <v>908</v>
      </c>
      <c r="E78" s="37">
        <v>43523</v>
      </c>
      <c r="F78" s="38" t="s">
        <v>218</v>
      </c>
      <c r="G78" s="39">
        <v>640</v>
      </c>
      <c r="H78" s="38">
        <f>SUM(G78/20)</f>
        <v>32</v>
      </c>
      <c r="I78" s="38">
        <f>SUM(H78/32)</f>
        <v>1</v>
      </c>
      <c r="J78" s="38"/>
      <c r="K78" s="130">
        <v>43618</v>
      </c>
      <c r="L78" s="119" t="s">
        <v>977</v>
      </c>
      <c r="M78" s="120">
        <v>43613</v>
      </c>
      <c r="N78" s="121" t="s">
        <v>971</v>
      </c>
      <c r="O78" s="120">
        <v>43618</v>
      </c>
      <c r="P78" s="45"/>
      <c r="Q78" s="38" t="s">
        <v>641</v>
      </c>
      <c r="R78" s="66" t="s">
        <v>211</v>
      </c>
      <c r="S78" s="38"/>
    </row>
    <row r="79" spans="2:19" s="32" customFormat="1" ht="33" hidden="1" customHeight="1">
      <c r="B79" s="46" t="s">
        <v>210</v>
      </c>
      <c r="C79" s="35" t="s">
        <v>911</v>
      </c>
      <c r="D79" s="36" t="s">
        <v>739</v>
      </c>
      <c r="E79" s="37">
        <v>43532</v>
      </c>
      <c r="F79" s="38" t="s">
        <v>218</v>
      </c>
      <c r="G79" s="39">
        <v>2560</v>
      </c>
      <c r="H79" s="38">
        <f t="shared" ref="H79:H80" si="13">SUM(G79/20)</f>
        <v>128</v>
      </c>
      <c r="I79" s="38">
        <f t="shared" ref="I79:I80" si="14">SUM(H79/32)</f>
        <v>4</v>
      </c>
      <c r="J79" s="38"/>
      <c r="K79" s="130">
        <v>43618</v>
      </c>
      <c r="L79" s="119" t="s">
        <v>977</v>
      </c>
      <c r="M79" s="120">
        <v>43613</v>
      </c>
      <c r="N79" s="121" t="s">
        <v>971</v>
      </c>
      <c r="O79" s="120">
        <v>43618</v>
      </c>
      <c r="P79" s="45"/>
      <c r="Q79" s="124" t="s">
        <v>970</v>
      </c>
      <c r="R79" s="66" t="s">
        <v>211</v>
      </c>
      <c r="S79" s="38"/>
    </row>
    <row r="80" spans="2:19" s="32" customFormat="1" ht="33" hidden="1" customHeight="1">
      <c r="B80" s="122" t="s">
        <v>210</v>
      </c>
      <c r="C80" s="126" t="s">
        <v>589</v>
      </c>
      <c r="D80" s="127"/>
      <c r="E80" s="128">
        <v>43558</v>
      </c>
      <c r="F80" s="124" t="s">
        <v>218</v>
      </c>
      <c r="G80" s="129">
        <v>3200</v>
      </c>
      <c r="H80" s="124">
        <f t="shared" si="13"/>
        <v>160</v>
      </c>
      <c r="I80" s="124">
        <f t="shared" si="14"/>
        <v>5</v>
      </c>
      <c r="J80" s="124"/>
      <c r="K80" s="130">
        <v>43639</v>
      </c>
      <c r="L80" s="119" t="s">
        <v>978</v>
      </c>
      <c r="M80" s="120">
        <v>43634</v>
      </c>
      <c r="N80" s="121" t="s">
        <v>972</v>
      </c>
      <c r="O80" s="120">
        <v>43639</v>
      </c>
      <c r="P80" s="123"/>
      <c r="Q80" s="124" t="s">
        <v>973</v>
      </c>
      <c r="R80" s="134" t="s">
        <v>211</v>
      </c>
      <c r="S80" s="124"/>
    </row>
    <row r="81" spans="2:19" s="34" customFormat="1" ht="33" hidden="1" customHeight="1">
      <c r="B81" s="47" t="s">
        <v>912</v>
      </c>
      <c r="C81" s="48" t="s">
        <v>913</v>
      </c>
      <c r="D81" s="49" t="s">
        <v>914</v>
      </c>
      <c r="E81" s="50"/>
      <c r="F81" s="52" t="s">
        <v>915</v>
      </c>
      <c r="G81" s="51">
        <v>640</v>
      </c>
      <c r="H81" s="52">
        <f t="shared" si="11"/>
        <v>32</v>
      </c>
      <c r="I81" s="52">
        <f t="shared" si="12"/>
        <v>1</v>
      </c>
      <c r="J81" s="52"/>
      <c r="K81" s="53">
        <v>43513</v>
      </c>
      <c r="L81" s="54" t="s">
        <v>276</v>
      </c>
      <c r="M81" s="55">
        <v>43508</v>
      </c>
      <c r="N81" s="56" t="s">
        <v>864</v>
      </c>
      <c r="O81" s="55">
        <v>43513</v>
      </c>
      <c r="P81" s="58"/>
      <c r="Q81" s="52"/>
      <c r="R81" s="63" t="s">
        <v>211</v>
      </c>
      <c r="S81" s="52"/>
    </row>
    <row r="82" spans="2:19" s="34" customFormat="1" ht="33" hidden="1" customHeight="1">
      <c r="B82" s="47" t="s">
        <v>912</v>
      </c>
      <c r="C82" s="48" t="s">
        <v>234</v>
      </c>
      <c r="D82" s="49" t="s">
        <v>916</v>
      </c>
      <c r="E82" s="50">
        <v>43519</v>
      </c>
      <c r="F82" s="52" t="s">
        <v>915</v>
      </c>
      <c r="G82" s="51">
        <v>1280</v>
      </c>
      <c r="H82" s="52">
        <f t="shared" si="11"/>
        <v>64</v>
      </c>
      <c r="I82" s="52">
        <f t="shared" si="12"/>
        <v>2</v>
      </c>
      <c r="J82" s="52"/>
      <c r="K82" s="53">
        <v>43576</v>
      </c>
      <c r="L82" s="54" t="s">
        <v>901</v>
      </c>
      <c r="M82" s="55">
        <v>43550</v>
      </c>
      <c r="N82" s="56" t="s">
        <v>902</v>
      </c>
      <c r="O82" s="55">
        <v>43555</v>
      </c>
      <c r="P82" s="58" t="s">
        <v>655</v>
      </c>
      <c r="Q82" s="52" t="s">
        <v>613</v>
      </c>
      <c r="R82" s="63" t="s">
        <v>211</v>
      </c>
      <c r="S82" s="52"/>
    </row>
    <row r="83" spans="2:19" s="32" customFormat="1" ht="33" hidden="1" customHeight="1">
      <c r="B83" s="46" t="s">
        <v>917</v>
      </c>
      <c r="C83" s="35" t="s">
        <v>235</v>
      </c>
      <c r="D83" s="36" t="s">
        <v>744</v>
      </c>
      <c r="E83" s="37">
        <v>43532</v>
      </c>
      <c r="F83" s="38" t="s">
        <v>918</v>
      </c>
      <c r="G83" s="39">
        <v>1280</v>
      </c>
      <c r="H83" s="38">
        <f t="shared" si="11"/>
        <v>64</v>
      </c>
      <c r="I83" s="38">
        <f t="shared" si="12"/>
        <v>2</v>
      </c>
      <c r="J83" s="38"/>
      <c r="K83" s="40">
        <v>43597</v>
      </c>
      <c r="L83" s="41" t="s">
        <v>605</v>
      </c>
      <c r="M83" s="42">
        <v>43594</v>
      </c>
      <c r="N83" s="43" t="s">
        <v>772</v>
      </c>
      <c r="O83" s="42">
        <v>43598</v>
      </c>
      <c r="P83" s="45"/>
      <c r="Q83" s="38" t="s">
        <v>641</v>
      </c>
      <c r="R83" s="66" t="s">
        <v>211</v>
      </c>
      <c r="S83" s="38"/>
    </row>
    <row r="84" spans="2:19" s="30" customFormat="1" ht="33" hidden="1" customHeight="1">
      <c r="B84" s="46" t="s">
        <v>919</v>
      </c>
      <c r="C84" s="35" t="s">
        <v>225</v>
      </c>
      <c r="D84" s="36" t="s">
        <v>487</v>
      </c>
      <c r="E84" s="37">
        <v>43490</v>
      </c>
      <c r="F84" s="38" t="s">
        <v>920</v>
      </c>
      <c r="G84" s="39">
        <v>1520</v>
      </c>
      <c r="H84" s="38">
        <f>SUM(G84/190)</f>
        <v>8</v>
      </c>
      <c r="I84" s="38">
        <f>SUM(H84/4)</f>
        <v>2</v>
      </c>
      <c r="J84" s="38"/>
      <c r="K84" s="40">
        <v>43569</v>
      </c>
      <c r="L84" s="41" t="s">
        <v>417</v>
      </c>
      <c r="M84" s="42">
        <v>43564</v>
      </c>
      <c r="N84" s="43" t="s">
        <v>924</v>
      </c>
      <c r="O84" s="42">
        <v>43569</v>
      </c>
      <c r="P84" s="45"/>
      <c r="Q84" s="38"/>
      <c r="R84" s="66" t="s">
        <v>925</v>
      </c>
      <c r="S84" s="46"/>
    </row>
    <row r="85" spans="2:19" s="30" customFormat="1" ht="33" hidden="1" customHeight="1">
      <c r="B85" s="46" t="s">
        <v>919</v>
      </c>
      <c r="C85" s="35" t="s">
        <v>226</v>
      </c>
      <c r="D85" s="36" t="s">
        <v>833</v>
      </c>
      <c r="E85" s="37">
        <v>43546</v>
      </c>
      <c r="F85" s="38" t="s">
        <v>920</v>
      </c>
      <c r="G85" s="39">
        <v>1520</v>
      </c>
      <c r="H85" s="38">
        <f>SUM(G85/190)</f>
        <v>8</v>
      </c>
      <c r="I85" s="38">
        <f>SUM(H85/4)</f>
        <v>2</v>
      </c>
      <c r="J85" s="38"/>
      <c r="K85" s="130">
        <v>43632</v>
      </c>
      <c r="L85" s="119" t="s">
        <v>979</v>
      </c>
      <c r="M85" s="120">
        <v>43627</v>
      </c>
      <c r="N85" s="121" t="s">
        <v>974</v>
      </c>
      <c r="O85" s="120">
        <v>43632</v>
      </c>
      <c r="P85" s="45"/>
      <c r="Q85" s="38"/>
      <c r="R85" s="134" t="s">
        <v>928</v>
      </c>
      <c r="S85" s="46"/>
    </row>
    <row r="86" spans="2:19" s="33" customFormat="1" ht="33" hidden="1" customHeight="1">
      <c r="B86" s="47" t="s">
        <v>929</v>
      </c>
      <c r="C86" s="48" t="s">
        <v>90</v>
      </c>
      <c r="D86" s="49" t="s">
        <v>930</v>
      </c>
      <c r="E86" s="50"/>
      <c r="F86" s="47" t="s">
        <v>236</v>
      </c>
      <c r="G86" s="51">
        <v>800</v>
      </c>
      <c r="H86" s="52">
        <f t="shared" ref="H86:H95" si="15">SUM(G86/200)</f>
        <v>4</v>
      </c>
      <c r="I86" s="52">
        <f t="shared" ref="I86:I95" si="16">SUM(H86/4)</f>
        <v>1</v>
      </c>
      <c r="J86" s="52"/>
      <c r="K86" s="53">
        <v>43513</v>
      </c>
      <c r="L86" s="54" t="s">
        <v>931</v>
      </c>
      <c r="M86" s="55">
        <v>43515</v>
      </c>
      <c r="N86" s="56" t="s">
        <v>932</v>
      </c>
      <c r="O86" s="55">
        <v>43520</v>
      </c>
      <c r="P86" s="58" t="s">
        <v>933</v>
      </c>
      <c r="Q86" s="52"/>
      <c r="R86" s="63"/>
      <c r="S86" s="47"/>
    </row>
    <row r="87" spans="2:19" s="33" customFormat="1" ht="33" hidden="1" customHeight="1">
      <c r="B87" s="47" t="s">
        <v>929</v>
      </c>
      <c r="C87" s="48" t="s">
        <v>90</v>
      </c>
      <c r="D87" s="49" t="s">
        <v>930</v>
      </c>
      <c r="E87" s="50"/>
      <c r="F87" s="47" t="s">
        <v>236</v>
      </c>
      <c r="G87" s="51">
        <v>1600</v>
      </c>
      <c r="H87" s="52">
        <f t="shared" si="15"/>
        <v>8</v>
      </c>
      <c r="I87" s="52">
        <f t="shared" si="16"/>
        <v>2</v>
      </c>
      <c r="J87" s="52"/>
      <c r="K87" s="53">
        <v>43520</v>
      </c>
      <c r="L87" s="54" t="s">
        <v>931</v>
      </c>
      <c r="M87" s="55">
        <v>43515</v>
      </c>
      <c r="N87" s="56" t="s">
        <v>932</v>
      </c>
      <c r="O87" s="55">
        <v>43520</v>
      </c>
      <c r="P87" s="58" t="s">
        <v>934</v>
      </c>
      <c r="Q87" s="52"/>
      <c r="R87" s="63"/>
      <c r="S87" s="47"/>
    </row>
    <row r="88" spans="2:19" s="33" customFormat="1" ht="33" hidden="1" customHeight="1">
      <c r="B88" s="47" t="s">
        <v>929</v>
      </c>
      <c r="C88" s="48" t="s">
        <v>935</v>
      </c>
      <c r="D88" s="49" t="s">
        <v>930</v>
      </c>
      <c r="E88" s="50"/>
      <c r="F88" s="47" t="s">
        <v>236</v>
      </c>
      <c r="G88" s="51">
        <v>2400</v>
      </c>
      <c r="H88" s="52">
        <f t="shared" si="15"/>
        <v>12</v>
      </c>
      <c r="I88" s="52">
        <f t="shared" si="16"/>
        <v>3</v>
      </c>
      <c r="J88" s="52"/>
      <c r="K88" s="53">
        <v>43527</v>
      </c>
      <c r="L88" s="54" t="s">
        <v>936</v>
      </c>
      <c r="M88" s="55">
        <v>43531</v>
      </c>
      <c r="N88" s="56" t="s">
        <v>568</v>
      </c>
      <c r="O88" s="55">
        <v>43535</v>
      </c>
      <c r="P88" s="58"/>
      <c r="Q88" s="52"/>
      <c r="R88" s="63"/>
      <c r="S88" s="47" t="s">
        <v>937</v>
      </c>
    </row>
    <row r="89" spans="2:19" s="33" customFormat="1" ht="33" hidden="1" customHeight="1">
      <c r="B89" s="47" t="s">
        <v>238</v>
      </c>
      <c r="C89" s="48" t="s">
        <v>948</v>
      </c>
      <c r="D89" s="49" t="s">
        <v>435</v>
      </c>
      <c r="E89" s="50"/>
      <c r="F89" s="52" t="s">
        <v>236</v>
      </c>
      <c r="G89" s="51">
        <v>2400</v>
      </c>
      <c r="H89" s="52">
        <f t="shared" si="15"/>
        <v>12</v>
      </c>
      <c r="I89" s="52">
        <f t="shared" si="16"/>
        <v>3</v>
      </c>
      <c r="J89" s="52"/>
      <c r="K89" s="53">
        <v>43548</v>
      </c>
      <c r="L89" s="54" t="s">
        <v>949</v>
      </c>
      <c r="M89" s="55">
        <v>43543</v>
      </c>
      <c r="N89" s="56" t="s">
        <v>950</v>
      </c>
      <c r="O89" s="55">
        <v>43548</v>
      </c>
      <c r="P89" s="58"/>
      <c r="Q89" s="52"/>
      <c r="R89" s="63"/>
      <c r="S89" s="47"/>
    </row>
    <row r="90" spans="2:19" s="30" customFormat="1" ht="33" hidden="1" customHeight="1">
      <c r="B90" s="46" t="s">
        <v>238</v>
      </c>
      <c r="C90" s="35" t="s">
        <v>951</v>
      </c>
      <c r="D90" s="36" t="s">
        <v>474</v>
      </c>
      <c r="E90" s="37"/>
      <c r="F90" s="38" t="s">
        <v>236</v>
      </c>
      <c r="G90" s="39">
        <v>3200</v>
      </c>
      <c r="H90" s="38">
        <f t="shared" si="15"/>
        <v>16</v>
      </c>
      <c r="I90" s="38">
        <f t="shared" si="16"/>
        <v>4</v>
      </c>
      <c r="J90" s="38"/>
      <c r="K90" s="40">
        <v>43562</v>
      </c>
      <c r="L90" s="41" t="s">
        <v>952</v>
      </c>
      <c r="M90" s="42">
        <v>43557</v>
      </c>
      <c r="N90" s="43" t="s">
        <v>953</v>
      </c>
      <c r="O90" s="42">
        <v>43562</v>
      </c>
      <c r="P90" s="45"/>
      <c r="Q90" s="38"/>
      <c r="R90" s="66"/>
      <c r="S90" s="46"/>
    </row>
    <row r="91" spans="2:19" s="30" customFormat="1" ht="33" hidden="1" customHeight="1">
      <c r="B91" s="46" t="s">
        <v>238</v>
      </c>
      <c r="C91" s="35" t="s">
        <v>954</v>
      </c>
      <c r="D91" s="36" t="s">
        <v>475</v>
      </c>
      <c r="E91" s="37"/>
      <c r="F91" s="38" t="s">
        <v>236</v>
      </c>
      <c r="G91" s="39">
        <v>1600</v>
      </c>
      <c r="H91" s="38">
        <f t="shared" si="15"/>
        <v>8</v>
      </c>
      <c r="I91" s="38">
        <f t="shared" si="16"/>
        <v>2</v>
      </c>
      <c r="J91" s="38"/>
      <c r="K91" s="40">
        <v>43562</v>
      </c>
      <c r="L91" s="41" t="s">
        <v>955</v>
      </c>
      <c r="M91" s="42">
        <v>43564</v>
      </c>
      <c r="N91" s="43" t="s">
        <v>924</v>
      </c>
      <c r="O91" s="42">
        <v>43569</v>
      </c>
      <c r="P91" s="45"/>
      <c r="Q91" s="38"/>
      <c r="R91" s="66"/>
      <c r="S91" s="46"/>
    </row>
    <row r="92" spans="2:19" s="30" customFormat="1" ht="33" hidden="1" customHeight="1">
      <c r="B92" s="46" t="s">
        <v>238</v>
      </c>
      <c r="C92" s="35" t="s">
        <v>956</v>
      </c>
      <c r="D92" s="36" t="s">
        <v>488</v>
      </c>
      <c r="E92" s="37">
        <v>43495</v>
      </c>
      <c r="F92" s="38" t="s">
        <v>236</v>
      </c>
      <c r="G92" s="39">
        <v>1600</v>
      </c>
      <c r="H92" s="38">
        <f t="shared" si="15"/>
        <v>8</v>
      </c>
      <c r="I92" s="38">
        <f t="shared" si="16"/>
        <v>2</v>
      </c>
      <c r="J92" s="38"/>
      <c r="K92" s="40">
        <v>43583</v>
      </c>
      <c r="L92" s="41" t="s">
        <v>957</v>
      </c>
      <c r="M92" s="42">
        <v>43578</v>
      </c>
      <c r="N92" s="43" t="s">
        <v>958</v>
      </c>
      <c r="O92" s="42">
        <v>43583</v>
      </c>
      <c r="P92" s="45"/>
      <c r="Q92" s="38"/>
      <c r="R92" s="66"/>
      <c r="S92" s="46"/>
    </row>
    <row r="93" spans="2:19" s="30" customFormat="1" ht="33" hidden="1" customHeight="1">
      <c r="B93" s="46" t="s">
        <v>238</v>
      </c>
      <c r="C93" s="35" t="s">
        <v>959</v>
      </c>
      <c r="D93" s="36" t="s">
        <v>598</v>
      </c>
      <c r="E93" s="37">
        <v>43519</v>
      </c>
      <c r="F93" s="38" t="s">
        <v>236</v>
      </c>
      <c r="G93" s="39">
        <v>3200</v>
      </c>
      <c r="H93" s="38">
        <f t="shared" si="15"/>
        <v>16</v>
      </c>
      <c r="I93" s="38">
        <f t="shared" si="16"/>
        <v>4</v>
      </c>
      <c r="J93" s="38"/>
      <c r="K93" s="40">
        <v>43597</v>
      </c>
      <c r="L93" s="41" t="s">
        <v>960</v>
      </c>
      <c r="M93" s="42">
        <v>43592</v>
      </c>
      <c r="N93" s="43" t="s">
        <v>961</v>
      </c>
      <c r="O93" s="42">
        <v>43597</v>
      </c>
      <c r="P93" s="45"/>
      <c r="Q93" s="38"/>
      <c r="R93" s="66"/>
      <c r="S93" s="46"/>
    </row>
    <row r="94" spans="2:19" s="30" customFormat="1" ht="33" hidden="1" customHeight="1">
      <c r="B94" s="46" t="s">
        <v>238</v>
      </c>
      <c r="C94" s="35" t="s">
        <v>226</v>
      </c>
      <c r="D94" s="36" t="s">
        <v>749</v>
      </c>
      <c r="E94" s="37">
        <v>43532</v>
      </c>
      <c r="F94" s="38" t="s">
        <v>236</v>
      </c>
      <c r="G94" s="39">
        <v>3200</v>
      </c>
      <c r="H94" s="38">
        <f t="shared" si="15"/>
        <v>16</v>
      </c>
      <c r="I94" s="38">
        <f t="shared" si="16"/>
        <v>4</v>
      </c>
      <c r="J94" s="38"/>
      <c r="K94" s="40">
        <v>43625</v>
      </c>
      <c r="L94" s="41" t="s">
        <v>962</v>
      </c>
      <c r="M94" s="42">
        <v>43620</v>
      </c>
      <c r="N94" s="43" t="s">
        <v>963</v>
      </c>
      <c r="O94" s="42" t="s">
        <v>964</v>
      </c>
      <c r="P94" s="45"/>
      <c r="Q94" s="38"/>
      <c r="R94" s="66"/>
      <c r="S94" s="46"/>
    </row>
    <row r="95" spans="2:19" s="30" customFormat="1" ht="33" hidden="1" customHeight="1">
      <c r="B95" s="46" t="s">
        <v>238</v>
      </c>
      <c r="C95" s="35" t="s">
        <v>233</v>
      </c>
      <c r="D95" s="36" t="s">
        <v>750</v>
      </c>
      <c r="E95" s="37">
        <v>43532</v>
      </c>
      <c r="F95" s="38" t="s">
        <v>236</v>
      </c>
      <c r="G95" s="39">
        <v>3200</v>
      </c>
      <c r="H95" s="38">
        <f t="shared" si="15"/>
        <v>16</v>
      </c>
      <c r="I95" s="38">
        <f t="shared" si="16"/>
        <v>4</v>
      </c>
      <c r="J95" s="38"/>
      <c r="K95" s="40">
        <v>43646</v>
      </c>
      <c r="L95" s="41" t="s">
        <v>965</v>
      </c>
      <c r="M95" s="42">
        <v>43641</v>
      </c>
      <c r="N95" s="43" t="s">
        <v>966</v>
      </c>
      <c r="O95" s="42">
        <v>43646</v>
      </c>
      <c r="P95" s="45"/>
      <c r="Q95" s="38"/>
      <c r="R95" s="66"/>
      <c r="S95" s="46"/>
    </row>
    <row r="96" spans="2:19" s="30" customFormat="1">
      <c r="C96" s="22"/>
      <c r="D96" s="23"/>
      <c r="G96" s="24"/>
      <c r="K96" s="25"/>
      <c r="M96" s="26"/>
      <c r="N96" s="28"/>
      <c r="O96" s="26"/>
      <c r="R96" s="27"/>
    </row>
    <row r="97" spans="2:19" s="30" customFormat="1">
      <c r="C97" s="22"/>
      <c r="D97" s="23"/>
      <c r="G97" s="24"/>
      <c r="I97" s="30" t="s">
        <v>967</v>
      </c>
      <c r="K97" s="25"/>
      <c r="M97" s="26"/>
      <c r="N97" s="28"/>
      <c r="O97" s="26"/>
      <c r="R97" s="27"/>
    </row>
    <row r="98" spans="2:19" s="19" customFormat="1">
      <c r="B98"/>
      <c r="C98" s="15"/>
      <c r="D98" s="1"/>
      <c r="E98"/>
      <c r="F98"/>
      <c r="G98" s="11"/>
      <c r="H98"/>
      <c r="I98"/>
      <c r="J98"/>
      <c r="K98" s="13"/>
      <c r="L98"/>
      <c r="N98" s="28"/>
      <c r="P98"/>
      <c r="Q98"/>
      <c r="R98" s="17"/>
      <c r="S98"/>
    </row>
    <row r="99" spans="2:19" s="19" customFormat="1">
      <c r="B99"/>
      <c r="C99" s="15"/>
      <c r="D99" s="1"/>
      <c r="E99"/>
      <c r="F99"/>
      <c r="G99" s="11"/>
      <c r="H99"/>
      <c r="I99"/>
      <c r="J99"/>
      <c r="K99" s="13"/>
      <c r="L99"/>
      <c r="N99" s="28"/>
      <c r="P99"/>
      <c r="Q99"/>
      <c r="R99" s="17"/>
      <c r="S99"/>
    </row>
    <row r="100" spans="2:19" s="19" customFormat="1">
      <c r="B100"/>
      <c r="C100" s="15"/>
      <c r="D100" s="1"/>
      <c r="E100"/>
      <c r="F100"/>
      <c r="G100" s="11"/>
      <c r="H100"/>
      <c r="I100"/>
      <c r="J100"/>
      <c r="K100" s="13"/>
      <c r="L100"/>
      <c r="N100" s="28"/>
      <c r="P100"/>
      <c r="Q100"/>
      <c r="R100" s="17"/>
      <c r="S100"/>
    </row>
    <row r="101" spans="2:19" s="19" customFormat="1">
      <c r="B101"/>
      <c r="C101" s="15"/>
      <c r="D101" s="1"/>
      <c r="E101"/>
      <c r="F101"/>
      <c r="G101" s="11"/>
      <c r="H101"/>
      <c r="I101"/>
      <c r="J101"/>
      <c r="K101" s="13"/>
      <c r="L101"/>
      <c r="N101" s="28"/>
      <c r="P101"/>
      <c r="Q101"/>
      <c r="R101" s="17"/>
      <c r="S101"/>
    </row>
    <row r="102" spans="2:19" s="19" customFormat="1">
      <c r="B102"/>
      <c r="C102" s="15"/>
      <c r="D102" s="1"/>
      <c r="E102"/>
      <c r="F102"/>
      <c r="G102" s="11"/>
      <c r="H102"/>
      <c r="I102"/>
      <c r="J102"/>
      <c r="K102" s="13"/>
      <c r="L102"/>
      <c r="N102" s="28"/>
      <c r="P102"/>
      <c r="Q102"/>
      <c r="R102" s="17"/>
      <c r="S102"/>
    </row>
    <row r="103" spans="2:19" s="19" customFormat="1">
      <c r="B103"/>
      <c r="C103" s="15"/>
      <c r="D103" s="1"/>
      <c r="E103"/>
      <c r="F103"/>
      <c r="G103" s="11"/>
      <c r="H103"/>
      <c r="I103"/>
      <c r="J103"/>
      <c r="K103" s="13"/>
      <c r="L103"/>
      <c r="N103" s="28"/>
      <c r="P103"/>
      <c r="Q103"/>
      <c r="R103" s="17"/>
      <c r="S103"/>
    </row>
    <row r="104" spans="2:19">
      <c r="N104" s="28"/>
    </row>
    <row r="105" spans="2:19">
      <c r="N105" s="28"/>
    </row>
    <row r="106" spans="2:19">
      <c r="N106" s="28"/>
    </row>
    <row r="107" spans="2:19">
      <c r="N107" s="28"/>
    </row>
    <row r="108" spans="2:19">
      <c r="N108" s="28"/>
    </row>
    <row r="109" spans="2:19" s="19" customFormat="1">
      <c r="B109"/>
      <c r="C109" s="15"/>
      <c r="D109" s="1"/>
      <c r="E109"/>
      <c r="F109"/>
      <c r="G109" s="11"/>
      <c r="H109"/>
      <c r="I109"/>
      <c r="J109"/>
      <c r="K109" s="13"/>
      <c r="L109"/>
      <c r="N109" s="28"/>
      <c r="P109"/>
      <c r="Q109"/>
      <c r="R109" s="17"/>
      <c r="S109"/>
    </row>
    <row r="110" spans="2:19" s="19" customFormat="1">
      <c r="B110"/>
      <c r="C110" s="15"/>
      <c r="D110" s="1"/>
      <c r="E110"/>
      <c r="F110"/>
      <c r="G110" s="11"/>
      <c r="H110"/>
      <c r="I110"/>
      <c r="J110"/>
      <c r="K110" s="13"/>
      <c r="L110"/>
      <c r="N110" s="28"/>
      <c r="P110"/>
      <c r="Q110"/>
      <c r="R110" s="17"/>
      <c r="S110"/>
    </row>
    <row r="111" spans="2:19" s="19" customFormat="1">
      <c r="B111"/>
      <c r="C111" s="15"/>
      <c r="D111" s="1"/>
      <c r="E111"/>
      <c r="F111"/>
      <c r="G111" s="11"/>
      <c r="H111"/>
      <c r="I111"/>
      <c r="J111"/>
      <c r="K111" s="13"/>
      <c r="L111"/>
      <c r="N111" s="28"/>
      <c r="P111"/>
      <c r="Q111"/>
      <c r="R111" s="17"/>
      <c r="S111"/>
    </row>
    <row r="112" spans="2:19" s="19" customFormat="1">
      <c r="B112"/>
      <c r="C112" s="15"/>
      <c r="D112" s="1"/>
      <c r="E112"/>
      <c r="F112"/>
      <c r="G112" s="11"/>
      <c r="H112"/>
      <c r="I112"/>
      <c r="J112"/>
      <c r="K112" s="13"/>
      <c r="L112"/>
      <c r="N112" s="28"/>
      <c r="P112"/>
      <c r="Q112"/>
      <c r="R112" s="17"/>
      <c r="S112"/>
    </row>
    <row r="113" spans="2:19" s="19" customFormat="1">
      <c r="B113"/>
      <c r="C113" s="15"/>
      <c r="D113" s="1"/>
      <c r="E113"/>
      <c r="F113"/>
      <c r="G113" s="11"/>
      <c r="H113"/>
      <c r="I113"/>
      <c r="J113"/>
      <c r="K113" s="13"/>
      <c r="L113"/>
      <c r="N113" s="28"/>
      <c r="P113"/>
      <c r="Q113"/>
      <c r="R113" s="17"/>
      <c r="S113"/>
    </row>
    <row r="114" spans="2:19" s="19" customFormat="1">
      <c r="B114"/>
      <c r="C114" s="15"/>
      <c r="D114" s="1"/>
      <c r="E114"/>
      <c r="F114"/>
      <c r="G114" s="11"/>
      <c r="H114"/>
      <c r="I114"/>
      <c r="J114"/>
      <c r="K114" s="13"/>
      <c r="L114"/>
      <c r="N114" s="28"/>
      <c r="P114"/>
      <c r="Q114"/>
      <c r="R114" s="17"/>
      <c r="S114"/>
    </row>
  </sheetData>
  <autoFilter ref="B2:R95" xr:uid="{00000000-0009-0000-0000-000027000000}">
    <filterColumn colId="11">
      <filters>
        <dateGroupItem year="2019" month="5" day="21" dateTimeGrouping="day"/>
      </filters>
    </filterColumn>
  </autoFilter>
  <phoneticPr fontId="1"/>
  <pageMargins left="0.23622047244094491" right="0.23622047244094491" top="0.35433070866141736" bottom="0.35433070866141736" header="0.31496062992125984" footer="0.31496062992125984"/>
  <pageSetup paperSize="9" scale="94" fitToHeight="0" orientation="landscape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42">
    <pageSetUpPr fitToPage="1"/>
  </sheetPr>
  <dimension ref="B1:S131"/>
  <sheetViews>
    <sheetView zoomScale="80" zoomScaleNormal="80" workbookViewId="0">
      <pane xSplit="3" ySplit="2" topLeftCell="D9" activePane="bottomRight" state="frozen"/>
      <selection activeCell="B70" sqref="B70"/>
      <selection pane="topRight" activeCell="B70" sqref="B70"/>
      <selection pane="bottomLeft" activeCell="B70" sqref="B70"/>
      <selection pane="bottomRight" activeCell="I20" sqref="I20"/>
    </sheetView>
  </sheetViews>
  <sheetFormatPr defaultRowHeight="15" outlineLevelCol="1"/>
  <cols>
    <col min="1" max="1" width="2.875" customWidth="1"/>
    <col min="2" max="2" width="29.125" customWidth="1"/>
    <col min="3" max="3" width="8.125" style="15" customWidth="1"/>
    <col min="4" max="4" width="16.875" style="1" customWidth="1"/>
    <col min="5" max="5" width="12.875" customWidth="1"/>
    <col min="6" max="6" width="15.875" customWidth="1"/>
    <col min="7" max="7" width="14.875" style="11" customWidth="1"/>
    <col min="8" max="9" width="14.875" customWidth="1" outlineLevel="1"/>
    <col min="10" max="10" width="16.25" customWidth="1" outlineLevel="1"/>
    <col min="11" max="11" width="13.875" style="13" customWidth="1"/>
    <col min="12" max="12" width="13.25" customWidth="1" collapsed="1"/>
    <col min="13" max="13" width="10.125" style="19" customWidth="1"/>
    <col min="14" max="14" width="11.75" style="19" customWidth="1"/>
    <col min="15" max="15" width="10.75" style="19" customWidth="1"/>
    <col min="16" max="16" width="24.875" customWidth="1"/>
    <col min="17" max="17" width="33.75" customWidth="1"/>
    <col min="18" max="18" width="34.75" style="17" customWidth="1"/>
    <col min="19" max="19" width="38.875" customWidth="1"/>
  </cols>
  <sheetData>
    <row r="1" spans="2:19">
      <c r="Q1" s="29">
        <v>42384</v>
      </c>
    </row>
    <row r="2" spans="2:19">
      <c r="C2" s="14" t="s">
        <v>293</v>
      </c>
      <c r="D2" s="5" t="s">
        <v>0</v>
      </c>
      <c r="E2" s="6" t="s">
        <v>294</v>
      </c>
      <c r="F2" s="6" t="s">
        <v>295</v>
      </c>
      <c r="G2" s="10" t="s">
        <v>1</v>
      </c>
      <c r="H2" s="6" t="s">
        <v>15</v>
      </c>
      <c r="I2" s="6" t="s">
        <v>16</v>
      </c>
      <c r="J2" s="6" t="s">
        <v>450</v>
      </c>
      <c r="K2" s="12" t="s">
        <v>296</v>
      </c>
      <c r="L2" s="2" t="s">
        <v>2</v>
      </c>
      <c r="M2" s="31" t="s">
        <v>3</v>
      </c>
      <c r="N2" s="18" t="s">
        <v>4</v>
      </c>
      <c r="O2" s="18" t="s">
        <v>5</v>
      </c>
      <c r="P2" s="2" t="s">
        <v>219</v>
      </c>
      <c r="Q2" s="6" t="s">
        <v>527</v>
      </c>
      <c r="R2" s="16" t="s">
        <v>6</v>
      </c>
      <c r="S2" s="16" t="s">
        <v>669</v>
      </c>
    </row>
    <row r="3" spans="2:19" s="33" customFormat="1" ht="33" customHeight="1">
      <c r="B3" s="47" t="s">
        <v>78</v>
      </c>
      <c r="C3" s="48" t="s">
        <v>241</v>
      </c>
      <c r="D3" s="49" t="s">
        <v>242</v>
      </c>
      <c r="E3" s="50">
        <v>43357</v>
      </c>
      <c r="F3" s="49" t="s">
        <v>79</v>
      </c>
      <c r="G3" s="51">
        <v>30000</v>
      </c>
      <c r="H3" s="52">
        <f t="shared" ref="H3:H33" si="0">SUM(G3/250)</f>
        <v>120</v>
      </c>
      <c r="I3" s="52">
        <f t="shared" ref="I3:I44" si="1">SUM(H3/4)</f>
        <v>30</v>
      </c>
      <c r="J3" s="49"/>
      <c r="K3" s="53">
        <v>43464</v>
      </c>
      <c r="L3" s="54" t="s">
        <v>275</v>
      </c>
      <c r="M3" s="55">
        <v>43472</v>
      </c>
      <c r="N3" s="56" t="s">
        <v>265</v>
      </c>
      <c r="O3" s="55">
        <v>43113</v>
      </c>
      <c r="P3" s="54" t="s">
        <v>371</v>
      </c>
      <c r="Q3" s="49" t="s">
        <v>82</v>
      </c>
      <c r="R3" s="57" t="s">
        <v>243</v>
      </c>
      <c r="S3" s="47" t="s">
        <v>229</v>
      </c>
    </row>
    <row r="4" spans="2:19" s="33" customFormat="1" ht="33" customHeight="1">
      <c r="B4" s="47" t="s">
        <v>78</v>
      </c>
      <c r="C4" s="48" t="s">
        <v>245</v>
      </c>
      <c r="D4" s="49" t="s">
        <v>259</v>
      </c>
      <c r="E4" s="50">
        <v>43378</v>
      </c>
      <c r="F4" s="49" t="s">
        <v>79</v>
      </c>
      <c r="G4" s="51">
        <v>10000</v>
      </c>
      <c r="H4" s="52">
        <f t="shared" si="0"/>
        <v>40</v>
      </c>
      <c r="I4" s="52">
        <f t="shared" si="1"/>
        <v>10</v>
      </c>
      <c r="J4" s="49"/>
      <c r="K4" s="53">
        <v>43478</v>
      </c>
      <c r="L4" s="54" t="s">
        <v>281</v>
      </c>
      <c r="M4" s="55">
        <v>43476</v>
      </c>
      <c r="N4" s="56" t="s">
        <v>410</v>
      </c>
      <c r="O4" s="55">
        <v>43120</v>
      </c>
      <c r="P4" s="54" t="s">
        <v>397</v>
      </c>
      <c r="Q4" s="49" t="s">
        <v>82</v>
      </c>
      <c r="R4" s="57" t="s">
        <v>268</v>
      </c>
      <c r="S4" s="47" t="s">
        <v>229</v>
      </c>
    </row>
    <row r="5" spans="2:19" s="33" customFormat="1" ht="33" customHeight="1">
      <c r="B5" s="47" t="s">
        <v>220</v>
      </c>
      <c r="C5" s="48" t="s">
        <v>246</v>
      </c>
      <c r="D5" s="49" t="s">
        <v>260</v>
      </c>
      <c r="E5" s="50">
        <v>43378</v>
      </c>
      <c r="F5" s="49" t="s">
        <v>297</v>
      </c>
      <c r="G5" s="51">
        <v>10000</v>
      </c>
      <c r="H5" s="52">
        <f t="shared" si="0"/>
        <v>40</v>
      </c>
      <c r="I5" s="52">
        <f t="shared" si="1"/>
        <v>10</v>
      </c>
      <c r="J5" s="49"/>
      <c r="K5" s="53">
        <v>43478</v>
      </c>
      <c r="L5" s="54" t="s">
        <v>411</v>
      </c>
      <c r="M5" s="55">
        <v>43472</v>
      </c>
      <c r="N5" s="56" t="s">
        <v>265</v>
      </c>
      <c r="O5" s="55">
        <v>43113</v>
      </c>
      <c r="P5" s="54" t="s">
        <v>372</v>
      </c>
      <c r="Q5" s="49"/>
      <c r="R5" s="57" t="s">
        <v>247</v>
      </c>
      <c r="S5" s="47" t="s">
        <v>229</v>
      </c>
    </row>
    <row r="6" spans="2:19" s="33" customFormat="1" ht="33" customHeight="1">
      <c r="B6" s="47" t="s">
        <v>78</v>
      </c>
      <c r="C6" s="48" t="s">
        <v>248</v>
      </c>
      <c r="D6" s="49" t="s">
        <v>261</v>
      </c>
      <c r="E6" s="50">
        <v>43378</v>
      </c>
      <c r="F6" s="49" t="s">
        <v>354</v>
      </c>
      <c r="G6" s="51">
        <v>20000</v>
      </c>
      <c r="H6" s="52">
        <f t="shared" si="0"/>
        <v>80</v>
      </c>
      <c r="I6" s="52">
        <f t="shared" si="1"/>
        <v>20</v>
      </c>
      <c r="J6" s="49"/>
      <c r="K6" s="53">
        <v>43478</v>
      </c>
      <c r="L6" s="54" t="s">
        <v>281</v>
      </c>
      <c r="M6" s="55">
        <v>43476</v>
      </c>
      <c r="N6" s="56" t="s">
        <v>410</v>
      </c>
      <c r="O6" s="55">
        <v>43120</v>
      </c>
      <c r="P6" s="54" t="s">
        <v>398</v>
      </c>
      <c r="Q6" s="49" t="s">
        <v>82</v>
      </c>
      <c r="R6" s="57" t="s">
        <v>249</v>
      </c>
      <c r="S6" s="47" t="s">
        <v>351</v>
      </c>
    </row>
    <row r="7" spans="2:19" s="33" customFormat="1" ht="33" customHeight="1">
      <c r="B7" s="47" t="s">
        <v>220</v>
      </c>
      <c r="C7" s="48" t="s">
        <v>250</v>
      </c>
      <c r="D7" s="49" t="s">
        <v>262</v>
      </c>
      <c r="E7" s="50">
        <v>43378</v>
      </c>
      <c r="F7" s="49" t="s">
        <v>79</v>
      </c>
      <c r="G7" s="51">
        <v>20000</v>
      </c>
      <c r="H7" s="52">
        <f t="shared" si="0"/>
        <v>80</v>
      </c>
      <c r="I7" s="52">
        <f t="shared" si="1"/>
        <v>20</v>
      </c>
      <c r="J7" s="49"/>
      <c r="K7" s="53">
        <v>43485</v>
      </c>
      <c r="L7" s="54" t="s">
        <v>412</v>
      </c>
      <c r="M7" s="55">
        <v>43476</v>
      </c>
      <c r="N7" s="56" t="s">
        <v>410</v>
      </c>
      <c r="O7" s="55">
        <v>43120</v>
      </c>
      <c r="P7" s="54" t="s">
        <v>394</v>
      </c>
      <c r="Q7" s="49"/>
      <c r="R7" s="57" t="s">
        <v>251</v>
      </c>
      <c r="S7" s="47" t="s">
        <v>229</v>
      </c>
    </row>
    <row r="8" spans="2:19" s="33" customFormat="1" ht="33" customHeight="1">
      <c r="B8" s="47" t="s">
        <v>220</v>
      </c>
      <c r="C8" s="48" t="s">
        <v>396</v>
      </c>
      <c r="D8" s="49" t="s">
        <v>262</v>
      </c>
      <c r="E8" s="50">
        <v>43378</v>
      </c>
      <c r="F8" s="49" t="s">
        <v>79</v>
      </c>
      <c r="G8" s="51">
        <v>10000</v>
      </c>
      <c r="H8" s="52">
        <f t="shared" si="0"/>
        <v>40</v>
      </c>
      <c r="I8" s="52">
        <f t="shared" si="1"/>
        <v>10</v>
      </c>
      <c r="J8" s="49"/>
      <c r="K8" s="53">
        <v>43485</v>
      </c>
      <c r="L8" s="54" t="s">
        <v>419</v>
      </c>
      <c r="M8" s="55">
        <v>43500</v>
      </c>
      <c r="N8" s="56" t="s">
        <v>337</v>
      </c>
      <c r="O8" s="55">
        <v>43506</v>
      </c>
      <c r="P8" s="54"/>
      <c r="Q8" s="49"/>
      <c r="R8" s="57" t="s">
        <v>251</v>
      </c>
      <c r="S8" s="47" t="s">
        <v>418</v>
      </c>
    </row>
    <row r="9" spans="2:19" s="33" customFormat="1" ht="33" customHeight="1">
      <c r="B9" s="47" t="s">
        <v>220</v>
      </c>
      <c r="C9" s="48" t="s">
        <v>277</v>
      </c>
      <c r="D9" s="49" t="s">
        <v>289</v>
      </c>
      <c r="E9" s="50">
        <v>43392</v>
      </c>
      <c r="F9" s="49" t="s">
        <v>79</v>
      </c>
      <c r="G9" s="51">
        <v>20000</v>
      </c>
      <c r="H9" s="52">
        <f t="shared" si="0"/>
        <v>80</v>
      </c>
      <c r="I9" s="52">
        <f t="shared" si="1"/>
        <v>20</v>
      </c>
      <c r="J9" s="49"/>
      <c r="K9" s="53">
        <v>43141</v>
      </c>
      <c r="L9" s="54" t="s">
        <v>338</v>
      </c>
      <c r="M9" s="55">
        <v>43500</v>
      </c>
      <c r="N9" s="56" t="s">
        <v>337</v>
      </c>
      <c r="O9" s="55">
        <v>43141</v>
      </c>
      <c r="P9" s="54"/>
      <c r="Q9" s="49"/>
      <c r="R9" s="57" t="s">
        <v>355</v>
      </c>
      <c r="S9" s="47"/>
    </row>
    <row r="10" spans="2:19" s="33" customFormat="1" ht="33" customHeight="1">
      <c r="B10" s="47" t="s">
        <v>78</v>
      </c>
      <c r="C10" s="48" t="s">
        <v>252</v>
      </c>
      <c r="D10" s="49" t="s">
        <v>263</v>
      </c>
      <c r="E10" s="50">
        <v>43378</v>
      </c>
      <c r="F10" s="49" t="s">
        <v>354</v>
      </c>
      <c r="G10" s="51">
        <v>20000</v>
      </c>
      <c r="H10" s="52">
        <f t="shared" si="0"/>
        <v>80</v>
      </c>
      <c r="I10" s="52">
        <f t="shared" si="1"/>
        <v>20</v>
      </c>
      <c r="J10" s="49"/>
      <c r="K10" s="53">
        <v>43485</v>
      </c>
      <c r="L10" s="54" t="s">
        <v>352</v>
      </c>
      <c r="M10" s="55">
        <v>43486</v>
      </c>
      <c r="N10" s="56" t="s">
        <v>284</v>
      </c>
      <c r="O10" s="55">
        <v>43127</v>
      </c>
      <c r="P10" s="54"/>
      <c r="Q10" s="49" t="s">
        <v>82</v>
      </c>
      <c r="R10" s="57" t="s">
        <v>253</v>
      </c>
      <c r="S10" s="47" t="s">
        <v>351</v>
      </c>
    </row>
    <row r="11" spans="2:19" s="33" customFormat="1" ht="33" customHeight="1">
      <c r="B11" s="47" t="s">
        <v>78</v>
      </c>
      <c r="C11" s="48" t="s">
        <v>254</v>
      </c>
      <c r="D11" s="49" t="s">
        <v>264</v>
      </c>
      <c r="E11" s="50">
        <v>43378</v>
      </c>
      <c r="F11" s="49" t="s">
        <v>79</v>
      </c>
      <c r="G11" s="51">
        <v>20000</v>
      </c>
      <c r="H11" s="52">
        <f t="shared" si="0"/>
        <v>80</v>
      </c>
      <c r="I11" s="52">
        <f t="shared" si="1"/>
        <v>20</v>
      </c>
      <c r="J11" s="49"/>
      <c r="K11" s="53">
        <v>43141</v>
      </c>
      <c r="L11" s="54" t="s">
        <v>338</v>
      </c>
      <c r="M11" s="55">
        <v>43500</v>
      </c>
      <c r="N11" s="56" t="s">
        <v>337</v>
      </c>
      <c r="O11" s="55">
        <v>43141</v>
      </c>
      <c r="P11" s="54"/>
      <c r="Q11" s="49" t="s">
        <v>82</v>
      </c>
      <c r="R11" s="57" t="s">
        <v>356</v>
      </c>
      <c r="S11" s="47"/>
    </row>
    <row r="12" spans="2:19" s="33" customFormat="1" ht="33" customHeight="1">
      <c r="B12" s="47" t="s">
        <v>78</v>
      </c>
      <c r="C12" s="48" t="s">
        <v>301</v>
      </c>
      <c r="D12" s="49" t="s">
        <v>302</v>
      </c>
      <c r="E12" s="50">
        <v>43420</v>
      </c>
      <c r="F12" s="49" t="s">
        <v>63</v>
      </c>
      <c r="G12" s="51">
        <v>40000</v>
      </c>
      <c r="H12" s="52">
        <f t="shared" si="0"/>
        <v>160</v>
      </c>
      <c r="I12" s="52">
        <f t="shared" si="1"/>
        <v>40</v>
      </c>
      <c r="J12" s="49"/>
      <c r="K12" s="53">
        <v>43513</v>
      </c>
      <c r="L12" s="54" t="s">
        <v>340</v>
      </c>
      <c r="M12" s="55">
        <v>43504</v>
      </c>
      <c r="N12" s="56" t="s">
        <v>339</v>
      </c>
      <c r="O12" s="55">
        <v>43148</v>
      </c>
      <c r="P12" s="54"/>
      <c r="Q12" s="49" t="s">
        <v>82</v>
      </c>
      <c r="R12" s="57" t="s">
        <v>357</v>
      </c>
      <c r="S12" s="47"/>
    </row>
    <row r="13" spans="2:19" s="33" customFormat="1" ht="33" customHeight="1">
      <c r="B13" s="47" t="s">
        <v>220</v>
      </c>
      <c r="C13" s="48" t="s">
        <v>304</v>
      </c>
      <c r="D13" s="49" t="s">
        <v>305</v>
      </c>
      <c r="E13" s="50">
        <v>43420</v>
      </c>
      <c r="F13" s="49" t="s">
        <v>297</v>
      </c>
      <c r="G13" s="51">
        <v>10000</v>
      </c>
      <c r="H13" s="52">
        <f t="shared" si="0"/>
        <v>40</v>
      </c>
      <c r="I13" s="52">
        <f t="shared" si="1"/>
        <v>10</v>
      </c>
      <c r="J13" s="49"/>
      <c r="K13" s="53">
        <v>43155</v>
      </c>
      <c r="L13" s="54" t="s">
        <v>342</v>
      </c>
      <c r="M13" s="55">
        <v>43514</v>
      </c>
      <c r="N13" s="56" t="s">
        <v>341</v>
      </c>
      <c r="O13" s="55">
        <v>43155</v>
      </c>
      <c r="P13" s="54"/>
      <c r="Q13" s="49"/>
      <c r="R13" s="57" t="s">
        <v>358</v>
      </c>
      <c r="S13" s="47"/>
    </row>
    <row r="14" spans="2:19" s="33" customFormat="1" ht="33" customHeight="1">
      <c r="B14" s="47" t="s">
        <v>78</v>
      </c>
      <c r="C14" s="48" t="s">
        <v>306</v>
      </c>
      <c r="D14" s="49" t="s">
        <v>307</v>
      </c>
      <c r="E14" s="50">
        <v>43420</v>
      </c>
      <c r="F14" s="49" t="s">
        <v>240</v>
      </c>
      <c r="G14" s="51">
        <v>30000</v>
      </c>
      <c r="H14" s="52">
        <f t="shared" si="0"/>
        <v>120</v>
      </c>
      <c r="I14" s="52">
        <f t="shared" si="1"/>
        <v>30</v>
      </c>
      <c r="J14" s="49"/>
      <c r="K14" s="53">
        <v>43520</v>
      </c>
      <c r="L14" s="54" t="s">
        <v>342</v>
      </c>
      <c r="M14" s="55">
        <v>43514</v>
      </c>
      <c r="N14" s="56" t="s">
        <v>341</v>
      </c>
      <c r="O14" s="55">
        <v>43155</v>
      </c>
      <c r="P14" s="54"/>
      <c r="Q14" s="49" t="s">
        <v>82</v>
      </c>
      <c r="R14" s="57" t="s">
        <v>359</v>
      </c>
      <c r="S14" s="47"/>
    </row>
    <row r="15" spans="2:19" s="30" customFormat="1" ht="33" customHeight="1">
      <c r="B15" s="46" t="s">
        <v>220</v>
      </c>
      <c r="C15" s="35" t="s">
        <v>309</v>
      </c>
      <c r="D15" s="36" t="s">
        <v>310</v>
      </c>
      <c r="E15" s="37">
        <v>43420</v>
      </c>
      <c r="F15" s="36" t="s">
        <v>79</v>
      </c>
      <c r="G15" s="39">
        <v>7000</v>
      </c>
      <c r="H15" s="38">
        <f t="shared" si="0"/>
        <v>28</v>
      </c>
      <c r="I15" s="38">
        <f t="shared" si="1"/>
        <v>7</v>
      </c>
      <c r="J15" s="36"/>
      <c r="K15" s="40">
        <v>43541</v>
      </c>
      <c r="L15" s="41" t="s">
        <v>388</v>
      </c>
      <c r="M15" s="42">
        <v>43542</v>
      </c>
      <c r="N15" s="43" t="s">
        <v>649</v>
      </c>
      <c r="O15" s="42">
        <v>43183</v>
      </c>
      <c r="P15" s="41" t="s">
        <v>753</v>
      </c>
      <c r="Q15" s="36"/>
      <c r="R15" s="44" t="s">
        <v>452</v>
      </c>
      <c r="S15" s="46"/>
    </row>
    <row r="16" spans="2:19" s="30" customFormat="1" ht="33" customHeight="1">
      <c r="B16" s="46" t="s">
        <v>78</v>
      </c>
      <c r="C16" s="35" t="s">
        <v>311</v>
      </c>
      <c r="D16" s="36" t="s">
        <v>312</v>
      </c>
      <c r="E16" s="37">
        <v>43420</v>
      </c>
      <c r="F16" s="36" t="s">
        <v>79</v>
      </c>
      <c r="G16" s="39">
        <v>20000</v>
      </c>
      <c r="H16" s="38">
        <f t="shared" si="0"/>
        <v>80</v>
      </c>
      <c r="I16" s="38">
        <f t="shared" si="1"/>
        <v>20</v>
      </c>
      <c r="J16" s="36"/>
      <c r="K16" s="40">
        <v>43169</v>
      </c>
      <c r="L16" s="41" t="s">
        <v>343</v>
      </c>
      <c r="M16" s="42">
        <v>43528</v>
      </c>
      <c r="N16" s="43" t="s">
        <v>439</v>
      </c>
      <c r="O16" s="42">
        <v>43534</v>
      </c>
      <c r="P16" s="41"/>
      <c r="Q16" s="36" t="s">
        <v>82</v>
      </c>
      <c r="R16" s="44" t="s">
        <v>373</v>
      </c>
      <c r="S16" s="46"/>
    </row>
    <row r="17" spans="2:19" s="30" customFormat="1" ht="33" customHeight="1">
      <c r="B17" s="46" t="s">
        <v>78</v>
      </c>
      <c r="C17" s="35" t="s">
        <v>374</v>
      </c>
      <c r="D17" s="36" t="s">
        <v>375</v>
      </c>
      <c r="E17" s="37">
        <v>43455</v>
      </c>
      <c r="F17" s="36" t="s">
        <v>79</v>
      </c>
      <c r="G17" s="39">
        <v>21000</v>
      </c>
      <c r="H17" s="38">
        <f t="shared" si="0"/>
        <v>84</v>
      </c>
      <c r="I17" s="38">
        <f t="shared" si="1"/>
        <v>21</v>
      </c>
      <c r="J17" s="36"/>
      <c r="K17" s="40">
        <v>43541</v>
      </c>
      <c r="L17" s="41" t="s">
        <v>388</v>
      </c>
      <c r="M17" s="42">
        <v>43542</v>
      </c>
      <c r="N17" s="43" t="s">
        <v>649</v>
      </c>
      <c r="O17" s="42">
        <v>43183</v>
      </c>
      <c r="P17" s="41" t="s">
        <v>754</v>
      </c>
      <c r="Q17" s="36" t="s">
        <v>82</v>
      </c>
      <c r="R17" s="44" t="s">
        <v>376</v>
      </c>
      <c r="S17" s="46"/>
    </row>
    <row r="18" spans="2:19" s="30" customFormat="1" ht="33" customHeight="1">
      <c r="B18" s="46" t="s">
        <v>220</v>
      </c>
      <c r="C18" s="35" t="s">
        <v>377</v>
      </c>
      <c r="D18" s="36" t="s">
        <v>378</v>
      </c>
      <c r="E18" s="37">
        <v>43455</v>
      </c>
      <c r="F18" s="36" t="s">
        <v>297</v>
      </c>
      <c r="G18" s="97">
        <v>14000</v>
      </c>
      <c r="H18" s="98">
        <f t="shared" ref="H18" si="2">SUM(G18/250)</f>
        <v>56</v>
      </c>
      <c r="I18" s="98">
        <f t="shared" ref="I18" si="3">SUM(H18/4)</f>
        <v>14</v>
      </c>
      <c r="J18" s="36"/>
      <c r="K18" s="40">
        <v>43548</v>
      </c>
      <c r="L18" s="41" t="s">
        <v>802</v>
      </c>
      <c r="M18" s="42">
        <v>43563</v>
      </c>
      <c r="N18" s="43" t="s">
        <v>438</v>
      </c>
      <c r="O18" s="42">
        <v>43569</v>
      </c>
      <c r="P18" s="99" t="s">
        <v>839</v>
      </c>
      <c r="Q18" s="36"/>
      <c r="R18" s="44" t="s">
        <v>379</v>
      </c>
      <c r="S18" s="46"/>
    </row>
    <row r="19" spans="2:19" s="30" customFormat="1" ht="33" customHeight="1">
      <c r="B19" s="46" t="s">
        <v>78</v>
      </c>
      <c r="C19" s="35" t="s">
        <v>380</v>
      </c>
      <c r="D19" s="36" t="s">
        <v>381</v>
      </c>
      <c r="E19" s="37">
        <v>43455</v>
      </c>
      <c r="F19" s="36" t="s">
        <v>240</v>
      </c>
      <c r="G19" s="39">
        <v>40000</v>
      </c>
      <c r="H19" s="38">
        <f t="shared" si="0"/>
        <v>160</v>
      </c>
      <c r="I19" s="38">
        <f t="shared" si="1"/>
        <v>40</v>
      </c>
      <c r="J19" s="36"/>
      <c r="K19" s="40">
        <v>43555</v>
      </c>
      <c r="L19" s="41" t="s">
        <v>389</v>
      </c>
      <c r="M19" s="42">
        <v>43549</v>
      </c>
      <c r="N19" s="43" t="s">
        <v>752</v>
      </c>
      <c r="O19" s="42">
        <v>43555</v>
      </c>
      <c r="P19" s="41" t="s">
        <v>755</v>
      </c>
      <c r="Q19" s="36" t="s">
        <v>82</v>
      </c>
      <c r="R19" s="44" t="s">
        <v>382</v>
      </c>
      <c r="S19" s="46"/>
    </row>
    <row r="20" spans="2:19" s="30" customFormat="1" ht="33" customHeight="1">
      <c r="B20" s="46" t="s">
        <v>220</v>
      </c>
      <c r="C20" s="35" t="s">
        <v>421</v>
      </c>
      <c r="D20" s="36" t="s">
        <v>453</v>
      </c>
      <c r="E20" s="37">
        <v>43483</v>
      </c>
      <c r="F20" s="36" t="s">
        <v>79</v>
      </c>
      <c r="G20" s="39">
        <v>20000</v>
      </c>
      <c r="H20" s="38">
        <f t="shared" si="0"/>
        <v>80</v>
      </c>
      <c r="I20" s="38">
        <f t="shared" si="1"/>
        <v>20</v>
      </c>
      <c r="J20" s="36"/>
      <c r="K20" s="40">
        <v>43576</v>
      </c>
      <c r="L20" s="41" t="s">
        <v>443</v>
      </c>
      <c r="M20" s="42">
        <v>43570</v>
      </c>
      <c r="N20" s="43" t="s">
        <v>440</v>
      </c>
      <c r="O20" s="42">
        <v>43576</v>
      </c>
      <c r="P20" s="41"/>
      <c r="Q20" s="36"/>
      <c r="R20" s="44" t="s">
        <v>454</v>
      </c>
      <c r="S20" s="46"/>
    </row>
    <row r="21" spans="2:19" s="30" customFormat="1" ht="33" customHeight="1">
      <c r="B21" s="46" t="s">
        <v>78</v>
      </c>
      <c r="C21" s="35" t="s">
        <v>422</v>
      </c>
      <c r="D21" s="36" t="s">
        <v>455</v>
      </c>
      <c r="E21" s="37">
        <v>43483</v>
      </c>
      <c r="F21" s="36" t="s">
        <v>297</v>
      </c>
      <c r="G21" s="39">
        <v>10000</v>
      </c>
      <c r="H21" s="38">
        <f>SUM(G21/250)</f>
        <v>40</v>
      </c>
      <c r="I21" s="38">
        <f t="shared" si="1"/>
        <v>10</v>
      </c>
      <c r="J21" s="36"/>
      <c r="K21" s="40">
        <v>43618</v>
      </c>
      <c r="L21" s="41" t="s">
        <v>456</v>
      </c>
      <c r="M21" s="42">
        <v>43612</v>
      </c>
      <c r="N21" s="43" t="s">
        <v>677</v>
      </c>
      <c r="O21" s="42">
        <v>43618</v>
      </c>
      <c r="P21" s="41"/>
      <c r="Q21" s="36" t="s">
        <v>82</v>
      </c>
      <c r="R21" s="44" t="s">
        <v>678</v>
      </c>
      <c r="S21" s="46"/>
    </row>
    <row r="22" spans="2:19" s="30" customFormat="1" ht="33" customHeight="1">
      <c r="B22" s="46" t="s">
        <v>220</v>
      </c>
      <c r="C22" s="35" t="s">
        <v>679</v>
      </c>
      <c r="D22" s="36" t="s">
        <v>455</v>
      </c>
      <c r="E22" s="37">
        <v>43523</v>
      </c>
      <c r="F22" s="36" t="s">
        <v>297</v>
      </c>
      <c r="G22" s="39">
        <v>10000</v>
      </c>
      <c r="H22" s="38">
        <f>SUM(G22/250)</f>
        <v>40</v>
      </c>
      <c r="I22" s="38">
        <f t="shared" si="1"/>
        <v>10</v>
      </c>
      <c r="J22" s="36"/>
      <c r="K22" s="40">
        <v>43618</v>
      </c>
      <c r="L22" s="41" t="s">
        <v>638</v>
      </c>
      <c r="M22" s="42">
        <v>43612</v>
      </c>
      <c r="N22" s="43" t="s">
        <v>636</v>
      </c>
      <c r="O22" s="42">
        <v>43618</v>
      </c>
      <c r="P22" s="41"/>
      <c r="Q22" s="36"/>
      <c r="R22" s="44" t="s">
        <v>680</v>
      </c>
      <c r="S22" s="46"/>
    </row>
    <row r="23" spans="2:19" s="30" customFormat="1" ht="33" customHeight="1">
      <c r="B23" s="46" t="s">
        <v>78</v>
      </c>
      <c r="C23" s="35" t="s">
        <v>423</v>
      </c>
      <c r="D23" s="36" t="s">
        <v>457</v>
      </c>
      <c r="E23" s="37">
        <v>43483</v>
      </c>
      <c r="F23" s="36" t="s">
        <v>79</v>
      </c>
      <c r="G23" s="39">
        <v>20000</v>
      </c>
      <c r="H23" s="38">
        <f t="shared" si="0"/>
        <v>80</v>
      </c>
      <c r="I23" s="38">
        <f t="shared" si="1"/>
        <v>20</v>
      </c>
      <c r="J23" s="36"/>
      <c r="K23" s="40">
        <v>43576</v>
      </c>
      <c r="L23" s="41" t="s">
        <v>443</v>
      </c>
      <c r="M23" s="42">
        <v>43570</v>
      </c>
      <c r="N23" s="43" t="s">
        <v>440</v>
      </c>
      <c r="O23" s="42">
        <v>43576</v>
      </c>
      <c r="P23" s="41"/>
      <c r="Q23" s="36" t="s">
        <v>82</v>
      </c>
      <c r="R23" s="44" t="s">
        <v>458</v>
      </c>
      <c r="S23" s="46"/>
    </row>
    <row r="24" spans="2:19" s="30" customFormat="1" ht="33" customHeight="1">
      <c r="B24" s="46" t="s">
        <v>220</v>
      </c>
      <c r="C24" s="35" t="s">
        <v>425</v>
      </c>
      <c r="D24" s="36" t="s">
        <v>459</v>
      </c>
      <c r="E24" s="37">
        <v>43483</v>
      </c>
      <c r="F24" s="36" t="s">
        <v>79</v>
      </c>
      <c r="G24" s="39">
        <v>20000</v>
      </c>
      <c r="H24" s="38">
        <f t="shared" si="0"/>
        <v>80</v>
      </c>
      <c r="I24" s="38">
        <f t="shared" si="1"/>
        <v>20</v>
      </c>
      <c r="J24" s="36"/>
      <c r="K24" s="40">
        <v>43583</v>
      </c>
      <c r="L24" s="41" t="s">
        <v>460</v>
      </c>
      <c r="M24" s="42">
        <v>43577</v>
      </c>
      <c r="N24" s="43" t="s">
        <v>461</v>
      </c>
      <c r="O24" s="42">
        <v>43583</v>
      </c>
      <c r="P24" s="41"/>
      <c r="Q24" s="36"/>
      <c r="R24" s="44" t="s">
        <v>681</v>
      </c>
      <c r="S24" s="46"/>
    </row>
    <row r="25" spans="2:19" s="30" customFormat="1" ht="33" customHeight="1">
      <c r="B25" s="46" t="s">
        <v>78</v>
      </c>
      <c r="C25" s="35" t="s">
        <v>462</v>
      </c>
      <c r="D25" s="36" t="s">
        <v>483</v>
      </c>
      <c r="E25" s="37">
        <v>43490</v>
      </c>
      <c r="F25" s="36" t="s">
        <v>79</v>
      </c>
      <c r="G25" s="39">
        <v>20000</v>
      </c>
      <c r="H25" s="38">
        <f t="shared" si="0"/>
        <v>80</v>
      </c>
      <c r="I25" s="38">
        <f t="shared" si="1"/>
        <v>20</v>
      </c>
      <c r="J25" s="36"/>
      <c r="K25" s="40">
        <v>43583</v>
      </c>
      <c r="L25" s="41" t="s">
        <v>460</v>
      </c>
      <c r="M25" s="42">
        <v>43577</v>
      </c>
      <c r="N25" s="43" t="s">
        <v>461</v>
      </c>
      <c r="O25" s="42">
        <v>43583</v>
      </c>
      <c r="P25" s="41"/>
      <c r="Q25" s="36" t="s">
        <v>82</v>
      </c>
      <c r="R25" s="44" t="s">
        <v>513</v>
      </c>
      <c r="S25" s="46"/>
    </row>
    <row r="26" spans="2:19" s="30" customFormat="1" ht="33" customHeight="1">
      <c r="B26" s="46" t="s">
        <v>78</v>
      </c>
      <c r="C26" s="35" t="s">
        <v>570</v>
      </c>
      <c r="D26" s="36" t="s">
        <v>571</v>
      </c>
      <c r="E26" s="37">
        <v>43519</v>
      </c>
      <c r="F26" s="36" t="s">
        <v>79</v>
      </c>
      <c r="G26" s="39">
        <v>20000</v>
      </c>
      <c r="H26" s="38">
        <f t="shared" si="0"/>
        <v>80</v>
      </c>
      <c r="I26" s="38">
        <f t="shared" si="1"/>
        <v>20</v>
      </c>
      <c r="J26" s="36"/>
      <c r="K26" s="40">
        <v>43590</v>
      </c>
      <c r="L26" s="41" t="s">
        <v>602</v>
      </c>
      <c r="M26" s="42">
        <v>43577</v>
      </c>
      <c r="N26" s="43" t="s">
        <v>461</v>
      </c>
      <c r="O26" s="42">
        <v>43583</v>
      </c>
      <c r="P26" s="41"/>
      <c r="Q26" s="36" t="s">
        <v>82</v>
      </c>
      <c r="R26" s="44" t="s">
        <v>840</v>
      </c>
      <c r="S26" s="46"/>
    </row>
    <row r="27" spans="2:19" s="30" customFormat="1" ht="33" customHeight="1">
      <c r="B27" s="46" t="s">
        <v>78</v>
      </c>
      <c r="C27" s="35" t="s">
        <v>573</v>
      </c>
      <c r="D27" s="36" t="s">
        <v>574</v>
      </c>
      <c r="E27" s="37">
        <v>43519</v>
      </c>
      <c r="F27" s="36" t="s">
        <v>79</v>
      </c>
      <c r="G27" s="39">
        <v>20000</v>
      </c>
      <c r="H27" s="38">
        <f t="shared" si="0"/>
        <v>80</v>
      </c>
      <c r="I27" s="38">
        <f t="shared" si="1"/>
        <v>20</v>
      </c>
      <c r="J27" s="36"/>
      <c r="K27" s="40">
        <v>43604</v>
      </c>
      <c r="L27" s="41" t="s">
        <v>757</v>
      </c>
      <c r="M27" s="42">
        <v>43598</v>
      </c>
      <c r="N27" s="43" t="s">
        <v>756</v>
      </c>
      <c r="O27" s="42">
        <v>43604</v>
      </c>
      <c r="P27" s="41"/>
      <c r="Q27" s="36" t="s">
        <v>82</v>
      </c>
      <c r="R27" s="44" t="s">
        <v>841</v>
      </c>
      <c r="S27" s="46"/>
    </row>
    <row r="28" spans="2:19" s="30" customFormat="1" ht="33" customHeight="1">
      <c r="B28" s="46" t="s">
        <v>78</v>
      </c>
      <c r="C28" s="35" t="s">
        <v>576</v>
      </c>
      <c r="D28" s="36" t="s">
        <v>577</v>
      </c>
      <c r="E28" s="37">
        <v>43519</v>
      </c>
      <c r="F28" s="36" t="s">
        <v>79</v>
      </c>
      <c r="G28" s="39">
        <v>20000</v>
      </c>
      <c r="H28" s="38">
        <f t="shared" si="0"/>
        <v>80</v>
      </c>
      <c r="I28" s="38">
        <f t="shared" si="1"/>
        <v>20</v>
      </c>
      <c r="J28" s="36"/>
      <c r="K28" s="40">
        <v>43611</v>
      </c>
      <c r="L28" s="41" t="s">
        <v>842</v>
      </c>
      <c r="M28" s="42">
        <v>43605</v>
      </c>
      <c r="N28" s="43" t="s">
        <v>843</v>
      </c>
      <c r="O28" s="42">
        <v>43611</v>
      </c>
      <c r="P28" s="41"/>
      <c r="Q28" s="36" t="s">
        <v>82</v>
      </c>
      <c r="R28" s="44" t="s">
        <v>684</v>
      </c>
      <c r="S28" s="46"/>
    </row>
    <row r="29" spans="2:19" s="30" customFormat="1" ht="33" customHeight="1">
      <c r="B29" s="46" t="s">
        <v>78</v>
      </c>
      <c r="C29" s="35" t="s">
        <v>819</v>
      </c>
      <c r="D29" s="36" t="s">
        <v>577</v>
      </c>
      <c r="E29" s="37">
        <v>43519</v>
      </c>
      <c r="F29" s="36" t="s">
        <v>297</v>
      </c>
      <c r="G29" s="39">
        <v>10000</v>
      </c>
      <c r="H29" s="38">
        <f t="shared" si="0"/>
        <v>40</v>
      </c>
      <c r="I29" s="38">
        <f t="shared" si="1"/>
        <v>10</v>
      </c>
      <c r="J29" s="36"/>
      <c r="K29" s="40">
        <v>43598</v>
      </c>
      <c r="L29" s="41" t="s">
        <v>803</v>
      </c>
      <c r="M29" s="42">
        <v>43598</v>
      </c>
      <c r="N29" s="43" t="s">
        <v>804</v>
      </c>
      <c r="O29" s="42">
        <v>43604</v>
      </c>
      <c r="P29" s="41"/>
      <c r="Q29" s="36" t="s">
        <v>82</v>
      </c>
      <c r="R29" s="44" t="s">
        <v>844</v>
      </c>
      <c r="S29" s="46"/>
    </row>
    <row r="30" spans="2:19" s="30" customFormat="1" ht="33" customHeight="1">
      <c r="B30" s="46" t="s">
        <v>220</v>
      </c>
      <c r="C30" s="35" t="s">
        <v>579</v>
      </c>
      <c r="D30" s="36" t="s">
        <v>580</v>
      </c>
      <c r="E30" s="37">
        <v>43519</v>
      </c>
      <c r="F30" s="36" t="s">
        <v>79</v>
      </c>
      <c r="G30" s="39">
        <v>10000</v>
      </c>
      <c r="H30" s="38">
        <f t="shared" si="0"/>
        <v>40</v>
      </c>
      <c r="I30" s="38">
        <f t="shared" si="1"/>
        <v>10</v>
      </c>
      <c r="J30" s="36"/>
      <c r="K30" s="40">
        <v>43598</v>
      </c>
      <c r="L30" s="41" t="s">
        <v>803</v>
      </c>
      <c r="M30" s="42">
        <v>43598</v>
      </c>
      <c r="N30" s="43" t="s">
        <v>804</v>
      </c>
      <c r="O30" s="42">
        <v>43604</v>
      </c>
      <c r="P30" s="41"/>
      <c r="Q30" s="36"/>
      <c r="R30" s="44" t="s">
        <v>821</v>
      </c>
      <c r="S30" s="46"/>
    </row>
    <row r="31" spans="2:19" s="30" customFormat="1" ht="33" customHeight="1">
      <c r="B31" s="46" t="s">
        <v>78</v>
      </c>
      <c r="C31" s="35" t="s">
        <v>685</v>
      </c>
      <c r="D31" s="36" t="s">
        <v>686</v>
      </c>
      <c r="E31" s="37">
        <v>43532</v>
      </c>
      <c r="F31" s="36" t="s">
        <v>79</v>
      </c>
      <c r="G31" s="39">
        <v>20000</v>
      </c>
      <c r="H31" s="38">
        <f t="shared" si="0"/>
        <v>80</v>
      </c>
      <c r="I31" s="38">
        <f t="shared" si="1"/>
        <v>20</v>
      </c>
      <c r="J31" s="36"/>
      <c r="K31" s="40">
        <v>43625</v>
      </c>
      <c r="L31" s="41" t="s">
        <v>761</v>
      </c>
      <c r="M31" s="42">
        <v>43619</v>
      </c>
      <c r="N31" s="43" t="s">
        <v>758</v>
      </c>
      <c r="O31" s="42">
        <v>43625</v>
      </c>
      <c r="P31" s="41"/>
      <c r="Q31" s="36" t="s">
        <v>82</v>
      </c>
      <c r="R31" s="44" t="s">
        <v>823</v>
      </c>
      <c r="S31" s="46"/>
    </row>
    <row r="32" spans="2:19" s="30" customFormat="1" ht="33" customHeight="1">
      <c r="B32" s="46" t="s">
        <v>220</v>
      </c>
      <c r="C32" s="35" t="s">
        <v>688</v>
      </c>
      <c r="D32" s="36" t="s">
        <v>689</v>
      </c>
      <c r="E32" s="37">
        <v>43532</v>
      </c>
      <c r="F32" s="36" t="s">
        <v>79</v>
      </c>
      <c r="G32" s="39">
        <v>20000</v>
      </c>
      <c r="H32" s="38">
        <f t="shared" si="0"/>
        <v>80</v>
      </c>
      <c r="I32" s="38">
        <f t="shared" si="1"/>
        <v>20</v>
      </c>
      <c r="J32" s="36"/>
      <c r="K32" s="40">
        <v>43632</v>
      </c>
      <c r="L32" s="41" t="s">
        <v>762</v>
      </c>
      <c r="M32" s="42">
        <v>43626</v>
      </c>
      <c r="N32" s="43" t="s">
        <v>759</v>
      </c>
      <c r="O32" s="42">
        <v>43632</v>
      </c>
      <c r="P32" s="41"/>
      <c r="Q32" s="36"/>
      <c r="R32" s="44" t="s">
        <v>845</v>
      </c>
      <c r="S32" s="46"/>
    </row>
    <row r="33" spans="2:19" s="30" customFormat="1" ht="33" customHeight="1">
      <c r="B33" s="46" t="s">
        <v>78</v>
      </c>
      <c r="C33" s="35" t="s">
        <v>691</v>
      </c>
      <c r="D33" s="36" t="s">
        <v>692</v>
      </c>
      <c r="E33" s="37">
        <v>43532</v>
      </c>
      <c r="F33" s="36" t="s">
        <v>79</v>
      </c>
      <c r="G33" s="39">
        <v>20000</v>
      </c>
      <c r="H33" s="38">
        <f t="shared" si="0"/>
        <v>80</v>
      </c>
      <c r="I33" s="38">
        <f t="shared" si="1"/>
        <v>20</v>
      </c>
      <c r="J33" s="36"/>
      <c r="K33" s="40">
        <v>43639</v>
      </c>
      <c r="L33" s="41" t="s">
        <v>763</v>
      </c>
      <c r="M33" s="42">
        <v>43633</v>
      </c>
      <c r="N33" s="43" t="s">
        <v>760</v>
      </c>
      <c r="O33" s="42">
        <v>43639</v>
      </c>
      <c r="P33" s="41"/>
      <c r="Q33" s="36" t="s">
        <v>82</v>
      </c>
      <c r="R33" s="44" t="s">
        <v>693</v>
      </c>
      <c r="S33" s="46"/>
    </row>
    <row r="34" spans="2:19" s="96" customFormat="1" ht="33" customHeight="1">
      <c r="B34" s="47" t="s">
        <v>17</v>
      </c>
      <c r="C34" s="48" t="s">
        <v>353</v>
      </c>
      <c r="D34" s="49" t="s">
        <v>383</v>
      </c>
      <c r="E34" s="50">
        <v>43434</v>
      </c>
      <c r="F34" s="52" t="s">
        <v>84</v>
      </c>
      <c r="G34" s="51">
        <v>9200</v>
      </c>
      <c r="H34" s="52">
        <f t="shared" ref="H34:H44" si="4">SUM(G34/230)</f>
        <v>40</v>
      </c>
      <c r="I34" s="52">
        <f t="shared" si="1"/>
        <v>10</v>
      </c>
      <c r="J34" s="49"/>
      <c r="K34" s="53">
        <v>43148</v>
      </c>
      <c r="L34" s="54" t="s">
        <v>276</v>
      </c>
      <c r="M34" s="55">
        <v>43508</v>
      </c>
      <c r="N34" s="56" t="s">
        <v>345</v>
      </c>
      <c r="O34" s="55">
        <v>43513</v>
      </c>
      <c r="P34" s="58"/>
      <c r="Q34" s="52" t="s">
        <v>82</v>
      </c>
      <c r="R34" s="57" t="s">
        <v>360</v>
      </c>
      <c r="S34" s="47"/>
    </row>
    <row r="35" spans="2:19" s="67" customFormat="1" ht="33" customHeight="1">
      <c r="B35" s="46" t="s">
        <v>17</v>
      </c>
      <c r="C35" s="35" t="s">
        <v>361</v>
      </c>
      <c r="D35" s="36" t="s">
        <v>384</v>
      </c>
      <c r="E35" s="37">
        <v>43441</v>
      </c>
      <c r="F35" s="38" t="s">
        <v>84</v>
      </c>
      <c r="G35" s="39">
        <v>9200</v>
      </c>
      <c r="H35" s="38">
        <f t="shared" si="4"/>
        <v>40</v>
      </c>
      <c r="I35" s="38">
        <f t="shared" si="1"/>
        <v>10</v>
      </c>
      <c r="J35" s="36"/>
      <c r="K35" s="40">
        <v>43548</v>
      </c>
      <c r="L35" s="41" t="s">
        <v>476</v>
      </c>
      <c r="M35" s="42">
        <v>43543</v>
      </c>
      <c r="N35" s="43" t="s">
        <v>400</v>
      </c>
      <c r="O35" s="42">
        <v>43548</v>
      </c>
      <c r="P35" s="45"/>
      <c r="Q35" s="38" t="s">
        <v>82</v>
      </c>
      <c r="R35" s="44" t="s">
        <v>362</v>
      </c>
      <c r="S35" s="46"/>
    </row>
    <row r="36" spans="2:19" s="67" customFormat="1" ht="33" customHeight="1">
      <c r="B36" s="46" t="s">
        <v>17</v>
      </c>
      <c r="C36" s="35" t="s">
        <v>427</v>
      </c>
      <c r="D36" s="36" t="s">
        <v>514</v>
      </c>
      <c r="E36" s="37">
        <v>43483</v>
      </c>
      <c r="F36" s="38" t="s">
        <v>84</v>
      </c>
      <c r="G36" s="39">
        <v>9200</v>
      </c>
      <c r="H36" s="38">
        <f t="shared" si="4"/>
        <v>40</v>
      </c>
      <c r="I36" s="38">
        <f t="shared" si="1"/>
        <v>10</v>
      </c>
      <c r="J36" s="36"/>
      <c r="K36" s="40">
        <v>43576</v>
      </c>
      <c r="L36" s="41" t="s">
        <v>464</v>
      </c>
      <c r="M36" s="42">
        <v>43571</v>
      </c>
      <c r="N36" s="43" t="s">
        <v>465</v>
      </c>
      <c r="O36" s="42">
        <v>43576</v>
      </c>
      <c r="P36" s="45"/>
      <c r="Q36" s="38" t="s">
        <v>82</v>
      </c>
      <c r="R36" s="44" t="s">
        <v>466</v>
      </c>
      <c r="S36" s="46"/>
    </row>
    <row r="37" spans="2:19" s="67" customFormat="1" ht="33" customHeight="1">
      <c r="B37" s="46" t="s">
        <v>17</v>
      </c>
      <c r="C37" s="35" t="s">
        <v>581</v>
      </c>
      <c r="D37" s="36" t="s">
        <v>582</v>
      </c>
      <c r="E37" s="37">
        <v>43519</v>
      </c>
      <c r="F37" s="38" t="s">
        <v>84</v>
      </c>
      <c r="G37" s="39">
        <v>9200</v>
      </c>
      <c r="H37" s="38">
        <f t="shared" si="4"/>
        <v>40</v>
      </c>
      <c r="I37" s="38">
        <f t="shared" si="1"/>
        <v>10</v>
      </c>
      <c r="J37" s="36"/>
      <c r="K37" s="130">
        <v>43632</v>
      </c>
      <c r="L37" s="119" t="s">
        <v>807</v>
      </c>
      <c r="M37" s="120">
        <v>43627</v>
      </c>
      <c r="N37" s="121" t="s">
        <v>769</v>
      </c>
      <c r="O37" s="120">
        <v>43632</v>
      </c>
      <c r="P37" s="45"/>
      <c r="Q37" s="38" t="s">
        <v>82</v>
      </c>
      <c r="R37" s="154" t="s">
        <v>846</v>
      </c>
      <c r="S37" s="46"/>
    </row>
    <row r="38" spans="2:19" s="67" customFormat="1" ht="33" customHeight="1">
      <c r="B38" s="46" t="s">
        <v>17</v>
      </c>
      <c r="C38" s="35" t="s">
        <v>694</v>
      </c>
      <c r="D38" s="36" t="s">
        <v>695</v>
      </c>
      <c r="E38" s="37">
        <v>43532</v>
      </c>
      <c r="F38" s="38" t="s">
        <v>213</v>
      </c>
      <c r="G38" s="39">
        <v>9200</v>
      </c>
      <c r="H38" s="38">
        <f t="shared" si="4"/>
        <v>40</v>
      </c>
      <c r="I38" s="38">
        <f t="shared" si="1"/>
        <v>10</v>
      </c>
      <c r="J38" s="36"/>
      <c r="K38" s="130">
        <v>43667</v>
      </c>
      <c r="L38" s="119" t="s">
        <v>837</v>
      </c>
      <c r="M38" s="120">
        <v>43662</v>
      </c>
      <c r="N38" s="121" t="s">
        <v>847</v>
      </c>
      <c r="O38" s="120">
        <v>43667</v>
      </c>
      <c r="P38" s="45"/>
      <c r="Q38" s="38" t="s">
        <v>82</v>
      </c>
      <c r="R38" s="154" t="s">
        <v>848</v>
      </c>
      <c r="S38" s="46"/>
    </row>
    <row r="39" spans="2:19" s="96" customFormat="1" ht="33" customHeight="1">
      <c r="B39" s="47" t="s">
        <v>33</v>
      </c>
      <c r="C39" s="48" t="s">
        <v>230</v>
      </c>
      <c r="D39" s="49" t="s">
        <v>231</v>
      </c>
      <c r="E39" s="50"/>
      <c r="F39" s="52"/>
      <c r="G39" s="51">
        <v>9200</v>
      </c>
      <c r="H39" s="52">
        <f t="shared" si="4"/>
        <v>40</v>
      </c>
      <c r="I39" s="52">
        <f t="shared" si="1"/>
        <v>10</v>
      </c>
      <c r="J39" s="49"/>
      <c r="K39" s="53">
        <v>43155</v>
      </c>
      <c r="L39" s="54" t="s">
        <v>365</v>
      </c>
      <c r="M39" s="55">
        <v>43515</v>
      </c>
      <c r="N39" s="56" t="s">
        <v>347</v>
      </c>
      <c r="O39" s="55">
        <v>43520</v>
      </c>
      <c r="P39" s="58" t="s">
        <v>385</v>
      </c>
      <c r="Q39" s="52"/>
      <c r="R39" s="57" t="s">
        <v>366</v>
      </c>
      <c r="S39" s="47" t="s">
        <v>216</v>
      </c>
    </row>
    <row r="40" spans="2:19" s="67" customFormat="1" ht="33" customHeight="1">
      <c r="B40" s="46" t="s">
        <v>33</v>
      </c>
      <c r="C40" s="35" t="s">
        <v>255</v>
      </c>
      <c r="D40" s="36" t="s">
        <v>269</v>
      </c>
      <c r="E40" s="37">
        <v>43378</v>
      </c>
      <c r="F40" s="38" t="s">
        <v>84</v>
      </c>
      <c r="G40" s="39">
        <v>18400</v>
      </c>
      <c r="H40" s="38">
        <f t="shared" si="4"/>
        <v>80</v>
      </c>
      <c r="I40" s="38">
        <f t="shared" si="1"/>
        <v>20</v>
      </c>
      <c r="J40" s="36"/>
      <c r="K40" s="141" t="s">
        <v>467</v>
      </c>
      <c r="L40" s="142"/>
      <c r="M40" s="143"/>
      <c r="N40" s="144"/>
      <c r="O40" s="143"/>
      <c r="P40" s="45"/>
      <c r="Q40" s="38"/>
      <c r="R40" s="44" t="s">
        <v>363</v>
      </c>
      <c r="S40" s="46"/>
    </row>
    <row r="41" spans="2:19" s="96" customFormat="1" ht="33" customHeight="1">
      <c r="B41" s="47" t="s">
        <v>33</v>
      </c>
      <c r="C41" s="48" t="s">
        <v>270</v>
      </c>
      <c r="D41" s="49" t="s">
        <v>278</v>
      </c>
      <c r="E41" s="50">
        <v>43385</v>
      </c>
      <c r="F41" s="52" t="s">
        <v>84</v>
      </c>
      <c r="G41" s="51">
        <v>9200</v>
      </c>
      <c r="H41" s="52">
        <f t="shared" si="4"/>
        <v>40</v>
      </c>
      <c r="I41" s="52">
        <f t="shared" si="1"/>
        <v>10</v>
      </c>
      <c r="J41" s="49"/>
      <c r="K41" s="53">
        <v>43113</v>
      </c>
      <c r="L41" s="54" t="s">
        <v>267</v>
      </c>
      <c r="M41" s="55">
        <v>43473</v>
      </c>
      <c r="N41" s="56" t="s">
        <v>282</v>
      </c>
      <c r="O41" s="55">
        <v>43113</v>
      </c>
      <c r="P41" s="58" t="s">
        <v>385</v>
      </c>
      <c r="Q41" s="52"/>
      <c r="R41" s="57" t="s">
        <v>256</v>
      </c>
      <c r="S41" s="47"/>
    </row>
    <row r="42" spans="2:19" s="96" customFormat="1" ht="33" customHeight="1">
      <c r="B42" s="47" t="s">
        <v>81</v>
      </c>
      <c r="C42" s="48" t="s">
        <v>257</v>
      </c>
      <c r="D42" s="49" t="s">
        <v>271</v>
      </c>
      <c r="E42" s="50">
        <v>43378</v>
      </c>
      <c r="F42" s="52" t="s">
        <v>84</v>
      </c>
      <c r="G42" s="51">
        <v>18400</v>
      </c>
      <c r="H42" s="52">
        <f t="shared" si="4"/>
        <v>80</v>
      </c>
      <c r="I42" s="52">
        <f t="shared" si="1"/>
        <v>20</v>
      </c>
      <c r="J42" s="52"/>
      <c r="K42" s="53">
        <v>43113</v>
      </c>
      <c r="L42" s="54" t="s">
        <v>267</v>
      </c>
      <c r="M42" s="55">
        <v>43473</v>
      </c>
      <c r="N42" s="56" t="s">
        <v>282</v>
      </c>
      <c r="O42" s="55">
        <v>43113</v>
      </c>
      <c r="P42" s="58" t="s">
        <v>369</v>
      </c>
      <c r="Q42" s="47"/>
      <c r="R42" s="57" t="s">
        <v>286</v>
      </c>
      <c r="S42" s="47" t="s">
        <v>350</v>
      </c>
    </row>
    <row r="43" spans="2:19" s="96" customFormat="1" ht="33" customHeight="1">
      <c r="B43" s="47" t="s">
        <v>81</v>
      </c>
      <c r="C43" s="48" t="s">
        <v>368</v>
      </c>
      <c r="D43" s="49" t="s">
        <v>271</v>
      </c>
      <c r="E43" s="50">
        <v>43378</v>
      </c>
      <c r="F43" s="52" t="s">
        <v>84</v>
      </c>
      <c r="G43" s="51">
        <v>9200</v>
      </c>
      <c r="H43" s="52">
        <f t="shared" si="4"/>
        <v>40</v>
      </c>
      <c r="I43" s="52">
        <f t="shared" si="1"/>
        <v>10</v>
      </c>
      <c r="J43" s="52"/>
      <c r="K43" s="53">
        <v>43113</v>
      </c>
      <c r="L43" s="54" t="s">
        <v>367</v>
      </c>
      <c r="M43" s="55">
        <v>43480</v>
      </c>
      <c r="N43" s="56" t="s">
        <v>283</v>
      </c>
      <c r="O43" s="55">
        <v>43120</v>
      </c>
      <c r="P43" s="58" t="s">
        <v>390</v>
      </c>
      <c r="Q43" s="47"/>
      <c r="R43" s="57" t="s">
        <v>286</v>
      </c>
      <c r="S43" s="47" t="s">
        <v>370</v>
      </c>
    </row>
    <row r="44" spans="2:19" s="67" customFormat="1" ht="33" customHeight="1">
      <c r="B44" s="46" t="s">
        <v>81</v>
      </c>
      <c r="C44" s="35" t="s">
        <v>279</v>
      </c>
      <c r="D44" s="36" t="s">
        <v>288</v>
      </c>
      <c r="E44" s="37">
        <v>43392</v>
      </c>
      <c r="F44" s="38" t="s">
        <v>84</v>
      </c>
      <c r="G44" s="39">
        <v>13800</v>
      </c>
      <c r="H44" s="38">
        <f t="shared" si="4"/>
        <v>60</v>
      </c>
      <c r="I44" s="38">
        <f t="shared" si="1"/>
        <v>15</v>
      </c>
      <c r="J44" s="38"/>
      <c r="K44" s="40">
        <v>43597</v>
      </c>
      <c r="L44" s="41" t="s">
        <v>697</v>
      </c>
      <c r="M44" s="42">
        <v>43594</v>
      </c>
      <c r="N44" s="43" t="s">
        <v>624</v>
      </c>
      <c r="O44" s="42">
        <v>43598</v>
      </c>
      <c r="P44" s="45"/>
      <c r="Q44" s="46"/>
      <c r="R44" s="44" t="s">
        <v>547</v>
      </c>
      <c r="S44" s="46"/>
    </row>
    <row r="45" spans="2:19" s="96" customFormat="1" ht="33" customHeight="1">
      <c r="B45" s="47" t="s">
        <v>81</v>
      </c>
      <c r="C45" s="48" t="s">
        <v>316</v>
      </c>
      <c r="D45" s="49" t="s">
        <v>317</v>
      </c>
      <c r="E45" s="50">
        <v>43420</v>
      </c>
      <c r="F45" s="52" t="s">
        <v>213</v>
      </c>
      <c r="G45" s="51">
        <v>18400</v>
      </c>
      <c r="H45" s="52">
        <f>SUM(G45/230)</f>
        <v>80</v>
      </c>
      <c r="I45" s="52">
        <f>SUM(H45/4)</f>
        <v>20</v>
      </c>
      <c r="J45" s="52"/>
      <c r="K45" s="53">
        <v>43525</v>
      </c>
      <c r="L45" s="54" t="s">
        <v>365</v>
      </c>
      <c r="M45" s="55">
        <v>43515</v>
      </c>
      <c r="N45" s="56" t="s">
        <v>347</v>
      </c>
      <c r="O45" s="55">
        <v>43520</v>
      </c>
      <c r="P45" s="58" t="s">
        <v>393</v>
      </c>
      <c r="Q45" s="47"/>
      <c r="R45" s="57" t="s">
        <v>349</v>
      </c>
      <c r="S45" s="47" t="s">
        <v>350</v>
      </c>
    </row>
    <row r="46" spans="2:19" s="67" customFormat="1" ht="33" customHeight="1">
      <c r="B46" s="46" t="s">
        <v>81</v>
      </c>
      <c r="C46" s="35" t="s">
        <v>318</v>
      </c>
      <c r="D46" s="36" t="s">
        <v>319</v>
      </c>
      <c r="E46" s="37">
        <v>43420</v>
      </c>
      <c r="F46" s="38" t="s">
        <v>213</v>
      </c>
      <c r="G46" s="39">
        <v>17940</v>
      </c>
      <c r="H46" s="38">
        <f>SUM(G46/230)</f>
        <v>78</v>
      </c>
      <c r="I46" s="38">
        <f>SUM(H46/4)</f>
        <v>19.5</v>
      </c>
      <c r="J46" s="38"/>
      <c r="K46" s="40">
        <v>43576</v>
      </c>
      <c r="L46" s="41" t="s">
        <v>480</v>
      </c>
      <c r="M46" s="42">
        <v>43564</v>
      </c>
      <c r="N46" s="43" t="s">
        <v>437</v>
      </c>
      <c r="O46" s="42">
        <v>43569</v>
      </c>
      <c r="P46" s="45"/>
      <c r="Q46" s="46"/>
      <c r="R46" s="44" t="s">
        <v>516</v>
      </c>
      <c r="S46" s="46" t="s">
        <v>391</v>
      </c>
    </row>
    <row r="47" spans="2:19" s="67" customFormat="1" ht="33" customHeight="1">
      <c r="B47" s="46" t="s">
        <v>81</v>
      </c>
      <c r="C47" s="35" t="s">
        <v>849</v>
      </c>
      <c r="D47" s="36" t="s">
        <v>701</v>
      </c>
      <c r="E47" s="37">
        <v>43532</v>
      </c>
      <c r="F47" s="38" t="s">
        <v>213</v>
      </c>
      <c r="G47" s="39">
        <v>13800</v>
      </c>
      <c r="H47" s="38">
        <f t="shared" ref="H47:H50" si="5">SUM(G47/230)</f>
        <v>60</v>
      </c>
      <c r="I47" s="38">
        <f t="shared" ref="I47:I50" si="6">SUM(H47/4)</f>
        <v>15</v>
      </c>
      <c r="J47" s="38"/>
      <c r="K47" s="109">
        <v>43625</v>
      </c>
      <c r="L47" s="41" t="s">
        <v>767</v>
      </c>
      <c r="M47" s="42">
        <v>43613</v>
      </c>
      <c r="N47" s="43" t="s">
        <v>766</v>
      </c>
      <c r="O47" s="42">
        <v>43618</v>
      </c>
      <c r="P47" s="45"/>
      <c r="Q47" s="46"/>
      <c r="R47" s="114" t="s">
        <v>850</v>
      </c>
      <c r="S47" s="46"/>
    </row>
    <row r="48" spans="2:19" s="67" customFormat="1" ht="33" customHeight="1">
      <c r="B48" s="46" t="s">
        <v>81</v>
      </c>
      <c r="C48" s="35" t="s">
        <v>702</v>
      </c>
      <c r="D48" s="36" t="s">
        <v>703</v>
      </c>
      <c r="E48" s="37">
        <v>43532</v>
      </c>
      <c r="F48" s="38" t="s">
        <v>213</v>
      </c>
      <c r="G48" s="39">
        <v>9200</v>
      </c>
      <c r="H48" s="38">
        <f t="shared" si="5"/>
        <v>40</v>
      </c>
      <c r="I48" s="38">
        <f t="shared" si="6"/>
        <v>10</v>
      </c>
      <c r="J48" s="38"/>
      <c r="K48" s="109">
        <v>43646</v>
      </c>
      <c r="L48" s="41" t="s">
        <v>765</v>
      </c>
      <c r="M48" s="42">
        <v>43634</v>
      </c>
      <c r="N48" s="43" t="s">
        <v>764</v>
      </c>
      <c r="O48" s="42">
        <v>43639</v>
      </c>
      <c r="P48" s="45"/>
      <c r="Q48" s="46"/>
      <c r="R48" s="114" t="s">
        <v>851</v>
      </c>
      <c r="S48" s="46"/>
    </row>
    <row r="49" spans="2:19" s="117" customFormat="1" ht="33" customHeight="1">
      <c r="B49" s="103" t="s">
        <v>81</v>
      </c>
      <c r="C49" s="104" t="s">
        <v>852</v>
      </c>
      <c r="D49" s="105"/>
      <c r="E49" s="106">
        <v>43558</v>
      </c>
      <c r="F49" s="107" t="s">
        <v>213</v>
      </c>
      <c r="G49" s="108">
        <v>9200</v>
      </c>
      <c r="H49" s="107">
        <f t="shared" si="5"/>
        <v>40</v>
      </c>
      <c r="I49" s="107">
        <f t="shared" si="6"/>
        <v>10</v>
      </c>
      <c r="J49" s="107"/>
      <c r="K49" s="109">
        <v>43646</v>
      </c>
      <c r="L49" s="110"/>
      <c r="M49" s="111"/>
      <c r="N49" s="112"/>
      <c r="O49" s="111"/>
      <c r="P49" s="113"/>
      <c r="Q49" s="103"/>
      <c r="R49" s="114" t="s">
        <v>851</v>
      </c>
      <c r="S49" s="103"/>
    </row>
    <row r="50" spans="2:19" s="67" customFormat="1" ht="33" customHeight="1">
      <c r="B50" s="135" t="s">
        <v>853</v>
      </c>
      <c r="C50" s="136" t="s">
        <v>209</v>
      </c>
      <c r="D50" s="137" t="s">
        <v>705</v>
      </c>
      <c r="E50" s="138">
        <v>43532</v>
      </c>
      <c r="F50" s="139" t="s">
        <v>213</v>
      </c>
      <c r="G50" s="140">
        <v>920</v>
      </c>
      <c r="H50" s="139">
        <f t="shared" si="5"/>
        <v>4</v>
      </c>
      <c r="I50" s="139">
        <f t="shared" si="6"/>
        <v>1</v>
      </c>
      <c r="J50" s="139"/>
      <c r="K50" s="141">
        <v>43609</v>
      </c>
      <c r="L50" s="142"/>
      <c r="M50" s="143"/>
      <c r="N50" s="144"/>
      <c r="O50" s="143"/>
      <c r="P50" s="145"/>
      <c r="Q50" s="135"/>
      <c r="R50" s="146"/>
      <c r="S50" s="135" t="s">
        <v>828</v>
      </c>
    </row>
    <row r="51" spans="2:19" s="67" customFormat="1" ht="33" customHeight="1">
      <c r="B51" s="46" t="s">
        <v>707</v>
      </c>
      <c r="C51" s="35" t="s">
        <v>209</v>
      </c>
      <c r="D51" s="36" t="s">
        <v>854</v>
      </c>
      <c r="E51" s="37">
        <v>43511</v>
      </c>
      <c r="F51" s="38" t="s">
        <v>213</v>
      </c>
      <c r="G51" s="39">
        <v>460</v>
      </c>
      <c r="H51" s="38">
        <f>SUM(G51/230)</f>
        <v>2</v>
      </c>
      <c r="I51" s="38">
        <f>SUM(H51/4)</f>
        <v>0.5</v>
      </c>
      <c r="J51" s="38"/>
      <c r="K51" s="40">
        <v>43576</v>
      </c>
      <c r="L51" s="41" t="s">
        <v>480</v>
      </c>
      <c r="M51" s="42">
        <v>43564</v>
      </c>
      <c r="N51" s="43" t="s">
        <v>646</v>
      </c>
      <c r="O51" s="42">
        <v>43569</v>
      </c>
      <c r="P51" s="45"/>
      <c r="Q51" s="46"/>
      <c r="R51" s="44" t="s">
        <v>516</v>
      </c>
      <c r="S51" s="46"/>
    </row>
    <row r="52" spans="2:19" s="33" customFormat="1" ht="33" customHeight="1">
      <c r="B52" s="47" t="s">
        <v>222</v>
      </c>
      <c r="C52" s="48" t="s">
        <v>258</v>
      </c>
      <c r="D52" s="49" t="s">
        <v>272</v>
      </c>
      <c r="E52" s="50">
        <v>43378</v>
      </c>
      <c r="F52" s="52" t="s">
        <v>213</v>
      </c>
      <c r="G52" s="51">
        <v>2560</v>
      </c>
      <c r="H52" s="52">
        <f t="shared" ref="H52:H61" si="7">SUM(G52/20)</f>
        <v>128</v>
      </c>
      <c r="I52" s="52">
        <f t="shared" ref="I52:I61" si="8">SUM(H52/32)</f>
        <v>4</v>
      </c>
      <c r="J52" s="59"/>
      <c r="K52" s="53">
        <v>43120</v>
      </c>
      <c r="L52" s="54" t="s">
        <v>367</v>
      </c>
      <c r="M52" s="55">
        <v>43480</v>
      </c>
      <c r="N52" s="56" t="s">
        <v>283</v>
      </c>
      <c r="O52" s="55">
        <v>43120</v>
      </c>
      <c r="P52" s="58"/>
      <c r="Q52" s="60" t="s">
        <v>89</v>
      </c>
      <c r="R52" s="57" t="s">
        <v>280</v>
      </c>
      <c r="S52" s="47"/>
    </row>
    <row r="53" spans="2:19" s="33" customFormat="1" ht="33" customHeight="1">
      <c r="B53" s="47" t="s">
        <v>222</v>
      </c>
      <c r="C53" s="48" t="s">
        <v>321</v>
      </c>
      <c r="D53" s="49" t="s">
        <v>322</v>
      </c>
      <c r="E53" s="50">
        <v>43420</v>
      </c>
      <c r="F53" s="52" t="s">
        <v>213</v>
      </c>
      <c r="G53" s="51">
        <v>3200</v>
      </c>
      <c r="H53" s="52">
        <f t="shared" si="7"/>
        <v>160</v>
      </c>
      <c r="I53" s="52">
        <f t="shared" si="8"/>
        <v>5</v>
      </c>
      <c r="J53" s="59"/>
      <c r="K53" s="53">
        <v>43513</v>
      </c>
      <c r="L53" s="54" t="s">
        <v>276</v>
      </c>
      <c r="M53" s="55">
        <v>43508</v>
      </c>
      <c r="N53" s="56" t="s">
        <v>345</v>
      </c>
      <c r="O53" s="55">
        <v>43148</v>
      </c>
      <c r="P53" s="58"/>
      <c r="Q53" s="60" t="s">
        <v>89</v>
      </c>
      <c r="R53" s="57" t="s">
        <v>428</v>
      </c>
      <c r="S53" s="47"/>
    </row>
    <row r="54" spans="2:19" s="30" customFormat="1" ht="33" customHeight="1">
      <c r="B54" s="46" t="s">
        <v>222</v>
      </c>
      <c r="C54" s="35" t="s">
        <v>324</v>
      </c>
      <c r="D54" s="36" t="s">
        <v>325</v>
      </c>
      <c r="E54" s="37">
        <v>43420</v>
      </c>
      <c r="F54" s="38" t="s">
        <v>213</v>
      </c>
      <c r="G54" s="39">
        <v>1920</v>
      </c>
      <c r="H54" s="38">
        <f t="shared" si="7"/>
        <v>96</v>
      </c>
      <c r="I54" s="38">
        <f t="shared" si="8"/>
        <v>3</v>
      </c>
      <c r="J54" s="61"/>
      <c r="K54" s="40">
        <v>43541</v>
      </c>
      <c r="L54" s="41" t="s">
        <v>524</v>
      </c>
      <c r="M54" s="42">
        <v>43531</v>
      </c>
      <c r="N54" s="43" t="s">
        <v>569</v>
      </c>
      <c r="O54" s="42">
        <v>43535</v>
      </c>
      <c r="P54" s="45"/>
      <c r="Q54" s="62" t="s">
        <v>89</v>
      </c>
      <c r="R54" s="44" t="s">
        <v>429</v>
      </c>
      <c r="S54" s="46" t="s">
        <v>645</v>
      </c>
    </row>
    <row r="55" spans="2:19" s="30" customFormat="1" ht="33" customHeight="1">
      <c r="B55" s="46" t="s">
        <v>222</v>
      </c>
      <c r="C55" s="35" t="s">
        <v>500</v>
      </c>
      <c r="D55" s="36" t="s">
        <v>325</v>
      </c>
      <c r="E55" s="37">
        <v>43420</v>
      </c>
      <c r="F55" s="38" t="s">
        <v>213</v>
      </c>
      <c r="G55" s="39">
        <v>1280</v>
      </c>
      <c r="H55" s="38">
        <f t="shared" si="7"/>
        <v>64</v>
      </c>
      <c r="I55" s="38">
        <f t="shared" si="8"/>
        <v>2</v>
      </c>
      <c r="J55" s="61"/>
      <c r="K55" s="40">
        <v>43541</v>
      </c>
      <c r="L55" s="41" t="s">
        <v>563</v>
      </c>
      <c r="M55" s="42">
        <v>43536</v>
      </c>
      <c r="N55" s="43" t="s">
        <v>346</v>
      </c>
      <c r="O55" s="42">
        <v>43541</v>
      </c>
      <c r="P55" s="45"/>
      <c r="Q55" s="62" t="s">
        <v>89</v>
      </c>
      <c r="R55" s="44" t="s">
        <v>429</v>
      </c>
      <c r="S55" s="46" t="s">
        <v>395</v>
      </c>
    </row>
    <row r="56" spans="2:19" s="30" customFormat="1" ht="33" customHeight="1">
      <c r="B56" s="46" t="s">
        <v>222</v>
      </c>
      <c r="C56" s="35" t="s">
        <v>430</v>
      </c>
      <c r="D56" s="36" t="s">
        <v>470</v>
      </c>
      <c r="E56" s="37">
        <v>43473</v>
      </c>
      <c r="F56" s="38" t="s">
        <v>213</v>
      </c>
      <c r="G56" s="39">
        <v>1920</v>
      </c>
      <c r="H56" s="38">
        <f t="shared" si="7"/>
        <v>96</v>
      </c>
      <c r="I56" s="38">
        <f t="shared" si="8"/>
        <v>3</v>
      </c>
      <c r="J56" s="61"/>
      <c r="K56" s="40">
        <v>43555</v>
      </c>
      <c r="L56" s="41" t="s">
        <v>709</v>
      </c>
      <c r="M56" s="42">
        <v>43550</v>
      </c>
      <c r="N56" s="43" t="s">
        <v>344</v>
      </c>
      <c r="O56" s="42">
        <v>43555</v>
      </c>
      <c r="P56" s="45"/>
      <c r="Q56" s="62" t="s">
        <v>89</v>
      </c>
      <c r="R56" s="44" t="s">
        <v>829</v>
      </c>
      <c r="S56" s="46"/>
    </row>
    <row r="57" spans="2:19" s="30" customFormat="1" ht="33" customHeight="1">
      <c r="B57" s="46" t="s">
        <v>222</v>
      </c>
      <c r="C57" s="35" t="s">
        <v>430</v>
      </c>
      <c r="D57" s="36" t="s">
        <v>470</v>
      </c>
      <c r="E57" s="37">
        <v>43473</v>
      </c>
      <c r="F57" s="38" t="s">
        <v>213</v>
      </c>
      <c r="G57" s="39">
        <v>1920</v>
      </c>
      <c r="H57" s="38">
        <f t="shared" si="7"/>
        <v>96</v>
      </c>
      <c r="I57" s="38">
        <f t="shared" si="8"/>
        <v>3</v>
      </c>
      <c r="J57" s="61"/>
      <c r="K57" s="40">
        <v>43555</v>
      </c>
      <c r="L57" s="41" t="s">
        <v>484</v>
      </c>
      <c r="M57" s="42">
        <v>43564</v>
      </c>
      <c r="N57" s="43" t="s">
        <v>437</v>
      </c>
      <c r="O57" s="42">
        <v>43569</v>
      </c>
      <c r="P57" s="45"/>
      <c r="Q57" s="62" t="s">
        <v>89</v>
      </c>
      <c r="R57" s="44" t="s">
        <v>829</v>
      </c>
      <c r="S57" s="46"/>
    </row>
    <row r="58" spans="2:19" s="30" customFormat="1" ht="33" customHeight="1">
      <c r="B58" s="46" t="s">
        <v>222</v>
      </c>
      <c r="C58" s="35" t="s">
        <v>519</v>
      </c>
      <c r="D58" s="36" t="s">
        <v>710</v>
      </c>
      <c r="E58" s="37">
        <v>43511</v>
      </c>
      <c r="F58" s="38" t="s">
        <v>213</v>
      </c>
      <c r="G58" s="39">
        <v>640</v>
      </c>
      <c r="H58" s="38">
        <f t="shared" si="7"/>
        <v>32</v>
      </c>
      <c r="I58" s="38">
        <f t="shared" si="8"/>
        <v>1</v>
      </c>
      <c r="J58" s="61"/>
      <c r="K58" s="40">
        <v>43555</v>
      </c>
      <c r="L58" s="41" t="s">
        <v>711</v>
      </c>
      <c r="M58" s="42">
        <v>43557</v>
      </c>
      <c r="N58" s="43" t="s">
        <v>436</v>
      </c>
      <c r="O58" s="42">
        <v>43562</v>
      </c>
      <c r="P58" s="45"/>
      <c r="Q58" s="62" t="s">
        <v>89</v>
      </c>
      <c r="R58" s="44" t="s">
        <v>829</v>
      </c>
      <c r="S58" s="46"/>
    </row>
    <row r="59" spans="2:19" s="30" customFormat="1" ht="33" customHeight="1">
      <c r="B59" s="46" t="s">
        <v>222</v>
      </c>
      <c r="C59" s="35" t="s">
        <v>520</v>
      </c>
      <c r="D59" s="36" t="s">
        <v>584</v>
      </c>
      <c r="E59" s="37">
        <v>43511</v>
      </c>
      <c r="F59" s="38" t="s">
        <v>213</v>
      </c>
      <c r="G59" s="39">
        <v>1920</v>
      </c>
      <c r="H59" s="38">
        <f t="shared" si="7"/>
        <v>96</v>
      </c>
      <c r="I59" s="38">
        <f t="shared" si="8"/>
        <v>3</v>
      </c>
      <c r="J59" s="61"/>
      <c r="K59" s="40">
        <v>43576</v>
      </c>
      <c r="L59" s="41" t="s">
        <v>503</v>
      </c>
      <c r="M59" s="42">
        <v>43571</v>
      </c>
      <c r="N59" s="43" t="s">
        <v>465</v>
      </c>
      <c r="O59" s="42">
        <v>43576</v>
      </c>
      <c r="P59" s="45"/>
      <c r="Q59" s="62" t="s">
        <v>89</v>
      </c>
      <c r="R59" s="44" t="s">
        <v>789</v>
      </c>
      <c r="S59" s="46"/>
    </row>
    <row r="60" spans="2:19" s="30" customFormat="1" ht="33" customHeight="1">
      <c r="B60" s="46" t="s">
        <v>222</v>
      </c>
      <c r="C60" s="35" t="s">
        <v>586</v>
      </c>
      <c r="D60" s="36" t="s">
        <v>640</v>
      </c>
      <c r="E60" s="37">
        <v>43519</v>
      </c>
      <c r="F60" s="38" t="s">
        <v>213</v>
      </c>
      <c r="G60" s="39">
        <v>1920</v>
      </c>
      <c r="H60" s="38">
        <f t="shared" si="7"/>
        <v>96</v>
      </c>
      <c r="I60" s="38">
        <f t="shared" si="8"/>
        <v>3</v>
      </c>
      <c r="J60" s="61"/>
      <c r="K60" s="40">
        <v>43611</v>
      </c>
      <c r="L60" s="41" t="s">
        <v>805</v>
      </c>
      <c r="M60" s="42">
        <v>43606</v>
      </c>
      <c r="N60" s="43" t="s">
        <v>806</v>
      </c>
      <c r="O60" s="42">
        <v>43611</v>
      </c>
      <c r="P60" s="45"/>
      <c r="Q60" s="62"/>
      <c r="R60" s="44" t="s">
        <v>855</v>
      </c>
      <c r="S60" s="46"/>
    </row>
    <row r="61" spans="2:19" s="30" customFormat="1" ht="33" customHeight="1">
      <c r="B61" s="46" t="s">
        <v>222</v>
      </c>
      <c r="C61" s="35" t="s">
        <v>713</v>
      </c>
      <c r="D61" s="36" t="s">
        <v>714</v>
      </c>
      <c r="E61" s="37">
        <v>43532</v>
      </c>
      <c r="F61" s="38" t="s">
        <v>213</v>
      </c>
      <c r="G61" s="108">
        <v>2560</v>
      </c>
      <c r="H61" s="107">
        <f t="shared" si="7"/>
        <v>128</v>
      </c>
      <c r="I61" s="107">
        <f t="shared" si="8"/>
        <v>4</v>
      </c>
      <c r="J61" s="61"/>
      <c r="K61" s="40">
        <v>43632</v>
      </c>
      <c r="L61" s="41" t="s">
        <v>807</v>
      </c>
      <c r="M61" s="42">
        <v>43627</v>
      </c>
      <c r="N61" s="43" t="s">
        <v>808</v>
      </c>
      <c r="O61" s="42">
        <v>43632</v>
      </c>
      <c r="P61" s="45"/>
      <c r="Q61" s="62" t="s">
        <v>89</v>
      </c>
      <c r="R61" s="44" t="s">
        <v>856</v>
      </c>
      <c r="S61" s="46"/>
    </row>
    <row r="62" spans="2:19" s="33" customFormat="1" ht="33" customHeight="1">
      <c r="B62" s="47" t="s">
        <v>38</v>
      </c>
      <c r="C62" s="48" t="s">
        <v>224</v>
      </c>
      <c r="D62" s="49" t="s">
        <v>328</v>
      </c>
      <c r="E62" s="50">
        <v>43420</v>
      </c>
      <c r="F62" s="52" t="s">
        <v>214</v>
      </c>
      <c r="G62" s="64">
        <v>640</v>
      </c>
      <c r="H62" s="52">
        <f>SUBTOTAL(9,G62)/20</f>
        <v>32</v>
      </c>
      <c r="I62" s="52">
        <f>H62/32</f>
        <v>1</v>
      </c>
      <c r="J62" s="52"/>
      <c r="K62" s="53">
        <v>43520</v>
      </c>
      <c r="L62" s="54" t="s">
        <v>348</v>
      </c>
      <c r="M62" s="55">
        <v>43515</v>
      </c>
      <c r="N62" s="56" t="s">
        <v>347</v>
      </c>
      <c r="O62" s="55">
        <v>43155</v>
      </c>
      <c r="P62" s="58" t="s">
        <v>792</v>
      </c>
      <c r="Q62" s="52"/>
      <c r="R62" s="63" t="s">
        <v>329</v>
      </c>
      <c r="S62" s="47"/>
    </row>
    <row r="63" spans="2:19" s="30" customFormat="1" ht="33" customHeight="1">
      <c r="B63" s="46" t="s">
        <v>38</v>
      </c>
      <c r="C63" s="35" t="s">
        <v>225</v>
      </c>
      <c r="D63" s="36" t="s">
        <v>587</v>
      </c>
      <c r="E63" s="37">
        <v>43519</v>
      </c>
      <c r="F63" s="38" t="s">
        <v>214</v>
      </c>
      <c r="G63" s="65">
        <v>640</v>
      </c>
      <c r="H63" s="38">
        <f>SUBTOTAL(9,G63)/20</f>
        <v>32</v>
      </c>
      <c r="I63" s="38">
        <f>H63/32</f>
        <v>1</v>
      </c>
      <c r="J63" s="38"/>
      <c r="K63" s="40">
        <v>43583</v>
      </c>
      <c r="L63" s="41" t="s">
        <v>565</v>
      </c>
      <c r="M63" s="42">
        <v>43578</v>
      </c>
      <c r="N63" s="43" t="s">
        <v>468</v>
      </c>
      <c r="O63" s="42">
        <v>43583</v>
      </c>
      <c r="P63" s="45"/>
      <c r="Q63" s="38"/>
      <c r="R63" s="66" t="s">
        <v>547</v>
      </c>
      <c r="S63" s="46"/>
    </row>
    <row r="64" spans="2:19" s="33" customFormat="1" ht="33" customHeight="1">
      <c r="B64" s="47" t="s">
        <v>88</v>
      </c>
      <c r="C64" s="48" t="s">
        <v>285</v>
      </c>
      <c r="D64" s="49" t="s">
        <v>330</v>
      </c>
      <c r="E64" s="50">
        <v>43405</v>
      </c>
      <c r="F64" s="52" t="s">
        <v>214</v>
      </c>
      <c r="G64" s="64">
        <v>760</v>
      </c>
      <c r="H64" s="52">
        <f>SUBTOTAL(9,G64)/190</f>
        <v>4</v>
      </c>
      <c r="I64" s="52">
        <f>H64/4</f>
        <v>1</v>
      </c>
      <c r="J64" s="52"/>
      <c r="K64" s="53">
        <v>43485</v>
      </c>
      <c r="L64" s="54" t="s">
        <v>290</v>
      </c>
      <c r="M64" s="55">
        <v>43480</v>
      </c>
      <c r="N64" s="56" t="s">
        <v>287</v>
      </c>
      <c r="O64" s="55">
        <v>43120</v>
      </c>
      <c r="P64" s="58"/>
      <c r="Q64" s="52"/>
      <c r="R64" s="63" t="s">
        <v>239</v>
      </c>
      <c r="S64" s="47"/>
    </row>
    <row r="65" spans="2:19" s="33" customFormat="1" ht="33" customHeight="1">
      <c r="B65" s="47" t="s">
        <v>88</v>
      </c>
      <c r="C65" s="48" t="s">
        <v>331</v>
      </c>
      <c r="D65" s="49" t="s">
        <v>332</v>
      </c>
      <c r="E65" s="50">
        <v>43420</v>
      </c>
      <c r="F65" s="52" t="s">
        <v>214</v>
      </c>
      <c r="G65" s="64">
        <v>760</v>
      </c>
      <c r="H65" s="52">
        <f>SUBTOTAL(9,G65)/190</f>
        <v>4</v>
      </c>
      <c r="I65" s="52">
        <f>H65/4</f>
        <v>1</v>
      </c>
      <c r="J65" s="52"/>
      <c r="K65" s="53">
        <v>43520</v>
      </c>
      <c r="L65" s="54" t="s">
        <v>348</v>
      </c>
      <c r="M65" s="55">
        <v>43515</v>
      </c>
      <c r="N65" s="56" t="s">
        <v>347</v>
      </c>
      <c r="O65" s="55">
        <v>43155</v>
      </c>
      <c r="P65" s="58" t="s">
        <v>521</v>
      </c>
      <c r="Q65" s="52"/>
      <c r="R65" s="63" t="s">
        <v>333</v>
      </c>
      <c r="S65" s="47"/>
    </row>
    <row r="66" spans="2:19" s="30" customFormat="1" ht="33" customHeight="1">
      <c r="B66" s="46" t="s">
        <v>88</v>
      </c>
      <c r="C66" s="35" t="s">
        <v>431</v>
      </c>
      <c r="D66" s="36" t="s">
        <v>471</v>
      </c>
      <c r="E66" s="37">
        <v>43483</v>
      </c>
      <c r="F66" s="38" t="s">
        <v>214</v>
      </c>
      <c r="G66" s="65">
        <v>760</v>
      </c>
      <c r="H66" s="38">
        <f>SUBTOTAL(9,G66)/190</f>
        <v>4</v>
      </c>
      <c r="I66" s="38">
        <f>H66/4</f>
        <v>1</v>
      </c>
      <c r="J66" s="38"/>
      <c r="K66" s="40">
        <v>43569</v>
      </c>
      <c r="L66" s="41" t="s">
        <v>417</v>
      </c>
      <c r="M66" s="42">
        <v>43564</v>
      </c>
      <c r="N66" s="43" t="s">
        <v>437</v>
      </c>
      <c r="O66" s="42">
        <v>43569</v>
      </c>
      <c r="P66" s="45"/>
      <c r="Q66" s="38"/>
      <c r="R66" s="66" t="s">
        <v>522</v>
      </c>
      <c r="S66" s="46"/>
    </row>
    <row r="67" spans="2:19" s="30" customFormat="1" ht="33" customHeight="1">
      <c r="B67" s="46" t="s">
        <v>88</v>
      </c>
      <c r="C67" s="35" t="s">
        <v>523</v>
      </c>
      <c r="D67" s="36" t="s">
        <v>588</v>
      </c>
      <c r="E67" s="37">
        <v>43511</v>
      </c>
      <c r="F67" s="38" t="s">
        <v>214</v>
      </c>
      <c r="G67" s="65">
        <v>760</v>
      </c>
      <c r="H67" s="38">
        <f>SUBTOTAL(9,G67)/190</f>
        <v>4</v>
      </c>
      <c r="I67" s="38">
        <f>H67/4</f>
        <v>1</v>
      </c>
      <c r="J67" s="38"/>
      <c r="K67" s="40">
        <v>43583</v>
      </c>
      <c r="L67" s="41" t="s">
        <v>565</v>
      </c>
      <c r="M67" s="42">
        <v>43578</v>
      </c>
      <c r="N67" s="43" t="s">
        <v>468</v>
      </c>
      <c r="O67" s="42">
        <v>43583</v>
      </c>
      <c r="P67" s="45"/>
      <c r="Q67" s="38"/>
      <c r="R67" s="66" t="s">
        <v>793</v>
      </c>
      <c r="S67" s="46"/>
    </row>
    <row r="68" spans="2:19" s="30" customFormat="1" ht="33" customHeight="1">
      <c r="B68" s="46" t="s">
        <v>88</v>
      </c>
      <c r="C68" s="35" t="s">
        <v>589</v>
      </c>
      <c r="D68" s="36" t="s">
        <v>590</v>
      </c>
      <c r="E68" s="37">
        <v>43519</v>
      </c>
      <c r="F68" s="38" t="s">
        <v>214</v>
      </c>
      <c r="G68" s="65">
        <v>760</v>
      </c>
      <c r="H68" s="38">
        <f>SUBTOTAL(9,G68)/190</f>
        <v>4</v>
      </c>
      <c r="I68" s="38">
        <f>H68/4</f>
        <v>1</v>
      </c>
      <c r="J68" s="38"/>
      <c r="K68" s="40">
        <v>43597</v>
      </c>
      <c r="L68" s="41" t="s">
        <v>857</v>
      </c>
      <c r="M68" s="42">
        <v>43592</v>
      </c>
      <c r="N68" s="43" t="s">
        <v>858</v>
      </c>
      <c r="O68" s="42">
        <v>43597</v>
      </c>
      <c r="P68" s="45"/>
      <c r="Q68" s="38"/>
      <c r="R68" s="66" t="s">
        <v>859</v>
      </c>
      <c r="S68" s="46"/>
    </row>
    <row r="69" spans="2:19" s="33" customFormat="1" ht="33" customHeight="1">
      <c r="B69" s="47" t="s">
        <v>83</v>
      </c>
      <c r="C69" s="48" t="s">
        <v>221</v>
      </c>
      <c r="D69" s="49" t="s">
        <v>273</v>
      </c>
      <c r="E69" s="50">
        <v>43378</v>
      </c>
      <c r="F69" s="52" t="s">
        <v>77</v>
      </c>
      <c r="G69" s="51">
        <v>7680</v>
      </c>
      <c r="H69" s="52">
        <f>SUM(G69/240)</f>
        <v>32</v>
      </c>
      <c r="I69" s="52">
        <f t="shared" ref="I69:I79" si="9">SUM(H69/4)</f>
        <v>8</v>
      </c>
      <c r="J69" s="52"/>
      <c r="K69" s="53">
        <v>43478</v>
      </c>
      <c r="L69" s="54" t="s">
        <v>267</v>
      </c>
      <c r="M69" s="55">
        <v>43473</v>
      </c>
      <c r="N69" s="56" t="s">
        <v>860</v>
      </c>
      <c r="O69" s="55">
        <v>43113</v>
      </c>
      <c r="P69" s="58"/>
      <c r="Q69" s="52"/>
      <c r="R69" s="118" t="s">
        <v>861</v>
      </c>
      <c r="S69" s="47"/>
    </row>
    <row r="70" spans="2:19" s="33" customFormat="1" ht="33" customHeight="1">
      <c r="B70" s="47" t="s">
        <v>83</v>
      </c>
      <c r="C70" s="48" t="s">
        <v>862</v>
      </c>
      <c r="D70" s="49" t="s">
        <v>334</v>
      </c>
      <c r="E70" s="50">
        <v>43413</v>
      </c>
      <c r="F70" s="52" t="s">
        <v>77</v>
      </c>
      <c r="G70" s="51">
        <v>1920</v>
      </c>
      <c r="H70" s="52">
        <f>SUM(G70/240)</f>
        <v>8</v>
      </c>
      <c r="I70" s="52">
        <f t="shared" si="9"/>
        <v>2</v>
      </c>
      <c r="J70" s="52"/>
      <c r="K70" s="53">
        <v>43478</v>
      </c>
      <c r="L70" s="54" t="s">
        <v>267</v>
      </c>
      <c r="M70" s="55">
        <v>43473</v>
      </c>
      <c r="N70" s="56" t="s">
        <v>282</v>
      </c>
      <c r="O70" s="55">
        <v>43113</v>
      </c>
      <c r="P70" s="58"/>
      <c r="Q70" s="52"/>
      <c r="R70" s="118" t="s">
        <v>861</v>
      </c>
      <c r="S70" s="47"/>
    </row>
    <row r="71" spans="2:19" s="33" customFormat="1" ht="33" customHeight="1">
      <c r="B71" s="47" t="s">
        <v>83</v>
      </c>
      <c r="C71" s="48" t="s">
        <v>863</v>
      </c>
      <c r="D71" s="49" t="s">
        <v>336</v>
      </c>
      <c r="E71" s="50">
        <v>43420</v>
      </c>
      <c r="F71" s="52" t="s">
        <v>77</v>
      </c>
      <c r="G71" s="51">
        <v>5760</v>
      </c>
      <c r="H71" s="52">
        <f>SUM(G71/240)</f>
        <v>24</v>
      </c>
      <c r="I71" s="52">
        <f t="shared" si="9"/>
        <v>6</v>
      </c>
      <c r="J71" s="52"/>
      <c r="K71" s="53">
        <v>43148</v>
      </c>
      <c r="L71" s="54" t="s">
        <v>276</v>
      </c>
      <c r="M71" s="55">
        <v>43508</v>
      </c>
      <c r="N71" s="56" t="s">
        <v>864</v>
      </c>
      <c r="O71" s="55">
        <v>43148</v>
      </c>
      <c r="P71" s="58"/>
      <c r="Q71" s="52"/>
      <c r="R71" s="118" t="s">
        <v>865</v>
      </c>
      <c r="S71" s="47"/>
    </row>
    <row r="72" spans="2:19" s="33" customFormat="1" ht="33" customHeight="1">
      <c r="B72" s="47" t="s">
        <v>83</v>
      </c>
      <c r="C72" s="48" t="s">
        <v>866</v>
      </c>
      <c r="D72" s="49" t="s">
        <v>867</v>
      </c>
      <c r="E72" s="50">
        <v>43462</v>
      </c>
      <c r="F72" s="52" t="s">
        <v>77</v>
      </c>
      <c r="G72" s="51">
        <v>960</v>
      </c>
      <c r="H72" s="52">
        <f>SUM(G72/240)</f>
        <v>4</v>
      </c>
      <c r="I72" s="52">
        <f t="shared" si="9"/>
        <v>1</v>
      </c>
      <c r="J72" s="52"/>
      <c r="K72" s="53">
        <v>43148</v>
      </c>
      <c r="L72" s="54" t="s">
        <v>276</v>
      </c>
      <c r="M72" s="55">
        <v>43508</v>
      </c>
      <c r="N72" s="56" t="s">
        <v>864</v>
      </c>
      <c r="O72" s="55">
        <v>43148</v>
      </c>
      <c r="P72" s="58"/>
      <c r="Q72" s="52"/>
      <c r="R72" s="118" t="s">
        <v>865</v>
      </c>
      <c r="S72" s="47"/>
    </row>
    <row r="73" spans="2:19" s="30" customFormat="1" ht="33" customHeight="1">
      <c r="B73" s="46" t="s">
        <v>83</v>
      </c>
      <c r="C73" s="35" t="s">
        <v>868</v>
      </c>
      <c r="D73" s="36" t="s">
        <v>867</v>
      </c>
      <c r="E73" s="37">
        <v>43462</v>
      </c>
      <c r="F73" s="38" t="s">
        <v>77</v>
      </c>
      <c r="G73" s="39">
        <v>960</v>
      </c>
      <c r="H73" s="38">
        <f t="shared" ref="H73:H79" si="10">SUM(G73/240)</f>
        <v>4</v>
      </c>
      <c r="I73" s="38">
        <f t="shared" si="9"/>
        <v>1</v>
      </c>
      <c r="J73" s="38"/>
      <c r="K73" s="40">
        <v>43148</v>
      </c>
      <c r="L73" s="41" t="s">
        <v>869</v>
      </c>
      <c r="M73" s="42">
        <v>43531</v>
      </c>
      <c r="N73" s="43" t="s">
        <v>568</v>
      </c>
      <c r="O73" s="42">
        <v>43535</v>
      </c>
      <c r="P73" s="45" t="s">
        <v>870</v>
      </c>
      <c r="Q73" s="38"/>
      <c r="R73" s="115" t="s">
        <v>865</v>
      </c>
      <c r="S73" s="46" t="s">
        <v>609</v>
      </c>
    </row>
    <row r="74" spans="2:19" s="30" customFormat="1" ht="33" customHeight="1">
      <c r="B74" s="46" t="s">
        <v>83</v>
      </c>
      <c r="C74" s="35" t="s">
        <v>871</v>
      </c>
      <c r="D74" s="36" t="s">
        <v>872</v>
      </c>
      <c r="E74" s="37">
        <v>43462</v>
      </c>
      <c r="F74" s="38" t="s">
        <v>77</v>
      </c>
      <c r="G74" s="39">
        <v>2880</v>
      </c>
      <c r="H74" s="38">
        <f t="shared" si="10"/>
        <v>12</v>
      </c>
      <c r="I74" s="38">
        <f t="shared" si="9"/>
        <v>3</v>
      </c>
      <c r="J74" s="38"/>
      <c r="K74" s="40">
        <v>43541</v>
      </c>
      <c r="L74" s="41" t="s">
        <v>869</v>
      </c>
      <c r="M74" s="42">
        <v>43531</v>
      </c>
      <c r="N74" s="43" t="s">
        <v>568</v>
      </c>
      <c r="O74" s="42">
        <v>43535</v>
      </c>
      <c r="P74" s="45" t="s">
        <v>657</v>
      </c>
      <c r="Q74" s="38"/>
      <c r="R74" s="115" t="s">
        <v>486</v>
      </c>
      <c r="S74" s="46" t="s">
        <v>610</v>
      </c>
    </row>
    <row r="75" spans="2:19" s="30" customFormat="1" ht="33" customHeight="1">
      <c r="B75" s="46" t="s">
        <v>83</v>
      </c>
      <c r="C75" s="35" t="s">
        <v>232</v>
      </c>
      <c r="D75" s="36" t="s">
        <v>386</v>
      </c>
      <c r="E75" s="37">
        <v>43455</v>
      </c>
      <c r="F75" s="38" t="s">
        <v>77</v>
      </c>
      <c r="G75" s="39">
        <v>5760</v>
      </c>
      <c r="H75" s="38">
        <f t="shared" si="10"/>
        <v>24</v>
      </c>
      <c r="I75" s="38">
        <f t="shared" si="9"/>
        <v>6</v>
      </c>
      <c r="J75" s="38"/>
      <c r="K75" s="40">
        <v>43541</v>
      </c>
      <c r="L75" s="41" t="s">
        <v>873</v>
      </c>
      <c r="M75" s="42">
        <v>43543</v>
      </c>
      <c r="N75" s="43" t="s">
        <v>874</v>
      </c>
      <c r="O75" s="42">
        <v>43548</v>
      </c>
      <c r="P75" s="45" t="s">
        <v>875</v>
      </c>
      <c r="Q75" s="38"/>
      <c r="R75" s="115" t="s">
        <v>876</v>
      </c>
      <c r="S75" s="46"/>
    </row>
    <row r="76" spans="2:19" s="30" customFormat="1" ht="33" customHeight="1">
      <c r="B76" s="46" t="s">
        <v>83</v>
      </c>
      <c r="C76" s="35" t="s">
        <v>244</v>
      </c>
      <c r="D76" s="36" t="s">
        <v>722</v>
      </c>
      <c r="E76" s="37">
        <v>43483</v>
      </c>
      <c r="F76" s="38" t="s">
        <v>77</v>
      </c>
      <c r="G76" s="39">
        <v>6720</v>
      </c>
      <c r="H76" s="38">
        <f t="shared" si="10"/>
        <v>28</v>
      </c>
      <c r="I76" s="38">
        <f t="shared" si="9"/>
        <v>7</v>
      </c>
      <c r="J76" s="38"/>
      <c r="K76" s="40">
        <v>43569</v>
      </c>
      <c r="L76" s="41" t="s">
        <v>480</v>
      </c>
      <c r="M76" s="42">
        <v>43564</v>
      </c>
      <c r="N76" s="43" t="s">
        <v>646</v>
      </c>
      <c r="O76" s="42">
        <v>43569</v>
      </c>
      <c r="P76" s="45" t="s">
        <v>877</v>
      </c>
      <c r="Q76" s="38"/>
      <c r="R76" s="115" t="s">
        <v>878</v>
      </c>
      <c r="S76" s="46"/>
    </row>
    <row r="77" spans="2:19" s="30" customFormat="1" ht="33" customHeight="1">
      <c r="B77" s="46" t="s">
        <v>83</v>
      </c>
      <c r="C77" s="35" t="s">
        <v>879</v>
      </c>
      <c r="D77" s="36" t="s">
        <v>472</v>
      </c>
      <c r="E77" s="37">
        <v>43483</v>
      </c>
      <c r="F77" s="38" t="s">
        <v>77</v>
      </c>
      <c r="G77" s="39">
        <v>5760</v>
      </c>
      <c r="H77" s="38">
        <f>SUM(G77/240)</f>
        <v>24</v>
      </c>
      <c r="I77" s="38">
        <f>SUM(H77/4)</f>
        <v>6</v>
      </c>
      <c r="J77" s="38"/>
      <c r="K77" s="40">
        <v>43583</v>
      </c>
      <c r="L77" s="41" t="s">
        <v>448</v>
      </c>
      <c r="M77" s="42">
        <v>43578</v>
      </c>
      <c r="N77" s="43" t="s">
        <v>880</v>
      </c>
      <c r="O77" s="42">
        <v>43583</v>
      </c>
      <c r="P77" s="45" t="s">
        <v>881</v>
      </c>
      <c r="Q77" s="38"/>
      <c r="R77" s="115" t="s">
        <v>878</v>
      </c>
      <c r="S77" s="46"/>
    </row>
    <row r="78" spans="2:19" s="30" customFormat="1" ht="33" customHeight="1">
      <c r="B78" s="46" t="s">
        <v>83</v>
      </c>
      <c r="C78" s="35" t="s">
        <v>258</v>
      </c>
      <c r="D78" s="36" t="s">
        <v>591</v>
      </c>
      <c r="E78" s="37">
        <v>43519</v>
      </c>
      <c r="F78" s="38" t="s">
        <v>77</v>
      </c>
      <c r="G78" s="39">
        <v>5760</v>
      </c>
      <c r="H78" s="38">
        <f t="shared" si="10"/>
        <v>24</v>
      </c>
      <c r="I78" s="38">
        <f t="shared" si="9"/>
        <v>6</v>
      </c>
      <c r="J78" s="38"/>
      <c r="K78" s="40">
        <v>43605</v>
      </c>
      <c r="L78" s="41" t="s">
        <v>882</v>
      </c>
      <c r="M78" s="42">
        <v>43601</v>
      </c>
      <c r="N78" s="43" t="s">
        <v>883</v>
      </c>
      <c r="O78" s="42">
        <v>43605</v>
      </c>
      <c r="P78" s="45" t="s">
        <v>884</v>
      </c>
      <c r="Q78" s="38"/>
      <c r="R78" s="115" t="s">
        <v>885</v>
      </c>
      <c r="S78" s="46"/>
    </row>
    <row r="79" spans="2:19" s="30" customFormat="1" ht="33" customHeight="1">
      <c r="B79" s="46" t="s">
        <v>83</v>
      </c>
      <c r="C79" s="35" t="s">
        <v>321</v>
      </c>
      <c r="D79" s="36" t="s">
        <v>727</v>
      </c>
      <c r="E79" s="37">
        <v>43532</v>
      </c>
      <c r="F79" s="38" t="s">
        <v>77</v>
      </c>
      <c r="G79" s="39">
        <v>6720</v>
      </c>
      <c r="H79" s="38">
        <f t="shared" si="10"/>
        <v>28</v>
      </c>
      <c r="I79" s="38">
        <f t="shared" si="9"/>
        <v>7</v>
      </c>
      <c r="J79" s="38"/>
      <c r="K79" s="40">
        <v>43633</v>
      </c>
      <c r="L79" s="41" t="s">
        <v>886</v>
      </c>
      <c r="M79" s="42">
        <v>43627</v>
      </c>
      <c r="N79" s="43" t="s">
        <v>887</v>
      </c>
      <c r="O79" s="42">
        <v>43632</v>
      </c>
      <c r="P79" s="45"/>
      <c r="Q79" s="38"/>
      <c r="R79" s="115" t="s">
        <v>888</v>
      </c>
      <c r="S79" s="46"/>
    </row>
    <row r="80" spans="2:19" s="34" customFormat="1" ht="33" customHeight="1">
      <c r="B80" s="47" t="s">
        <v>210</v>
      </c>
      <c r="C80" s="48" t="s">
        <v>225</v>
      </c>
      <c r="D80" s="49" t="s">
        <v>433</v>
      </c>
      <c r="E80" s="50">
        <v>43473</v>
      </c>
      <c r="F80" s="52" t="s">
        <v>218</v>
      </c>
      <c r="G80" s="51">
        <v>1920</v>
      </c>
      <c r="H80" s="52">
        <f t="shared" ref="H80:H96" si="11">SUM(G80/20)</f>
        <v>96</v>
      </c>
      <c r="I80" s="52">
        <f t="shared" ref="I80:I96" si="12">SUM(H80/32)</f>
        <v>3</v>
      </c>
      <c r="J80" s="52"/>
      <c r="K80" s="53">
        <v>43520</v>
      </c>
      <c r="L80" s="54" t="s">
        <v>889</v>
      </c>
      <c r="M80" s="55">
        <v>43515</v>
      </c>
      <c r="N80" s="56" t="s">
        <v>890</v>
      </c>
      <c r="O80" s="55">
        <v>43520</v>
      </c>
      <c r="P80" s="58"/>
      <c r="Q80" s="52"/>
      <c r="R80" s="63" t="s">
        <v>211</v>
      </c>
      <c r="S80" s="52"/>
    </row>
    <row r="81" spans="2:19" s="34" customFormat="1" ht="33" customHeight="1">
      <c r="B81" s="47" t="s">
        <v>210</v>
      </c>
      <c r="C81" s="48" t="s">
        <v>226</v>
      </c>
      <c r="D81" s="49" t="s">
        <v>593</v>
      </c>
      <c r="E81" s="50">
        <v>43483</v>
      </c>
      <c r="F81" s="52" t="s">
        <v>218</v>
      </c>
      <c r="G81" s="51">
        <v>640</v>
      </c>
      <c r="H81" s="52">
        <f t="shared" si="11"/>
        <v>32</v>
      </c>
      <c r="I81" s="52">
        <f t="shared" si="12"/>
        <v>1</v>
      </c>
      <c r="J81" s="52"/>
      <c r="K81" s="53">
        <v>43534</v>
      </c>
      <c r="L81" s="54" t="s">
        <v>891</v>
      </c>
      <c r="M81" s="55"/>
      <c r="N81" s="56"/>
      <c r="O81" s="55">
        <v>43520</v>
      </c>
      <c r="P81" s="58" t="s">
        <v>651</v>
      </c>
      <c r="Q81" s="52"/>
      <c r="R81" s="63" t="s">
        <v>211</v>
      </c>
      <c r="S81" s="52"/>
    </row>
    <row r="82" spans="2:19" s="34" customFormat="1" ht="33" customHeight="1">
      <c r="B82" s="47" t="s">
        <v>210</v>
      </c>
      <c r="C82" s="48" t="s">
        <v>226</v>
      </c>
      <c r="D82" s="49" t="s">
        <v>434</v>
      </c>
      <c r="E82" s="50">
        <v>43483</v>
      </c>
      <c r="F82" s="52" t="s">
        <v>218</v>
      </c>
      <c r="G82" s="51">
        <v>1920</v>
      </c>
      <c r="H82" s="52">
        <f t="shared" si="11"/>
        <v>96</v>
      </c>
      <c r="I82" s="52">
        <f t="shared" si="12"/>
        <v>3</v>
      </c>
      <c r="J82" s="52"/>
      <c r="K82" s="53">
        <v>43534</v>
      </c>
      <c r="L82" s="54" t="s">
        <v>892</v>
      </c>
      <c r="M82" s="55">
        <v>43524</v>
      </c>
      <c r="N82" s="56" t="s">
        <v>893</v>
      </c>
      <c r="O82" s="55">
        <v>43528</v>
      </c>
      <c r="P82" s="58" t="s">
        <v>894</v>
      </c>
      <c r="Q82" s="52" t="s">
        <v>615</v>
      </c>
      <c r="R82" s="63" t="s">
        <v>211</v>
      </c>
      <c r="S82" s="52"/>
    </row>
    <row r="83" spans="2:19" s="32" customFormat="1" ht="33" customHeight="1">
      <c r="B83" s="46" t="s">
        <v>210</v>
      </c>
      <c r="C83" s="35" t="s">
        <v>226</v>
      </c>
      <c r="D83" s="36" t="s">
        <v>434</v>
      </c>
      <c r="E83" s="37">
        <v>43483</v>
      </c>
      <c r="F83" s="38" t="s">
        <v>218</v>
      </c>
      <c r="G83" s="39">
        <v>1280</v>
      </c>
      <c r="H83" s="38">
        <f t="shared" si="11"/>
        <v>64</v>
      </c>
      <c r="I83" s="38">
        <f t="shared" si="12"/>
        <v>2</v>
      </c>
      <c r="J83" s="38"/>
      <c r="K83" s="40">
        <v>43534</v>
      </c>
      <c r="L83" s="41" t="s">
        <v>869</v>
      </c>
      <c r="M83" s="42">
        <v>43531</v>
      </c>
      <c r="N83" s="43" t="s">
        <v>568</v>
      </c>
      <c r="O83" s="42">
        <v>43535</v>
      </c>
      <c r="P83" s="45" t="s">
        <v>895</v>
      </c>
      <c r="Q83" s="38" t="s">
        <v>614</v>
      </c>
      <c r="R83" s="66" t="s">
        <v>211</v>
      </c>
      <c r="S83" s="38" t="s">
        <v>896</v>
      </c>
    </row>
    <row r="84" spans="2:19" s="32" customFormat="1" ht="33" customHeight="1">
      <c r="B84" s="46" t="s">
        <v>210</v>
      </c>
      <c r="C84" s="35" t="s">
        <v>233</v>
      </c>
      <c r="D84" s="36" t="s">
        <v>525</v>
      </c>
      <c r="E84" s="37">
        <v>43507</v>
      </c>
      <c r="F84" s="38" t="s">
        <v>218</v>
      </c>
      <c r="G84" s="39">
        <v>1920</v>
      </c>
      <c r="H84" s="38">
        <f t="shared" si="11"/>
        <v>96</v>
      </c>
      <c r="I84" s="38">
        <f t="shared" si="12"/>
        <v>3</v>
      </c>
      <c r="J84" s="38"/>
      <c r="K84" s="40">
        <v>43541</v>
      </c>
      <c r="L84" s="41" t="s">
        <v>897</v>
      </c>
      <c r="M84" s="42">
        <v>43536</v>
      </c>
      <c r="N84" s="43" t="s">
        <v>898</v>
      </c>
      <c r="O84" s="42">
        <v>43541</v>
      </c>
      <c r="P84" s="45" t="s">
        <v>899</v>
      </c>
      <c r="Q84" s="38" t="s">
        <v>612</v>
      </c>
      <c r="R84" s="66" t="s">
        <v>211</v>
      </c>
      <c r="S84" s="38"/>
    </row>
    <row r="85" spans="2:19" s="32" customFormat="1" ht="33" customHeight="1">
      <c r="B85" s="46" t="s">
        <v>210</v>
      </c>
      <c r="C85" s="35" t="s">
        <v>900</v>
      </c>
      <c r="D85" s="36" t="s">
        <v>525</v>
      </c>
      <c r="E85" s="37">
        <v>43519</v>
      </c>
      <c r="F85" s="38" t="s">
        <v>218</v>
      </c>
      <c r="G85" s="39">
        <v>1920</v>
      </c>
      <c r="H85" s="38">
        <f t="shared" si="11"/>
        <v>96</v>
      </c>
      <c r="I85" s="38">
        <f t="shared" si="12"/>
        <v>3</v>
      </c>
      <c r="J85" s="38"/>
      <c r="K85" s="40">
        <v>43555</v>
      </c>
      <c r="L85" s="41" t="s">
        <v>901</v>
      </c>
      <c r="M85" s="42">
        <v>43550</v>
      </c>
      <c r="N85" s="43" t="s">
        <v>902</v>
      </c>
      <c r="O85" s="42">
        <v>43555</v>
      </c>
      <c r="P85" s="45"/>
      <c r="Q85" s="38" t="s">
        <v>613</v>
      </c>
      <c r="R85" s="66" t="s">
        <v>211</v>
      </c>
      <c r="S85" s="38"/>
    </row>
    <row r="86" spans="2:19" s="32" customFormat="1" ht="33" customHeight="1">
      <c r="B86" s="46" t="s">
        <v>210</v>
      </c>
      <c r="C86" s="35" t="s">
        <v>285</v>
      </c>
      <c r="D86" s="36" t="s">
        <v>526</v>
      </c>
      <c r="E86" s="37">
        <v>43507</v>
      </c>
      <c r="F86" s="38" t="s">
        <v>218</v>
      </c>
      <c r="G86" s="39">
        <v>3200</v>
      </c>
      <c r="H86" s="38">
        <f t="shared" si="11"/>
        <v>160</v>
      </c>
      <c r="I86" s="38">
        <f t="shared" si="12"/>
        <v>5</v>
      </c>
      <c r="J86" s="38"/>
      <c r="K86" s="40">
        <v>43576</v>
      </c>
      <c r="L86" s="41" t="s">
        <v>503</v>
      </c>
      <c r="M86" s="42">
        <v>43571</v>
      </c>
      <c r="N86" s="43" t="s">
        <v>903</v>
      </c>
      <c r="O86" s="42">
        <v>43576</v>
      </c>
      <c r="P86" s="45"/>
      <c r="Q86" s="38" t="s">
        <v>643</v>
      </c>
      <c r="R86" s="66" t="s">
        <v>211</v>
      </c>
      <c r="S86" s="38"/>
    </row>
    <row r="87" spans="2:19" s="32" customFormat="1" ht="33" customHeight="1">
      <c r="B87" s="46" t="s">
        <v>210</v>
      </c>
      <c r="C87" s="35" t="s">
        <v>904</v>
      </c>
      <c r="D87" s="36" t="s">
        <v>526</v>
      </c>
      <c r="E87" s="37">
        <v>43507</v>
      </c>
      <c r="F87" s="38" t="s">
        <v>218</v>
      </c>
      <c r="G87" s="39">
        <v>640</v>
      </c>
      <c r="H87" s="38">
        <f>SUM(G87/20)</f>
        <v>32</v>
      </c>
      <c r="I87" s="38">
        <f>SUM(H87/32)</f>
        <v>1</v>
      </c>
      <c r="J87" s="38"/>
      <c r="K87" s="40">
        <v>43576</v>
      </c>
      <c r="L87" s="41" t="s">
        <v>448</v>
      </c>
      <c r="M87" s="42">
        <v>43578</v>
      </c>
      <c r="N87" s="43" t="s">
        <v>880</v>
      </c>
      <c r="O87" s="42">
        <v>43583</v>
      </c>
      <c r="P87" s="45"/>
      <c r="Q87" s="38" t="s">
        <v>643</v>
      </c>
      <c r="R87" s="66" t="s">
        <v>211</v>
      </c>
      <c r="S87" s="38"/>
    </row>
    <row r="88" spans="2:19" s="32" customFormat="1" ht="33" customHeight="1">
      <c r="B88" s="46" t="s">
        <v>210</v>
      </c>
      <c r="C88" s="35" t="s">
        <v>331</v>
      </c>
      <c r="D88" s="36" t="s">
        <v>905</v>
      </c>
      <c r="E88" s="37">
        <v>43519</v>
      </c>
      <c r="F88" s="38" t="s">
        <v>218</v>
      </c>
      <c r="G88" s="39">
        <v>3200</v>
      </c>
      <c r="H88" s="38">
        <f t="shared" si="11"/>
        <v>160</v>
      </c>
      <c r="I88" s="38">
        <f t="shared" si="12"/>
        <v>5</v>
      </c>
      <c r="J88" s="38"/>
      <c r="K88" s="40">
        <v>43562</v>
      </c>
      <c r="L88" s="41" t="s">
        <v>608</v>
      </c>
      <c r="M88" s="42">
        <v>43557</v>
      </c>
      <c r="N88" s="43" t="s">
        <v>906</v>
      </c>
      <c r="O88" s="42">
        <v>43562</v>
      </c>
      <c r="P88" s="45"/>
      <c r="Q88" s="38" t="s">
        <v>642</v>
      </c>
      <c r="R88" s="66" t="s">
        <v>211</v>
      </c>
      <c r="S88" s="38"/>
    </row>
    <row r="89" spans="2:19" s="32" customFormat="1" ht="33" customHeight="1">
      <c r="B89" s="46" t="s">
        <v>210</v>
      </c>
      <c r="C89" s="35" t="s">
        <v>907</v>
      </c>
      <c r="D89" s="36" t="s">
        <v>905</v>
      </c>
      <c r="E89" s="37">
        <v>43519</v>
      </c>
      <c r="F89" s="38" t="s">
        <v>218</v>
      </c>
      <c r="G89" s="39">
        <v>640</v>
      </c>
      <c r="H89" s="38">
        <f>SUM(G89/20)</f>
        <v>32</v>
      </c>
      <c r="I89" s="38">
        <f>SUM(H89/32)</f>
        <v>1</v>
      </c>
      <c r="J89" s="38"/>
      <c r="K89" s="40">
        <v>43562</v>
      </c>
      <c r="L89" s="41" t="s">
        <v>480</v>
      </c>
      <c r="M89" s="42">
        <v>43564</v>
      </c>
      <c r="N89" s="43" t="s">
        <v>646</v>
      </c>
      <c r="O89" s="42">
        <v>43569</v>
      </c>
      <c r="P89" s="45"/>
      <c r="Q89" s="38" t="s">
        <v>642</v>
      </c>
      <c r="R89" s="66" t="s">
        <v>211</v>
      </c>
      <c r="S89" s="38"/>
    </row>
    <row r="90" spans="2:19" s="32" customFormat="1" ht="33" customHeight="1">
      <c r="B90" s="46" t="s">
        <v>210</v>
      </c>
      <c r="C90" s="35" t="s">
        <v>431</v>
      </c>
      <c r="D90" s="36" t="s">
        <v>908</v>
      </c>
      <c r="E90" s="37">
        <v>43523</v>
      </c>
      <c r="F90" s="38" t="s">
        <v>218</v>
      </c>
      <c r="G90" s="39">
        <v>3200</v>
      </c>
      <c r="H90" s="38">
        <f t="shared" si="11"/>
        <v>160</v>
      </c>
      <c r="I90" s="38">
        <f t="shared" si="12"/>
        <v>5</v>
      </c>
      <c r="J90" s="38"/>
      <c r="K90" s="40">
        <v>43597</v>
      </c>
      <c r="L90" s="41" t="s">
        <v>605</v>
      </c>
      <c r="M90" s="42">
        <v>43594</v>
      </c>
      <c r="N90" s="43" t="s">
        <v>909</v>
      </c>
      <c r="O90" s="42">
        <v>43598</v>
      </c>
      <c r="P90" s="45"/>
      <c r="Q90" s="38" t="s">
        <v>641</v>
      </c>
      <c r="R90" s="66" t="s">
        <v>211</v>
      </c>
      <c r="S90" s="38"/>
    </row>
    <row r="91" spans="2:19" s="32" customFormat="1" ht="33" customHeight="1">
      <c r="B91" s="46" t="s">
        <v>210</v>
      </c>
      <c r="C91" s="35" t="s">
        <v>910</v>
      </c>
      <c r="D91" s="36" t="s">
        <v>908</v>
      </c>
      <c r="E91" s="37">
        <v>43523</v>
      </c>
      <c r="F91" s="38" t="s">
        <v>218</v>
      </c>
      <c r="G91" s="39">
        <v>640</v>
      </c>
      <c r="H91" s="38">
        <f>SUM(G91/20)</f>
        <v>32</v>
      </c>
      <c r="I91" s="38">
        <f>SUM(H91/32)</f>
        <v>1</v>
      </c>
      <c r="J91" s="38"/>
      <c r="K91" s="109">
        <v>43618</v>
      </c>
      <c r="L91" s="41" t="s">
        <v>882</v>
      </c>
      <c r="M91" s="42">
        <v>43601</v>
      </c>
      <c r="N91" s="43" t="s">
        <v>883</v>
      </c>
      <c r="O91" s="42">
        <v>43605</v>
      </c>
      <c r="P91" s="45"/>
      <c r="Q91" s="38" t="s">
        <v>641</v>
      </c>
      <c r="R91" s="66" t="s">
        <v>211</v>
      </c>
      <c r="S91" s="38"/>
    </row>
    <row r="92" spans="2:19" s="32" customFormat="1" ht="33" customHeight="1">
      <c r="B92" s="46" t="s">
        <v>210</v>
      </c>
      <c r="C92" s="35" t="s">
        <v>911</v>
      </c>
      <c r="D92" s="36" t="s">
        <v>739</v>
      </c>
      <c r="E92" s="37">
        <v>43532</v>
      </c>
      <c r="F92" s="38" t="s">
        <v>218</v>
      </c>
      <c r="G92" s="39">
        <v>2560</v>
      </c>
      <c r="H92" s="38">
        <f t="shared" ref="H92:H93" si="13">SUM(G92/20)</f>
        <v>128</v>
      </c>
      <c r="I92" s="38">
        <f t="shared" ref="I92:I93" si="14">SUM(H92/32)</f>
        <v>4</v>
      </c>
      <c r="J92" s="38"/>
      <c r="K92" s="109">
        <v>43618</v>
      </c>
      <c r="L92" s="41" t="s">
        <v>773</v>
      </c>
      <c r="M92" s="42">
        <v>43601</v>
      </c>
      <c r="N92" s="43" t="s">
        <v>774</v>
      </c>
      <c r="O92" s="42">
        <v>43605</v>
      </c>
      <c r="P92" s="45"/>
      <c r="Q92" s="38" t="s">
        <v>771</v>
      </c>
      <c r="R92" s="66" t="s">
        <v>211</v>
      </c>
      <c r="S92" s="38"/>
    </row>
    <row r="93" spans="2:19" s="153" customFormat="1" ht="33" customHeight="1">
      <c r="B93" s="103" t="s">
        <v>210</v>
      </c>
      <c r="C93" s="104" t="s">
        <v>589</v>
      </c>
      <c r="D93" s="105"/>
      <c r="E93" s="106">
        <v>43558</v>
      </c>
      <c r="F93" s="107" t="s">
        <v>218</v>
      </c>
      <c r="G93" s="108">
        <v>3200</v>
      </c>
      <c r="H93" s="107">
        <f t="shared" si="13"/>
        <v>160</v>
      </c>
      <c r="I93" s="107">
        <f t="shared" si="14"/>
        <v>5</v>
      </c>
      <c r="J93" s="107"/>
      <c r="K93" s="109">
        <v>43639</v>
      </c>
      <c r="L93" s="110"/>
      <c r="M93" s="111"/>
      <c r="N93" s="112"/>
      <c r="O93" s="111"/>
      <c r="P93" s="113"/>
      <c r="Q93" s="107"/>
      <c r="R93" s="116" t="s">
        <v>211</v>
      </c>
      <c r="S93" s="107"/>
    </row>
    <row r="94" spans="2:19" s="34" customFormat="1" ht="33" customHeight="1">
      <c r="B94" s="47" t="s">
        <v>912</v>
      </c>
      <c r="C94" s="48" t="s">
        <v>913</v>
      </c>
      <c r="D94" s="49" t="s">
        <v>914</v>
      </c>
      <c r="E94" s="50"/>
      <c r="F94" s="52" t="s">
        <v>915</v>
      </c>
      <c r="G94" s="51">
        <v>640</v>
      </c>
      <c r="H94" s="52">
        <f t="shared" si="11"/>
        <v>32</v>
      </c>
      <c r="I94" s="52">
        <f t="shared" si="12"/>
        <v>1</v>
      </c>
      <c r="J94" s="52"/>
      <c r="K94" s="53">
        <v>43513</v>
      </c>
      <c r="L94" s="54" t="s">
        <v>276</v>
      </c>
      <c r="M94" s="55">
        <v>43508</v>
      </c>
      <c r="N94" s="56" t="s">
        <v>864</v>
      </c>
      <c r="O94" s="55">
        <v>43513</v>
      </c>
      <c r="P94" s="58"/>
      <c r="Q94" s="52"/>
      <c r="R94" s="63" t="s">
        <v>211</v>
      </c>
      <c r="S94" s="52"/>
    </row>
    <row r="95" spans="2:19" s="32" customFormat="1" ht="33" customHeight="1">
      <c r="B95" s="46" t="s">
        <v>912</v>
      </c>
      <c r="C95" s="35" t="s">
        <v>234</v>
      </c>
      <c r="D95" s="36" t="s">
        <v>916</v>
      </c>
      <c r="E95" s="37">
        <v>43519</v>
      </c>
      <c r="F95" s="38" t="s">
        <v>915</v>
      </c>
      <c r="G95" s="39">
        <v>1280</v>
      </c>
      <c r="H95" s="38">
        <f t="shared" si="11"/>
        <v>64</v>
      </c>
      <c r="I95" s="38">
        <f t="shared" si="12"/>
        <v>2</v>
      </c>
      <c r="J95" s="38"/>
      <c r="K95" s="40">
        <v>43576</v>
      </c>
      <c r="L95" s="41" t="s">
        <v>901</v>
      </c>
      <c r="M95" s="42">
        <v>43550</v>
      </c>
      <c r="N95" s="43" t="s">
        <v>902</v>
      </c>
      <c r="O95" s="42">
        <v>43555</v>
      </c>
      <c r="P95" s="45" t="s">
        <v>655</v>
      </c>
      <c r="Q95" s="38" t="s">
        <v>613</v>
      </c>
      <c r="R95" s="66" t="s">
        <v>211</v>
      </c>
      <c r="S95" s="38"/>
    </row>
    <row r="96" spans="2:19" s="32" customFormat="1" ht="33" customHeight="1">
      <c r="B96" s="46" t="s">
        <v>917</v>
      </c>
      <c r="C96" s="35" t="s">
        <v>235</v>
      </c>
      <c r="D96" s="36" t="s">
        <v>744</v>
      </c>
      <c r="E96" s="37">
        <v>43532</v>
      </c>
      <c r="F96" s="38" t="s">
        <v>918</v>
      </c>
      <c r="G96" s="39">
        <v>1280</v>
      </c>
      <c r="H96" s="38">
        <f t="shared" si="11"/>
        <v>64</v>
      </c>
      <c r="I96" s="38">
        <f t="shared" si="12"/>
        <v>2</v>
      </c>
      <c r="J96" s="38"/>
      <c r="K96" s="40">
        <v>43597</v>
      </c>
      <c r="L96" s="41" t="s">
        <v>605</v>
      </c>
      <c r="M96" s="42">
        <v>43594</v>
      </c>
      <c r="N96" s="43" t="s">
        <v>772</v>
      </c>
      <c r="O96" s="42">
        <v>43598</v>
      </c>
      <c r="P96" s="45"/>
      <c r="Q96" s="38" t="s">
        <v>641</v>
      </c>
      <c r="R96" s="66" t="s">
        <v>211</v>
      </c>
      <c r="S96" s="38"/>
    </row>
    <row r="97" spans="2:19" s="33" customFormat="1" ht="33" customHeight="1">
      <c r="B97" s="47" t="s">
        <v>919</v>
      </c>
      <c r="C97" s="48" t="s">
        <v>224</v>
      </c>
      <c r="D97" s="49" t="s">
        <v>291</v>
      </c>
      <c r="E97" s="50">
        <v>43405</v>
      </c>
      <c r="F97" s="52" t="s">
        <v>920</v>
      </c>
      <c r="G97" s="51">
        <v>1520</v>
      </c>
      <c r="H97" s="52">
        <f>SUM(G97/190)</f>
        <v>8</v>
      </c>
      <c r="I97" s="52">
        <f>SUM(H97/4)</f>
        <v>2</v>
      </c>
      <c r="J97" s="52"/>
      <c r="K97" s="53">
        <v>43485</v>
      </c>
      <c r="L97" s="54" t="s">
        <v>921</v>
      </c>
      <c r="M97" s="55">
        <v>43480</v>
      </c>
      <c r="N97" s="56" t="s">
        <v>922</v>
      </c>
      <c r="O97" s="55">
        <v>43120</v>
      </c>
      <c r="P97" s="58"/>
      <c r="Q97" s="52"/>
      <c r="R97" s="63" t="s">
        <v>923</v>
      </c>
      <c r="S97" s="47"/>
    </row>
    <row r="98" spans="2:19" s="30" customFormat="1" ht="33" customHeight="1">
      <c r="B98" s="46" t="s">
        <v>919</v>
      </c>
      <c r="C98" s="35" t="s">
        <v>225</v>
      </c>
      <c r="D98" s="36" t="s">
        <v>487</v>
      </c>
      <c r="E98" s="37">
        <v>43490</v>
      </c>
      <c r="F98" s="38" t="s">
        <v>920</v>
      </c>
      <c r="G98" s="39">
        <v>1520</v>
      </c>
      <c r="H98" s="38">
        <f>SUM(G98/190)</f>
        <v>8</v>
      </c>
      <c r="I98" s="38">
        <f>SUM(H98/4)</f>
        <v>2</v>
      </c>
      <c r="J98" s="38"/>
      <c r="K98" s="40">
        <v>43569</v>
      </c>
      <c r="L98" s="41" t="s">
        <v>417</v>
      </c>
      <c r="M98" s="42">
        <v>43564</v>
      </c>
      <c r="N98" s="43" t="s">
        <v>924</v>
      </c>
      <c r="O98" s="42">
        <v>43569</v>
      </c>
      <c r="P98" s="45"/>
      <c r="Q98" s="38"/>
      <c r="R98" s="66" t="s">
        <v>925</v>
      </c>
      <c r="S98" s="46"/>
    </row>
    <row r="99" spans="2:19" s="30" customFormat="1" ht="33" customHeight="1">
      <c r="B99" s="122" t="s">
        <v>919</v>
      </c>
      <c r="C99" s="126" t="s">
        <v>226</v>
      </c>
      <c r="D99" s="127" t="s">
        <v>833</v>
      </c>
      <c r="E99" s="128">
        <v>43546</v>
      </c>
      <c r="F99" s="124" t="s">
        <v>920</v>
      </c>
      <c r="G99" s="129">
        <v>1520</v>
      </c>
      <c r="H99" s="124">
        <f>SUM(G99/190)</f>
        <v>8</v>
      </c>
      <c r="I99" s="124">
        <f>SUM(H99/4)</f>
        <v>2</v>
      </c>
      <c r="J99" s="124"/>
      <c r="K99" s="109">
        <v>43632</v>
      </c>
      <c r="L99" s="119" t="s">
        <v>926</v>
      </c>
      <c r="M99" s="120">
        <v>43606</v>
      </c>
      <c r="N99" s="121" t="s">
        <v>927</v>
      </c>
      <c r="O99" s="120">
        <v>43611</v>
      </c>
      <c r="P99" s="123"/>
      <c r="Q99" s="124"/>
      <c r="R99" s="134" t="s">
        <v>928</v>
      </c>
      <c r="S99" s="122"/>
    </row>
    <row r="100" spans="2:19" s="33" customFormat="1" ht="33" customHeight="1">
      <c r="B100" s="47" t="s">
        <v>929</v>
      </c>
      <c r="C100" s="48" t="s">
        <v>90</v>
      </c>
      <c r="D100" s="49" t="s">
        <v>930</v>
      </c>
      <c r="E100" s="50"/>
      <c r="F100" s="47" t="s">
        <v>236</v>
      </c>
      <c r="G100" s="51">
        <v>800</v>
      </c>
      <c r="H100" s="52">
        <f t="shared" ref="H100:H112" si="15">SUM(G100/200)</f>
        <v>4</v>
      </c>
      <c r="I100" s="52">
        <f t="shared" ref="I100:I112" si="16">SUM(H100/4)</f>
        <v>1</v>
      </c>
      <c r="J100" s="52"/>
      <c r="K100" s="53">
        <v>43513</v>
      </c>
      <c r="L100" s="54" t="s">
        <v>931</v>
      </c>
      <c r="M100" s="55">
        <v>43515</v>
      </c>
      <c r="N100" s="56" t="s">
        <v>932</v>
      </c>
      <c r="O100" s="55">
        <v>43520</v>
      </c>
      <c r="P100" s="58" t="s">
        <v>933</v>
      </c>
      <c r="Q100" s="52"/>
      <c r="R100" s="63"/>
      <c r="S100" s="47"/>
    </row>
    <row r="101" spans="2:19" s="33" customFormat="1" ht="33" customHeight="1">
      <c r="B101" s="47" t="s">
        <v>929</v>
      </c>
      <c r="C101" s="48" t="s">
        <v>90</v>
      </c>
      <c r="D101" s="49" t="s">
        <v>930</v>
      </c>
      <c r="E101" s="50"/>
      <c r="F101" s="47" t="s">
        <v>236</v>
      </c>
      <c r="G101" s="51">
        <v>1600</v>
      </c>
      <c r="H101" s="52">
        <f t="shared" si="15"/>
        <v>8</v>
      </c>
      <c r="I101" s="52">
        <f t="shared" si="16"/>
        <v>2</v>
      </c>
      <c r="J101" s="52"/>
      <c r="K101" s="53">
        <v>43520</v>
      </c>
      <c r="L101" s="54" t="s">
        <v>931</v>
      </c>
      <c r="M101" s="55">
        <v>43515</v>
      </c>
      <c r="N101" s="56" t="s">
        <v>932</v>
      </c>
      <c r="O101" s="55">
        <v>43520</v>
      </c>
      <c r="P101" s="58" t="s">
        <v>934</v>
      </c>
      <c r="Q101" s="52"/>
      <c r="R101" s="63"/>
      <c r="S101" s="47"/>
    </row>
    <row r="102" spans="2:19" s="30" customFormat="1" ht="33" customHeight="1">
      <c r="B102" s="46" t="s">
        <v>929</v>
      </c>
      <c r="C102" s="35" t="s">
        <v>935</v>
      </c>
      <c r="D102" s="36" t="s">
        <v>930</v>
      </c>
      <c r="E102" s="37"/>
      <c r="F102" s="46" t="s">
        <v>236</v>
      </c>
      <c r="G102" s="39">
        <v>2400</v>
      </c>
      <c r="H102" s="38">
        <f t="shared" si="15"/>
        <v>12</v>
      </c>
      <c r="I102" s="38">
        <f t="shared" si="16"/>
        <v>3</v>
      </c>
      <c r="J102" s="38"/>
      <c r="K102" s="40">
        <v>43527</v>
      </c>
      <c r="L102" s="41" t="s">
        <v>936</v>
      </c>
      <c r="M102" s="42">
        <v>43531</v>
      </c>
      <c r="N102" s="43" t="s">
        <v>568</v>
      </c>
      <c r="O102" s="42">
        <v>43535</v>
      </c>
      <c r="P102" s="45"/>
      <c r="Q102" s="38"/>
      <c r="R102" s="66"/>
      <c r="S102" s="46" t="s">
        <v>937</v>
      </c>
    </row>
    <row r="103" spans="2:19" s="33" customFormat="1" ht="33" customHeight="1">
      <c r="B103" s="47" t="s">
        <v>238</v>
      </c>
      <c r="C103" s="48" t="s">
        <v>208</v>
      </c>
      <c r="D103" s="49" t="s">
        <v>938</v>
      </c>
      <c r="E103" s="50"/>
      <c r="F103" s="47" t="s">
        <v>236</v>
      </c>
      <c r="G103" s="51">
        <v>3200</v>
      </c>
      <c r="H103" s="52">
        <f t="shared" si="15"/>
        <v>16</v>
      </c>
      <c r="I103" s="52">
        <f t="shared" si="16"/>
        <v>4</v>
      </c>
      <c r="J103" s="52"/>
      <c r="K103" s="53">
        <v>43478</v>
      </c>
      <c r="L103" s="54" t="s">
        <v>939</v>
      </c>
      <c r="M103" s="55">
        <v>43473</v>
      </c>
      <c r="N103" s="56" t="s">
        <v>940</v>
      </c>
      <c r="O103" s="55">
        <v>43113</v>
      </c>
      <c r="P103" s="58" t="s">
        <v>941</v>
      </c>
      <c r="Q103" s="52"/>
      <c r="R103" s="63"/>
      <c r="S103" s="47"/>
    </row>
    <row r="104" spans="2:19" s="33" customFormat="1" ht="33" customHeight="1">
      <c r="B104" s="47" t="s">
        <v>238</v>
      </c>
      <c r="C104" s="48" t="s">
        <v>942</v>
      </c>
      <c r="D104" s="49" t="s">
        <v>938</v>
      </c>
      <c r="E104" s="50"/>
      <c r="F104" s="47" t="s">
        <v>236</v>
      </c>
      <c r="G104" s="51">
        <v>800</v>
      </c>
      <c r="H104" s="52">
        <f t="shared" si="15"/>
        <v>4</v>
      </c>
      <c r="I104" s="52">
        <f t="shared" si="16"/>
        <v>1</v>
      </c>
      <c r="J104" s="52"/>
      <c r="K104" s="53">
        <v>43478</v>
      </c>
      <c r="L104" s="54" t="s">
        <v>921</v>
      </c>
      <c r="M104" s="55">
        <v>43480</v>
      </c>
      <c r="N104" s="56" t="s">
        <v>922</v>
      </c>
      <c r="O104" s="55">
        <v>43120</v>
      </c>
      <c r="P104" s="58" t="s">
        <v>943</v>
      </c>
      <c r="Q104" s="52"/>
      <c r="R104" s="63"/>
      <c r="S104" s="47"/>
    </row>
    <row r="105" spans="2:19" s="33" customFormat="1" ht="33" customHeight="1">
      <c r="B105" s="47" t="s">
        <v>238</v>
      </c>
      <c r="C105" s="48" t="s">
        <v>212</v>
      </c>
      <c r="D105" s="49" t="s">
        <v>944</v>
      </c>
      <c r="E105" s="50"/>
      <c r="F105" s="47" t="s">
        <v>236</v>
      </c>
      <c r="G105" s="51">
        <v>2400</v>
      </c>
      <c r="H105" s="52">
        <f t="shared" si="15"/>
        <v>12</v>
      </c>
      <c r="I105" s="52">
        <f t="shared" si="16"/>
        <v>3</v>
      </c>
      <c r="J105" s="52"/>
      <c r="K105" s="53">
        <v>43492</v>
      </c>
      <c r="L105" s="54" t="s">
        <v>945</v>
      </c>
      <c r="M105" s="55">
        <v>43487</v>
      </c>
      <c r="N105" s="56" t="s">
        <v>946</v>
      </c>
      <c r="O105" s="55">
        <v>43492</v>
      </c>
      <c r="P105" s="58" t="s">
        <v>947</v>
      </c>
      <c r="Q105" s="52"/>
      <c r="R105" s="63"/>
      <c r="S105" s="47"/>
    </row>
    <row r="106" spans="2:19" s="30" customFormat="1" ht="33" customHeight="1">
      <c r="B106" s="46" t="s">
        <v>238</v>
      </c>
      <c r="C106" s="35" t="s">
        <v>948</v>
      </c>
      <c r="D106" s="36" t="s">
        <v>435</v>
      </c>
      <c r="E106" s="37"/>
      <c r="F106" s="38" t="s">
        <v>236</v>
      </c>
      <c r="G106" s="39">
        <v>2400</v>
      </c>
      <c r="H106" s="38">
        <f t="shared" si="15"/>
        <v>12</v>
      </c>
      <c r="I106" s="38">
        <f t="shared" si="16"/>
        <v>3</v>
      </c>
      <c r="J106" s="38"/>
      <c r="K106" s="40">
        <v>43548</v>
      </c>
      <c r="L106" s="41" t="s">
        <v>949</v>
      </c>
      <c r="M106" s="42">
        <v>43543</v>
      </c>
      <c r="N106" s="43" t="s">
        <v>950</v>
      </c>
      <c r="O106" s="42">
        <v>43548</v>
      </c>
      <c r="P106" s="45"/>
      <c r="Q106" s="38"/>
      <c r="R106" s="66"/>
      <c r="S106" s="46"/>
    </row>
    <row r="107" spans="2:19" s="30" customFormat="1" ht="33" customHeight="1">
      <c r="B107" s="46" t="s">
        <v>238</v>
      </c>
      <c r="C107" s="35" t="s">
        <v>951</v>
      </c>
      <c r="D107" s="36" t="s">
        <v>474</v>
      </c>
      <c r="E107" s="37"/>
      <c r="F107" s="38" t="s">
        <v>236</v>
      </c>
      <c r="G107" s="39">
        <v>3200</v>
      </c>
      <c r="H107" s="38">
        <f t="shared" si="15"/>
        <v>16</v>
      </c>
      <c r="I107" s="38">
        <f t="shared" si="16"/>
        <v>4</v>
      </c>
      <c r="J107" s="38"/>
      <c r="K107" s="40">
        <v>43562</v>
      </c>
      <c r="L107" s="41" t="s">
        <v>952</v>
      </c>
      <c r="M107" s="42">
        <v>43557</v>
      </c>
      <c r="N107" s="43" t="s">
        <v>953</v>
      </c>
      <c r="O107" s="42">
        <v>43562</v>
      </c>
      <c r="P107" s="45"/>
      <c r="Q107" s="38"/>
      <c r="R107" s="66"/>
      <c r="S107" s="46"/>
    </row>
    <row r="108" spans="2:19" s="30" customFormat="1" ht="33" customHeight="1">
      <c r="B108" s="46" t="s">
        <v>238</v>
      </c>
      <c r="C108" s="35" t="s">
        <v>954</v>
      </c>
      <c r="D108" s="36" t="s">
        <v>475</v>
      </c>
      <c r="E108" s="37"/>
      <c r="F108" s="38" t="s">
        <v>236</v>
      </c>
      <c r="G108" s="39">
        <v>1600</v>
      </c>
      <c r="H108" s="38">
        <f t="shared" si="15"/>
        <v>8</v>
      </c>
      <c r="I108" s="38">
        <f t="shared" si="16"/>
        <v>2</v>
      </c>
      <c r="J108" s="38"/>
      <c r="K108" s="40">
        <v>43562</v>
      </c>
      <c r="L108" s="41" t="s">
        <v>955</v>
      </c>
      <c r="M108" s="42">
        <v>43564</v>
      </c>
      <c r="N108" s="43" t="s">
        <v>924</v>
      </c>
      <c r="O108" s="42">
        <v>43569</v>
      </c>
      <c r="P108" s="45"/>
      <c r="Q108" s="38"/>
      <c r="R108" s="66"/>
      <c r="S108" s="46"/>
    </row>
    <row r="109" spans="2:19" s="30" customFormat="1" ht="33" customHeight="1">
      <c r="B109" s="46" t="s">
        <v>238</v>
      </c>
      <c r="C109" s="35" t="s">
        <v>956</v>
      </c>
      <c r="D109" s="36" t="s">
        <v>488</v>
      </c>
      <c r="E109" s="37">
        <v>43495</v>
      </c>
      <c r="F109" s="38" t="s">
        <v>236</v>
      </c>
      <c r="G109" s="39">
        <v>1600</v>
      </c>
      <c r="H109" s="38">
        <f t="shared" si="15"/>
        <v>8</v>
      </c>
      <c r="I109" s="38">
        <f t="shared" si="16"/>
        <v>2</v>
      </c>
      <c r="J109" s="38"/>
      <c r="K109" s="40">
        <v>43583</v>
      </c>
      <c r="L109" s="41" t="s">
        <v>957</v>
      </c>
      <c r="M109" s="42">
        <v>43578</v>
      </c>
      <c r="N109" s="43" t="s">
        <v>958</v>
      </c>
      <c r="O109" s="42">
        <v>43583</v>
      </c>
      <c r="P109" s="45"/>
      <c r="Q109" s="38"/>
      <c r="R109" s="66"/>
      <c r="S109" s="46"/>
    </row>
    <row r="110" spans="2:19" s="30" customFormat="1" ht="33" customHeight="1">
      <c r="B110" s="46" t="s">
        <v>238</v>
      </c>
      <c r="C110" s="35" t="s">
        <v>959</v>
      </c>
      <c r="D110" s="36" t="s">
        <v>598</v>
      </c>
      <c r="E110" s="37">
        <v>43519</v>
      </c>
      <c r="F110" s="38" t="s">
        <v>236</v>
      </c>
      <c r="G110" s="39">
        <v>3200</v>
      </c>
      <c r="H110" s="38">
        <f t="shared" si="15"/>
        <v>16</v>
      </c>
      <c r="I110" s="38">
        <f t="shared" si="16"/>
        <v>4</v>
      </c>
      <c r="J110" s="38"/>
      <c r="K110" s="40">
        <v>43597</v>
      </c>
      <c r="L110" s="41" t="s">
        <v>960</v>
      </c>
      <c r="M110" s="42">
        <v>43592</v>
      </c>
      <c r="N110" s="43" t="s">
        <v>961</v>
      </c>
      <c r="O110" s="42">
        <v>43597</v>
      </c>
      <c r="P110" s="45"/>
      <c r="Q110" s="38"/>
      <c r="R110" s="66"/>
      <c r="S110" s="46"/>
    </row>
    <row r="111" spans="2:19" s="30" customFormat="1" ht="33" customHeight="1">
      <c r="B111" s="46" t="s">
        <v>238</v>
      </c>
      <c r="C111" s="35" t="s">
        <v>226</v>
      </c>
      <c r="D111" s="36" t="s">
        <v>749</v>
      </c>
      <c r="E111" s="37">
        <v>43532</v>
      </c>
      <c r="F111" s="38" t="s">
        <v>236</v>
      </c>
      <c r="G111" s="39">
        <v>3200</v>
      </c>
      <c r="H111" s="38">
        <f t="shared" si="15"/>
        <v>16</v>
      </c>
      <c r="I111" s="38">
        <f t="shared" si="16"/>
        <v>4</v>
      </c>
      <c r="J111" s="38"/>
      <c r="K111" s="40">
        <v>43625</v>
      </c>
      <c r="L111" s="41" t="s">
        <v>962</v>
      </c>
      <c r="M111" s="42">
        <v>43620</v>
      </c>
      <c r="N111" s="43" t="s">
        <v>963</v>
      </c>
      <c r="O111" s="42" t="s">
        <v>964</v>
      </c>
      <c r="P111" s="45"/>
      <c r="Q111" s="38"/>
      <c r="R111" s="66"/>
      <c r="S111" s="46"/>
    </row>
    <row r="112" spans="2:19" s="30" customFormat="1" ht="33" customHeight="1">
      <c r="B112" s="46" t="s">
        <v>238</v>
      </c>
      <c r="C112" s="35" t="s">
        <v>233</v>
      </c>
      <c r="D112" s="36" t="s">
        <v>750</v>
      </c>
      <c r="E112" s="37">
        <v>43532</v>
      </c>
      <c r="F112" s="38" t="s">
        <v>236</v>
      </c>
      <c r="G112" s="39">
        <v>3200</v>
      </c>
      <c r="H112" s="38">
        <f t="shared" si="15"/>
        <v>16</v>
      </c>
      <c r="I112" s="38">
        <f t="shared" si="16"/>
        <v>4</v>
      </c>
      <c r="J112" s="38"/>
      <c r="K112" s="40">
        <v>43646</v>
      </c>
      <c r="L112" s="41" t="s">
        <v>965</v>
      </c>
      <c r="M112" s="42">
        <v>43641</v>
      </c>
      <c r="N112" s="43" t="s">
        <v>966</v>
      </c>
      <c r="O112" s="42">
        <v>43646</v>
      </c>
      <c r="P112" s="45"/>
      <c r="Q112" s="38"/>
      <c r="R112" s="66"/>
      <c r="S112" s="46"/>
    </row>
    <row r="113" spans="2:19" s="30" customFormat="1">
      <c r="C113" s="22"/>
      <c r="D113" s="23"/>
      <c r="G113" s="24"/>
      <c r="K113" s="25"/>
      <c r="M113" s="26"/>
      <c r="N113" s="28"/>
      <c r="O113" s="26"/>
      <c r="R113" s="27"/>
    </row>
    <row r="114" spans="2:19" s="30" customFormat="1">
      <c r="C114" s="22"/>
      <c r="D114" s="23"/>
      <c r="G114" s="24"/>
      <c r="I114" s="30" t="s">
        <v>967</v>
      </c>
      <c r="K114" s="25"/>
      <c r="M114" s="26"/>
      <c r="N114" s="28"/>
      <c r="O114" s="26"/>
      <c r="R114" s="27"/>
    </row>
    <row r="115" spans="2:19" s="19" customFormat="1">
      <c r="B115"/>
      <c r="C115" s="15"/>
      <c r="D115" s="1"/>
      <c r="E115"/>
      <c r="F115"/>
      <c r="G115" s="11"/>
      <c r="H115"/>
      <c r="I115"/>
      <c r="J115"/>
      <c r="K115" s="13"/>
      <c r="L115"/>
      <c r="N115" s="28"/>
      <c r="P115"/>
      <c r="Q115"/>
      <c r="R115" s="17"/>
      <c r="S115"/>
    </row>
    <row r="116" spans="2:19" s="19" customFormat="1">
      <c r="B116"/>
      <c r="C116" s="15"/>
      <c r="D116" s="1"/>
      <c r="E116"/>
      <c r="F116"/>
      <c r="G116" s="11"/>
      <c r="H116"/>
      <c r="I116"/>
      <c r="J116"/>
      <c r="K116" s="13"/>
      <c r="L116"/>
      <c r="N116" s="28"/>
      <c r="P116"/>
      <c r="Q116"/>
      <c r="R116" s="17"/>
      <c r="S116"/>
    </row>
    <row r="117" spans="2:19" s="19" customFormat="1">
      <c r="B117"/>
      <c r="C117" s="15"/>
      <c r="D117" s="1"/>
      <c r="E117"/>
      <c r="F117"/>
      <c r="G117" s="11"/>
      <c r="H117"/>
      <c r="I117"/>
      <c r="J117"/>
      <c r="K117" s="13"/>
      <c r="L117"/>
      <c r="N117" s="28"/>
      <c r="P117"/>
      <c r="Q117"/>
      <c r="R117" s="17"/>
      <c r="S117"/>
    </row>
    <row r="118" spans="2:19" s="19" customFormat="1">
      <c r="B118"/>
      <c r="C118" s="15"/>
      <c r="D118" s="1"/>
      <c r="E118"/>
      <c r="F118"/>
      <c r="G118" s="11"/>
      <c r="H118"/>
      <c r="I118"/>
      <c r="J118"/>
      <c r="K118" s="13"/>
      <c r="L118"/>
      <c r="N118" s="28"/>
      <c r="P118"/>
      <c r="Q118"/>
      <c r="R118" s="17"/>
      <c r="S118"/>
    </row>
    <row r="119" spans="2:19" s="19" customFormat="1">
      <c r="B119"/>
      <c r="C119" s="15"/>
      <c r="D119" s="1"/>
      <c r="E119"/>
      <c r="F119"/>
      <c r="G119" s="11"/>
      <c r="H119"/>
      <c r="I119"/>
      <c r="J119"/>
      <c r="K119" s="13"/>
      <c r="L119"/>
      <c r="N119" s="28"/>
      <c r="P119"/>
      <c r="Q119"/>
      <c r="R119" s="17"/>
      <c r="S119"/>
    </row>
    <row r="120" spans="2:19" s="19" customFormat="1">
      <c r="B120"/>
      <c r="C120" s="15"/>
      <c r="D120" s="1"/>
      <c r="E120"/>
      <c r="F120"/>
      <c r="G120" s="11"/>
      <c r="H120"/>
      <c r="I120"/>
      <c r="J120"/>
      <c r="K120" s="13"/>
      <c r="L120"/>
      <c r="N120" s="28"/>
      <c r="P120"/>
      <c r="Q120"/>
      <c r="R120" s="17"/>
      <c r="S120"/>
    </row>
    <row r="121" spans="2:19">
      <c r="N121" s="28"/>
    </row>
    <row r="122" spans="2:19">
      <c r="N122" s="28"/>
    </row>
    <row r="123" spans="2:19">
      <c r="N123" s="28"/>
    </row>
    <row r="124" spans="2:19">
      <c r="N124" s="28"/>
    </row>
    <row r="125" spans="2:19">
      <c r="N125" s="28"/>
    </row>
    <row r="126" spans="2:19" s="19" customFormat="1">
      <c r="B126"/>
      <c r="C126" s="15"/>
      <c r="D126" s="1"/>
      <c r="E126"/>
      <c r="F126"/>
      <c r="G126" s="11"/>
      <c r="H126"/>
      <c r="I126"/>
      <c r="J126"/>
      <c r="K126" s="13"/>
      <c r="L126"/>
      <c r="N126" s="28"/>
      <c r="P126"/>
      <c r="Q126"/>
      <c r="R126" s="17"/>
      <c r="S126"/>
    </row>
    <row r="127" spans="2:19" s="19" customFormat="1">
      <c r="B127"/>
      <c r="C127" s="15"/>
      <c r="D127" s="1"/>
      <c r="E127"/>
      <c r="F127"/>
      <c r="G127" s="11"/>
      <c r="H127"/>
      <c r="I127"/>
      <c r="J127"/>
      <c r="K127" s="13"/>
      <c r="L127"/>
      <c r="N127" s="28"/>
      <c r="P127"/>
      <c r="Q127"/>
      <c r="R127" s="17"/>
      <c r="S127"/>
    </row>
    <row r="128" spans="2:19" s="19" customFormat="1">
      <c r="B128"/>
      <c r="C128" s="15"/>
      <c r="D128" s="1"/>
      <c r="E128"/>
      <c r="F128"/>
      <c r="G128" s="11"/>
      <c r="H128"/>
      <c r="I128"/>
      <c r="J128"/>
      <c r="K128" s="13"/>
      <c r="L128"/>
      <c r="N128" s="28"/>
      <c r="P128"/>
      <c r="Q128"/>
      <c r="R128" s="17"/>
      <c r="S128"/>
    </row>
    <row r="129" spans="2:19" s="19" customFormat="1">
      <c r="B129"/>
      <c r="C129" s="15"/>
      <c r="D129" s="1"/>
      <c r="E129"/>
      <c r="F129"/>
      <c r="G129" s="11"/>
      <c r="H129"/>
      <c r="I129"/>
      <c r="J129"/>
      <c r="K129" s="13"/>
      <c r="L129"/>
      <c r="N129" s="28"/>
      <c r="P129"/>
      <c r="Q129"/>
      <c r="R129" s="17"/>
      <c r="S129"/>
    </row>
    <row r="130" spans="2:19" s="19" customFormat="1">
      <c r="B130"/>
      <c r="C130" s="15"/>
      <c r="D130" s="1"/>
      <c r="E130"/>
      <c r="F130"/>
      <c r="G130" s="11"/>
      <c r="H130"/>
      <c r="I130"/>
      <c r="J130"/>
      <c r="K130" s="13"/>
      <c r="L130"/>
      <c r="N130" s="28"/>
      <c r="P130"/>
      <c r="Q130"/>
      <c r="R130" s="17"/>
      <c r="S130"/>
    </row>
    <row r="131" spans="2:19" s="19" customFormat="1">
      <c r="B131"/>
      <c r="C131" s="15"/>
      <c r="D131" s="1"/>
      <c r="E131"/>
      <c r="F131"/>
      <c r="G131" s="11"/>
      <c r="H131"/>
      <c r="I131"/>
      <c r="J131"/>
      <c r="K131" s="13"/>
      <c r="L131"/>
      <c r="N131" s="28"/>
      <c r="P131"/>
      <c r="Q131"/>
      <c r="R131" s="17"/>
      <c r="S131"/>
    </row>
  </sheetData>
  <autoFilter ref="B2:R112" xr:uid="{00000000-0009-0000-0000-000028000000}"/>
  <phoneticPr fontId="1"/>
  <pageMargins left="0.23622047244094491" right="0.23622047244094491" top="0.35433070866141736" bottom="0.35433070866141736" header="0.31496062992125984" footer="0.31496062992125984"/>
  <pageSetup paperSize="9" scale="94" fitToHeight="0" orientation="landscape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工作表1">
    <pageSetUpPr fitToPage="1"/>
  </sheetPr>
  <dimension ref="A2:C14"/>
  <sheetViews>
    <sheetView workbookViewId="0">
      <selection activeCell="C23" sqref="C23"/>
    </sheetView>
  </sheetViews>
  <sheetFormatPr defaultRowHeight="15"/>
  <cols>
    <col min="1" max="1" width="2.375" bestFit="1" customWidth="1"/>
    <col min="2" max="3" width="65.625" customWidth="1"/>
  </cols>
  <sheetData>
    <row r="2" spans="1:3">
      <c r="B2" s="20" t="s">
        <v>64</v>
      </c>
    </row>
    <row r="4" spans="1:3" ht="45">
      <c r="A4">
        <v>1</v>
      </c>
      <c r="B4" s="21" t="s">
        <v>65</v>
      </c>
      <c r="C4" s="21" t="s">
        <v>66</v>
      </c>
    </row>
    <row r="5" spans="1:3" ht="30">
      <c r="A5">
        <v>2</v>
      </c>
      <c r="B5" s="21" t="s">
        <v>67</v>
      </c>
      <c r="C5" s="21" t="s">
        <v>68</v>
      </c>
    </row>
    <row r="6" spans="1:3">
      <c r="A6">
        <v>3</v>
      </c>
      <c r="B6" t="s">
        <v>69</v>
      </c>
      <c r="C6" t="s">
        <v>70</v>
      </c>
    </row>
    <row r="7" spans="1:3">
      <c r="A7">
        <v>4</v>
      </c>
      <c r="B7" t="s">
        <v>71</v>
      </c>
      <c r="C7" t="s">
        <v>72</v>
      </c>
    </row>
    <row r="8" spans="1:3">
      <c r="A8">
        <v>5</v>
      </c>
      <c r="B8" t="s">
        <v>73</v>
      </c>
      <c r="C8" t="s">
        <v>74</v>
      </c>
    </row>
    <row r="9" spans="1:3">
      <c r="A9">
        <v>6</v>
      </c>
      <c r="B9" s="21" t="s">
        <v>75</v>
      </c>
      <c r="C9" t="s">
        <v>76</v>
      </c>
    </row>
    <row r="14" spans="1:3">
      <c r="B14" s="21"/>
      <c r="C14" s="21"/>
    </row>
  </sheetData>
  <phoneticPr fontId="1"/>
  <pageMargins left="0.7" right="0.7" top="0.75" bottom="0.75" header="0.3" footer="0.3"/>
  <pageSetup paperSize="9" orientation="landscape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"/>
  <dimension ref="A1:I11"/>
  <sheetViews>
    <sheetView workbookViewId="0">
      <selection activeCell="E32" sqref="E32"/>
    </sheetView>
  </sheetViews>
  <sheetFormatPr defaultRowHeight="15"/>
  <cols>
    <col min="1" max="1" width="3.375" bestFit="1" customWidth="1"/>
    <col min="2" max="2" width="47.875" customWidth="1"/>
    <col min="3" max="3" width="25.875" customWidth="1"/>
    <col min="4" max="4" width="23.375" customWidth="1"/>
    <col min="7" max="7" width="3.625" bestFit="1" customWidth="1"/>
    <col min="8" max="8" width="4.375" bestFit="1" customWidth="1"/>
    <col min="9" max="9" width="3.375" bestFit="1" customWidth="1"/>
  </cols>
  <sheetData>
    <row r="1" spans="1:9" ht="15.6" thickBot="1">
      <c r="I1" t="s">
        <v>18</v>
      </c>
    </row>
    <row r="2" spans="1:9" ht="15.6" thickBot="1">
      <c r="A2" t="s">
        <v>19</v>
      </c>
      <c r="B2" s="7" t="s">
        <v>20</v>
      </c>
      <c r="C2" s="8" t="s">
        <v>21</v>
      </c>
      <c r="D2" s="3" t="s">
        <v>22</v>
      </c>
      <c r="E2" s="3" t="s">
        <v>23</v>
      </c>
      <c r="F2" s="3" t="s">
        <v>24</v>
      </c>
      <c r="G2" s="9">
        <v>51</v>
      </c>
      <c r="H2" s="3">
        <v>250</v>
      </c>
      <c r="I2" s="3">
        <v>4</v>
      </c>
    </row>
    <row r="3" spans="1:9" ht="15.6" thickBot="1">
      <c r="A3" t="s">
        <v>19</v>
      </c>
      <c r="B3" s="7" t="s">
        <v>20</v>
      </c>
      <c r="C3" s="3" t="s">
        <v>25</v>
      </c>
      <c r="D3" s="3" t="s">
        <v>22</v>
      </c>
      <c r="E3" s="3" t="s">
        <v>23</v>
      </c>
      <c r="F3" s="3" t="s">
        <v>26</v>
      </c>
      <c r="G3" s="9">
        <v>51</v>
      </c>
      <c r="H3" s="3">
        <v>250</v>
      </c>
      <c r="I3" s="3">
        <v>4</v>
      </c>
    </row>
    <row r="4" spans="1:9" ht="15.6" thickBot="1">
      <c r="A4" t="s">
        <v>27</v>
      </c>
      <c r="B4" s="7" t="s">
        <v>28</v>
      </c>
      <c r="C4" s="3" t="s">
        <v>21</v>
      </c>
      <c r="D4" s="3" t="s">
        <v>29</v>
      </c>
      <c r="E4" s="3" t="s">
        <v>30</v>
      </c>
      <c r="F4" s="3" t="s">
        <v>31</v>
      </c>
      <c r="G4" s="9">
        <v>51</v>
      </c>
      <c r="H4" s="3">
        <v>240</v>
      </c>
      <c r="I4" s="3">
        <v>4</v>
      </c>
    </row>
    <row r="5" spans="1:9" ht="15.6" thickBot="1">
      <c r="A5" t="s">
        <v>32</v>
      </c>
      <c r="B5" s="7" t="s">
        <v>33</v>
      </c>
      <c r="C5" s="3" t="s">
        <v>25</v>
      </c>
      <c r="D5" s="3" t="s">
        <v>34</v>
      </c>
      <c r="E5" s="3" t="s">
        <v>35</v>
      </c>
      <c r="F5" s="3" t="s">
        <v>36</v>
      </c>
      <c r="G5" s="9">
        <v>51</v>
      </c>
      <c r="H5" s="3">
        <v>230</v>
      </c>
      <c r="I5" s="3">
        <v>4</v>
      </c>
    </row>
    <row r="6" spans="1:9" ht="15.6" thickBot="1">
      <c r="A6" t="s">
        <v>37</v>
      </c>
      <c r="B6" s="7" t="s">
        <v>38</v>
      </c>
      <c r="C6" s="3" t="s">
        <v>25</v>
      </c>
      <c r="D6" s="3" t="s">
        <v>39</v>
      </c>
      <c r="E6" s="3" t="s">
        <v>40</v>
      </c>
      <c r="F6" s="3" t="s">
        <v>41</v>
      </c>
      <c r="G6" s="9" t="s">
        <v>42</v>
      </c>
      <c r="H6" s="3">
        <v>20</v>
      </c>
      <c r="I6" s="3">
        <v>32</v>
      </c>
    </row>
    <row r="7" spans="1:9" ht="25.8" thickBot="1">
      <c r="A7" t="s">
        <v>43</v>
      </c>
      <c r="B7" s="7" t="s">
        <v>44</v>
      </c>
      <c r="C7" s="3" t="s">
        <v>45</v>
      </c>
      <c r="D7" s="3" t="s">
        <v>34</v>
      </c>
      <c r="E7" s="3" t="s">
        <v>35</v>
      </c>
      <c r="F7" s="3" t="s">
        <v>41</v>
      </c>
      <c r="G7" s="9" t="s">
        <v>42</v>
      </c>
      <c r="H7" s="3">
        <v>20</v>
      </c>
      <c r="I7" s="3">
        <v>32</v>
      </c>
    </row>
    <row r="8" spans="1:9" ht="15.6" thickBot="1">
      <c r="A8" t="s">
        <v>46</v>
      </c>
      <c r="B8" s="7" t="s">
        <v>17</v>
      </c>
      <c r="C8" s="3" t="s">
        <v>47</v>
      </c>
      <c r="D8" s="3" t="s">
        <v>34</v>
      </c>
      <c r="E8" s="3" t="s">
        <v>35</v>
      </c>
      <c r="F8" s="3" t="s">
        <v>48</v>
      </c>
      <c r="G8" s="9">
        <v>51</v>
      </c>
      <c r="H8" s="3">
        <v>230</v>
      </c>
      <c r="I8" s="3">
        <v>4</v>
      </c>
    </row>
    <row r="9" spans="1:9" ht="15.6" thickBot="1">
      <c r="A9" t="s">
        <v>49</v>
      </c>
      <c r="B9" s="7" t="s">
        <v>50</v>
      </c>
      <c r="C9" s="3" t="s">
        <v>51</v>
      </c>
      <c r="D9" s="3" t="s">
        <v>34</v>
      </c>
      <c r="E9" s="3" t="s">
        <v>35</v>
      </c>
      <c r="F9" s="3" t="s">
        <v>52</v>
      </c>
      <c r="G9" s="9">
        <v>51</v>
      </c>
      <c r="H9" s="3">
        <v>230</v>
      </c>
      <c r="I9" s="3">
        <v>4</v>
      </c>
    </row>
    <row r="10" spans="1:9" ht="15.6" thickBot="1">
      <c r="A10" t="s">
        <v>53</v>
      </c>
      <c r="B10" s="7" t="s">
        <v>54</v>
      </c>
      <c r="C10" s="3" t="s">
        <v>51</v>
      </c>
      <c r="D10" s="3" t="s">
        <v>55</v>
      </c>
      <c r="E10" s="3" t="s">
        <v>56</v>
      </c>
      <c r="F10" s="3" t="s">
        <v>57</v>
      </c>
      <c r="G10" s="9" t="s">
        <v>42</v>
      </c>
      <c r="H10" s="3">
        <v>25</v>
      </c>
      <c r="I10" s="3">
        <v>32</v>
      </c>
    </row>
    <row r="11" spans="1:9" ht="15.6" thickBot="1">
      <c r="A11" t="s">
        <v>58</v>
      </c>
      <c r="B11" s="7" t="s">
        <v>59</v>
      </c>
      <c r="C11" s="3" t="s">
        <v>60</v>
      </c>
      <c r="D11" s="3" t="s">
        <v>55</v>
      </c>
      <c r="E11" s="3" t="s">
        <v>61</v>
      </c>
      <c r="F11" s="3" t="s">
        <v>62</v>
      </c>
      <c r="G11" s="9">
        <v>51</v>
      </c>
      <c r="H11" s="3">
        <v>300</v>
      </c>
      <c r="I11" s="3">
        <v>4</v>
      </c>
    </row>
  </sheetData>
  <phoneticPr fontId="1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12">
    <pageSetUpPr fitToPage="1"/>
  </sheetPr>
  <dimension ref="A1:Q50"/>
  <sheetViews>
    <sheetView view="pageBreakPreview" zoomScaleNormal="100" zoomScaleSheetLayoutView="100" workbookViewId="0">
      <selection activeCell="S23" sqref="S23"/>
    </sheetView>
  </sheetViews>
  <sheetFormatPr defaultRowHeight="13.2"/>
  <cols>
    <col min="1" max="1" width="4.375" style="73" customWidth="1"/>
    <col min="2" max="2" width="8.25" style="73" customWidth="1"/>
    <col min="3" max="3" width="4.375" style="73" customWidth="1"/>
    <col min="4" max="4" width="4.75" style="73" customWidth="1"/>
    <col min="5" max="5" width="7.375" style="73" customWidth="1"/>
    <col min="6" max="6" width="9" style="75"/>
    <col min="7" max="7" width="7.625" style="75" customWidth="1"/>
    <col min="8" max="8" width="3.375" style="73" customWidth="1"/>
    <col min="9" max="9" width="7.375" style="73" customWidth="1"/>
    <col min="10" max="10" width="3.375" style="73" customWidth="1"/>
    <col min="11" max="11" width="6.25" style="73" customWidth="1"/>
    <col min="12" max="12" width="3.25" style="73" customWidth="1"/>
    <col min="13" max="13" width="3.125" style="73" customWidth="1"/>
    <col min="14" max="14" width="10.75" style="73" customWidth="1"/>
    <col min="15" max="15" width="3.125" style="73" customWidth="1"/>
    <col min="16" max="16" width="10.75" style="73" customWidth="1"/>
    <col min="17" max="17" width="20" style="75" customWidth="1"/>
    <col min="18" max="262" width="9" style="73"/>
    <col min="263" max="263" width="18.625" style="73" customWidth="1"/>
    <col min="264" max="264" width="5.625" style="73" customWidth="1"/>
    <col min="265" max="265" width="3.625" style="73" customWidth="1"/>
    <col min="266" max="267" width="9" style="73"/>
    <col min="268" max="268" width="3.375" style="73" customWidth="1"/>
    <col min="269" max="269" width="18.375" style="73" customWidth="1"/>
    <col min="270" max="270" width="12.625" style="73" customWidth="1"/>
    <col min="271" max="271" width="3.125" style="73" customWidth="1"/>
    <col min="272" max="272" width="12.625" style="73" customWidth="1"/>
    <col min="273" max="273" width="13.625" style="73" customWidth="1"/>
    <col min="274" max="518" width="9" style="73"/>
    <col min="519" max="519" width="18.625" style="73" customWidth="1"/>
    <col min="520" max="520" width="5.625" style="73" customWidth="1"/>
    <col min="521" max="521" width="3.625" style="73" customWidth="1"/>
    <col min="522" max="523" width="9" style="73"/>
    <col min="524" max="524" width="3.375" style="73" customWidth="1"/>
    <col min="525" max="525" width="18.375" style="73" customWidth="1"/>
    <col min="526" max="526" width="12.625" style="73" customWidth="1"/>
    <col min="527" max="527" width="3.125" style="73" customWidth="1"/>
    <col min="528" max="528" width="12.625" style="73" customWidth="1"/>
    <col min="529" max="529" width="13.625" style="73" customWidth="1"/>
    <col min="530" max="774" width="9" style="73"/>
    <col min="775" max="775" width="18.625" style="73" customWidth="1"/>
    <col min="776" max="776" width="5.625" style="73" customWidth="1"/>
    <col min="777" max="777" width="3.625" style="73" customWidth="1"/>
    <col min="778" max="779" width="9" style="73"/>
    <col min="780" max="780" width="3.375" style="73" customWidth="1"/>
    <col min="781" max="781" width="18.375" style="73" customWidth="1"/>
    <col min="782" max="782" width="12.625" style="73" customWidth="1"/>
    <col min="783" max="783" width="3.125" style="73" customWidth="1"/>
    <col min="784" max="784" width="12.625" style="73" customWidth="1"/>
    <col min="785" max="785" width="13.625" style="73" customWidth="1"/>
    <col min="786" max="1030" width="9" style="73"/>
    <col min="1031" max="1031" width="18.625" style="73" customWidth="1"/>
    <col min="1032" max="1032" width="5.625" style="73" customWidth="1"/>
    <col min="1033" max="1033" width="3.625" style="73" customWidth="1"/>
    <col min="1034" max="1035" width="9" style="73"/>
    <col min="1036" max="1036" width="3.375" style="73" customWidth="1"/>
    <col min="1037" max="1037" width="18.375" style="73" customWidth="1"/>
    <col min="1038" max="1038" width="12.625" style="73" customWidth="1"/>
    <col min="1039" max="1039" width="3.125" style="73" customWidth="1"/>
    <col min="1040" max="1040" width="12.625" style="73" customWidth="1"/>
    <col min="1041" max="1041" width="13.625" style="73" customWidth="1"/>
    <col min="1042" max="1286" width="9" style="73"/>
    <col min="1287" max="1287" width="18.625" style="73" customWidth="1"/>
    <col min="1288" max="1288" width="5.625" style="73" customWidth="1"/>
    <col min="1289" max="1289" width="3.625" style="73" customWidth="1"/>
    <col min="1290" max="1291" width="9" style="73"/>
    <col min="1292" max="1292" width="3.375" style="73" customWidth="1"/>
    <col min="1293" max="1293" width="18.375" style="73" customWidth="1"/>
    <col min="1294" max="1294" width="12.625" style="73" customWidth="1"/>
    <col min="1295" max="1295" width="3.125" style="73" customWidth="1"/>
    <col min="1296" max="1296" width="12.625" style="73" customWidth="1"/>
    <col min="1297" max="1297" width="13.625" style="73" customWidth="1"/>
    <col min="1298" max="1542" width="9" style="73"/>
    <col min="1543" max="1543" width="18.625" style="73" customWidth="1"/>
    <col min="1544" max="1544" width="5.625" style="73" customWidth="1"/>
    <col min="1545" max="1545" width="3.625" style="73" customWidth="1"/>
    <col min="1546" max="1547" width="9" style="73"/>
    <col min="1548" max="1548" width="3.375" style="73" customWidth="1"/>
    <col min="1549" max="1549" width="18.375" style="73" customWidth="1"/>
    <col min="1550" max="1550" width="12.625" style="73" customWidth="1"/>
    <col min="1551" max="1551" width="3.125" style="73" customWidth="1"/>
    <col min="1552" max="1552" width="12.625" style="73" customWidth="1"/>
    <col min="1553" max="1553" width="13.625" style="73" customWidth="1"/>
    <col min="1554" max="1798" width="9" style="73"/>
    <col min="1799" max="1799" width="18.625" style="73" customWidth="1"/>
    <col min="1800" max="1800" width="5.625" style="73" customWidth="1"/>
    <col min="1801" max="1801" width="3.625" style="73" customWidth="1"/>
    <col min="1802" max="1803" width="9" style="73"/>
    <col min="1804" max="1804" width="3.375" style="73" customWidth="1"/>
    <col min="1805" max="1805" width="18.375" style="73" customWidth="1"/>
    <col min="1806" max="1806" width="12.625" style="73" customWidth="1"/>
    <col min="1807" max="1807" width="3.125" style="73" customWidth="1"/>
    <col min="1808" max="1808" width="12.625" style="73" customWidth="1"/>
    <col min="1809" max="1809" width="13.625" style="73" customWidth="1"/>
    <col min="1810" max="2054" width="9" style="73"/>
    <col min="2055" max="2055" width="18.625" style="73" customWidth="1"/>
    <col min="2056" max="2056" width="5.625" style="73" customWidth="1"/>
    <col min="2057" max="2057" width="3.625" style="73" customWidth="1"/>
    <col min="2058" max="2059" width="9" style="73"/>
    <col min="2060" max="2060" width="3.375" style="73" customWidth="1"/>
    <col min="2061" max="2061" width="18.375" style="73" customWidth="1"/>
    <col min="2062" max="2062" width="12.625" style="73" customWidth="1"/>
    <col min="2063" max="2063" width="3.125" style="73" customWidth="1"/>
    <col min="2064" max="2064" width="12.625" style="73" customWidth="1"/>
    <col min="2065" max="2065" width="13.625" style="73" customWidth="1"/>
    <col min="2066" max="2310" width="9" style="73"/>
    <col min="2311" max="2311" width="18.625" style="73" customWidth="1"/>
    <col min="2312" max="2312" width="5.625" style="73" customWidth="1"/>
    <col min="2313" max="2313" width="3.625" style="73" customWidth="1"/>
    <col min="2314" max="2315" width="9" style="73"/>
    <col min="2316" max="2316" width="3.375" style="73" customWidth="1"/>
    <col min="2317" max="2317" width="18.375" style="73" customWidth="1"/>
    <col min="2318" max="2318" width="12.625" style="73" customWidth="1"/>
    <col min="2319" max="2319" width="3.125" style="73" customWidth="1"/>
    <col min="2320" max="2320" width="12.625" style="73" customWidth="1"/>
    <col min="2321" max="2321" width="13.625" style="73" customWidth="1"/>
    <col min="2322" max="2566" width="9" style="73"/>
    <col min="2567" max="2567" width="18.625" style="73" customWidth="1"/>
    <col min="2568" max="2568" width="5.625" style="73" customWidth="1"/>
    <col min="2569" max="2569" width="3.625" style="73" customWidth="1"/>
    <col min="2570" max="2571" width="9" style="73"/>
    <col min="2572" max="2572" width="3.375" style="73" customWidth="1"/>
    <col min="2573" max="2573" width="18.375" style="73" customWidth="1"/>
    <col min="2574" max="2574" width="12.625" style="73" customWidth="1"/>
    <col min="2575" max="2575" width="3.125" style="73" customWidth="1"/>
    <col min="2576" max="2576" width="12.625" style="73" customWidth="1"/>
    <col min="2577" max="2577" width="13.625" style="73" customWidth="1"/>
    <col min="2578" max="2822" width="9" style="73"/>
    <col min="2823" max="2823" width="18.625" style="73" customWidth="1"/>
    <col min="2824" max="2824" width="5.625" style="73" customWidth="1"/>
    <col min="2825" max="2825" width="3.625" style="73" customWidth="1"/>
    <col min="2826" max="2827" width="9" style="73"/>
    <col min="2828" max="2828" width="3.375" style="73" customWidth="1"/>
    <col min="2829" max="2829" width="18.375" style="73" customWidth="1"/>
    <col min="2830" max="2830" width="12.625" style="73" customWidth="1"/>
    <col min="2831" max="2831" width="3.125" style="73" customWidth="1"/>
    <col min="2832" max="2832" width="12.625" style="73" customWidth="1"/>
    <col min="2833" max="2833" width="13.625" style="73" customWidth="1"/>
    <col min="2834" max="3078" width="9" style="73"/>
    <col min="3079" max="3079" width="18.625" style="73" customWidth="1"/>
    <col min="3080" max="3080" width="5.625" style="73" customWidth="1"/>
    <col min="3081" max="3081" width="3.625" style="73" customWidth="1"/>
    <col min="3082" max="3083" width="9" style="73"/>
    <col min="3084" max="3084" width="3.375" style="73" customWidth="1"/>
    <col min="3085" max="3085" width="18.375" style="73" customWidth="1"/>
    <col min="3086" max="3086" width="12.625" style="73" customWidth="1"/>
    <col min="3087" max="3087" width="3.125" style="73" customWidth="1"/>
    <col min="3088" max="3088" width="12.625" style="73" customWidth="1"/>
    <col min="3089" max="3089" width="13.625" style="73" customWidth="1"/>
    <col min="3090" max="3334" width="9" style="73"/>
    <col min="3335" max="3335" width="18.625" style="73" customWidth="1"/>
    <col min="3336" max="3336" width="5.625" style="73" customWidth="1"/>
    <col min="3337" max="3337" width="3.625" style="73" customWidth="1"/>
    <col min="3338" max="3339" width="9" style="73"/>
    <col min="3340" max="3340" width="3.375" style="73" customWidth="1"/>
    <col min="3341" max="3341" width="18.375" style="73" customWidth="1"/>
    <col min="3342" max="3342" width="12.625" style="73" customWidth="1"/>
    <col min="3343" max="3343" width="3.125" style="73" customWidth="1"/>
    <col min="3344" max="3344" width="12.625" style="73" customWidth="1"/>
    <col min="3345" max="3345" width="13.625" style="73" customWidth="1"/>
    <col min="3346" max="3590" width="9" style="73"/>
    <col min="3591" max="3591" width="18.625" style="73" customWidth="1"/>
    <col min="3592" max="3592" width="5.625" style="73" customWidth="1"/>
    <col min="3593" max="3593" width="3.625" style="73" customWidth="1"/>
    <col min="3594" max="3595" width="9" style="73"/>
    <col min="3596" max="3596" width="3.375" style="73" customWidth="1"/>
    <col min="3597" max="3597" width="18.375" style="73" customWidth="1"/>
    <col min="3598" max="3598" width="12.625" style="73" customWidth="1"/>
    <col min="3599" max="3599" width="3.125" style="73" customWidth="1"/>
    <col min="3600" max="3600" width="12.625" style="73" customWidth="1"/>
    <col min="3601" max="3601" width="13.625" style="73" customWidth="1"/>
    <col min="3602" max="3846" width="9" style="73"/>
    <col min="3847" max="3847" width="18.625" style="73" customWidth="1"/>
    <col min="3848" max="3848" width="5.625" style="73" customWidth="1"/>
    <col min="3849" max="3849" width="3.625" style="73" customWidth="1"/>
    <col min="3850" max="3851" width="9" style="73"/>
    <col min="3852" max="3852" width="3.375" style="73" customWidth="1"/>
    <col min="3853" max="3853" width="18.375" style="73" customWidth="1"/>
    <col min="3854" max="3854" width="12.625" style="73" customWidth="1"/>
    <col min="3855" max="3855" width="3.125" style="73" customWidth="1"/>
    <col min="3856" max="3856" width="12.625" style="73" customWidth="1"/>
    <col min="3857" max="3857" width="13.625" style="73" customWidth="1"/>
    <col min="3858" max="4102" width="9" style="73"/>
    <col min="4103" max="4103" width="18.625" style="73" customWidth="1"/>
    <col min="4104" max="4104" width="5.625" style="73" customWidth="1"/>
    <col min="4105" max="4105" width="3.625" style="73" customWidth="1"/>
    <col min="4106" max="4107" width="9" style="73"/>
    <col min="4108" max="4108" width="3.375" style="73" customWidth="1"/>
    <col min="4109" max="4109" width="18.375" style="73" customWidth="1"/>
    <col min="4110" max="4110" width="12.625" style="73" customWidth="1"/>
    <col min="4111" max="4111" width="3.125" style="73" customWidth="1"/>
    <col min="4112" max="4112" width="12.625" style="73" customWidth="1"/>
    <col min="4113" max="4113" width="13.625" style="73" customWidth="1"/>
    <col min="4114" max="4358" width="9" style="73"/>
    <col min="4359" max="4359" width="18.625" style="73" customWidth="1"/>
    <col min="4360" max="4360" width="5.625" style="73" customWidth="1"/>
    <col min="4361" max="4361" width="3.625" style="73" customWidth="1"/>
    <col min="4362" max="4363" width="9" style="73"/>
    <col min="4364" max="4364" width="3.375" style="73" customWidth="1"/>
    <col min="4365" max="4365" width="18.375" style="73" customWidth="1"/>
    <col min="4366" max="4366" width="12.625" style="73" customWidth="1"/>
    <col min="4367" max="4367" width="3.125" style="73" customWidth="1"/>
    <col min="4368" max="4368" width="12.625" style="73" customWidth="1"/>
    <col min="4369" max="4369" width="13.625" style="73" customWidth="1"/>
    <col min="4370" max="4614" width="9" style="73"/>
    <col min="4615" max="4615" width="18.625" style="73" customWidth="1"/>
    <col min="4616" max="4616" width="5.625" style="73" customWidth="1"/>
    <col min="4617" max="4617" width="3.625" style="73" customWidth="1"/>
    <col min="4618" max="4619" width="9" style="73"/>
    <col min="4620" max="4620" width="3.375" style="73" customWidth="1"/>
    <col min="4621" max="4621" width="18.375" style="73" customWidth="1"/>
    <col min="4622" max="4622" width="12.625" style="73" customWidth="1"/>
    <col min="4623" max="4623" width="3.125" style="73" customWidth="1"/>
    <col min="4624" max="4624" width="12.625" style="73" customWidth="1"/>
    <col min="4625" max="4625" width="13.625" style="73" customWidth="1"/>
    <col min="4626" max="4870" width="9" style="73"/>
    <col min="4871" max="4871" width="18.625" style="73" customWidth="1"/>
    <col min="4872" max="4872" width="5.625" style="73" customWidth="1"/>
    <col min="4873" max="4873" width="3.625" style="73" customWidth="1"/>
    <col min="4874" max="4875" width="9" style="73"/>
    <col min="4876" max="4876" width="3.375" style="73" customWidth="1"/>
    <col min="4877" max="4877" width="18.375" style="73" customWidth="1"/>
    <col min="4878" max="4878" width="12.625" style="73" customWidth="1"/>
    <col min="4879" max="4879" width="3.125" style="73" customWidth="1"/>
    <col min="4880" max="4880" width="12.625" style="73" customWidth="1"/>
    <col min="4881" max="4881" width="13.625" style="73" customWidth="1"/>
    <col min="4882" max="5126" width="9" style="73"/>
    <col min="5127" max="5127" width="18.625" style="73" customWidth="1"/>
    <col min="5128" max="5128" width="5.625" style="73" customWidth="1"/>
    <col min="5129" max="5129" width="3.625" style="73" customWidth="1"/>
    <col min="5130" max="5131" width="9" style="73"/>
    <col min="5132" max="5132" width="3.375" style="73" customWidth="1"/>
    <col min="5133" max="5133" width="18.375" style="73" customWidth="1"/>
    <col min="5134" max="5134" width="12.625" style="73" customWidth="1"/>
    <col min="5135" max="5135" width="3.125" style="73" customWidth="1"/>
    <col min="5136" max="5136" width="12.625" style="73" customWidth="1"/>
    <col min="5137" max="5137" width="13.625" style="73" customWidth="1"/>
    <col min="5138" max="5382" width="9" style="73"/>
    <col min="5383" max="5383" width="18.625" style="73" customWidth="1"/>
    <col min="5384" max="5384" width="5.625" style="73" customWidth="1"/>
    <col min="5385" max="5385" width="3.625" style="73" customWidth="1"/>
    <col min="5386" max="5387" width="9" style="73"/>
    <col min="5388" max="5388" width="3.375" style="73" customWidth="1"/>
    <col min="5389" max="5389" width="18.375" style="73" customWidth="1"/>
    <col min="5390" max="5390" width="12.625" style="73" customWidth="1"/>
    <col min="5391" max="5391" width="3.125" style="73" customWidth="1"/>
    <col min="5392" max="5392" width="12.625" style="73" customWidth="1"/>
    <col min="5393" max="5393" width="13.625" style="73" customWidth="1"/>
    <col min="5394" max="5638" width="9" style="73"/>
    <col min="5639" max="5639" width="18.625" style="73" customWidth="1"/>
    <col min="5640" max="5640" width="5.625" style="73" customWidth="1"/>
    <col min="5641" max="5641" width="3.625" style="73" customWidth="1"/>
    <col min="5642" max="5643" width="9" style="73"/>
    <col min="5644" max="5644" width="3.375" style="73" customWidth="1"/>
    <col min="5645" max="5645" width="18.375" style="73" customWidth="1"/>
    <col min="5646" max="5646" width="12.625" style="73" customWidth="1"/>
    <col min="5647" max="5647" width="3.125" style="73" customWidth="1"/>
    <col min="5648" max="5648" width="12.625" style="73" customWidth="1"/>
    <col min="5649" max="5649" width="13.625" style="73" customWidth="1"/>
    <col min="5650" max="5894" width="9" style="73"/>
    <col min="5895" max="5895" width="18.625" style="73" customWidth="1"/>
    <col min="5896" max="5896" width="5.625" style="73" customWidth="1"/>
    <col min="5897" max="5897" width="3.625" style="73" customWidth="1"/>
    <col min="5898" max="5899" width="9" style="73"/>
    <col min="5900" max="5900" width="3.375" style="73" customWidth="1"/>
    <col min="5901" max="5901" width="18.375" style="73" customWidth="1"/>
    <col min="5902" max="5902" width="12.625" style="73" customWidth="1"/>
    <col min="5903" max="5903" width="3.125" style="73" customWidth="1"/>
    <col min="5904" max="5904" width="12.625" style="73" customWidth="1"/>
    <col min="5905" max="5905" width="13.625" style="73" customWidth="1"/>
    <col min="5906" max="6150" width="9" style="73"/>
    <col min="6151" max="6151" width="18.625" style="73" customWidth="1"/>
    <col min="6152" max="6152" width="5.625" style="73" customWidth="1"/>
    <col min="6153" max="6153" width="3.625" style="73" customWidth="1"/>
    <col min="6154" max="6155" width="9" style="73"/>
    <col min="6156" max="6156" width="3.375" style="73" customWidth="1"/>
    <col min="6157" max="6157" width="18.375" style="73" customWidth="1"/>
    <col min="6158" max="6158" width="12.625" style="73" customWidth="1"/>
    <col min="6159" max="6159" width="3.125" style="73" customWidth="1"/>
    <col min="6160" max="6160" width="12.625" style="73" customWidth="1"/>
    <col min="6161" max="6161" width="13.625" style="73" customWidth="1"/>
    <col min="6162" max="6406" width="9" style="73"/>
    <col min="6407" max="6407" width="18.625" style="73" customWidth="1"/>
    <col min="6408" max="6408" width="5.625" style="73" customWidth="1"/>
    <col min="6409" max="6409" width="3.625" style="73" customWidth="1"/>
    <col min="6410" max="6411" width="9" style="73"/>
    <col min="6412" max="6412" width="3.375" style="73" customWidth="1"/>
    <col min="6413" max="6413" width="18.375" style="73" customWidth="1"/>
    <col min="6414" max="6414" width="12.625" style="73" customWidth="1"/>
    <col min="6415" max="6415" width="3.125" style="73" customWidth="1"/>
    <col min="6416" max="6416" width="12.625" style="73" customWidth="1"/>
    <col min="6417" max="6417" width="13.625" style="73" customWidth="1"/>
    <col min="6418" max="6662" width="9" style="73"/>
    <col min="6663" max="6663" width="18.625" style="73" customWidth="1"/>
    <col min="6664" max="6664" width="5.625" style="73" customWidth="1"/>
    <col min="6665" max="6665" width="3.625" style="73" customWidth="1"/>
    <col min="6666" max="6667" width="9" style="73"/>
    <col min="6668" max="6668" width="3.375" style="73" customWidth="1"/>
    <col min="6669" max="6669" width="18.375" style="73" customWidth="1"/>
    <col min="6670" max="6670" width="12.625" style="73" customWidth="1"/>
    <col min="6671" max="6671" width="3.125" style="73" customWidth="1"/>
    <col min="6672" max="6672" width="12.625" style="73" customWidth="1"/>
    <col min="6673" max="6673" width="13.625" style="73" customWidth="1"/>
    <col min="6674" max="6918" width="9" style="73"/>
    <col min="6919" max="6919" width="18.625" style="73" customWidth="1"/>
    <col min="6920" max="6920" width="5.625" style="73" customWidth="1"/>
    <col min="6921" max="6921" width="3.625" style="73" customWidth="1"/>
    <col min="6922" max="6923" width="9" style="73"/>
    <col min="6924" max="6924" width="3.375" style="73" customWidth="1"/>
    <col min="6925" max="6925" width="18.375" style="73" customWidth="1"/>
    <col min="6926" max="6926" width="12.625" style="73" customWidth="1"/>
    <col min="6927" max="6927" width="3.125" style="73" customWidth="1"/>
    <col min="6928" max="6928" width="12.625" style="73" customWidth="1"/>
    <col min="6929" max="6929" width="13.625" style="73" customWidth="1"/>
    <col min="6930" max="7174" width="9" style="73"/>
    <col min="7175" max="7175" width="18.625" style="73" customWidth="1"/>
    <col min="7176" max="7176" width="5.625" style="73" customWidth="1"/>
    <col min="7177" max="7177" width="3.625" style="73" customWidth="1"/>
    <col min="7178" max="7179" width="9" style="73"/>
    <col min="7180" max="7180" width="3.375" style="73" customWidth="1"/>
    <col min="7181" max="7181" width="18.375" style="73" customWidth="1"/>
    <col min="7182" max="7182" width="12.625" style="73" customWidth="1"/>
    <col min="7183" max="7183" width="3.125" style="73" customWidth="1"/>
    <col min="7184" max="7184" width="12.625" style="73" customWidth="1"/>
    <col min="7185" max="7185" width="13.625" style="73" customWidth="1"/>
    <col min="7186" max="7430" width="9" style="73"/>
    <col min="7431" max="7431" width="18.625" style="73" customWidth="1"/>
    <col min="7432" max="7432" width="5.625" style="73" customWidth="1"/>
    <col min="7433" max="7433" width="3.625" style="73" customWidth="1"/>
    <col min="7434" max="7435" width="9" style="73"/>
    <col min="7436" max="7436" width="3.375" style="73" customWidth="1"/>
    <col min="7437" max="7437" width="18.375" style="73" customWidth="1"/>
    <col min="7438" max="7438" width="12.625" style="73" customWidth="1"/>
    <col min="7439" max="7439" width="3.125" style="73" customWidth="1"/>
    <col min="7440" max="7440" width="12.625" style="73" customWidth="1"/>
    <col min="7441" max="7441" width="13.625" style="73" customWidth="1"/>
    <col min="7442" max="7686" width="9" style="73"/>
    <col min="7687" max="7687" width="18.625" style="73" customWidth="1"/>
    <col min="7688" max="7688" width="5.625" style="73" customWidth="1"/>
    <col min="7689" max="7689" width="3.625" style="73" customWidth="1"/>
    <col min="7690" max="7691" width="9" style="73"/>
    <col min="7692" max="7692" width="3.375" style="73" customWidth="1"/>
    <col min="7693" max="7693" width="18.375" style="73" customWidth="1"/>
    <col min="7694" max="7694" width="12.625" style="73" customWidth="1"/>
    <col min="7695" max="7695" width="3.125" style="73" customWidth="1"/>
    <col min="7696" max="7696" width="12.625" style="73" customWidth="1"/>
    <col min="7697" max="7697" width="13.625" style="73" customWidth="1"/>
    <col min="7698" max="7942" width="9" style="73"/>
    <col min="7943" max="7943" width="18.625" style="73" customWidth="1"/>
    <col min="7944" max="7944" width="5.625" style="73" customWidth="1"/>
    <col min="7945" max="7945" width="3.625" style="73" customWidth="1"/>
    <col min="7946" max="7947" width="9" style="73"/>
    <col min="7948" max="7948" width="3.375" style="73" customWidth="1"/>
    <col min="7949" max="7949" width="18.375" style="73" customWidth="1"/>
    <col min="7950" max="7950" width="12.625" style="73" customWidth="1"/>
    <col min="7951" max="7951" width="3.125" style="73" customWidth="1"/>
    <col min="7952" max="7952" width="12.625" style="73" customWidth="1"/>
    <col min="7953" max="7953" width="13.625" style="73" customWidth="1"/>
    <col min="7954" max="8198" width="9" style="73"/>
    <col min="8199" max="8199" width="18.625" style="73" customWidth="1"/>
    <col min="8200" max="8200" width="5.625" style="73" customWidth="1"/>
    <col min="8201" max="8201" width="3.625" style="73" customWidth="1"/>
    <col min="8202" max="8203" width="9" style="73"/>
    <col min="8204" max="8204" width="3.375" style="73" customWidth="1"/>
    <col min="8205" max="8205" width="18.375" style="73" customWidth="1"/>
    <col min="8206" max="8206" width="12.625" style="73" customWidth="1"/>
    <col min="8207" max="8207" width="3.125" style="73" customWidth="1"/>
    <col min="8208" max="8208" width="12.625" style="73" customWidth="1"/>
    <col min="8209" max="8209" width="13.625" style="73" customWidth="1"/>
    <col min="8210" max="8454" width="9" style="73"/>
    <col min="8455" max="8455" width="18.625" style="73" customWidth="1"/>
    <col min="8456" max="8456" width="5.625" style="73" customWidth="1"/>
    <col min="8457" max="8457" width="3.625" style="73" customWidth="1"/>
    <col min="8458" max="8459" width="9" style="73"/>
    <col min="8460" max="8460" width="3.375" style="73" customWidth="1"/>
    <col min="8461" max="8461" width="18.375" style="73" customWidth="1"/>
    <col min="8462" max="8462" width="12.625" style="73" customWidth="1"/>
    <col min="8463" max="8463" width="3.125" style="73" customWidth="1"/>
    <col min="8464" max="8464" width="12.625" style="73" customWidth="1"/>
    <col min="8465" max="8465" width="13.625" style="73" customWidth="1"/>
    <col min="8466" max="8710" width="9" style="73"/>
    <col min="8711" max="8711" width="18.625" style="73" customWidth="1"/>
    <col min="8712" max="8712" width="5.625" style="73" customWidth="1"/>
    <col min="8713" max="8713" width="3.625" style="73" customWidth="1"/>
    <col min="8714" max="8715" width="9" style="73"/>
    <col min="8716" max="8716" width="3.375" style="73" customWidth="1"/>
    <col min="8717" max="8717" width="18.375" style="73" customWidth="1"/>
    <col min="8718" max="8718" width="12.625" style="73" customWidth="1"/>
    <col min="8719" max="8719" width="3.125" style="73" customWidth="1"/>
    <col min="8720" max="8720" width="12.625" style="73" customWidth="1"/>
    <col min="8721" max="8721" width="13.625" style="73" customWidth="1"/>
    <col min="8722" max="8966" width="9" style="73"/>
    <col min="8967" max="8967" width="18.625" style="73" customWidth="1"/>
    <col min="8968" max="8968" width="5.625" style="73" customWidth="1"/>
    <col min="8969" max="8969" width="3.625" style="73" customWidth="1"/>
    <col min="8970" max="8971" width="9" style="73"/>
    <col min="8972" max="8972" width="3.375" style="73" customWidth="1"/>
    <col min="8973" max="8973" width="18.375" style="73" customWidth="1"/>
    <col min="8974" max="8974" width="12.625" style="73" customWidth="1"/>
    <col min="8975" max="8975" width="3.125" style="73" customWidth="1"/>
    <col min="8976" max="8976" width="12.625" style="73" customWidth="1"/>
    <col min="8977" max="8977" width="13.625" style="73" customWidth="1"/>
    <col min="8978" max="9222" width="9" style="73"/>
    <col min="9223" max="9223" width="18.625" style="73" customWidth="1"/>
    <col min="9224" max="9224" width="5.625" style="73" customWidth="1"/>
    <col min="9225" max="9225" width="3.625" style="73" customWidth="1"/>
    <col min="9226" max="9227" width="9" style="73"/>
    <col min="9228" max="9228" width="3.375" style="73" customWidth="1"/>
    <col min="9229" max="9229" width="18.375" style="73" customWidth="1"/>
    <col min="9230" max="9230" width="12.625" style="73" customWidth="1"/>
    <col min="9231" max="9231" width="3.125" style="73" customWidth="1"/>
    <col min="9232" max="9232" width="12.625" style="73" customWidth="1"/>
    <col min="9233" max="9233" width="13.625" style="73" customWidth="1"/>
    <col min="9234" max="9478" width="9" style="73"/>
    <col min="9479" max="9479" width="18.625" style="73" customWidth="1"/>
    <col min="9480" max="9480" width="5.625" style="73" customWidth="1"/>
    <col min="9481" max="9481" width="3.625" style="73" customWidth="1"/>
    <col min="9482" max="9483" width="9" style="73"/>
    <col min="9484" max="9484" width="3.375" style="73" customWidth="1"/>
    <col min="9485" max="9485" width="18.375" style="73" customWidth="1"/>
    <col min="9486" max="9486" width="12.625" style="73" customWidth="1"/>
    <col min="9487" max="9487" width="3.125" style="73" customWidth="1"/>
    <col min="9488" max="9488" width="12.625" style="73" customWidth="1"/>
    <col min="9489" max="9489" width="13.625" style="73" customWidth="1"/>
    <col min="9490" max="9734" width="9" style="73"/>
    <col min="9735" max="9735" width="18.625" style="73" customWidth="1"/>
    <col min="9736" max="9736" width="5.625" style="73" customWidth="1"/>
    <col min="9737" max="9737" width="3.625" style="73" customWidth="1"/>
    <col min="9738" max="9739" width="9" style="73"/>
    <col min="9740" max="9740" width="3.375" style="73" customWidth="1"/>
    <col min="9741" max="9741" width="18.375" style="73" customWidth="1"/>
    <col min="9742" max="9742" width="12.625" style="73" customWidth="1"/>
    <col min="9743" max="9743" width="3.125" style="73" customWidth="1"/>
    <col min="9744" max="9744" width="12.625" style="73" customWidth="1"/>
    <col min="9745" max="9745" width="13.625" style="73" customWidth="1"/>
    <col min="9746" max="9990" width="9" style="73"/>
    <col min="9991" max="9991" width="18.625" style="73" customWidth="1"/>
    <col min="9992" max="9992" width="5.625" style="73" customWidth="1"/>
    <col min="9993" max="9993" width="3.625" style="73" customWidth="1"/>
    <col min="9994" max="9995" width="9" style="73"/>
    <col min="9996" max="9996" width="3.375" style="73" customWidth="1"/>
    <col min="9997" max="9997" width="18.375" style="73" customWidth="1"/>
    <col min="9998" max="9998" width="12.625" style="73" customWidth="1"/>
    <col min="9999" max="9999" width="3.125" style="73" customWidth="1"/>
    <col min="10000" max="10000" width="12.625" style="73" customWidth="1"/>
    <col min="10001" max="10001" width="13.625" style="73" customWidth="1"/>
    <col min="10002" max="10246" width="9" style="73"/>
    <col min="10247" max="10247" width="18.625" style="73" customWidth="1"/>
    <col min="10248" max="10248" width="5.625" style="73" customWidth="1"/>
    <col min="10249" max="10249" width="3.625" style="73" customWidth="1"/>
    <col min="10250" max="10251" width="9" style="73"/>
    <col min="10252" max="10252" width="3.375" style="73" customWidth="1"/>
    <col min="10253" max="10253" width="18.375" style="73" customWidth="1"/>
    <col min="10254" max="10254" width="12.625" style="73" customWidth="1"/>
    <col min="10255" max="10255" width="3.125" style="73" customWidth="1"/>
    <col min="10256" max="10256" width="12.625" style="73" customWidth="1"/>
    <col min="10257" max="10257" width="13.625" style="73" customWidth="1"/>
    <col min="10258" max="10502" width="9" style="73"/>
    <col min="10503" max="10503" width="18.625" style="73" customWidth="1"/>
    <col min="10504" max="10504" width="5.625" style="73" customWidth="1"/>
    <col min="10505" max="10505" width="3.625" style="73" customWidth="1"/>
    <col min="10506" max="10507" width="9" style="73"/>
    <col min="10508" max="10508" width="3.375" style="73" customWidth="1"/>
    <col min="10509" max="10509" width="18.375" style="73" customWidth="1"/>
    <col min="10510" max="10510" width="12.625" style="73" customWidth="1"/>
    <col min="10511" max="10511" width="3.125" style="73" customWidth="1"/>
    <col min="10512" max="10512" width="12.625" style="73" customWidth="1"/>
    <col min="10513" max="10513" width="13.625" style="73" customWidth="1"/>
    <col min="10514" max="10758" width="9" style="73"/>
    <col min="10759" max="10759" width="18.625" style="73" customWidth="1"/>
    <col min="10760" max="10760" width="5.625" style="73" customWidth="1"/>
    <col min="10761" max="10761" width="3.625" style="73" customWidth="1"/>
    <col min="10762" max="10763" width="9" style="73"/>
    <col min="10764" max="10764" width="3.375" style="73" customWidth="1"/>
    <col min="10765" max="10765" width="18.375" style="73" customWidth="1"/>
    <col min="10766" max="10766" width="12.625" style="73" customWidth="1"/>
    <col min="10767" max="10767" width="3.125" style="73" customWidth="1"/>
    <col min="10768" max="10768" width="12.625" style="73" customWidth="1"/>
    <col min="10769" max="10769" width="13.625" style="73" customWidth="1"/>
    <col min="10770" max="11014" width="9" style="73"/>
    <col min="11015" max="11015" width="18.625" style="73" customWidth="1"/>
    <col min="11016" max="11016" width="5.625" style="73" customWidth="1"/>
    <col min="11017" max="11017" width="3.625" style="73" customWidth="1"/>
    <col min="11018" max="11019" width="9" style="73"/>
    <col min="11020" max="11020" width="3.375" style="73" customWidth="1"/>
    <col min="11021" max="11021" width="18.375" style="73" customWidth="1"/>
    <col min="11022" max="11022" width="12.625" style="73" customWidth="1"/>
    <col min="11023" max="11023" width="3.125" style="73" customWidth="1"/>
    <col min="11024" max="11024" width="12.625" style="73" customWidth="1"/>
    <col min="11025" max="11025" width="13.625" style="73" customWidth="1"/>
    <col min="11026" max="11270" width="9" style="73"/>
    <col min="11271" max="11271" width="18.625" style="73" customWidth="1"/>
    <col min="11272" max="11272" width="5.625" style="73" customWidth="1"/>
    <col min="11273" max="11273" width="3.625" style="73" customWidth="1"/>
    <col min="11274" max="11275" width="9" style="73"/>
    <col min="11276" max="11276" width="3.375" style="73" customWidth="1"/>
    <col min="11277" max="11277" width="18.375" style="73" customWidth="1"/>
    <col min="11278" max="11278" width="12.625" style="73" customWidth="1"/>
    <col min="11279" max="11279" width="3.125" style="73" customWidth="1"/>
    <col min="11280" max="11280" width="12.625" style="73" customWidth="1"/>
    <col min="11281" max="11281" width="13.625" style="73" customWidth="1"/>
    <col min="11282" max="11526" width="9" style="73"/>
    <col min="11527" max="11527" width="18.625" style="73" customWidth="1"/>
    <col min="11528" max="11528" width="5.625" style="73" customWidth="1"/>
    <col min="11529" max="11529" width="3.625" style="73" customWidth="1"/>
    <col min="11530" max="11531" width="9" style="73"/>
    <col min="11532" max="11532" width="3.375" style="73" customWidth="1"/>
    <col min="11533" max="11533" width="18.375" style="73" customWidth="1"/>
    <col min="11534" max="11534" width="12.625" style="73" customWidth="1"/>
    <col min="11535" max="11535" width="3.125" style="73" customWidth="1"/>
    <col min="11536" max="11536" width="12.625" style="73" customWidth="1"/>
    <col min="11537" max="11537" width="13.625" style="73" customWidth="1"/>
    <col min="11538" max="11782" width="9" style="73"/>
    <col min="11783" max="11783" width="18.625" style="73" customWidth="1"/>
    <col min="11784" max="11784" width="5.625" style="73" customWidth="1"/>
    <col min="11785" max="11785" width="3.625" style="73" customWidth="1"/>
    <col min="11786" max="11787" width="9" style="73"/>
    <col min="11788" max="11788" width="3.375" style="73" customWidth="1"/>
    <col min="11789" max="11789" width="18.375" style="73" customWidth="1"/>
    <col min="11790" max="11790" width="12.625" style="73" customWidth="1"/>
    <col min="11791" max="11791" width="3.125" style="73" customWidth="1"/>
    <col min="11792" max="11792" width="12.625" style="73" customWidth="1"/>
    <col min="11793" max="11793" width="13.625" style="73" customWidth="1"/>
    <col min="11794" max="12038" width="9" style="73"/>
    <col min="12039" max="12039" width="18.625" style="73" customWidth="1"/>
    <col min="12040" max="12040" width="5.625" style="73" customWidth="1"/>
    <col min="12041" max="12041" width="3.625" style="73" customWidth="1"/>
    <col min="12042" max="12043" width="9" style="73"/>
    <col min="12044" max="12044" width="3.375" style="73" customWidth="1"/>
    <col min="12045" max="12045" width="18.375" style="73" customWidth="1"/>
    <col min="12046" max="12046" width="12.625" style="73" customWidth="1"/>
    <col min="12047" max="12047" width="3.125" style="73" customWidth="1"/>
    <col min="12048" max="12048" width="12.625" style="73" customWidth="1"/>
    <col min="12049" max="12049" width="13.625" style="73" customWidth="1"/>
    <col min="12050" max="12294" width="9" style="73"/>
    <col min="12295" max="12295" width="18.625" style="73" customWidth="1"/>
    <col min="12296" max="12296" width="5.625" style="73" customWidth="1"/>
    <col min="12297" max="12297" width="3.625" style="73" customWidth="1"/>
    <col min="12298" max="12299" width="9" style="73"/>
    <col min="12300" max="12300" width="3.375" style="73" customWidth="1"/>
    <col min="12301" max="12301" width="18.375" style="73" customWidth="1"/>
    <col min="12302" max="12302" width="12.625" style="73" customWidth="1"/>
    <col min="12303" max="12303" width="3.125" style="73" customWidth="1"/>
    <col min="12304" max="12304" width="12.625" style="73" customWidth="1"/>
    <col min="12305" max="12305" width="13.625" style="73" customWidth="1"/>
    <col min="12306" max="12550" width="9" style="73"/>
    <col min="12551" max="12551" width="18.625" style="73" customWidth="1"/>
    <col min="12552" max="12552" width="5.625" style="73" customWidth="1"/>
    <col min="12553" max="12553" width="3.625" style="73" customWidth="1"/>
    <col min="12554" max="12555" width="9" style="73"/>
    <col min="12556" max="12556" width="3.375" style="73" customWidth="1"/>
    <col min="12557" max="12557" width="18.375" style="73" customWidth="1"/>
    <col min="12558" max="12558" width="12.625" style="73" customWidth="1"/>
    <col min="12559" max="12559" width="3.125" style="73" customWidth="1"/>
    <col min="12560" max="12560" width="12.625" style="73" customWidth="1"/>
    <col min="12561" max="12561" width="13.625" style="73" customWidth="1"/>
    <col min="12562" max="12806" width="9" style="73"/>
    <col min="12807" max="12807" width="18.625" style="73" customWidth="1"/>
    <col min="12808" max="12808" width="5.625" style="73" customWidth="1"/>
    <col min="12809" max="12809" width="3.625" style="73" customWidth="1"/>
    <col min="12810" max="12811" width="9" style="73"/>
    <col min="12812" max="12812" width="3.375" style="73" customWidth="1"/>
    <col min="12813" max="12813" width="18.375" style="73" customWidth="1"/>
    <col min="12814" max="12814" width="12.625" style="73" customWidth="1"/>
    <col min="12815" max="12815" width="3.125" style="73" customWidth="1"/>
    <col min="12816" max="12816" width="12.625" style="73" customWidth="1"/>
    <col min="12817" max="12817" width="13.625" style="73" customWidth="1"/>
    <col min="12818" max="13062" width="9" style="73"/>
    <col min="13063" max="13063" width="18.625" style="73" customWidth="1"/>
    <col min="13064" max="13064" width="5.625" style="73" customWidth="1"/>
    <col min="13065" max="13065" width="3.625" style="73" customWidth="1"/>
    <col min="13066" max="13067" width="9" style="73"/>
    <col min="13068" max="13068" width="3.375" style="73" customWidth="1"/>
    <col min="13069" max="13069" width="18.375" style="73" customWidth="1"/>
    <col min="13070" max="13070" width="12.625" style="73" customWidth="1"/>
    <col min="13071" max="13071" width="3.125" style="73" customWidth="1"/>
    <col min="13072" max="13072" width="12.625" style="73" customWidth="1"/>
    <col min="13073" max="13073" width="13.625" style="73" customWidth="1"/>
    <col min="13074" max="13318" width="9" style="73"/>
    <col min="13319" max="13319" width="18.625" style="73" customWidth="1"/>
    <col min="13320" max="13320" width="5.625" style="73" customWidth="1"/>
    <col min="13321" max="13321" width="3.625" style="73" customWidth="1"/>
    <col min="13322" max="13323" width="9" style="73"/>
    <col min="13324" max="13324" width="3.375" style="73" customWidth="1"/>
    <col min="13325" max="13325" width="18.375" style="73" customWidth="1"/>
    <col min="13326" max="13326" width="12.625" style="73" customWidth="1"/>
    <col min="13327" max="13327" width="3.125" style="73" customWidth="1"/>
    <col min="13328" max="13328" width="12.625" style="73" customWidth="1"/>
    <col min="13329" max="13329" width="13.625" style="73" customWidth="1"/>
    <col min="13330" max="13574" width="9" style="73"/>
    <col min="13575" max="13575" width="18.625" style="73" customWidth="1"/>
    <col min="13576" max="13576" width="5.625" style="73" customWidth="1"/>
    <col min="13577" max="13577" width="3.625" style="73" customWidth="1"/>
    <col min="13578" max="13579" width="9" style="73"/>
    <col min="13580" max="13580" width="3.375" style="73" customWidth="1"/>
    <col min="13581" max="13581" width="18.375" style="73" customWidth="1"/>
    <col min="13582" max="13582" width="12.625" style="73" customWidth="1"/>
    <col min="13583" max="13583" width="3.125" style="73" customWidth="1"/>
    <col min="13584" max="13584" width="12.625" style="73" customWidth="1"/>
    <col min="13585" max="13585" width="13.625" style="73" customWidth="1"/>
    <col min="13586" max="13830" width="9" style="73"/>
    <col min="13831" max="13831" width="18.625" style="73" customWidth="1"/>
    <col min="13832" max="13832" width="5.625" style="73" customWidth="1"/>
    <col min="13833" max="13833" width="3.625" style="73" customWidth="1"/>
    <col min="13834" max="13835" width="9" style="73"/>
    <col min="13836" max="13836" width="3.375" style="73" customWidth="1"/>
    <col min="13837" max="13837" width="18.375" style="73" customWidth="1"/>
    <col min="13838" max="13838" width="12.625" style="73" customWidth="1"/>
    <col min="13839" max="13839" width="3.125" style="73" customWidth="1"/>
    <col min="13840" max="13840" width="12.625" style="73" customWidth="1"/>
    <col min="13841" max="13841" width="13.625" style="73" customWidth="1"/>
    <col min="13842" max="14086" width="9" style="73"/>
    <col min="14087" max="14087" width="18.625" style="73" customWidth="1"/>
    <col min="14088" max="14088" width="5.625" style="73" customWidth="1"/>
    <col min="14089" max="14089" width="3.625" style="73" customWidth="1"/>
    <col min="14090" max="14091" width="9" style="73"/>
    <col min="14092" max="14092" width="3.375" style="73" customWidth="1"/>
    <col min="14093" max="14093" width="18.375" style="73" customWidth="1"/>
    <col min="14094" max="14094" width="12.625" style="73" customWidth="1"/>
    <col min="14095" max="14095" width="3.125" style="73" customWidth="1"/>
    <col min="14096" max="14096" width="12.625" style="73" customWidth="1"/>
    <col min="14097" max="14097" width="13.625" style="73" customWidth="1"/>
    <col min="14098" max="14342" width="9" style="73"/>
    <col min="14343" max="14343" width="18.625" style="73" customWidth="1"/>
    <col min="14344" max="14344" width="5.625" style="73" customWidth="1"/>
    <col min="14345" max="14345" width="3.625" style="73" customWidth="1"/>
    <col min="14346" max="14347" width="9" style="73"/>
    <col min="14348" max="14348" width="3.375" style="73" customWidth="1"/>
    <col min="14349" max="14349" width="18.375" style="73" customWidth="1"/>
    <col min="14350" max="14350" width="12.625" style="73" customWidth="1"/>
    <col min="14351" max="14351" width="3.125" style="73" customWidth="1"/>
    <col min="14352" max="14352" width="12.625" style="73" customWidth="1"/>
    <col min="14353" max="14353" width="13.625" style="73" customWidth="1"/>
    <col min="14354" max="14598" width="9" style="73"/>
    <col min="14599" max="14599" width="18.625" style="73" customWidth="1"/>
    <col min="14600" max="14600" width="5.625" style="73" customWidth="1"/>
    <col min="14601" max="14601" width="3.625" style="73" customWidth="1"/>
    <col min="14602" max="14603" width="9" style="73"/>
    <col min="14604" max="14604" width="3.375" style="73" customWidth="1"/>
    <col min="14605" max="14605" width="18.375" style="73" customWidth="1"/>
    <col min="14606" max="14606" width="12.625" style="73" customWidth="1"/>
    <col min="14607" max="14607" width="3.125" style="73" customWidth="1"/>
    <col min="14608" max="14608" width="12.625" style="73" customWidth="1"/>
    <col min="14609" max="14609" width="13.625" style="73" customWidth="1"/>
    <col min="14610" max="14854" width="9" style="73"/>
    <col min="14855" max="14855" width="18.625" style="73" customWidth="1"/>
    <col min="14856" max="14856" width="5.625" style="73" customWidth="1"/>
    <col min="14857" max="14857" width="3.625" style="73" customWidth="1"/>
    <col min="14858" max="14859" width="9" style="73"/>
    <col min="14860" max="14860" width="3.375" style="73" customWidth="1"/>
    <col min="14861" max="14861" width="18.375" style="73" customWidth="1"/>
    <col min="14862" max="14862" width="12.625" style="73" customWidth="1"/>
    <col min="14863" max="14863" width="3.125" style="73" customWidth="1"/>
    <col min="14864" max="14864" width="12.625" style="73" customWidth="1"/>
    <col min="14865" max="14865" width="13.625" style="73" customWidth="1"/>
    <col min="14866" max="15110" width="9" style="73"/>
    <col min="15111" max="15111" width="18.625" style="73" customWidth="1"/>
    <col min="15112" max="15112" width="5.625" style="73" customWidth="1"/>
    <col min="15113" max="15113" width="3.625" style="73" customWidth="1"/>
    <col min="15114" max="15115" width="9" style="73"/>
    <col min="15116" max="15116" width="3.375" style="73" customWidth="1"/>
    <col min="15117" max="15117" width="18.375" style="73" customWidth="1"/>
    <col min="15118" max="15118" width="12.625" style="73" customWidth="1"/>
    <col min="15119" max="15119" width="3.125" style="73" customWidth="1"/>
    <col min="15120" max="15120" width="12.625" style="73" customWidth="1"/>
    <col min="15121" max="15121" width="13.625" style="73" customWidth="1"/>
    <col min="15122" max="15366" width="9" style="73"/>
    <col min="15367" max="15367" width="18.625" style="73" customWidth="1"/>
    <col min="15368" max="15368" width="5.625" style="73" customWidth="1"/>
    <col min="15369" max="15369" width="3.625" style="73" customWidth="1"/>
    <col min="15370" max="15371" width="9" style="73"/>
    <col min="15372" max="15372" width="3.375" style="73" customWidth="1"/>
    <col min="15373" max="15373" width="18.375" style="73" customWidth="1"/>
    <col min="15374" max="15374" width="12.625" style="73" customWidth="1"/>
    <col min="15375" max="15375" width="3.125" style="73" customWidth="1"/>
    <col min="15376" max="15376" width="12.625" style="73" customWidth="1"/>
    <col min="15377" max="15377" width="13.625" style="73" customWidth="1"/>
    <col min="15378" max="15622" width="9" style="73"/>
    <col min="15623" max="15623" width="18.625" style="73" customWidth="1"/>
    <col min="15624" max="15624" width="5.625" style="73" customWidth="1"/>
    <col min="15625" max="15625" width="3.625" style="73" customWidth="1"/>
    <col min="15626" max="15627" width="9" style="73"/>
    <col min="15628" max="15628" width="3.375" style="73" customWidth="1"/>
    <col min="15629" max="15629" width="18.375" style="73" customWidth="1"/>
    <col min="15630" max="15630" width="12.625" style="73" customWidth="1"/>
    <col min="15631" max="15631" width="3.125" style="73" customWidth="1"/>
    <col min="15632" max="15632" width="12.625" style="73" customWidth="1"/>
    <col min="15633" max="15633" width="13.625" style="73" customWidth="1"/>
    <col min="15634" max="15878" width="9" style="73"/>
    <col min="15879" max="15879" width="18.625" style="73" customWidth="1"/>
    <col min="15880" max="15880" width="5.625" style="73" customWidth="1"/>
    <col min="15881" max="15881" width="3.625" style="73" customWidth="1"/>
    <col min="15882" max="15883" width="9" style="73"/>
    <col min="15884" max="15884" width="3.375" style="73" customWidth="1"/>
    <col min="15885" max="15885" width="18.375" style="73" customWidth="1"/>
    <col min="15886" max="15886" width="12.625" style="73" customWidth="1"/>
    <col min="15887" max="15887" width="3.125" style="73" customWidth="1"/>
    <col min="15888" max="15888" width="12.625" style="73" customWidth="1"/>
    <col min="15889" max="15889" width="13.625" style="73" customWidth="1"/>
    <col min="15890" max="16134" width="9" style="73"/>
    <col min="16135" max="16135" width="18.625" style="73" customWidth="1"/>
    <col min="16136" max="16136" width="5.625" style="73" customWidth="1"/>
    <col min="16137" max="16137" width="3.625" style="73" customWidth="1"/>
    <col min="16138" max="16139" width="9" style="73"/>
    <col min="16140" max="16140" width="3.375" style="73" customWidth="1"/>
    <col min="16141" max="16141" width="18.375" style="73" customWidth="1"/>
    <col min="16142" max="16142" width="12.625" style="73" customWidth="1"/>
    <col min="16143" max="16143" width="3.125" style="73" customWidth="1"/>
    <col min="16144" max="16144" width="12.625" style="73" customWidth="1"/>
    <col min="16145" max="16145" width="13.625" style="73" customWidth="1"/>
    <col min="16146" max="16384" width="9" style="73"/>
  </cols>
  <sheetData>
    <row r="1" spans="1:17" s="69" customFormat="1" ht="36" customHeight="1">
      <c r="A1" s="69" t="s">
        <v>97</v>
      </c>
      <c r="D1" s="70" t="s">
        <v>98</v>
      </c>
      <c r="E1" s="70"/>
      <c r="F1" s="220" t="s">
        <v>99</v>
      </c>
      <c r="G1" s="221"/>
      <c r="H1" s="221"/>
      <c r="I1" s="221"/>
      <c r="J1" s="221"/>
      <c r="K1" s="221"/>
      <c r="L1" s="221"/>
      <c r="M1" s="71"/>
      <c r="Q1" s="72"/>
    </row>
    <row r="2" spans="1:17" ht="23.4">
      <c r="C2" s="74"/>
    </row>
    <row r="3" spans="1:17" ht="23.4">
      <c r="A3" s="74" t="s">
        <v>100</v>
      </c>
      <c r="B3" s="74"/>
      <c r="D3" s="70" t="s">
        <v>98</v>
      </c>
      <c r="E3" s="70"/>
    </row>
    <row r="4" spans="1:17" ht="23.4">
      <c r="C4" s="74"/>
    </row>
    <row r="6" spans="1:17" s="76" customFormat="1" ht="16.2">
      <c r="A6" s="76" t="s">
        <v>101</v>
      </c>
      <c r="F6" s="77" t="s">
        <v>102</v>
      </c>
      <c r="G6" s="77"/>
      <c r="Q6" s="77" t="s">
        <v>103</v>
      </c>
    </row>
    <row r="7" spans="1:17" s="76" customFormat="1" ht="16.2">
      <c r="F7" s="77"/>
      <c r="G7" s="77"/>
      <c r="Q7" s="77"/>
    </row>
    <row r="9" spans="1:17" ht="18" customHeight="1">
      <c r="A9" s="78" t="s">
        <v>104</v>
      </c>
      <c r="B9" s="78"/>
      <c r="C9" s="79"/>
      <c r="D9" s="73" t="s">
        <v>105</v>
      </c>
      <c r="F9" s="222"/>
      <c r="G9" s="222"/>
      <c r="H9" s="80"/>
      <c r="I9" s="81" t="str">
        <f>IFERROR(LOOKUP(10^17,LEFT(I10,COLUMN($1:$1))*1)/K9,"")</f>
        <v/>
      </c>
      <c r="J9" s="80" t="s">
        <v>106</v>
      </c>
      <c r="K9" s="80"/>
      <c r="L9" s="80"/>
      <c r="M9" s="82"/>
      <c r="N9" s="83" t="s">
        <v>107</v>
      </c>
      <c r="O9" s="84"/>
      <c r="P9" s="83" t="s">
        <v>108</v>
      </c>
    </row>
    <row r="10" spans="1:17" ht="18" customHeight="1">
      <c r="A10" s="79"/>
      <c r="B10" s="79"/>
      <c r="C10" s="79"/>
      <c r="F10" s="85"/>
      <c r="G10" s="85"/>
      <c r="H10" s="80"/>
      <c r="I10" s="223"/>
      <c r="J10" s="223"/>
      <c r="K10" s="223"/>
      <c r="L10" s="223"/>
      <c r="M10" s="86"/>
      <c r="N10" s="86"/>
      <c r="O10" s="84"/>
      <c r="P10" s="87" t="s">
        <v>109</v>
      </c>
    </row>
    <row r="11" spans="1:17" ht="18" customHeight="1">
      <c r="A11" s="79" t="s">
        <v>110</v>
      </c>
      <c r="B11" s="223"/>
      <c r="C11" s="223"/>
      <c r="D11" s="223"/>
      <c r="F11" s="85"/>
      <c r="G11" s="85"/>
      <c r="H11" s="80"/>
      <c r="I11" s="80"/>
      <c r="J11" s="80"/>
      <c r="K11" s="80"/>
      <c r="L11" s="81" t="s">
        <v>111</v>
      </c>
      <c r="M11" s="86"/>
      <c r="N11" s="86"/>
      <c r="O11" s="86"/>
    </row>
    <row r="12" spans="1:17" ht="18" customHeight="1">
      <c r="M12" s="86"/>
      <c r="N12" s="86"/>
      <c r="O12" s="86"/>
    </row>
    <row r="13" spans="1:17" ht="18" customHeight="1">
      <c r="A13" s="78" t="s">
        <v>104</v>
      </c>
      <c r="B13" s="78"/>
      <c r="C13" s="79"/>
      <c r="D13" s="73" t="s">
        <v>105</v>
      </c>
      <c r="F13" s="222"/>
      <c r="G13" s="222"/>
      <c r="I13" s="73" t="str">
        <f>IFERROR(LOOKUP(10^17,LEFT(I14,COLUMN($1:$1))*1)/K13,"")</f>
        <v/>
      </c>
      <c r="J13" s="73" t="s">
        <v>106</v>
      </c>
      <c r="M13" s="84"/>
      <c r="N13" s="86" t="s">
        <v>107</v>
      </c>
      <c r="O13" s="84"/>
      <c r="P13" s="83" t="s">
        <v>108</v>
      </c>
    </row>
    <row r="14" spans="1:17" ht="18" customHeight="1">
      <c r="A14" s="79"/>
      <c r="B14" s="79"/>
      <c r="C14" s="79"/>
      <c r="F14" s="85"/>
      <c r="G14" s="85"/>
      <c r="I14" s="219"/>
      <c r="J14" s="219"/>
      <c r="K14" s="219"/>
      <c r="L14" s="219"/>
      <c r="M14" s="86"/>
      <c r="N14" s="86"/>
      <c r="O14" s="84"/>
      <c r="P14" s="87" t="s">
        <v>109</v>
      </c>
    </row>
    <row r="15" spans="1:17" ht="18" customHeight="1">
      <c r="A15" s="79" t="s">
        <v>110</v>
      </c>
      <c r="B15" s="223"/>
      <c r="C15" s="223"/>
      <c r="D15" s="223"/>
      <c r="F15" s="85"/>
      <c r="G15" s="85"/>
      <c r="L15" s="81" t="s">
        <v>111</v>
      </c>
      <c r="M15" s="86"/>
      <c r="N15" s="86"/>
      <c r="O15" s="86"/>
    </row>
    <row r="16" spans="1:17" ht="18" customHeight="1">
      <c r="M16" s="86"/>
      <c r="N16" s="86"/>
      <c r="O16" s="86"/>
    </row>
    <row r="17" spans="1:16" ht="18" customHeight="1">
      <c r="A17" s="78" t="s">
        <v>104</v>
      </c>
      <c r="B17" s="88"/>
      <c r="C17" s="79"/>
      <c r="D17" s="73" t="s">
        <v>105</v>
      </c>
      <c r="F17" s="222"/>
      <c r="G17" s="222"/>
      <c r="I17" s="73" t="str">
        <f>IFERROR(LOOKUP(10^17,LEFT(I18,COLUMN($1:$1))*1)/K17,"")</f>
        <v/>
      </c>
      <c r="J17" s="73" t="s">
        <v>106</v>
      </c>
      <c r="M17" s="84"/>
      <c r="N17" s="86" t="s">
        <v>107</v>
      </c>
      <c r="O17" s="84"/>
      <c r="P17" s="83" t="s">
        <v>108</v>
      </c>
    </row>
    <row r="18" spans="1:16" ht="18" customHeight="1">
      <c r="A18" s="79"/>
      <c r="B18" s="79"/>
      <c r="C18" s="79"/>
      <c r="F18" s="85"/>
      <c r="G18" s="85"/>
      <c r="I18" s="219"/>
      <c r="J18" s="219"/>
      <c r="K18" s="219"/>
      <c r="L18" s="219"/>
      <c r="M18" s="86"/>
      <c r="N18" s="86"/>
      <c r="O18" s="84"/>
      <c r="P18" s="87" t="s">
        <v>109</v>
      </c>
    </row>
    <row r="19" spans="1:16" ht="18" customHeight="1">
      <c r="A19" s="79" t="s">
        <v>110</v>
      </c>
      <c r="B19" s="224" t="s">
        <v>99</v>
      </c>
      <c r="C19" s="223"/>
      <c r="D19" s="223"/>
      <c r="F19" s="85"/>
      <c r="G19" s="85"/>
      <c r="L19" s="81" t="s">
        <v>111</v>
      </c>
      <c r="M19" s="86"/>
      <c r="N19" s="86"/>
      <c r="O19" s="86"/>
    </row>
    <row r="20" spans="1:16" ht="18" customHeight="1">
      <c r="M20" s="86"/>
      <c r="N20" s="86"/>
      <c r="O20" s="86"/>
    </row>
    <row r="21" spans="1:16" ht="18" customHeight="1">
      <c r="A21" s="78" t="s">
        <v>104</v>
      </c>
      <c r="B21" s="78"/>
      <c r="C21" s="79"/>
      <c r="D21" s="73" t="s">
        <v>105</v>
      </c>
      <c r="E21" s="89"/>
      <c r="F21" s="222"/>
      <c r="G21" s="222"/>
      <c r="I21" s="73" t="str">
        <f>IFERROR(LOOKUP(10^17,LEFT(I22,COLUMN($1:$1))*1)/K21,"")</f>
        <v/>
      </c>
      <c r="J21" s="73" t="s">
        <v>106</v>
      </c>
      <c r="M21" s="84"/>
      <c r="N21" s="86" t="s">
        <v>107</v>
      </c>
      <c r="O21" s="84"/>
      <c r="P21" s="83" t="s">
        <v>108</v>
      </c>
    </row>
    <row r="22" spans="1:16" ht="18" customHeight="1">
      <c r="A22" s="79"/>
      <c r="B22" s="79"/>
      <c r="C22" s="79"/>
      <c r="F22" s="85"/>
      <c r="G22" s="85"/>
      <c r="I22" s="219"/>
      <c r="J22" s="219"/>
      <c r="K22" s="219"/>
      <c r="L22" s="219"/>
      <c r="M22" s="86"/>
      <c r="N22" s="86"/>
      <c r="O22" s="84"/>
      <c r="P22" s="87" t="s">
        <v>109</v>
      </c>
    </row>
    <row r="23" spans="1:16" ht="18" customHeight="1">
      <c r="A23" s="79" t="s">
        <v>110</v>
      </c>
      <c r="B23" s="223"/>
      <c r="C23" s="223"/>
      <c r="D23" s="223"/>
      <c r="F23" s="85"/>
      <c r="G23" s="85"/>
      <c r="L23" s="81" t="s">
        <v>111</v>
      </c>
      <c r="M23" s="86"/>
      <c r="N23" s="86"/>
      <c r="O23" s="86"/>
    </row>
    <row r="24" spans="1:16" ht="18" customHeight="1">
      <c r="M24" s="86"/>
      <c r="N24" s="86"/>
      <c r="O24" s="86"/>
    </row>
    <row r="25" spans="1:16" ht="18" customHeight="1">
      <c r="A25" s="78" t="s">
        <v>104</v>
      </c>
      <c r="B25" s="78"/>
      <c r="C25" s="79"/>
      <c r="D25" s="73" t="s">
        <v>105</v>
      </c>
      <c r="F25" s="222"/>
      <c r="G25" s="222"/>
      <c r="I25" s="73" t="str">
        <f>IFERROR(LOOKUP(10^17,LEFT(I26,COLUMN($1:$1))*1)/K25,"")</f>
        <v/>
      </c>
      <c r="J25" s="73" t="s">
        <v>106</v>
      </c>
      <c r="M25" s="84"/>
      <c r="N25" s="86" t="s">
        <v>107</v>
      </c>
      <c r="O25" s="84"/>
      <c r="P25" s="83" t="s">
        <v>108</v>
      </c>
    </row>
    <row r="26" spans="1:16" ht="18" customHeight="1">
      <c r="A26" s="79"/>
      <c r="B26" s="79"/>
      <c r="C26" s="79"/>
      <c r="F26" s="85"/>
      <c r="G26" s="85"/>
      <c r="I26" s="219"/>
      <c r="J26" s="219"/>
      <c r="K26" s="219"/>
      <c r="L26" s="219"/>
      <c r="M26" s="86"/>
      <c r="N26" s="86"/>
      <c r="O26" s="84"/>
      <c r="P26" s="87" t="s">
        <v>109</v>
      </c>
    </row>
    <row r="27" spans="1:16" ht="18" customHeight="1">
      <c r="A27" s="79" t="s">
        <v>110</v>
      </c>
      <c r="B27" s="223"/>
      <c r="C27" s="223"/>
      <c r="D27" s="223"/>
      <c r="F27" s="85"/>
      <c r="G27" s="85"/>
      <c r="L27" s="81" t="s">
        <v>111</v>
      </c>
      <c r="M27" s="86"/>
      <c r="N27" s="86"/>
      <c r="O27" s="86"/>
    </row>
    <row r="28" spans="1:16" ht="18" customHeight="1">
      <c r="M28" s="86"/>
      <c r="N28" s="86"/>
      <c r="O28" s="86"/>
    </row>
    <row r="29" spans="1:16" ht="18" customHeight="1">
      <c r="A29" s="78" t="s">
        <v>104</v>
      </c>
      <c r="B29" s="78"/>
      <c r="C29" s="79"/>
      <c r="D29" s="73" t="s">
        <v>105</v>
      </c>
      <c r="F29" s="222"/>
      <c r="G29" s="222"/>
      <c r="I29" s="73" t="str">
        <f>IFERROR(LOOKUP(10^17,LEFT(I30,COLUMN($1:$1))*1)/K26,"")</f>
        <v/>
      </c>
      <c r="J29" s="73" t="s">
        <v>106</v>
      </c>
      <c r="M29" s="84"/>
      <c r="N29" s="86" t="s">
        <v>107</v>
      </c>
      <c r="O29" s="84"/>
      <c r="P29" s="83" t="s">
        <v>108</v>
      </c>
    </row>
    <row r="30" spans="1:16" ht="18" customHeight="1">
      <c r="A30" s="79"/>
      <c r="B30" s="79"/>
      <c r="C30" s="79"/>
      <c r="F30" s="85"/>
      <c r="G30" s="85"/>
      <c r="I30" s="219"/>
      <c r="J30" s="219"/>
      <c r="K30" s="219"/>
      <c r="L30" s="219"/>
      <c r="M30" s="86"/>
      <c r="N30" s="86"/>
      <c r="O30" s="84"/>
      <c r="P30" s="87" t="s">
        <v>109</v>
      </c>
    </row>
    <row r="31" spans="1:16" ht="18" customHeight="1">
      <c r="A31" s="79" t="s">
        <v>110</v>
      </c>
      <c r="B31" s="223"/>
      <c r="C31" s="223"/>
      <c r="D31" s="223"/>
      <c r="F31" s="85"/>
      <c r="G31" s="85"/>
      <c r="L31" s="81" t="s">
        <v>111</v>
      </c>
      <c r="M31" s="86"/>
      <c r="N31" s="86"/>
      <c r="O31" s="86"/>
    </row>
    <row r="32" spans="1:16" ht="18" customHeight="1">
      <c r="M32" s="86"/>
      <c r="N32" s="86"/>
      <c r="O32" s="86"/>
    </row>
    <row r="33" spans="1:16" ht="18" customHeight="1">
      <c r="A33" s="78" t="s">
        <v>104</v>
      </c>
      <c r="B33" s="78"/>
      <c r="C33" s="79"/>
      <c r="D33" s="73" t="s">
        <v>105</v>
      </c>
      <c r="F33" s="222"/>
      <c r="G33" s="222"/>
      <c r="I33" s="73" t="str">
        <f>IFERROR(LOOKUP(10^17,LEFT(I34,COLUMN($1:$1))*1)/K33,"")</f>
        <v/>
      </c>
      <c r="J33" s="73" t="s">
        <v>106</v>
      </c>
      <c r="M33" s="84"/>
      <c r="N33" s="86" t="s">
        <v>107</v>
      </c>
      <c r="O33" s="84"/>
      <c r="P33" s="83" t="s">
        <v>108</v>
      </c>
    </row>
    <row r="34" spans="1:16" ht="18" customHeight="1">
      <c r="A34" s="79"/>
      <c r="B34" s="79"/>
      <c r="C34" s="79"/>
      <c r="I34" s="219"/>
      <c r="J34" s="219"/>
      <c r="K34" s="219"/>
      <c r="L34" s="219"/>
      <c r="M34" s="86"/>
      <c r="N34" s="86"/>
      <c r="O34" s="84"/>
      <c r="P34" s="87" t="s">
        <v>109</v>
      </c>
    </row>
    <row r="35" spans="1:16" ht="18" customHeight="1">
      <c r="A35" s="79" t="s">
        <v>110</v>
      </c>
      <c r="B35" s="223"/>
      <c r="C35" s="223"/>
      <c r="D35" s="223"/>
      <c r="L35" s="81" t="s">
        <v>111</v>
      </c>
      <c r="M35" s="86"/>
      <c r="N35" s="86"/>
      <c r="O35" s="86"/>
    </row>
    <row r="36" spans="1:16" ht="15">
      <c r="M36" s="86"/>
      <c r="N36" s="86"/>
      <c r="O36" s="86"/>
    </row>
    <row r="37" spans="1:16" ht="15">
      <c r="M37" s="86"/>
      <c r="N37" s="86"/>
      <c r="O37" s="86"/>
    </row>
    <row r="38" spans="1:16" ht="15">
      <c r="M38" s="86"/>
      <c r="N38" s="86"/>
      <c r="O38" s="86"/>
    </row>
    <row r="39" spans="1:16" ht="23.4">
      <c r="A39" s="74" t="s">
        <v>112</v>
      </c>
      <c r="B39" s="74"/>
      <c r="D39" s="70" t="s">
        <v>98</v>
      </c>
      <c r="E39" s="70"/>
      <c r="F39" s="225" t="s">
        <v>99</v>
      </c>
      <c r="G39" s="225"/>
      <c r="L39" s="81" t="s">
        <v>113</v>
      </c>
    </row>
    <row r="41" spans="1:16" ht="23.4">
      <c r="A41" s="74" t="s">
        <v>114</v>
      </c>
      <c r="B41" s="74"/>
      <c r="D41" s="70" t="s">
        <v>98</v>
      </c>
      <c r="E41" s="70"/>
      <c r="F41" s="226" t="s">
        <v>99</v>
      </c>
      <c r="G41" s="226"/>
      <c r="L41" s="81" t="s">
        <v>115</v>
      </c>
    </row>
    <row r="43" spans="1:16" ht="23.4">
      <c r="A43" s="74" t="s">
        <v>116</v>
      </c>
      <c r="B43" s="74"/>
      <c r="D43" s="70" t="s">
        <v>98</v>
      </c>
      <c r="E43" s="70"/>
      <c r="F43" s="225" t="s">
        <v>99</v>
      </c>
      <c r="G43" s="225"/>
    </row>
    <row r="45" spans="1:16" ht="23.4">
      <c r="A45" s="74" t="s">
        <v>117</v>
      </c>
      <c r="B45" s="74"/>
      <c r="D45" s="70" t="s">
        <v>98</v>
      </c>
      <c r="E45" s="70"/>
    </row>
    <row r="46" spans="1:16" ht="23.4">
      <c r="A46" s="74" t="s">
        <v>118</v>
      </c>
      <c r="B46" s="74"/>
      <c r="D46" s="70" t="s">
        <v>98</v>
      </c>
      <c r="E46" s="70"/>
    </row>
    <row r="48" spans="1:16" ht="23.4">
      <c r="A48" s="74" t="s">
        <v>119</v>
      </c>
      <c r="B48" s="74"/>
      <c r="G48" s="90" t="s">
        <v>120</v>
      </c>
      <c r="M48" s="91" t="s">
        <v>121</v>
      </c>
    </row>
    <row r="49" spans="7:13" ht="14.4">
      <c r="G49" s="90" t="s">
        <v>122</v>
      </c>
      <c r="M49" s="91" t="s">
        <v>122</v>
      </c>
    </row>
    <row r="50" spans="7:13" ht="14.4">
      <c r="G50" s="90" t="s">
        <v>123</v>
      </c>
      <c r="M50" s="91" t="s">
        <v>123</v>
      </c>
    </row>
  </sheetData>
  <mergeCells count="25">
    <mergeCell ref="F43:G43"/>
    <mergeCell ref="B31:D31"/>
    <mergeCell ref="F33:G33"/>
    <mergeCell ref="I34:L34"/>
    <mergeCell ref="B35:D35"/>
    <mergeCell ref="F39:G39"/>
    <mergeCell ref="F41:G41"/>
    <mergeCell ref="I30:L30"/>
    <mergeCell ref="B15:D15"/>
    <mergeCell ref="F17:G17"/>
    <mergeCell ref="I18:L18"/>
    <mergeCell ref="B19:D19"/>
    <mergeCell ref="F21:G21"/>
    <mergeCell ref="I22:L22"/>
    <mergeCell ref="B23:D23"/>
    <mergeCell ref="F25:G25"/>
    <mergeCell ref="I26:L26"/>
    <mergeCell ref="B27:D27"/>
    <mergeCell ref="F29:G29"/>
    <mergeCell ref="I14:L14"/>
    <mergeCell ref="F1:L1"/>
    <mergeCell ref="F9:G9"/>
    <mergeCell ref="I10:L10"/>
    <mergeCell ref="B11:D11"/>
    <mergeCell ref="F13:G13"/>
  </mergeCells>
  <phoneticPr fontId="1"/>
  <pageMargins left="0.35433070866141736" right="0.19685039370078741" top="0.59055118110236227" bottom="0.51181102362204722" header="0.51181102362204722" footer="0.51181102362204722"/>
  <pageSetup paperSize="9" scale="86" orientation="portrait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"/>
  <dimension ref="A1:I14"/>
  <sheetViews>
    <sheetView workbookViewId="0">
      <selection activeCell="D32" sqref="D32"/>
    </sheetView>
  </sheetViews>
  <sheetFormatPr defaultRowHeight="15"/>
  <cols>
    <col min="1" max="1" width="3.375" bestFit="1" customWidth="1"/>
    <col min="2" max="2" width="47.875" customWidth="1"/>
    <col min="3" max="3" width="25.875" customWidth="1"/>
    <col min="4" max="4" width="23.375" customWidth="1"/>
    <col min="7" max="7" width="3.625" bestFit="1" customWidth="1"/>
    <col min="8" max="8" width="4.375" bestFit="1" customWidth="1"/>
    <col min="9" max="9" width="3.375" bestFit="1" customWidth="1"/>
  </cols>
  <sheetData>
    <row r="1" spans="1:9">
      <c r="I1" t="s">
        <v>124</v>
      </c>
    </row>
    <row r="2" spans="1:9">
      <c r="A2" t="s">
        <v>125</v>
      </c>
      <c r="B2" s="4" t="s">
        <v>126</v>
      </c>
      <c r="C2" s="8" t="s">
        <v>127</v>
      </c>
      <c r="D2" s="3" t="s">
        <v>22</v>
      </c>
      <c r="E2" s="3" t="s">
        <v>128</v>
      </c>
      <c r="F2" s="3" t="s">
        <v>129</v>
      </c>
      <c r="G2" s="9">
        <v>51</v>
      </c>
      <c r="H2" s="3">
        <v>250</v>
      </c>
      <c r="I2" s="3">
        <v>4</v>
      </c>
    </row>
    <row r="3" spans="1:9" ht="15.6" thickBot="1">
      <c r="A3" t="s">
        <v>125</v>
      </c>
      <c r="B3" s="4" t="s">
        <v>130</v>
      </c>
      <c r="C3" s="3" t="s">
        <v>131</v>
      </c>
      <c r="D3" s="3" t="s">
        <v>22</v>
      </c>
      <c r="E3" s="3" t="s">
        <v>128</v>
      </c>
      <c r="F3" s="3" t="s">
        <v>132</v>
      </c>
      <c r="G3" s="9">
        <v>51</v>
      </c>
      <c r="H3" s="3">
        <v>250</v>
      </c>
      <c r="I3" s="3">
        <v>4</v>
      </c>
    </row>
    <row r="4" spans="1:9" ht="15.6" thickBot="1">
      <c r="A4" t="s">
        <v>133</v>
      </c>
      <c r="B4" s="92" t="s">
        <v>134</v>
      </c>
      <c r="C4" s="3" t="s">
        <v>135</v>
      </c>
      <c r="D4" s="3" t="s">
        <v>136</v>
      </c>
      <c r="E4" s="3" t="s">
        <v>137</v>
      </c>
      <c r="F4" s="3" t="s">
        <v>138</v>
      </c>
      <c r="G4" s="9">
        <v>51</v>
      </c>
      <c r="H4" s="3">
        <v>190</v>
      </c>
      <c r="I4" s="3">
        <v>4</v>
      </c>
    </row>
    <row r="5" spans="1:9" ht="15.6" thickBot="1">
      <c r="A5" t="s">
        <v>139</v>
      </c>
      <c r="B5" s="7" t="s">
        <v>140</v>
      </c>
      <c r="C5" s="3" t="s">
        <v>135</v>
      </c>
      <c r="D5" s="3" t="s">
        <v>140</v>
      </c>
      <c r="E5" s="3" t="s">
        <v>137</v>
      </c>
      <c r="F5" s="3" t="s">
        <v>141</v>
      </c>
      <c r="G5" s="9">
        <v>51</v>
      </c>
      <c r="H5" s="3">
        <v>190</v>
      </c>
      <c r="I5" s="3">
        <v>4</v>
      </c>
    </row>
    <row r="6" spans="1:9" ht="15.6" thickBot="1">
      <c r="A6" t="s">
        <v>142</v>
      </c>
      <c r="B6" s="7" t="s">
        <v>38</v>
      </c>
      <c r="C6" s="3" t="s">
        <v>131</v>
      </c>
      <c r="D6" s="3" t="s">
        <v>39</v>
      </c>
      <c r="E6" s="3" t="s">
        <v>143</v>
      </c>
      <c r="F6" s="3" t="s">
        <v>144</v>
      </c>
      <c r="G6" s="9" t="s">
        <v>145</v>
      </c>
      <c r="H6" s="3">
        <v>20</v>
      </c>
      <c r="I6" s="3">
        <v>32</v>
      </c>
    </row>
    <row r="7" spans="1:9" ht="25.8" thickBot="1">
      <c r="A7" t="s">
        <v>146</v>
      </c>
      <c r="B7" s="7" t="s">
        <v>44</v>
      </c>
      <c r="C7" s="3" t="s">
        <v>147</v>
      </c>
      <c r="D7" s="3" t="s">
        <v>34</v>
      </c>
      <c r="E7" s="3" t="s">
        <v>148</v>
      </c>
      <c r="F7" s="3" t="s">
        <v>144</v>
      </c>
      <c r="G7" s="9" t="s">
        <v>145</v>
      </c>
      <c r="H7" s="3">
        <v>20</v>
      </c>
      <c r="I7" s="3">
        <v>32</v>
      </c>
    </row>
    <row r="8" spans="1:9" ht="15.6" thickBot="1">
      <c r="A8" t="s">
        <v>149</v>
      </c>
      <c r="B8" s="7" t="s">
        <v>17</v>
      </c>
      <c r="C8" s="3" t="s">
        <v>150</v>
      </c>
      <c r="D8" s="3" t="s">
        <v>34</v>
      </c>
      <c r="E8" s="3" t="s">
        <v>148</v>
      </c>
      <c r="F8" s="3" t="s">
        <v>151</v>
      </c>
      <c r="G8" s="9">
        <v>51</v>
      </c>
      <c r="H8" s="3">
        <v>230</v>
      </c>
      <c r="I8" s="3">
        <v>4</v>
      </c>
    </row>
    <row r="9" spans="1:9" ht="15.6" thickBot="1">
      <c r="A9" t="s">
        <v>152</v>
      </c>
      <c r="B9" s="7" t="s">
        <v>153</v>
      </c>
      <c r="C9" s="3" t="s">
        <v>127</v>
      </c>
      <c r="D9" s="3" t="s">
        <v>34</v>
      </c>
      <c r="E9" s="3" t="s">
        <v>148</v>
      </c>
      <c r="F9" s="3" t="s">
        <v>154</v>
      </c>
      <c r="G9" s="9">
        <v>51</v>
      </c>
      <c r="H9" s="3">
        <v>230</v>
      </c>
      <c r="I9" s="3">
        <v>4</v>
      </c>
    </row>
    <row r="10" spans="1:9" ht="15.6" thickBot="1">
      <c r="A10" t="s">
        <v>155</v>
      </c>
      <c r="B10" s="7" t="s">
        <v>54</v>
      </c>
      <c r="C10" s="3" t="s">
        <v>127</v>
      </c>
      <c r="D10" s="3" t="s">
        <v>55</v>
      </c>
      <c r="E10" s="3" t="s">
        <v>156</v>
      </c>
      <c r="F10" s="3" t="s">
        <v>157</v>
      </c>
      <c r="G10" s="9" t="s">
        <v>145</v>
      </c>
      <c r="H10" s="3">
        <v>25</v>
      </c>
      <c r="I10" s="3">
        <v>32</v>
      </c>
    </row>
    <row r="11" spans="1:9" ht="15.6" thickBot="1">
      <c r="A11" t="s">
        <v>158</v>
      </c>
      <c r="B11" s="7" t="s">
        <v>159</v>
      </c>
      <c r="C11" s="3" t="s">
        <v>160</v>
      </c>
      <c r="D11" s="3" t="s">
        <v>55</v>
      </c>
      <c r="E11" s="3" t="s">
        <v>161</v>
      </c>
      <c r="F11" s="3" t="s">
        <v>162</v>
      </c>
      <c r="G11" s="9">
        <v>51</v>
      </c>
      <c r="H11" s="3">
        <v>300</v>
      </c>
      <c r="I11" s="3">
        <v>4</v>
      </c>
    </row>
    <row r="12" spans="1:9">
      <c r="B12" s="68" t="s">
        <v>163</v>
      </c>
    </row>
    <row r="13" spans="1:9">
      <c r="B13" s="68" t="s">
        <v>164</v>
      </c>
    </row>
    <row r="14" spans="1:9">
      <c r="B14" s="68" t="s">
        <v>164</v>
      </c>
    </row>
  </sheetData>
  <phoneticPr fontId="1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8">
    <pageSetUpPr fitToPage="1"/>
  </sheetPr>
  <dimension ref="A1:Q50"/>
  <sheetViews>
    <sheetView view="pageBreakPreview" topLeftCell="A2" zoomScaleNormal="100" zoomScaleSheetLayoutView="100" workbookViewId="0">
      <selection activeCell="T377" sqref="T377"/>
    </sheetView>
  </sheetViews>
  <sheetFormatPr defaultRowHeight="13.2"/>
  <cols>
    <col min="1" max="1" width="4.375" style="73" customWidth="1"/>
    <col min="2" max="2" width="8.25" style="73" customWidth="1"/>
    <col min="3" max="3" width="4.375" style="73" customWidth="1"/>
    <col min="4" max="4" width="4.75" style="73" customWidth="1"/>
    <col min="5" max="5" width="7.375" style="73" customWidth="1"/>
    <col min="6" max="6" width="9" style="73"/>
    <col min="7" max="7" width="7.625" style="73" customWidth="1"/>
    <col min="8" max="8" width="3.375" style="73" customWidth="1"/>
    <col min="9" max="9" width="7.375" style="73" customWidth="1"/>
    <col min="10" max="10" width="3.375" style="73" customWidth="1"/>
    <col min="11" max="11" width="6.25" style="73" customWidth="1"/>
    <col min="12" max="12" width="3.25" style="73" customWidth="1"/>
    <col min="13" max="13" width="3.125" style="73" customWidth="1"/>
    <col min="14" max="14" width="10.75" style="73" customWidth="1"/>
    <col min="15" max="15" width="3.125" style="73" customWidth="1"/>
    <col min="16" max="16" width="10.75" style="73" customWidth="1"/>
    <col min="17" max="17" width="13.625" style="73" customWidth="1"/>
    <col min="18" max="262" width="9" style="73"/>
    <col min="263" max="263" width="18.625" style="73" customWidth="1"/>
    <col min="264" max="264" width="5.625" style="73" customWidth="1"/>
    <col min="265" max="265" width="3.625" style="73" customWidth="1"/>
    <col min="266" max="267" width="9" style="73"/>
    <col min="268" max="268" width="3.375" style="73" customWidth="1"/>
    <col min="269" max="269" width="18.375" style="73" customWidth="1"/>
    <col min="270" max="270" width="12.625" style="73" customWidth="1"/>
    <col min="271" max="271" width="3.125" style="73" customWidth="1"/>
    <col min="272" max="272" width="12.625" style="73" customWidth="1"/>
    <col min="273" max="273" width="13.625" style="73" customWidth="1"/>
    <col min="274" max="518" width="9" style="73"/>
    <col min="519" max="519" width="18.625" style="73" customWidth="1"/>
    <col min="520" max="520" width="5.625" style="73" customWidth="1"/>
    <col min="521" max="521" width="3.625" style="73" customWidth="1"/>
    <col min="522" max="523" width="9" style="73"/>
    <col min="524" max="524" width="3.375" style="73" customWidth="1"/>
    <col min="525" max="525" width="18.375" style="73" customWidth="1"/>
    <col min="526" max="526" width="12.625" style="73" customWidth="1"/>
    <col min="527" max="527" width="3.125" style="73" customWidth="1"/>
    <col min="528" max="528" width="12.625" style="73" customWidth="1"/>
    <col min="529" max="529" width="13.625" style="73" customWidth="1"/>
    <col min="530" max="774" width="9" style="73"/>
    <col min="775" max="775" width="18.625" style="73" customWidth="1"/>
    <col min="776" max="776" width="5.625" style="73" customWidth="1"/>
    <col min="777" max="777" width="3.625" style="73" customWidth="1"/>
    <col min="778" max="779" width="9" style="73"/>
    <col min="780" max="780" width="3.375" style="73" customWidth="1"/>
    <col min="781" max="781" width="18.375" style="73" customWidth="1"/>
    <col min="782" max="782" width="12.625" style="73" customWidth="1"/>
    <col min="783" max="783" width="3.125" style="73" customWidth="1"/>
    <col min="784" max="784" width="12.625" style="73" customWidth="1"/>
    <col min="785" max="785" width="13.625" style="73" customWidth="1"/>
    <col min="786" max="1030" width="9" style="73"/>
    <col min="1031" max="1031" width="18.625" style="73" customWidth="1"/>
    <col min="1032" max="1032" width="5.625" style="73" customWidth="1"/>
    <col min="1033" max="1033" width="3.625" style="73" customWidth="1"/>
    <col min="1034" max="1035" width="9" style="73"/>
    <col min="1036" max="1036" width="3.375" style="73" customWidth="1"/>
    <col min="1037" max="1037" width="18.375" style="73" customWidth="1"/>
    <col min="1038" max="1038" width="12.625" style="73" customWidth="1"/>
    <col min="1039" max="1039" width="3.125" style="73" customWidth="1"/>
    <col min="1040" max="1040" width="12.625" style="73" customWidth="1"/>
    <col min="1041" max="1041" width="13.625" style="73" customWidth="1"/>
    <col min="1042" max="1286" width="9" style="73"/>
    <col min="1287" max="1287" width="18.625" style="73" customWidth="1"/>
    <col min="1288" max="1288" width="5.625" style="73" customWidth="1"/>
    <col min="1289" max="1289" width="3.625" style="73" customWidth="1"/>
    <col min="1290" max="1291" width="9" style="73"/>
    <col min="1292" max="1292" width="3.375" style="73" customWidth="1"/>
    <col min="1293" max="1293" width="18.375" style="73" customWidth="1"/>
    <col min="1294" max="1294" width="12.625" style="73" customWidth="1"/>
    <col min="1295" max="1295" width="3.125" style="73" customWidth="1"/>
    <col min="1296" max="1296" width="12.625" style="73" customWidth="1"/>
    <col min="1297" max="1297" width="13.625" style="73" customWidth="1"/>
    <col min="1298" max="1542" width="9" style="73"/>
    <col min="1543" max="1543" width="18.625" style="73" customWidth="1"/>
    <col min="1544" max="1544" width="5.625" style="73" customWidth="1"/>
    <col min="1545" max="1545" width="3.625" style="73" customWidth="1"/>
    <col min="1546" max="1547" width="9" style="73"/>
    <col min="1548" max="1548" width="3.375" style="73" customWidth="1"/>
    <col min="1549" max="1549" width="18.375" style="73" customWidth="1"/>
    <col min="1550" max="1550" width="12.625" style="73" customWidth="1"/>
    <col min="1551" max="1551" width="3.125" style="73" customWidth="1"/>
    <col min="1552" max="1552" width="12.625" style="73" customWidth="1"/>
    <col min="1553" max="1553" width="13.625" style="73" customWidth="1"/>
    <col min="1554" max="1798" width="9" style="73"/>
    <col min="1799" max="1799" width="18.625" style="73" customWidth="1"/>
    <col min="1800" max="1800" width="5.625" style="73" customWidth="1"/>
    <col min="1801" max="1801" width="3.625" style="73" customWidth="1"/>
    <col min="1802" max="1803" width="9" style="73"/>
    <col min="1804" max="1804" width="3.375" style="73" customWidth="1"/>
    <col min="1805" max="1805" width="18.375" style="73" customWidth="1"/>
    <col min="1806" max="1806" width="12.625" style="73" customWidth="1"/>
    <col min="1807" max="1807" width="3.125" style="73" customWidth="1"/>
    <col min="1808" max="1808" width="12.625" style="73" customWidth="1"/>
    <col min="1809" max="1809" width="13.625" style="73" customWidth="1"/>
    <col min="1810" max="2054" width="9" style="73"/>
    <col min="2055" max="2055" width="18.625" style="73" customWidth="1"/>
    <col min="2056" max="2056" width="5.625" style="73" customWidth="1"/>
    <col min="2057" max="2057" width="3.625" style="73" customWidth="1"/>
    <col min="2058" max="2059" width="9" style="73"/>
    <col min="2060" max="2060" width="3.375" style="73" customWidth="1"/>
    <col min="2061" max="2061" width="18.375" style="73" customWidth="1"/>
    <col min="2062" max="2062" width="12.625" style="73" customWidth="1"/>
    <col min="2063" max="2063" width="3.125" style="73" customWidth="1"/>
    <col min="2064" max="2064" width="12.625" style="73" customWidth="1"/>
    <col min="2065" max="2065" width="13.625" style="73" customWidth="1"/>
    <col min="2066" max="2310" width="9" style="73"/>
    <col min="2311" max="2311" width="18.625" style="73" customWidth="1"/>
    <col min="2312" max="2312" width="5.625" style="73" customWidth="1"/>
    <col min="2313" max="2313" width="3.625" style="73" customWidth="1"/>
    <col min="2314" max="2315" width="9" style="73"/>
    <col min="2316" max="2316" width="3.375" style="73" customWidth="1"/>
    <col min="2317" max="2317" width="18.375" style="73" customWidth="1"/>
    <col min="2318" max="2318" width="12.625" style="73" customWidth="1"/>
    <col min="2319" max="2319" width="3.125" style="73" customWidth="1"/>
    <col min="2320" max="2320" width="12.625" style="73" customWidth="1"/>
    <col min="2321" max="2321" width="13.625" style="73" customWidth="1"/>
    <col min="2322" max="2566" width="9" style="73"/>
    <col min="2567" max="2567" width="18.625" style="73" customWidth="1"/>
    <col min="2568" max="2568" width="5.625" style="73" customWidth="1"/>
    <col min="2569" max="2569" width="3.625" style="73" customWidth="1"/>
    <col min="2570" max="2571" width="9" style="73"/>
    <col min="2572" max="2572" width="3.375" style="73" customWidth="1"/>
    <col min="2573" max="2573" width="18.375" style="73" customWidth="1"/>
    <col min="2574" max="2574" width="12.625" style="73" customWidth="1"/>
    <col min="2575" max="2575" width="3.125" style="73" customWidth="1"/>
    <col min="2576" max="2576" width="12.625" style="73" customWidth="1"/>
    <col min="2577" max="2577" width="13.625" style="73" customWidth="1"/>
    <col min="2578" max="2822" width="9" style="73"/>
    <col min="2823" max="2823" width="18.625" style="73" customWidth="1"/>
    <col min="2824" max="2824" width="5.625" style="73" customWidth="1"/>
    <col min="2825" max="2825" width="3.625" style="73" customWidth="1"/>
    <col min="2826" max="2827" width="9" style="73"/>
    <col min="2828" max="2828" width="3.375" style="73" customWidth="1"/>
    <col min="2829" max="2829" width="18.375" style="73" customWidth="1"/>
    <col min="2830" max="2830" width="12.625" style="73" customWidth="1"/>
    <col min="2831" max="2831" width="3.125" style="73" customWidth="1"/>
    <col min="2832" max="2832" width="12.625" style="73" customWidth="1"/>
    <col min="2833" max="2833" width="13.625" style="73" customWidth="1"/>
    <col min="2834" max="3078" width="9" style="73"/>
    <col min="3079" max="3079" width="18.625" style="73" customWidth="1"/>
    <col min="3080" max="3080" width="5.625" style="73" customWidth="1"/>
    <col min="3081" max="3081" width="3.625" style="73" customWidth="1"/>
    <col min="3082" max="3083" width="9" style="73"/>
    <col min="3084" max="3084" width="3.375" style="73" customWidth="1"/>
    <col min="3085" max="3085" width="18.375" style="73" customWidth="1"/>
    <col min="3086" max="3086" width="12.625" style="73" customWidth="1"/>
    <col min="3087" max="3087" width="3.125" style="73" customWidth="1"/>
    <col min="3088" max="3088" width="12.625" style="73" customWidth="1"/>
    <col min="3089" max="3089" width="13.625" style="73" customWidth="1"/>
    <col min="3090" max="3334" width="9" style="73"/>
    <col min="3335" max="3335" width="18.625" style="73" customWidth="1"/>
    <col min="3336" max="3336" width="5.625" style="73" customWidth="1"/>
    <col min="3337" max="3337" width="3.625" style="73" customWidth="1"/>
    <col min="3338" max="3339" width="9" style="73"/>
    <col min="3340" max="3340" width="3.375" style="73" customWidth="1"/>
    <col min="3341" max="3341" width="18.375" style="73" customWidth="1"/>
    <col min="3342" max="3342" width="12.625" style="73" customWidth="1"/>
    <col min="3343" max="3343" width="3.125" style="73" customWidth="1"/>
    <col min="3344" max="3344" width="12.625" style="73" customWidth="1"/>
    <col min="3345" max="3345" width="13.625" style="73" customWidth="1"/>
    <col min="3346" max="3590" width="9" style="73"/>
    <col min="3591" max="3591" width="18.625" style="73" customWidth="1"/>
    <col min="3592" max="3592" width="5.625" style="73" customWidth="1"/>
    <col min="3593" max="3593" width="3.625" style="73" customWidth="1"/>
    <col min="3594" max="3595" width="9" style="73"/>
    <col min="3596" max="3596" width="3.375" style="73" customWidth="1"/>
    <col min="3597" max="3597" width="18.375" style="73" customWidth="1"/>
    <col min="3598" max="3598" width="12.625" style="73" customWidth="1"/>
    <col min="3599" max="3599" width="3.125" style="73" customWidth="1"/>
    <col min="3600" max="3600" width="12.625" style="73" customWidth="1"/>
    <col min="3601" max="3601" width="13.625" style="73" customWidth="1"/>
    <col min="3602" max="3846" width="9" style="73"/>
    <col min="3847" max="3847" width="18.625" style="73" customWidth="1"/>
    <col min="3848" max="3848" width="5.625" style="73" customWidth="1"/>
    <col min="3849" max="3849" width="3.625" style="73" customWidth="1"/>
    <col min="3850" max="3851" width="9" style="73"/>
    <col min="3852" max="3852" width="3.375" style="73" customWidth="1"/>
    <col min="3853" max="3853" width="18.375" style="73" customWidth="1"/>
    <col min="3854" max="3854" width="12.625" style="73" customWidth="1"/>
    <col min="3855" max="3855" width="3.125" style="73" customWidth="1"/>
    <col min="3856" max="3856" width="12.625" style="73" customWidth="1"/>
    <col min="3857" max="3857" width="13.625" style="73" customWidth="1"/>
    <col min="3858" max="4102" width="9" style="73"/>
    <col min="4103" max="4103" width="18.625" style="73" customWidth="1"/>
    <col min="4104" max="4104" width="5.625" style="73" customWidth="1"/>
    <col min="4105" max="4105" width="3.625" style="73" customWidth="1"/>
    <col min="4106" max="4107" width="9" style="73"/>
    <col min="4108" max="4108" width="3.375" style="73" customWidth="1"/>
    <col min="4109" max="4109" width="18.375" style="73" customWidth="1"/>
    <col min="4110" max="4110" width="12.625" style="73" customWidth="1"/>
    <col min="4111" max="4111" width="3.125" style="73" customWidth="1"/>
    <col min="4112" max="4112" width="12.625" style="73" customWidth="1"/>
    <col min="4113" max="4113" width="13.625" style="73" customWidth="1"/>
    <col min="4114" max="4358" width="9" style="73"/>
    <col min="4359" max="4359" width="18.625" style="73" customWidth="1"/>
    <col min="4360" max="4360" width="5.625" style="73" customWidth="1"/>
    <col min="4361" max="4361" width="3.625" style="73" customWidth="1"/>
    <col min="4362" max="4363" width="9" style="73"/>
    <col min="4364" max="4364" width="3.375" style="73" customWidth="1"/>
    <col min="4365" max="4365" width="18.375" style="73" customWidth="1"/>
    <col min="4366" max="4366" width="12.625" style="73" customWidth="1"/>
    <col min="4367" max="4367" width="3.125" style="73" customWidth="1"/>
    <col min="4368" max="4368" width="12.625" style="73" customWidth="1"/>
    <col min="4369" max="4369" width="13.625" style="73" customWidth="1"/>
    <col min="4370" max="4614" width="9" style="73"/>
    <col min="4615" max="4615" width="18.625" style="73" customWidth="1"/>
    <col min="4616" max="4616" width="5.625" style="73" customWidth="1"/>
    <col min="4617" max="4617" width="3.625" style="73" customWidth="1"/>
    <col min="4618" max="4619" width="9" style="73"/>
    <col min="4620" max="4620" width="3.375" style="73" customWidth="1"/>
    <col min="4621" max="4621" width="18.375" style="73" customWidth="1"/>
    <col min="4622" max="4622" width="12.625" style="73" customWidth="1"/>
    <col min="4623" max="4623" width="3.125" style="73" customWidth="1"/>
    <col min="4624" max="4624" width="12.625" style="73" customWidth="1"/>
    <col min="4625" max="4625" width="13.625" style="73" customWidth="1"/>
    <col min="4626" max="4870" width="9" style="73"/>
    <col min="4871" max="4871" width="18.625" style="73" customWidth="1"/>
    <col min="4872" max="4872" width="5.625" style="73" customWidth="1"/>
    <col min="4873" max="4873" width="3.625" style="73" customWidth="1"/>
    <col min="4874" max="4875" width="9" style="73"/>
    <col min="4876" max="4876" width="3.375" style="73" customWidth="1"/>
    <col min="4877" max="4877" width="18.375" style="73" customWidth="1"/>
    <col min="4878" max="4878" width="12.625" style="73" customWidth="1"/>
    <col min="4879" max="4879" width="3.125" style="73" customWidth="1"/>
    <col min="4880" max="4880" width="12.625" style="73" customWidth="1"/>
    <col min="4881" max="4881" width="13.625" style="73" customWidth="1"/>
    <col min="4882" max="5126" width="9" style="73"/>
    <col min="5127" max="5127" width="18.625" style="73" customWidth="1"/>
    <col min="5128" max="5128" width="5.625" style="73" customWidth="1"/>
    <col min="5129" max="5129" width="3.625" style="73" customWidth="1"/>
    <col min="5130" max="5131" width="9" style="73"/>
    <col min="5132" max="5132" width="3.375" style="73" customWidth="1"/>
    <col min="5133" max="5133" width="18.375" style="73" customWidth="1"/>
    <col min="5134" max="5134" width="12.625" style="73" customWidth="1"/>
    <col min="5135" max="5135" width="3.125" style="73" customWidth="1"/>
    <col min="5136" max="5136" width="12.625" style="73" customWidth="1"/>
    <col min="5137" max="5137" width="13.625" style="73" customWidth="1"/>
    <col min="5138" max="5382" width="9" style="73"/>
    <col min="5383" max="5383" width="18.625" style="73" customWidth="1"/>
    <col min="5384" max="5384" width="5.625" style="73" customWidth="1"/>
    <col min="5385" max="5385" width="3.625" style="73" customWidth="1"/>
    <col min="5386" max="5387" width="9" style="73"/>
    <col min="5388" max="5388" width="3.375" style="73" customWidth="1"/>
    <col min="5389" max="5389" width="18.375" style="73" customWidth="1"/>
    <col min="5390" max="5390" width="12.625" style="73" customWidth="1"/>
    <col min="5391" max="5391" width="3.125" style="73" customWidth="1"/>
    <col min="5392" max="5392" width="12.625" style="73" customWidth="1"/>
    <col min="5393" max="5393" width="13.625" style="73" customWidth="1"/>
    <col min="5394" max="5638" width="9" style="73"/>
    <col min="5639" max="5639" width="18.625" style="73" customWidth="1"/>
    <col min="5640" max="5640" width="5.625" style="73" customWidth="1"/>
    <col min="5641" max="5641" width="3.625" style="73" customWidth="1"/>
    <col min="5642" max="5643" width="9" style="73"/>
    <col min="5644" max="5644" width="3.375" style="73" customWidth="1"/>
    <col min="5645" max="5645" width="18.375" style="73" customWidth="1"/>
    <col min="5646" max="5646" width="12.625" style="73" customWidth="1"/>
    <col min="5647" max="5647" width="3.125" style="73" customWidth="1"/>
    <col min="5648" max="5648" width="12.625" style="73" customWidth="1"/>
    <col min="5649" max="5649" width="13.625" style="73" customWidth="1"/>
    <col min="5650" max="5894" width="9" style="73"/>
    <col min="5895" max="5895" width="18.625" style="73" customWidth="1"/>
    <col min="5896" max="5896" width="5.625" style="73" customWidth="1"/>
    <col min="5897" max="5897" width="3.625" style="73" customWidth="1"/>
    <col min="5898" max="5899" width="9" style="73"/>
    <col min="5900" max="5900" width="3.375" style="73" customWidth="1"/>
    <col min="5901" max="5901" width="18.375" style="73" customWidth="1"/>
    <col min="5902" max="5902" width="12.625" style="73" customWidth="1"/>
    <col min="5903" max="5903" width="3.125" style="73" customWidth="1"/>
    <col min="5904" max="5904" width="12.625" style="73" customWidth="1"/>
    <col min="5905" max="5905" width="13.625" style="73" customWidth="1"/>
    <col min="5906" max="6150" width="9" style="73"/>
    <col min="6151" max="6151" width="18.625" style="73" customWidth="1"/>
    <col min="6152" max="6152" width="5.625" style="73" customWidth="1"/>
    <col min="6153" max="6153" width="3.625" style="73" customWidth="1"/>
    <col min="6154" max="6155" width="9" style="73"/>
    <col min="6156" max="6156" width="3.375" style="73" customWidth="1"/>
    <col min="6157" max="6157" width="18.375" style="73" customWidth="1"/>
    <col min="6158" max="6158" width="12.625" style="73" customWidth="1"/>
    <col min="6159" max="6159" width="3.125" style="73" customWidth="1"/>
    <col min="6160" max="6160" width="12.625" style="73" customWidth="1"/>
    <col min="6161" max="6161" width="13.625" style="73" customWidth="1"/>
    <col min="6162" max="6406" width="9" style="73"/>
    <col min="6407" max="6407" width="18.625" style="73" customWidth="1"/>
    <col min="6408" max="6408" width="5.625" style="73" customWidth="1"/>
    <col min="6409" max="6409" width="3.625" style="73" customWidth="1"/>
    <col min="6410" max="6411" width="9" style="73"/>
    <col min="6412" max="6412" width="3.375" style="73" customWidth="1"/>
    <col min="6413" max="6413" width="18.375" style="73" customWidth="1"/>
    <col min="6414" max="6414" width="12.625" style="73" customWidth="1"/>
    <col min="6415" max="6415" width="3.125" style="73" customWidth="1"/>
    <col min="6416" max="6416" width="12.625" style="73" customWidth="1"/>
    <col min="6417" max="6417" width="13.625" style="73" customWidth="1"/>
    <col min="6418" max="6662" width="9" style="73"/>
    <col min="6663" max="6663" width="18.625" style="73" customWidth="1"/>
    <col min="6664" max="6664" width="5.625" style="73" customWidth="1"/>
    <col min="6665" max="6665" width="3.625" style="73" customWidth="1"/>
    <col min="6666" max="6667" width="9" style="73"/>
    <col min="6668" max="6668" width="3.375" style="73" customWidth="1"/>
    <col min="6669" max="6669" width="18.375" style="73" customWidth="1"/>
    <col min="6670" max="6670" width="12.625" style="73" customWidth="1"/>
    <col min="6671" max="6671" width="3.125" style="73" customWidth="1"/>
    <col min="6672" max="6672" width="12.625" style="73" customWidth="1"/>
    <col min="6673" max="6673" width="13.625" style="73" customWidth="1"/>
    <col min="6674" max="6918" width="9" style="73"/>
    <col min="6919" max="6919" width="18.625" style="73" customWidth="1"/>
    <col min="6920" max="6920" width="5.625" style="73" customWidth="1"/>
    <col min="6921" max="6921" width="3.625" style="73" customWidth="1"/>
    <col min="6922" max="6923" width="9" style="73"/>
    <col min="6924" max="6924" width="3.375" style="73" customWidth="1"/>
    <col min="6925" max="6925" width="18.375" style="73" customWidth="1"/>
    <col min="6926" max="6926" width="12.625" style="73" customWidth="1"/>
    <col min="6927" max="6927" width="3.125" style="73" customWidth="1"/>
    <col min="6928" max="6928" width="12.625" style="73" customWidth="1"/>
    <col min="6929" max="6929" width="13.625" style="73" customWidth="1"/>
    <col min="6930" max="7174" width="9" style="73"/>
    <col min="7175" max="7175" width="18.625" style="73" customWidth="1"/>
    <col min="7176" max="7176" width="5.625" style="73" customWidth="1"/>
    <col min="7177" max="7177" width="3.625" style="73" customWidth="1"/>
    <col min="7178" max="7179" width="9" style="73"/>
    <col min="7180" max="7180" width="3.375" style="73" customWidth="1"/>
    <col min="7181" max="7181" width="18.375" style="73" customWidth="1"/>
    <col min="7182" max="7182" width="12.625" style="73" customWidth="1"/>
    <col min="7183" max="7183" width="3.125" style="73" customWidth="1"/>
    <col min="7184" max="7184" width="12.625" style="73" customWidth="1"/>
    <col min="7185" max="7185" width="13.625" style="73" customWidth="1"/>
    <col min="7186" max="7430" width="9" style="73"/>
    <col min="7431" max="7431" width="18.625" style="73" customWidth="1"/>
    <col min="7432" max="7432" width="5.625" style="73" customWidth="1"/>
    <col min="7433" max="7433" width="3.625" style="73" customWidth="1"/>
    <col min="7434" max="7435" width="9" style="73"/>
    <col min="7436" max="7436" width="3.375" style="73" customWidth="1"/>
    <col min="7437" max="7437" width="18.375" style="73" customWidth="1"/>
    <col min="7438" max="7438" width="12.625" style="73" customWidth="1"/>
    <col min="7439" max="7439" width="3.125" style="73" customWidth="1"/>
    <col min="7440" max="7440" width="12.625" style="73" customWidth="1"/>
    <col min="7441" max="7441" width="13.625" style="73" customWidth="1"/>
    <col min="7442" max="7686" width="9" style="73"/>
    <col min="7687" max="7687" width="18.625" style="73" customWidth="1"/>
    <col min="7688" max="7688" width="5.625" style="73" customWidth="1"/>
    <col min="7689" max="7689" width="3.625" style="73" customWidth="1"/>
    <col min="7690" max="7691" width="9" style="73"/>
    <col min="7692" max="7692" width="3.375" style="73" customWidth="1"/>
    <col min="7693" max="7693" width="18.375" style="73" customWidth="1"/>
    <col min="7694" max="7694" width="12.625" style="73" customWidth="1"/>
    <col min="7695" max="7695" width="3.125" style="73" customWidth="1"/>
    <col min="7696" max="7696" width="12.625" style="73" customWidth="1"/>
    <col min="7697" max="7697" width="13.625" style="73" customWidth="1"/>
    <col min="7698" max="7942" width="9" style="73"/>
    <col min="7943" max="7943" width="18.625" style="73" customWidth="1"/>
    <col min="7944" max="7944" width="5.625" style="73" customWidth="1"/>
    <col min="7945" max="7945" width="3.625" style="73" customWidth="1"/>
    <col min="7946" max="7947" width="9" style="73"/>
    <col min="7948" max="7948" width="3.375" style="73" customWidth="1"/>
    <col min="7949" max="7949" width="18.375" style="73" customWidth="1"/>
    <col min="7950" max="7950" width="12.625" style="73" customWidth="1"/>
    <col min="7951" max="7951" width="3.125" style="73" customWidth="1"/>
    <col min="7952" max="7952" width="12.625" style="73" customWidth="1"/>
    <col min="7953" max="7953" width="13.625" style="73" customWidth="1"/>
    <col min="7954" max="8198" width="9" style="73"/>
    <col min="8199" max="8199" width="18.625" style="73" customWidth="1"/>
    <col min="8200" max="8200" width="5.625" style="73" customWidth="1"/>
    <col min="8201" max="8201" width="3.625" style="73" customWidth="1"/>
    <col min="8202" max="8203" width="9" style="73"/>
    <col min="8204" max="8204" width="3.375" style="73" customWidth="1"/>
    <col min="8205" max="8205" width="18.375" style="73" customWidth="1"/>
    <col min="8206" max="8206" width="12.625" style="73" customWidth="1"/>
    <col min="8207" max="8207" width="3.125" style="73" customWidth="1"/>
    <col min="8208" max="8208" width="12.625" style="73" customWidth="1"/>
    <col min="8209" max="8209" width="13.625" style="73" customWidth="1"/>
    <col min="8210" max="8454" width="9" style="73"/>
    <col min="8455" max="8455" width="18.625" style="73" customWidth="1"/>
    <col min="8456" max="8456" width="5.625" style="73" customWidth="1"/>
    <col min="8457" max="8457" width="3.625" style="73" customWidth="1"/>
    <col min="8458" max="8459" width="9" style="73"/>
    <col min="8460" max="8460" width="3.375" style="73" customWidth="1"/>
    <col min="8461" max="8461" width="18.375" style="73" customWidth="1"/>
    <col min="8462" max="8462" width="12.625" style="73" customWidth="1"/>
    <col min="8463" max="8463" width="3.125" style="73" customWidth="1"/>
    <col min="8464" max="8464" width="12.625" style="73" customWidth="1"/>
    <col min="8465" max="8465" width="13.625" style="73" customWidth="1"/>
    <col min="8466" max="8710" width="9" style="73"/>
    <col min="8711" max="8711" width="18.625" style="73" customWidth="1"/>
    <col min="8712" max="8712" width="5.625" style="73" customWidth="1"/>
    <col min="8713" max="8713" width="3.625" style="73" customWidth="1"/>
    <col min="8714" max="8715" width="9" style="73"/>
    <col min="8716" max="8716" width="3.375" style="73" customWidth="1"/>
    <col min="8717" max="8717" width="18.375" style="73" customWidth="1"/>
    <col min="8718" max="8718" width="12.625" style="73" customWidth="1"/>
    <col min="8719" max="8719" width="3.125" style="73" customWidth="1"/>
    <col min="8720" max="8720" width="12.625" style="73" customWidth="1"/>
    <col min="8721" max="8721" width="13.625" style="73" customWidth="1"/>
    <col min="8722" max="8966" width="9" style="73"/>
    <col min="8967" max="8967" width="18.625" style="73" customWidth="1"/>
    <col min="8968" max="8968" width="5.625" style="73" customWidth="1"/>
    <col min="8969" max="8969" width="3.625" style="73" customWidth="1"/>
    <col min="8970" max="8971" width="9" style="73"/>
    <col min="8972" max="8972" width="3.375" style="73" customWidth="1"/>
    <col min="8973" max="8973" width="18.375" style="73" customWidth="1"/>
    <col min="8974" max="8974" width="12.625" style="73" customWidth="1"/>
    <col min="8975" max="8975" width="3.125" style="73" customWidth="1"/>
    <col min="8976" max="8976" width="12.625" style="73" customWidth="1"/>
    <col min="8977" max="8977" width="13.625" style="73" customWidth="1"/>
    <col min="8978" max="9222" width="9" style="73"/>
    <col min="9223" max="9223" width="18.625" style="73" customWidth="1"/>
    <col min="9224" max="9224" width="5.625" style="73" customWidth="1"/>
    <col min="9225" max="9225" width="3.625" style="73" customWidth="1"/>
    <col min="9226" max="9227" width="9" style="73"/>
    <col min="9228" max="9228" width="3.375" style="73" customWidth="1"/>
    <col min="9229" max="9229" width="18.375" style="73" customWidth="1"/>
    <col min="9230" max="9230" width="12.625" style="73" customWidth="1"/>
    <col min="9231" max="9231" width="3.125" style="73" customWidth="1"/>
    <col min="9232" max="9232" width="12.625" style="73" customWidth="1"/>
    <col min="9233" max="9233" width="13.625" style="73" customWidth="1"/>
    <col min="9234" max="9478" width="9" style="73"/>
    <col min="9479" max="9479" width="18.625" style="73" customWidth="1"/>
    <col min="9480" max="9480" width="5.625" style="73" customWidth="1"/>
    <col min="9481" max="9481" width="3.625" style="73" customWidth="1"/>
    <col min="9482" max="9483" width="9" style="73"/>
    <col min="9484" max="9484" width="3.375" style="73" customWidth="1"/>
    <col min="9485" max="9485" width="18.375" style="73" customWidth="1"/>
    <col min="9486" max="9486" width="12.625" style="73" customWidth="1"/>
    <col min="9487" max="9487" width="3.125" style="73" customWidth="1"/>
    <col min="9488" max="9488" width="12.625" style="73" customWidth="1"/>
    <col min="9489" max="9489" width="13.625" style="73" customWidth="1"/>
    <col min="9490" max="9734" width="9" style="73"/>
    <col min="9735" max="9735" width="18.625" style="73" customWidth="1"/>
    <col min="9736" max="9736" width="5.625" style="73" customWidth="1"/>
    <col min="9737" max="9737" width="3.625" style="73" customWidth="1"/>
    <col min="9738" max="9739" width="9" style="73"/>
    <col min="9740" max="9740" width="3.375" style="73" customWidth="1"/>
    <col min="9741" max="9741" width="18.375" style="73" customWidth="1"/>
    <col min="9742" max="9742" width="12.625" style="73" customWidth="1"/>
    <col min="9743" max="9743" width="3.125" style="73" customWidth="1"/>
    <col min="9744" max="9744" width="12.625" style="73" customWidth="1"/>
    <col min="9745" max="9745" width="13.625" style="73" customWidth="1"/>
    <col min="9746" max="9990" width="9" style="73"/>
    <col min="9991" max="9991" width="18.625" style="73" customWidth="1"/>
    <col min="9992" max="9992" width="5.625" style="73" customWidth="1"/>
    <col min="9993" max="9993" width="3.625" style="73" customWidth="1"/>
    <col min="9994" max="9995" width="9" style="73"/>
    <col min="9996" max="9996" width="3.375" style="73" customWidth="1"/>
    <col min="9997" max="9997" width="18.375" style="73" customWidth="1"/>
    <col min="9998" max="9998" width="12.625" style="73" customWidth="1"/>
    <col min="9999" max="9999" width="3.125" style="73" customWidth="1"/>
    <col min="10000" max="10000" width="12.625" style="73" customWidth="1"/>
    <col min="10001" max="10001" width="13.625" style="73" customWidth="1"/>
    <col min="10002" max="10246" width="9" style="73"/>
    <col min="10247" max="10247" width="18.625" style="73" customWidth="1"/>
    <col min="10248" max="10248" width="5.625" style="73" customWidth="1"/>
    <col min="10249" max="10249" width="3.625" style="73" customWidth="1"/>
    <col min="10250" max="10251" width="9" style="73"/>
    <col min="10252" max="10252" width="3.375" style="73" customWidth="1"/>
    <col min="10253" max="10253" width="18.375" style="73" customWidth="1"/>
    <col min="10254" max="10254" width="12.625" style="73" customWidth="1"/>
    <col min="10255" max="10255" width="3.125" style="73" customWidth="1"/>
    <col min="10256" max="10256" width="12.625" style="73" customWidth="1"/>
    <col min="10257" max="10257" width="13.625" style="73" customWidth="1"/>
    <col min="10258" max="10502" width="9" style="73"/>
    <col min="10503" max="10503" width="18.625" style="73" customWidth="1"/>
    <col min="10504" max="10504" width="5.625" style="73" customWidth="1"/>
    <col min="10505" max="10505" width="3.625" style="73" customWidth="1"/>
    <col min="10506" max="10507" width="9" style="73"/>
    <col min="10508" max="10508" width="3.375" style="73" customWidth="1"/>
    <col min="10509" max="10509" width="18.375" style="73" customWidth="1"/>
    <col min="10510" max="10510" width="12.625" style="73" customWidth="1"/>
    <col min="10511" max="10511" width="3.125" style="73" customWidth="1"/>
    <col min="10512" max="10512" width="12.625" style="73" customWidth="1"/>
    <col min="10513" max="10513" width="13.625" style="73" customWidth="1"/>
    <col min="10514" max="10758" width="9" style="73"/>
    <col min="10759" max="10759" width="18.625" style="73" customWidth="1"/>
    <col min="10760" max="10760" width="5.625" style="73" customWidth="1"/>
    <col min="10761" max="10761" width="3.625" style="73" customWidth="1"/>
    <col min="10762" max="10763" width="9" style="73"/>
    <col min="10764" max="10764" width="3.375" style="73" customWidth="1"/>
    <col min="10765" max="10765" width="18.375" style="73" customWidth="1"/>
    <col min="10766" max="10766" width="12.625" style="73" customWidth="1"/>
    <col min="10767" max="10767" width="3.125" style="73" customWidth="1"/>
    <col min="10768" max="10768" width="12.625" style="73" customWidth="1"/>
    <col min="10769" max="10769" width="13.625" style="73" customWidth="1"/>
    <col min="10770" max="11014" width="9" style="73"/>
    <col min="11015" max="11015" width="18.625" style="73" customWidth="1"/>
    <col min="11016" max="11016" width="5.625" style="73" customWidth="1"/>
    <col min="11017" max="11017" width="3.625" style="73" customWidth="1"/>
    <col min="11018" max="11019" width="9" style="73"/>
    <col min="11020" max="11020" width="3.375" style="73" customWidth="1"/>
    <col min="11021" max="11021" width="18.375" style="73" customWidth="1"/>
    <col min="11022" max="11022" width="12.625" style="73" customWidth="1"/>
    <col min="11023" max="11023" width="3.125" style="73" customWidth="1"/>
    <col min="11024" max="11024" width="12.625" style="73" customWidth="1"/>
    <col min="11025" max="11025" width="13.625" style="73" customWidth="1"/>
    <col min="11026" max="11270" width="9" style="73"/>
    <col min="11271" max="11271" width="18.625" style="73" customWidth="1"/>
    <col min="11272" max="11272" width="5.625" style="73" customWidth="1"/>
    <col min="11273" max="11273" width="3.625" style="73" customWidth="1"/>
    <col min="11274" max="11275" width="9" style="73"/>
    <col min="11276" max="11276" width="3.375" style="73" customWidth="1"/>
    <col min="11277" max="11277" width="18.375" style="73" customWidth="1"/>
    <col min="11278" max="11278" width="12.625" style="73" customWidth="1"/>
    <col min="11279" max="11279" width="3.125" style="73" customWidth="1"/>
    <col min="11280" max="11280" width="12.625" style="73" customWidth="1"/>
    <col min="11281" max="11281" width="13.625" style="73" customWidth="1"/>
    <col min="11282" max="11526" width="9" style="73"/>
    <col min="11527" max="11527" width="18.625" style="73" customWidth="1"/>
    <col min="11528" max="11528" width="5.625" style="73" customWidth="1"/>
    <col min="11529" max="11529" width="3.625" style="73" customWidth="1"/>
    <col min="11530" max="11531" width="9" style="73"/>
    <col min="11532" max="11532" width="3.375" style="73" customWidth="1"/>
    <col min="11533" max="11533" width="18.375" style="73" customWidth="1"/>
    <col min="11534" max="11534" width="12.625" style="73" customWidth="1"/>
    <col min="11535" max="11535" width="3.125" style="73" customWidth="1"/>
    <col min="11536" max="11536" width="12.625" style="73" customWidth="1"/>
    <col min="11537" max="11537" width="13.625" style="73" customWidth="1"/>
    <col min="11538" max="11782" width="9" style="73"/>
    <col min="11783" max="11783" width="18.625" style="73" customWidth="1"/>
    <col min="11784" max="11784" width="5.625" style="73" customWidth="1"/>
    <col min="11785" max="11785" width="3.625" style="73" customWidth="1"/>
    <col min="11786" max="11787" width="9" style="73"/>
    <col min="11788" max="11788" width="3.375" style="73" customWidth="1"/>
    <col min="11789" max="11789" width="18.375" style="73" customWidth="1"/>
    <col min="11790" max="11790" width="12.625" style="73" customWidth="1"/>
    <col min="11791" max="11791" width="3.125" style="73" customWidth="1"/>
    <col min="11792" max="11792" width="12.625" style="73" customWidth="1"/>
    <col min="11793" max="11793" width="13.625" style="73" customWidth="1"/>
    <col min="11794" max="12038" width="9" style="73"/>
    <col min="12039" max="12039" width="18.625" style="73" customWidth="1"/>
    <col min="12040" max="12040" width="5.625" style="73" customWidth="1"/>
    <col min="12041" max="12041" width="3.625" style="73" customWidth="1"/>
    <col min="12042" max="12043" width="9" style="73"/>
    <col min="12044" max="12044" width="3.375" style="73" customWidth="1"/>
    <col min="12045" max="12045" width="18.375" style="73" customWidth="1"/>
    <col min="12046" max="12046" width="12.625" style="73" customWidth="1"/>
    <col min="12047" max="12047" width="3.125" style="73" customWidth="1"/>
    <col min="12048" max="12048" width="12.625" style="73" customWidth="1"/>
    <col min="12049" max="12049" width="13.625" style="73" customWidth="1"/>
    <col min="12050" max="12294" width="9" style="73"/>
    <col min="12295" max="12295" width="18.625" style="73" customWidth="1"/>
    <col min="12296" max="12296" width="5.625" style="73" customWidth="1"/>
    <col min="12297" max="12297" width="3.625" style="73" customWidth="1"/>
    <col min="12298" max="12299" width="9" style="73"/>
    <col min="12300" max="12300" width="3.375" style="73" customWidth="1"/>
    <col min="12301" max="12301" width="18.375" style="73" customWidth="1"/>
    <col min="12302" max="12302" width="12.625" style="73" customWidth="1"/>
    <col min="12303" max="12303" width="3.125" style="73" customWidth="1"/>
    <col min="12304" max="12304" width="12.625" style="73" customWidth="1"/>
    <col min="12305" max="12305" width="13.625" style="73" customWidth="1"/>
    <col min="12306" max="12550" width="9" style="73"/>
    <col min="12551" max="12551" width="18.625" style="73" customWidth="1"/>
    <col min="12552" max="12552" width="5.625" style="73" customWidth="1"/>
    <col min="12553" max="12553" width="3.625" style="73" customWidth="1"/>
    <col min="12554" max="12555" width="9" style="73"/>
    <col min="12556" max="12556" width="3.375" style="73" customWidth="1"/>
    <col min="12557" max="12557" width="18.375" style="73" customWidth="1"/>
    <col min="12558" max="12558" width="12.625" style="73" customWidth="1"/>
    <col min="12559" max="12559" width="3.125" style="73" customWidth="1"/>
    <col min="12560" max="12560" width="12.625" style="73" customWidth="1"/>
    <col min="12561" max="12561" width="13.625" style="73" customWidth="1"/>
    <col min="12562" max="12806" width="9" style="73"/>
    <col min="12807" max="12807" width="18.625" style="73" customWidth="1"/>
    <col min="12808" max="12808" width="5.625" style="73" customWidth="1"/>
    <col min="12809" max="12809" width="3.625" style="73" customWidth="1"/>
    <col min="12810" max="12811" width="9" style="73"/>
    <col min="12812" max="12812" width="3.375" style="73" customWidth="1"/>
    <col min="12813" max="12813" width="18.375" style="73" customWidth="1"/>
    <col min="12814" max="12814" width="12.625" style="73" customWidth="1"/>
    <col min="12815" max="12815" width="3.125" style="73" customWidth="1"/>
    <col min="12816" max="12816" width="12.625" style="73" customWidth="1"/>
    <col min="12817" max="12817" width="13.625" style="73" customWidth="1"/>
    <col min="12818" max="13062" width="9" style="73"/>
    <col min="13063" max="13063" width="18.625" style="73" customWidth="1"/>
    <col min="13064" max="13064" width="5.625" style="73" customWidth="1"/>
    <col min="13065" max="13065" width="3.625" style="73" customWidth="1"/>
    <col min="13066" max="13067" width="9" style="73"/>
    <col min="13068" max="13068" width="3.375" style="73" customWidth="1"/>
    <col min="13069" max="13069" width="18.375" style="73" customWidth="1"/>
    <col min="13070" max="13070" width="12.625" style="73" customWidth="1"/>
    <col min="13071" max="13071" width="3.125" style="73" customWidth="1"/>
    <col min="13072" max="13072" width="12.625" style="73" customWidth="1"/>
    <col min="13073" max="13073" width="13.625" style="73" customWidth="1"/>
    <col min="13074" max="13318" width="9" style="73"/>
    <col min="13319" max="13319" width="18.625" style="73" customWidth="1"/>
    <col min="13320" max="13320" width="5.625" style="73" customWidth="1"/>
    <col min="13321" max="13321" width="3.625" style="73" customWidth="1"/>
    <col min="13322" max="13323" width="9" style="73"/>
    <col min="13324" max="13324" width="3.375" style="73" customWidth="1"/>
    <col min="13325" max="13325" width="18.375" style="73" customWidth="1"/>
    <col min="13326" max="13326" width="12.625" style="73" customWidth="1"/>
    <col min="13327" max="13327" width="3.125" style="73" customWidth="1"/>
    <col min="13328" max="13328" width="12.625" style="73" customWidth="1"/>
    <col min="13329" max="13329" width="13.625" style="73" customWidth="1"/>
    <col min="13330" max="13574" width="9" style="73"/>
    <col min="13575" max="13575" width="18.625" style="73" customWidth="1"/>
    <col min="13576" max="13576" width="5.625" style="73" customWidth="1"/>
    <col min="13577" max="13577" width="3.625" style="73" customWidth="1"/>
    <col min="13578" max="13579" width="9" style="73"/>
    <col min="13580" max="13580" width="3.375" style="73" customWidth="1"/>
    <col min="13581" max="13581" width="18.375" style="73" customWidth="1"/>
    <col min="13582" max="13582" width="12.625" style="73" customWidth="1"/>
    <col min="13583" max="13583" width="3.125" style="73" customWidth="1"/>
    <col min="13584" max="13584" width="12.625" style="73" customWidth="1"/>
    <col min="13585" max="13585" width="13.625" style="73" customWidth="1"/>
    <col min="13586" max="13830" width="9" style="73"/>
    <col min="13831" max="13831" width="18.625" style="73" customWidth="1"/>
    <col min="13832" max="13832" width="5.625" style="73" customWidth="1"/>
    <col min="13833" max="13833" width="3.625" style="73" customWidth="1"/>
    <col min="13834" max="13835" width="9" style="73"/>
    <col min="13836" max="13836" width="3.375" style="73" customWidth="1"/>
    <col min="13837" max="13837" width="18.375" style="73" customWidth="1"/>
    <col min="13838" max="13838" width="12.625" style="73" customWidth="1"/>
    <col min="13839" max="13839" width="3.125" style="73" customWidth="1"/>
    <col min="13840" max="13840" width="12.625" style="73" customWidth="1"/>
    <col min="13841" max="13841" width="13.625" style="73" customWidth="1"/>
    <col min="13842" max="14086" width="9" style="73"/>
    <col min="14087" max="14087" width="18.625" style="73" customWidth="1"/>
    <col min="14088" max="14088" width="5.625" style="73" customWidth="1"/>
    <col min="14089" max="14089" width="3.625" style="73" customWidth="1"/>
    <col min="14090" max="14091" width="9" style="73"/>
    <col min="14092" max="14092" width="3.375" style="73" customWidth="1"/>
    <col min="14093" max="14093" width="18.375" style="73" customWidth="1"/>
    <col min="14094" max="14094" width="12.625" style="73" customWidth="1"/>
    <col min="14095" max="14095" width="3.125" style="73" customWidth="1"/>
    <col min="14096" max="14096" width="12.625" style="73" customWidth="1"/>
    <col min="14097" max="14097" width="13.625" style="73" customWidth="1"/>
    <col min="14098" max="14342" width="9" style="73"/>
    <col min="14343" max="14343" width="18.625" style="73" customWidth="1"/>
    <col min="14344" max="14344" width="5.625" style="73" customWidth="1"/>
    <col min="14345" max="14345" width="3.625" style="73" customWidth="1"/>
    <col min="14346" max="14347" width="9" style="73"/>
    <col min="14348" max="14348" width="3.375" style="73" customWidth="1"/>
    <col min="14349" max="14349" width="18.375" style="73" customWidth="1"/>
    <col min="14350" max="14350" width="12.625" style="73" customWidth="1"/>
    <col min="14351" max="14351" width="3.125" style="73" customWidth="1"/>
    <col min="14352" max="14352" width="12.625" style="73" customWidth="1"/>
    <col min="14353" max="14353" width="13.625" style="73" customWidth="1"/>
    <col min="14354" max="14598" width="9" style="73"/>
    <col min="14599" max="14599" width="18.625" style="73" customWidth="1"/>
    <col min="14600" max="14600" width="5.625" style="73" customWidth="1"/>
    <col min="14601" max="14601" width="3.625" style="73" customWidth="1"/>
    <col min="14602" max="14603" width="9" style="73"/>
    <col min="14604" max="14604" width="3.375" style="73" customWidth="1"/>
    <col min="14605" max="14605" width="18.375" style="73" customWidth="1"/>
    <col min="14606" max="14606" width="12.625" style="73" customWidth="1"/>
    <col min="14607" max="14607" width="3.125" style="73" customWidth="1"/>
    <col min="14608" max="14608" width="12.625" style="73" customWidth="1"/>
    <col min="14609" max="14609" width="13.625" style="73" customWidth="1"/>
    <col min="14610" max="14854" width="9" style="73"/>
    <col min="14855" max="14855" width="18.625" style="73" customWidth="1"/>
    <col min="14856" max="14856" width="5.625" style="73" customWidth="1"/>
    <col min="14857" max="14857" width="3.625" style="73" customWidth="1"/>
    <col min="14858" max="14859" width="9" style="73"/>
    <col min="14860" max="14860" width="3.375" style="73" customWidth="1"/>
    <col min="14861" max="14861" width="18.375" style="73" customWidth="1"/>
    <col min="14862" max="14862" width="12.625" style="73" customWidth="1"/>
    <col min="14863" max="14863" width="3.125" style="73" customWidth="1"/>
    <col min="14864" max="14864" width="12.625" style="73" customWidth="1"/>
    <col min="14865" max="14865" width="13.625" style="73" customWidth="1"/>
    <col min="14866" max="15110" width="9" style="73"/>
    <col min="15111" max="15111" width="18.625" style="73" customWidth="1"/>
    <col min="15112" max="15112" width="5.625" style="73" customWidth="1"/>
    <col min="15113" max="15113" width="3.625" style="73" customWidth="1"/>
    <col min="15114" max="15115" width="9" style="73"/>
    <col min="15116" max="15116" width="3.375" style="73" customWidth="1"/>
    <col min="15117" max="15117" width="18.375" style="73" customWidth="1"/>
    <col min="15118" max="15118" width="12.625" style="73" customWidth="1"/>
    <col min="15119" max="15119" width="3.125" style="73" customWidth="1"/>
    <col min="15120" max="15120" width="12.625" style="73" customWidth="1"/>
    <col min="15121" max="15121" width="13.625" style="73" customWidth="1"/>
    <col min="15122" max="15366" width="9" style="73"/>
    <col min="15367" max="15367" width="18.625" style="73" customWidth="1"/>
    <col min="15368" max="15368" width="5.625" style="73" customWidth="1"/>
    <col min="15369" max="15369" width="3.625" style="73" customWidth="1"/>
    <col min="15370" max="15371" width="9" style="73"/>
    <col min="15372" max="15372" width="3.375" style="73" customWidth="1"/>
    <col min="15373" max="15373" width="18.375" style="73" customWidth="1"/>
    <col min="15374" max="15374" width="12.625" style="73" customWidth="1"/>
    <col min="15375" max="15375" width="3.125" style="73" customWidth="1"/>
    <col min="15376" max="15376" width="12.625" style="73" customWidth="1"/>
    <col min="15377" max="15377" width="13.625" style="73" customWidth="1"/>
    <col min="15378" max="15622" width="9" style="73"/>
    <col min="15623" max="15623" width="18.625" style="73" customWidth="1"/>
    <col min="15624" max="15624" width="5.625" style="73" customWidth="1"/>
    <col min="15625" max="15625" width="3.625" style="73" customWidth="1"/>
    <col min="15626" max="15627" width="9" style="73"/>
    <col min="15628" max="15628" width="3.375" style="73" customWidth="1"/>
    <col min="15629" max="15629" width="18.375" style="73" customWidth="1"/>
    <col min="15630" max="15630" width="12.625" style="73" customWidth="1"/>
    <col min="15631" max="15631" width="3.125" style="73" customWidth="1"/>
    <col min="15632" max="15632" width="12.625" style="73" customWidth="1"/>
    <col min="15633" max="15633" width="13.625" style="73" customWidth="1"/>
    <col min="15634" max="15878" width="9" style="73"/>
    <col min="15879" max="15879" width="18.625" style="73" customWidth="1"/>
    <col min="15880" max="15880" width="5.625" style="73" customWidth="1"/>
    <col min="15881" max="15881" width="3.625" style="73" customWidth="1"/>
    <col min="15882" max="15883" width="9" style="73"/>
    <col min="15884" max="15884" width="3.375" style="73" customWidth="1"/>
    <col min="15885" max="15885" width="18.375" style="73" customWidth="1"/>
    <col min="15886" max="15886" width="12.625" style="73" customWidth="1"/>
    <col min="15887" max="15887" width="3.125" style="73" customWidth="1"/>
    <col min="15888" max="15888" width="12.625" style="73" customWidth="1"/>
    <col min="15889" max="15889" width="13.625" style="73" customWidth="1"/>
    <col min="15890" max="16134" width="9" style="73"/>
    <col min="16135" max="16135" width="18.625" style="73" customWidth="1"/>
    <col min="16136" max="16136" width="5.625" style="73" customWidth="1"/>
    <col min="16137" max="16137" width="3.625" style="73" customWidth="1"/>
    <col min="16138" max="16139" width="9" style="73"/>
    <col min="16140" max="16140" width="3.375" style="73" customWidth="1"/>
    <col min="16141" max="16141" width="18.375" style="73" customWidth="1"/>
    <col min="16142" max="16142" width="12.625" style="73" customWidth="1"/>
    <col min="16143" max="16143" width="3.125" style="73" customWidth="1"/>
    <col min="16144" max="16144" width="12.625" style="73" customWidth="1"/>
    <col min="16145" max="16145" width="13.625" style="73" customWidth="1"/>
    <col min="16146" max="16384" width="9" style="73"/>
  </cols>
  <sheetData>
    <row r="1" spans="1:17" s="69" customFormat="1" ht="36" customHeight="1">
      <c r="A1" s="69" t="s">
        <v>165</v>
      </c>
      <c r="D1" s="70" t="s">
        <v>166</v>
      </c>
      <c r="E1" s="70"/>
      <c r="F1" s="220" t="s">
        <v>99</v>
      </c>
      <c r="G1" s="221"/>
      <c r="H1" s="221"/>
      <c r="I1" s="221"/>
      <c r="J1" s="221"/>
      <c r="K1" s="221"/>
      <c r="L1" s="221"/>
      <c r="M1" s="71"/>
    </row>
    <row r="2" spans="1:17" ht="23.4">
      <c r="C2" s="74"/>
    </row>
    <row r="3" spans="1:17" ht="23.4">
      <c r="A3" s="74" t="s">
        <v>167</v>
      </c>
      <c r="B3" s="74"/>
      <c r="D3" s="70" t="s">
        <v>166</v>
      </c>
      <c r="E3" s="70"/>
    </row>
    <row r="4" spans="1:17" ht="23.4">
      <c r="C4" s="74"/>
    </row>
    <row r="6" spans="1:17" s="76" customFormat="1" ht="16.2">
      <c r="A6" s="76" t="s">
        <v>168</v>
      </c>
      <c r="F6" s="76" t="s">
        <v>102</v>
      </c>
      <c r="Q6" s="93" t="s">
        <v>103</v>
      </c>
    </row>
    <row r="7" spans="1:17" s="76" customFormat="1" ht="16.2"/>
    <row r="9" spans="1:17" ht="18" customHeight="1">
      <c r="A9" s="78" t="s">
        <v>169</v>
      </c>
      <c r="B9" s="78"/>
      <c r="C9" s="79"/>
      <c r="D9" s="73" t="s">
        <v>170</v>
      </c>
      <c r="F9" s="227"/>
      <c r="G9" s="227"/>
      <c r="H9" s="80"/>
      <c r="I9" s="81" t="str">
        <f>IFERROR(LOOKUP(10^17,LEFT(I10,COLUMN($1:$1))*1)/K9,"")</f>
        <v/>
      </c>
      <c r="J9" s="80" t="s">
        <v>171</v>
      </c>
      <c r="K9" s="80"/>
      <c r="L9" s="80"/>
      <c r="M9" s="82"/>
      <c r="N9" s="83" t="s">
        <v>107</v>
      </c>
      <c r="O9" s="84"/>
      <c r="P9" s="83" t="s">
        <v>108</v>
      </c>
    </row>
    <row r="10" spans="1:17" ht="18" customHeight="1">
      <c r="A10" s="79"/>
      <c r="B10" s="79"/>
      <c r="C10" s="79"/>
      <c r="F10" s="94"/>
      <c r="G10" s="94"/>
      <c r="H10" s="80"/>
      <c r="I10" s="223"/>
      <c r="J10" s="223"/>
      <c r="K10" s="223"/>
      <c r="L10" s="223"/>
      <c r="M10" s="86"/>
      <c r="N10" s="86"/>
      <c r="O10" s="84"/>
      <c r="P10" s="87" t="s">
        <v>172</v>
      </c>
    </row>
    <row r="11" spans="1:17" ht="18" customHeight="1">
      <c r="A11" s="79" t="s">
        <v>173</v>
      </c>
      <c r="B11" s="223"/>
      <c r="C11" s="223"/>
      <c r="D11" s="223"/>
      <c r="F11" s="94"/>
      <c r="G11" s="94"/>
      <c r="H11" s="80"/>
      <c r="I11" s="80"/>
      <c r="J11" s="80"/>
      <c r="K11" s="80"/>
      <c r="L11" s="81" t="s">
        <v>174</v>
      </c>
      <c r="M11" s="86"/>
      <c r="N11" s="86"/>
      <c r="O11" s="86"/>
    </row>
    <row r="12" spans="1:17" ht="18" customHeight="1">
      <c r="M12" s="86"/>
      <c r="N12" s="86"/>
      <c r="O12" s="86"/>
    </row>
    <row r="13" spans="1:17" ht="18" customHeight="1">
      <c r="A13" s="78" t="s">
        <v>169</v>
      </c>
      <c r="B13" s="78"/>
      <c r="C13" s="79"/>
      <c r="D13" s="73" t="s">
        <v>170</v>
      </c>
      <c r="F13" s="227"/>
      <c r="G13" s="227"/>
      <c r="I13" s="73" t="str">
        <f>IFERROR(LOOKUP(10^17,LEFT(I14,COLUMN($1:$1))*1)/K13,"")</f>
        <v/>
      </c>
      <c r="J13" s="73" t="s">
        <v>171</v>
      </c>
      <c r="M13" s="84"/>
      <c r="N13" s="86" t="s">
        <v>107</v>
      </c>
      <c r="O13" s="84"/>
      <c r="P13" s="83" t="s">
        <v>108</v>
      </c>
    </row>
    <row r="14" spans="1:17" ht="18" customHeight="1">
      <c r="A14" s="79"/>
      <c r="B14" s="79"/>
      <c r="C14" s="79"/>
      <c r="F14" s="94"/>
      <c r="G14" s="94"/>
      <c r="I14" s="219"/>
      <c r="J14" s="219"/>
      <c r="K14" s="219"/>
      <c r="L14" s="219"/>
      <c r="M14" s="86"/>
      <c r="N14" s="86"/>
      <c r="O14" s="84"/>
      <c r="P14" s="87" t="s">
        <v>172</v>
      </c>
    </row>
    <row r="15" spans="1:17" ht="18" customHeight="1">
      <c r="A15" s="79" t="s">
        <v>173</v>
      </c>
      <c r="B15" s="223"/>
      <c r="C15" s="223"/>
      <c r="D15" s="223"/>
      <c r="F15" s="94"/>
      <c r="G15" s="94"/>
      <c r="L15" s="81" t="s">
        <v>174</v>
      </c>
      <c r="M15" s="86"/>
      <c r="N15" s="86"/>
      <c r="O15" s="86"/>
    </row>
    <row r="16" spans="1:17" ht="18" customHeight="1">
      <c r="M16" s="86"/>
      <c r="N16" s="86"/>
      <c r="O16" s="86"/>
    </row>
    <row r="17" spans="1:16" ht="18" customHeight="1">
      <c r="A17" s="78" t="s">
        <v>169</v>
      </c>
      <c r="B17" s="88"/>
      <c r="C17" s="79"/>
      <c r="D17" s="73" t="s">
        <v>170</v>
      </c>
      <c r="F17" s="227"/>
      <c r="G17" s="227"/>
      <c r="I17" s="73" t="str">
        <f>IFERROR(LOOKUP(10^17,LEFT(I18,COLUMN($1:$1))*1)/K17,"")</f>
        <v/>
      </c>
      <c r="J17" s="73" t="s">
        <v>171</v>
      </c>
      <c r="M17" s="84"/>
      <c r="N17" s="86" t="s">
        <v>107</v>
      </c>
      <c r="O17" s="84"/>
      <c r="P17" s="83" t="s">
        <v>108</v>
      </c>
    </row>
    <row r="18" spans="1:16" ht="18" customHeight="1">
      <c r="A18" s="79"/>
      <c r="B18" s="79"/>
      <c r="C18" s="79"/>
      <c r="F18" s="94"/>
      <c r="G18" s="94"/>
      <c r="I18" s="219"/>
      <c r="J18" s="219"/>
      <c r="K18" s="219"/>
      <c r="L18" s="219"/>
      <c r="M18" s="86"/>
      <c r="N18" s="86"/>
      <c r="O18" s="84"/>
      <c r="P18" s="87" t="s">
        <v>172</v>
      </c>
    </row>
    <row r="19" spans="1:16" ht="18" customHeight="1">
      <c r="A19" s="79" t="s">
        <v>173</v>
      </c>
      <c r="B19" s="224" t="s">
        <v>99</v>
      </c>
      <c r="C19" s="223"/>
      <c r="D19" s="223"/>
      <c r="F19" s="94"/>
      <c r="G19" s="94"/>
      <c r="L19" s="81" t="s">
        <v>174</v>
      </c>
      <c r="M19" s="86"/>
      <c r="N19" s="86"/>
      <c r="O19" s="86"/>
    </row>
    <row r="20" spans="1:16" ht="18" customHeight="1">
      <c r="M20" s="86"/>
      <c r="N20" s="86"/>
      <c r="O20" s="86"/>
    </row>
    <row r="21" spans="1:16" ht="18" customHeight="1">
      <c r="A21" s="78" t="s">
        <v>169</v>
      </c>
      <c r="B21" s="78"/>
      <c r="C21" s="79"/>
      <c r="D21" s="73" t="s">
        <v>170</v>
      </c>
      <c r="E21" s="89"/>
      <c r="F21" s="227"/>
      <c r="G21" s="227"/>
      <c r="I21" s="73" t="str">
        <f>IFERROR(LOOKUP(10^17,LEFT(I22,COLUMN($1:$1))*1)/K21,"")</f>
        <v/>
      </c>
      <c r="J21" s="73" t="s">
        <v>171</v>
      </c>
      <c r="M21" s="84"/>
      <c r="N21" s="86" t="s">
        <v>107</v>
      </c>
      <c r="O21" s="84"/>
      <c r="P21" s="83" t="s">
        <v>108</v>
      </c>
    </row>
    <row r="22" spans="1:16" ht="18" customHeight="1">
      <c r="A22" s="79"/>
      <c r="B22" s="79"/>
      <c r="C22" s="79"/>
      <c r="F22" s="94"/>
      <c r="G22" s="94"/>
      <c r="I22" s="219"/>
      <c r="J22" s="219"/>
      <c r="K22" s="219"/>
      <c r="L22" s="219"/>
      <c r="M22" s="86"/>
      <c r="N22" s="86"/>
      <c r="O22" s="84"/>
      <c r="P22" s="87" t="s">
        <v>172</v>
      </c>
    </row>
    <row r="23" spans="1:16" ht="18" customHeight="1">
      <c r="A23" s="79" t="s">
        <v>173</v>
      </c>
      <c r="B23" s="223"/>
      <c r="C23" s="223"/>
      <c r="D23" s="223"/>
      <c r="F23" s="94"/>
      <c r="G23" s="94"/>
      <c r="L23" s="81" t="s">
        <v>174</v>
      </c>
      <c r="M23" s="86"/>
      <c r="N23" s="86"/>
      <c r="O23" s="86"/>
    </row>
    <row r="24" spans="1:16" ht="18" customHeight="1">
      <c r="M24" s="86"/>
      <c r="N24" s="86"/>
      <c r="O24" s="86"/>
    </row>
    <row r="25" spans="1:16" ht="18" customHeight="1">
      <c r="A25" s="78" t="s">
        <v>169</v>
      </c>
      <c r="B25" s="78"/>
      <c r="C25" s="79"/>
      <c r="D25" s="73" t="s">
        <v>170</v>
      </c>
      <c r="F25" s="227"/>
      <c r="G25" s="227"/>
      <c r="I25" s="73" t="str">
        <f>IFERROR(LOOKUP(10^17,LEFT(I26,COLUMN($1:$1))*1)/K25,"")</f>
        <v/>
      </c>
      <c r="J25" s="73" t="s">
        <v>171</v>
      </c>
      <c r="M25" s="84"/>
      <c r="N25" s="86" t="s">
        <v>107</v>
      </c>
      <c r="O25" s="84"/>
      <c r="P25" s="83" t="s">
        <v>108</v>
      </c>
    </row>
    <row r="26" spans="1:16" ht="18" customHeight="1">
      <c r="A26" s="79"/>
      <c r="B26" s="79"/>
      <c r="C26" s="79"/>
      <c r="F26" s="94"/>
      <c r="G26" s="94"/>
      <c r="I26" s="219"/>
      <c r="J26" s="219"/>
      <c r="K26" s="219"/>
      <c r="L26" s="219"/>
      <c r="M26" s="86"/>
      <c r="N26" s="86"/>
      <c r="O26" s="84"/>
      <c r="P26" s="87" t="s">
        <v>172</v>
      </c>
    </row>
    <row r="27" spans="1:16" ht="18" customHeight="1">
      <c r="A27" s="79" t="s">
        <v>173</v>
      </c>
      <c r="B27" s="223"/>
      <c r="C27" s="223"/>
      <c r="D27" s="223"/>
      <c r="F27" s="94"/>
      <c r="G27" s="94"/>
      <c r="L27" s="81" t="s">
        <v>174</v>
      </c>
      <c r="M27" s="86"/>
      <c r="N27" s="86"/>
      <c r="O27" s="86"/>
    </row>
    <row r="28" spans="1:16" ht="18" customHeight="1">
      <c r="M28" s="86"/>
      <c r="N28" s="86"/>
      <c r="O28" s="86"/>
    </row>
    <row r="29" spans="1:16" ht="18" customHeight="1">
      <c r="A29" s="78" t="s">
        <v>169</v>
      </c>
      <c r="B29" s="78"/>
      <c r="C29" s="79"/>
      <c r="D29" s="73" t="s">
        <v>170</v>
      </c>
      <c r="F29" s="227"/>
      <c r="G29" s="227"/>
      <c r="I29" s="73" t="str">
        <f>IFERROR(LOOKUP(10^17,LEFT(I30,COLUMN($1:$1))*1)/K26,"")</f>
        <v/>
      </c>
      <c r="J29" s="73" t="s">
        <v>171</v>
      </c>
      <c r="M29" s="84"/>
      <c r="N29" s="86" t="s">
        <v>107</v>
      </c>
      <c r="O29" s="84"/>
      <c r="P29" s="83" t="s">
        <v>108</v>
      </c>
    </row>
    <row r="30" spans="1:16" ht="18" customHeight="1">
      <c r="A30" s="79"/>
      <c r="B30" s="79"/>
      <c r="C30" s="79"/>
      <c r="F30" s="94"/>
      <c r="G30" s="94"/>
      <c r="I30" s="219"/>
      <c r="J30" s="219"/>
      <c r="K30" s="219"/>
      <c r="L30" s="219"/>
      <c r="M30" s="86"/>
      <c r="N30" s="86"/>
      <c r="O30" s="84"/>
      <c r="P30" s="87" t="s">
        <v>172</v>
      </c>
    </row>
    <row r="31" spans="1:16" ht="18" customHeight="1">
      <c r="A31" s="79" t="s">
        <v>173</v>
      </c>
      <c r="B31" s="223"/>
      <c r="C31" s="223"/>
      <c r="D31" s="223"/>
      <c r="F31" s="94"/>
      <c r="G31" s="94"/>
      <c r="L31" s="81" t="s">
        <v>174</v>
      </c>
      <c r="M31" s="86"/>
      <c r="N31" s="86"/>
      <c r="O31" s="86"/>
    </row>
    <row r="32" spans="1:16" ht="18" customHeight="1">
      <c r="M32" s="86"/>
      <c r="N32" s="86"/>
      <c r="O32" s="86"/>
    </row>
    <row r="33" spans="1:16" ht="18" customHeight="1">
      <c r="A33" s="78" t="s">
        <v>169</v>
      </c>
      <c r="B33" s="78"/>
      <c r="C33" s="79"/>
      <c r="D33" s="73" t="s">
        <v>170</v>
      </c>
      <c r="F33" s="227"/>
      <c r="G33" s="227"/>
      <c r="I33" s="73" t="str">
        <f>IFERROR(LOOKUP(10^17,LEFT(I34,COLUMN($1:$1))*1)/K33,"")</f>
        <v/>
      </c>
      <c r="J33" s="73" t="s">
        <v>171</v>
      </c>
      <c r="M33" s="84"/>
      <c r="N33" s="86" t="s">
        <v>107</v>
      </c>
      <c r="O33" s="84"/>
      <c r="P33" s="83" t="s">
        <v>108</v>
      </c>
    </row>
    <row r="34" spans="1:16" ht="18" customHeight="1">
      <c r="A34" s="79"/>
      <c r="B34" s="79"/>
      <c r="C34" s="79"/>
      <c r="I34" s="219"/>
      <c r="J34" s="219"/>
      <c r="K34" s="219"/>
      <c r="L34" s="219"/>
      <c r="M34" s="86"/>
      <c r="N34" s="86"/>
      <c r="O34" s="84"/>
      <c r="P34" s="87" t="s">
        <v>172</v>
      </c>
    </row>
    <row r="35" spans="1:16" ht="18" customHeight="1">
      <c r="A35" s="79" t="s">
        <v>173</v>
      </c>
      <c r="B35" s="223"/>
      <c r="C35" s="223"/>
      <c r="D35" s="223"/>
      <c r="L35" s="81" t="s">
        <v>174</v>
      </c>
      <c r="M35" s="86"/>
      <c r="N35" s="86"/>
      <c r="O35" s="86"/>
    </row>
    <row r="36" spans="1:16" ht="15">
      <c r="M36" s="86"/>
      <c r="N36" s="86"/>
      <c r="O36" s="86"/>
    </row>
    <row r="37" spans="1:16" ht="15">
      <c r="M37" s="86"/>
      <c r="N37" s="86"/>
      <c r="O37" s="86"/>
    </row>
    <row r="38" spans="1:16" ht="15">
      <c r="M38" s="86"/>
      <c r="N38" s="86"/>
      <c r="O38" s="86"/>
    </row>
    <row r="39" spans="1:16" ht="23.4">
      <c r="A39" s="74" t="s">
        <v>175</v>
      </c>
      <c r="B39" s="74"/>
      <c r="D39" s="70" t="s">
        <v>166</v>
      </c>
      <c r="E39" s="70"/>
      <c r="F39" s="225" t="s">
        <v>99</v>
      </c>
      <c r="G39" s="225"/>
      <c r="L39" s="81" t="s">
        <v>113</v>
      </c>
    </row>
    <row r="41" spans="1:16" ht="23.4">
      <c r="A41" s="74" t="s">
        <v>176</v>
      </c>
      <c r="B41" s="74"/>
      <c r="D41" s="70" t="s">
        <v>166</v>
      </c>
      <c r="E41" s="70"/>
      <c r="F41" s="226" t="s">
        <v>99</v>
      </c>
      <c r="G41" s="226"/>
      <c r="L41" s="81" t="s">
        <v>177</v>
      </c>
    </row>
    <row r="43" spans="1:16" ht="23.4">
      <c r="A43" s="74" t="s">
        <v>178</v>
      </c>
      <c r="B43" s="74"/>
      <c r="D43" s="70" t="s">
        <v>166</v>
      </c>
      <c r="E43" s="70"/>
      <c r="F43" s="225" t="s">
        <v>99</v>
      </c>
      <c r="G43" s="225"/>
    </row>
    <row r="45" spans="1:16" ht="23.4">
      <c r="A45" s="74" t="s">
        <v>179</v>
      </c>
      <c r="B45" s="74"/>
      <c r="D45" s="70" t="s">
        <v>166</v>
      </c>
      <c r="E45" s="70"/>
    </row>
    <row r="46" spans="1:16" ht="23.4">
      <c r="A46" s="74" t="s">
        <v>180</v>
      </c>
      <c r="B46" s="74"/>
      <c r="D46" s="70" t="s">
        <v>166</v>
      </c>
      <c r="E46" s="70"/>
    </row>
    <row r="48" spans="1:16" ht="23.4">
      <c r="A48" s="74" t="s">
        <v>181</v>
      </c>
      <c r="B48" s="74"/>
      <c r="G48" s="91" t="s">
        <v>182</v>
      </c>
      <c r="M48" s="91" t="s">
        <v>183</v>
      </c>
    </row>
    <row r="49" spans="7:13" ht="14.4">
      <c r="G49" s="91" t="s">
        <v>184</v>
      </c>
      <c r="M49" s="91" t="s">
        <v>184</v>
      </c>
    </row>
    <row r="50" spans="7:13" ht="14.4">
      <c r="G50" s="91" t="s">
        <v>185</v>
      </c>
      <c r="M50" s="91" t="s">
        <v>185</v>
      </c>
    </row>
  </sheetData>
  <mergeCells count="25">
    <mergeCell ref="F43:G43"/>
    <mergeCell ref="B31:D31"/>
    <mergeCell ref="F33:G33"/>
    <mergeCell ref="I34:L34"/>
    <mergeCell ref="B35:D35"/>
    <mergeCell ref="F39:G39"/>
    <mergeCell ref="F41:G41"/>
    <mergeCell ref="I30:L30"/>
    <mergeCell ref="B15:D15"/>
    <mergeCell ref="F17:G17"/>
    <mergeCell ref="I18:L18"/>
    <mergeCell ref="B19:D19"/>
    <mergeCell ref="F21:G21"/>
    <mergeCell ref="I22:L22"/>
    <mergeCell ref="B23:D23"/>
    <mergeCell ref="F25:G25"/>
    <mergeCell ref="I26:L26"/>
    <mergeCell ref="B27:D27"/>
    <mergeCell ref="F29:G29"/>
    <mergeCell ref="I14:L14"/>
    <mergeCell ref="F1:L1"/>
    <mergeCell ref="F9:G9"/>
    <mergeCell ref="I10:L10"/>
    <mergeCell ref="B11:D11"/>
    <mergeCell ref="F13:G13"/>
  </mergeCells>
  <phoneticPr fontId="1"/>
  <pageMargins left="0.35433070866141736" right="0.19685039370078741" top="0.59055118110236227" bottom="0.51181102362204722" header="0.51181102362204722" footer="0.51181102362204722"/>
  <pageSetup paperSize="9" scale="86" orientation="portrait" r:id="rId1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7">
    <pageSetUpPr fitToPage="1"/>
  </sheetPr>
  <dimension ref="A1:Q50"/>
  <sheetViews>
    <sheetView view="pageBreakPreview" zoomScaleNormal="100" zoomScaleSheetLayoutView="100" workbookViewId="0">
      <selection activeCell="T377" sqref="T377"/>
    </sheetView>
  </sheetViews>
  <sheetFormatPr defaultRowHeight="13.2"/>
  <cols>
    <col min="1" max="1" width="4.375" style="73" customWidth="1"/>
    <col min="2" max="2" width="8.25" style="73" customWidth="1"/>
    <col min="3" max="3" width="4.375" style="73" customWidth="1"/>
    <col min="4" max="4" width="4.75" style="73" customWidth="1"/>
    <col min="5" max="5" width="7.375" style="73" customWidth="1"/>
    <col min="6" max="6" width="9" style="73"/>
    <col min="7" max="7" width="7.625" style="73" customWidth="1"/>
    <col min="8" max="8" width="3.375" style="73" customWidth="1"/>
    <col min="9" max="9" width="7.375" style="73" customWidth="1"/>
    <col min="10" max="10" width="3.375" style="73" customWidth="1"/>
    <col min="11" max="11" width="6.25" style="73" customWidth="1"/>
    <col min="12" max="12" width="3.25" style="73" customWidth="1"/>
    <col min="13" max="13" width="3.125" style="73" customWidth="1"/>
    <col min="14" max="14" width="10.75" style="73" customWidth="1"/>
    <col min="15" max="15" width="3.125" style="73" customWidth="1"/>
    <col min="16" max="16" width="10.75" style="73" customWidth="1"/>
    <col min="17" max="17" width="13.625" style="73" customWidth="1"/>
    <col min="18" max="262" width="9" style="73"/>
    <col min="263" max="263" width="18.625" style="73" customWidth="1"/>
    <col min="264" max="264" width="5.625" style="73" customWidth="1"/>
    <col min="265" max="265" width="3.625" style="73" customWidth="1"/>
    <col min="266" max="267" width="9" style="73"/>
    <col min="268" max="268" width="3.375" style="73" customWidth="1"/>
    <col min="269" max="269" width="18.375" style="73" customWidth="1"/>
    <col min="270" max="270" width="12.625" style="73" customWidth="1"/>
    <col min="271" max="271" width="3.125" style="73" customWidth="1"/>
    <col min="272" max="272" width="12.625" style="73" customWidth="1"/>
    <col min="273" max="273" width="13.625" style="73" customWidth="1"/>
    <col min="274" max="518" width="9" style="73"/>
    <col min="519" max="519" width="18.625" style="73" customWidth="1"/>
    <col min="520" max="520" width="5.625" style="73" customWidth="1"/>
    <col min="521" max="521" width="3.625" style="73" customWidth="1"/>
    <col min="522" max="523" width="9" style="73"/>
    <col min="524" max="524" width="3.375" style="73" customWidth="1"/>
    <col min="525" max="525" width="18.375" style="73" customWidth="1"/>
    <col min="526" max="526" width="12.625" style="73" customWidth="1"/>
    <col min="527" max="527" width="3.125" style="73" customWidth="1"/>
    <col min="528" max="528" width="12.625" style="73" customWidth="1"/>
    <col min="529" max="529" width="13.625" style="73" customWidth="1"/>
    <col min="530" max="774" width="9" style="73"/>
    <col min="775" max="775" width="18.625" style="73" customWidth="1"/>
    <col min="776" max="776" width="5.625" style="73" customWidth="1"/>
    <col min="777" max="777" width="3.625" style="73" customWidth="1"/>
    <col min="778" max="779" width="9" style="73"/>
    <col min="780" max="780" width="3.375" style="73" customWidth="1"/>
    <col min="781" max="781" width="18.375" style="73" customWidth="1"/>
    <col min="782" max="782" width="12.625" style="73" customWidth="1"/>
    <col min="783" max="783" width="3.125" style="73" customWidth="1"/>
    <col min="784" max="784" width="12.625" style="73" customWidth="1"/>
    <col min="785" max="785" width="13.625" style="73" customWidth="1"/>
    <col min="786" max="1030" width="9" style="73"/>
    <col min="1031" max="1031" width="18.625" style="73" customWidth="1"/>
    <col min="1032" max="1032" width="5.625" style="73" customWidth="1"/>
    <col min="1033" max="1033" width="3.625" style="73" customWidth="1"/>
    <col min="1034" max="1035" width="9" style="73"/>
    <col min="1036" max="1036" width="3.375" style="73" customWidth="1"/>
    <col min="1037" max="1037" width="18.375" style="73" customWidth="1"/>
    <col min="1038" max="1038" width="12.625" style="73" customWidth="1"/>
    <col min="1039" max="1039" width="3.125" style="73" customWidth="1"/>
    <col min="1040" max="1040" width="12.625" style="73" customWidth="1"/>
    <col min="1041" max="1041" width="13.625" style="73" customWidth="1"/>
    <col min="1042" max="1286" width="9" style="73"/>
    <col min="1287" max="1287" width="18.625" style="73" customWidth="1"/>
    <col min="1288" max="1288" width="5.625" style="73" customWidth="1"/>
    <col min="1289" max="1289" width="3.625" style="73" customWidth="1"/>
    <col min="1290" max="1291" width="9" style="73"/>
    <col min="1292" max="1292" width="3.375" style="73" customWidth="1"/>
    <col min="1293" max="1293" width="18.375" style="73" customWidth="1"/>
    <col min="1294" max="1294" width="12.625" style="73" customWidth="1"/>
    <col min="1295" max="1295" width="3.125" style="73" customWidth="1"/>
    <col min="1296" max="1296" width="12.625" style="73" customWidth="1"/>
    <col min="1297" max="1297" width="13.625" style="73" customWidth="1"/>
    <col min="1298" max="1542" width="9" style="73"/>
    <col min="1543" max="1543" width="18.625" style="73" customWidth="1"/>
    <col min="1544" max="1544" width="5.625" style="73" customWidth="1"/>
    <col min="1545" max="1545" width="3.625" style="73" customWidth="1"/>
    <col min="1546" max="1547" width="9" style="73"/>
    <col min="1548" max="1548" width="3.375" style="73" customWidth="1"/>
    <col min="1549" max="1549" width="18.375" style="73" customWidth="1"/>
    <col min="1550" max="1550" width="12.625" style="73" customWidth="1"/>
    <col min="1551" max="1551" width="3.125" style="73" customWidth="1"/>
    <col min="1552" max="1552" width="12.625" style="73" customWidth="1"/>
    <col min="1553" max="1553" width="13.625" style="73" customWidth="1"/>
    <col min="1554" max="1798" width="9" style="73"/>
    <col min="1799" max="1799" width="18.625" style="73" customWidth="1"/>
    <col min="1800" max="1800" width="5.625" style="73" customWidth="1"/>
    <col min="1801" max="1801" width="3.625" style="73" customWidth="1"/>
    <col min="1802" max="1803" width="9" style="73"/>
    <col min="1804" max="1804" width="3.375" style="73" customWidth="1"/>
    <col min="1805" max="1805" width="18.375" style="73" customWidth="1"/>
    <col min="1806" max="1806" width="12.625" style="73" customWidth="1"/>
    <col min="1807" max="1807" width="3.125" style="73" customWidth="1"/>
    <col min="1808" max="1808" width="12.625" style="73" customWidth="1"/>
    <col min="1809" max="1809" width="13.625" style="73" customWidth="1"/>
    <col min="1810" max="2054" width="9" style="73"/>
    <col min="2055" max="2055" width="18.625" style="73" customWidth="1"/>
    <col min="2056" max="2056" width="5.625" style="73" customWidth="1"/>
    <col min="2057" max="2057" width="3.625" style="73" customWidth="1"/>
    <col min="2058" max="2059" width="9" style="73"/>
    <col min="2060" max="2060" width="3.375" style="73" customWidth="1"/>
    <col min="2061" max="2061" width="18.375" style="73" customWidth="1"/>
    <col min="2062" max="2062" width="12.625" style="73" customWidth="1"/>
    <col min="2063" max="2063" width="3.125" style="73" customWidth="1"/>
    <col min="2064" max="2064" width="12.625" style="73" customWidth="1"/>
    <col min="2065" max="2065" width="13.625" style="73" customWidth="1"/>
    <col min="2066" max="2310" width="9" style="73"/>
    <col min="2311" max="2311" width="18.625" style="73" customWidth="1"/>
    <col min="2312" max="2312" width="5.625" style="73" customWidth="1"/>
    <col min="2313" max="2313" width="3.625" style="73" customWidth="1"/>
    <col min="2314" max="2315" width="9" style="73"/>
    <col min="2316" max="2316" width="3.375" style="73" customWidth="1"/>
    <col min="2317" max="2317" width="18.375" style="73" customWidth="1"/>
    <col min="2318" max="2318" width="12.625" style="73" customWidth="1"/>
    <col min="2319" max="2319" width="3.125" style="73" customWidth="1"/>
    <col min="2320" max="2320" width="12.625" style="73" customWidth="1"/>
    <col min="2321" max="2321" width="13.625" style="73" customWidth="1"/>
    <col min="2322" max="2566" width="9" style="73"/>
    <col min="2567" max="2567" width="18.625" style="73" customWidth="1"/>
    <col min="2568" max="2568" width="5.625" style="73" customWidth="1"/>
    <col min="2569" max="2569" width="3.625" style="73" customWidth="1"/>
    <col min="2570" max="2571" width="9" style="73"/>
    <col min="2572" max="2572" width="3.375" style="73" customWidth="1"/>
    <col min="2573" max="2573" width="18.375" style="73" customWidth="1"/>
    <col min="2574" max="2574" width="12.625" style="73" customWidth="1"/>
    <col min="2575" max="2575" width="3.125" style="73" customWidth="1"/>
    <col min="2576" max="2576" width="12.625" style="73" customWidth="1"/>
    <col min="2577" max="2577" width="13.625" style="73" customWidth="1"/>
    <col min="2578" max="2822" width="9" style="73"/>
    <col min="2823" max="2823" width="18.625" style="73" customWidth="1"/>
    <col min="2824" max="2824" width="5.625" style="73" customWidth="1"/>
    <col min="2825" max="2825" width="3.625" style="73" customWidth="1"/>
    <col min="2826" max="2827" width="9" style="73"/>
    <col min="2828" max="2828" width="3.375" style="73" customWidth="1"/>
    <col min="2829" max="2829" width="18.375" style="73" customWidth="1"/>
    <col min="2830" max="2830" width="12.625" style="73" customWidth="1"/>
    <col min="2831" max="2831" width="3.125" style="73" customWidth="1"/>
    <col min="2832" max="2832" width="12.625" style="73" customWidth="1"/>
    <col min="2833" max="2833" width="13.625" style="73" customWidth="1"/>
    <col min="2834" max="3078" width="9" style="73"/>
    <col min="3079" max="3079" width="18.625" style="73" customWidth="1"/>
    <col min="3080" max="3080" width="5.625" style="73" customWidth="1"/>
    <col min="3081" max="3081" width="3.625" style="73" customWidth="1"/>
    <col min="3082" max="3083" width="9" style="73"/>
    <col min="3084" max="3084" width="3.375" style="73" customWidth="1"/>
    <col min="3085" max="3085" width="18.375" style="73" customWidth="1"/>
    <col min="3086" max="3086" width="12.625" style="73" customWidth="1"/>
    <col min="3087" max="3087" width="3.125" style="73" customWidth="1"/>
    <col min="3088" max="3088" width="12.625" style="73" customWidth="1"/>
    <col min="3089" max="3089" width="13.625" style="73" customWidth="1"/>
    <col min="3090" max="3334" width="9" style="73"/>
    <col min="3335" max="3335" width="18.625" style="73" customWidth="1"/>
    <col min="3336" max="3336" width="5.625" style="73" customWidth="1"/>
    <col min="3337" max="3337" width="3.625" style="73" customWidth="1"/>
    <col min="3338" max="3339" width="9" style="73"/>
    <col min="3340" max="3340" width="3.375" style="73" customWidth="1"/>
    <col min="3341" max="3341" width="18.375" style="73" customWidth="1"/>
    <col min="3342" max="3342" width="12.625" style="73" customWidth="1"/>
    <col min="3343" max="3343" width="3.125" style="73" customWidth="1"/>
    <col min="3344" max="3344" width="12.625" style="73" customWidth="1"/>
    <col min="3345" max="3345" width="13.625" style="73" customWidth="1"/>
    <col min="3346" max="3590" width="9" style="73"/>
    <col min="3591" max="3591" width="18.625" style="73" customWidth="1"/>
    <col min="3592" max="3592" width="5.625" style="73" customWidth="1"/>
    <col min="3593" max="3593" width="3.625" style="73" customWidth="1"/>
    <col min="3594" max="3595" width="9" style="73"/>
    <col min="3596" max="3596" width="3.375" style="73" customWidth="1"/>
    <col min="3597" max="3597" width="18.375" style="73" customWidth="1"/>
    <col min="3598" max="3598" width="12.625" style="73" customWidth="1"/>
    <col min="3599" max="3599" width="3.125" style="73" customWidth="1"/>
    <col min="3600" max="3600" width="12.625" style="73" customWidth="1"/>
    <col min="3601" max="3601" width="13.625" style="73" customWidth="1"/>
    <col min="3602" max="3846" width="9" style="73"/>
    <col min="3847" max="3847" width="18.625" style="73" customWidth="1"/>
    <col min="3848" max="3848" width="5.625" style="73" customWidth="1"/>
    <col min="3849" max="3849" width="3.625" style="73" customWidth="1"/>
    <col min="3850" max="3851" width="9" style="73"/>
    <col min="3852" max="3852" width="3.375" style="73" customWidth="1"/>
    <col min="3853" max="3853" width="18.375" style="73" customWidth="1"/>
    <col min="3854" max="3854" width="12.625" style="73" customWidth="1"/>
    <col min="3855" max="3855" width="3.125" style="73" customWidth="1"/>
    <col min="3856" max="3856" width="12.625" style="73" customWidth="1"/>
    <col min="3857" max="3857" width="13.625" style="73" customWidth="1"/>
    <col min="3858" max="4102" width="9" style="73"/>
    <col min="4103" max="4103" width="18.625" style="73" customWidth="1"/>
    <col min="4104" max="4104" width="5.625" style="73" customWidth="1"/>
    <col min="4105" max="4105" width="3.625" style="73" customWidth="1"/>
    <col min="4106" max="4107" width="9" style="73"/>
    <col min="4108" max="4108" width="3.375" style="73" customWidth="1"/>
    <col min="4109" max="4109" width="18.375" style="73" customWidth="1"/>
    <col min="4110" max="4110" width="12.625" style="73" customWidth="1"/>
    <col min="4111" max="4111" width="3.125" style="73" customWidth="1"/>
    <col min="4112" max="4112" width="12.625" style="73" customWidth="1"/>
    <col min="4113" max="4113" width="13.625" style="73" customWidth="1"/>
    <col min="4114" max="4358" width="9" style="73"/>
    <col min="4359" max="4359" width="18.625" style="73" customWidth="1"/>
    <col min="4360" max="4360" width="5.625" style="73" customWidth="1"/>
    <col min="4361" max="4361" width="3.625" style="73" customWidth="1"/>
    <col min="4362" max="4363" width="9" style="73"/>
    <col min="4364" max="4364" width="3.375" style="73" customWidth="1"/>
    <col min="4365" max="4365" width="18.375" style="73" customWidth="1"/>
    <col min="4366" max="4366" width="12.625" style="73" customWidth="1"/>
    <col min="4367" max="4367" width="3.125" style="73" customWidth="1"/>
    <col min="4368" max="4368" width="12.625" style="73" customWidth="1"/>
    <col min="4369" max="4369" width="13.625" style="73" customWidth="1"/>
    <col min="4370" max="4614" width="9" style="73"/>
    <col min="4615" max="4615" width="18.625" style="73" customWidth="1"/>
    <col min="4616" max="4616" width="5.625" style="73" customWidth="1"/>
    <col min="4617" max="4617" width="3.625" style="73" customWidth="1"/>
    <col min="4618" max="4619" width="9" style="73"/>
    <col min="4620" max="4620" width="3.375" style="73" customWidth="1"/>
    <col min="4621" max="4621" width="18.375" style="73" customWidth="1"/>
    <col min="4622" max="4622" width="12.625" style="73" customWidth="1"/>
    <col min="4623" max="4623" width="3.125" style="73" customWidth="1"/>
    <col min="4624" max="4624" width="12.625" style="73" customWidth="1"/>
    <col min="4625" max="4625" width="13.625" style="73" customWidth="1"/>
    <col min="4626" max="4870" width="9" style="73"/>
    <col min="4871" max="4871" width="18.625" style="73" customWidth="1"/>
    <col min="4872" max="4872" width="5.625" style="73" customWidth="1"/>
    <col min="4873" max="4873" width="3.625" style="73" customWidth="1"/>
    <col min="4874" max="4875" width="9" style="73"/>
    <col min="4876" max="4876" width="3.375" style="73" customWidth="1"/>
    <col min="4877" max="4877" width="18.375" style="73" customWidth="1"/>
    <col min="4878" max="4878" width="12.625" style="73" customWidth="1"/>
    <col min="4879" max="4879" width="3.125" style="73" customWidth="1"/>
    <col min="4880" max="4880" width="12.625" style="73" customWidth="1"/>
    <col min="4881" max="4881" width="13.625" style="73" customWidth="1"/>
    <col min="4882" max="5126" width="9" style="73"/>
    <col min="5127" max="5127" width="18.625" style="73" customWidth="1"/>
    <col min="5128" max="5128" width="5.625" style="73" customWidth="1"/>
    <col min="5129" max="5129" width="3.625" style="73" customWidth="1"/>
    <col min="5130" max="5131" width="9" style="73"/>
    <col min="5132" max="5132" width="3.375" style="73" customWidth="1"/>
    <col min="5133" max="5133" width="18.375" style="73" customWidth="1"/>
    <col min="5134" max="5134" width="12.625" style="73" customWidth="1"/>
    <col min="5135" max="5135" width="3.125" style="73" customWidth="1"/>
    <col min="5136" max="5136" width="12.625" style="73" customWidth="1"/>
    <col min="5137" max="5137" width="13.625" style="73" customWidth="1"/>
    <col min="5138" max="5382" width="9" style="73"/>
    <col min="5383" max="5383" width="18.625" style="73" customWidth="1"/>
    <col min="5384" max="5384" width="5.625" style="73" customWidth="1"/>
    <col min="5385" max="5385" width="3.625" style="73" customWidth="1"/>
    <col min="5386" max="5387" width="9" style="73"/>
    <col min="5388" max="5388" width="3.375" style="73" customWidth="1"/>
    <col min="5389" max="5389" width="18.375" style="73" customWidth="1"/>
    <col min="5390" max="5390" width="12.625" style="73" customWidth="1"/>
    <col min="5391" max="5391" width="3.125" style="73" customWidth="1"/>
    <col min="5392" max="5392" width="12.625" style="73" customWidth="1"/>
    <col min="5393" max="5393" width="13.625" style="73" customWidth="1"/>
    <col min="5394" max="5638" width="9" style="73"/>
    <col min="5639" max="5639" width="18.625" style="73" customWidth="1"/>
    <col min="5640" max="5640" width="5.625" style="73" customWidth="1"/>
    <col min="5641" max="5641" width="3.625" style="73" customWidth="1"/>
    <col min="5642" max="5643" width="9" style="73"/>
    <col min="5644" max="5644" width="3.375" style="73" customWidth="1"/>
    <col min="5645" max="5645" width="18.375" style="73" customWidth="1"/>
    <col min="5646" max="5646" width="12.625" style="73" customWidth="1"/>
    <col min="5647" max="5647" width="3.125" style="73" customWidth="1"/>
    <col min="5648" max="5648" width="12.625" style="73" customWidth="1"/>
    <col min="5649" max="5649" width="13.625" style="73" customWidth="1"/>
    <col min="5650" max="5894" width="9" style="73"/>
    <col min="5895" max="5895" width="18.625" style="73" customWidth="1"/>
    <col min="5896" max="5896" width="5.625" style="73" customWidth="1"/>
    <col min="5897" max="5897" width="3.625" style="73" customWidth="1"/>
    <col min="5898" max="5899" width="9" style="73"/>
    <col min="5900" max="5900" width="3.375" style="73" customWidth="1"/>
    <col min="5901" max="5901" width="18.375" style="73" customWidth="1"/>
    <col min="5902" max="5902" width="12.625" style="73" customWidth="1"/>
    <col min="5903" max="5903" width="3.125" style="73" customWidth="1"/>
    <col min="5904" max="5904" width="12.625" style="73" customWidth="1"/>
    <col min="5905" max="5905" width="13.625" style="73" customWidth="1"/>
    <col min="5906" max="6150" width="9" style="73"/>
    <col min="6151" max="6151" width="18.625" style="73" customWidth="1"/>
    <col min="6152" max="6152" width="5.625" style="73" customWidth="1"/>
    <col min="6153" max="6153" width="3.625" style="73" customWidth="1"/>
    <col min="6154" max="6155" width="9" style="73"/>
    <col min="6156" max="6156" width="3.375" style="73" customWidth="1"/>
    <col min="6157" max="6157" width="18.375" style="73" customWidth="1"/>
    <col min="6158" max="6158" width="12.625" style="73" customWidth="1"/>
    <col min="6159" max="6159" width="3.125" style="73" customWidth="1"/>
    <col min="6160" max="6160" width="12.625" style="73" customWidth="1"/>
    <col min="6161" max="6161" width="13.625" style="73" customWidth="1"/>
    <col min="6162" max="6406" width="9" style="73"/>
    <col min="6407" max="6407" width="18.625" style="73" customWidth="1"/>
    <col min="6408" max="6408" width="5.625" style="73" customWidth="1"/>
    <col min="6409" max="6409" width="3.625" style="73" customWidth="1"/>
    <col min="6410" max="6411" width="9" style="73"/>
    <col min="6412" max="6412" width="3.375" style="73" customWidth="1"/>
    <col min="6413" max="6413" width="18.375" style="73" customWidth="1"/>
    <col min="6414" max="6414" width="12.625" style="73" customWidth="1"/>
    <col min="6415" max="6415" width="3.125" style="73" customWidth="1"/>
    <col min="6416" max="6416" width="12.625" style="73" customWidth="1"/>
    <col min="6417" max="6417" width="13.625" style="73" customWidth="1"/>
    <col min="6418" max="6662" width="9" style="73"/>
    <col min="6663" max="6663" width="18.625" style="73" customWidth="1"/>
    <col min="6664" max="6664" width="5.625" style="73" customWidth="1"/>
    <col min="6665" max="6665" width="3.625" style="73" customWidth="1"/>
    <col min="6666" max="6667" width="9" style="73"/>
    <col min="6668" max="6668" width="3.375" style="73" customWidth="1"/>
    <col min="6669" max="6669" width="18.375" style="73" customWidth="1"/>
    <col min="6670" max="6670" width="12.625" style="73" customWidth="1"/>
    <col min="6671" max="6671" width="3.125" style="73" customWidth="1"/>
    <col min="6672" max="6672" width="12.625" style="73" customWidth="1"/>
    <col min="6673" max="6673" width="13.625" style="73" customWidth="1"/>
    <col min="6674" max="6918" width="9" style="73"/>
    <col min="6919" max="6919" width="18.625" style="73" customWidth="1"/>
    <col min="6920" max="6920" width="5.625" style="73" customWidth="1"/>
    <col min="6921" max="6921" width="3.625" style="73" customWidth="1"/>
    <col min="6922" max="6923" width="9" style="73"/>
    <col min="6924" max="6924" width="3.375" style="73" customWidth="1"/>
    <col min="6925" max="6925" width="18.375" style="73" customWidth="1"/>
    <col min="6926" max="6926" width="12.625" style="73" customWidth="1"/>
    <col min="6927" max="6927" width="3.125" style="73" customWidth="1"/>
    <col min="6928" max="6928" width="12.625" style="73" customWidth="1"/>
    <col min="6929" max="6929" width="13.625" style="73" customWidth="1"/>
    <col min="6930" max="7174" width="9" style="73"/>
    <col min="7175" max="7175" width="18.625" style="73" customWidth="1"/>
    <col min="7176" max="7176" width="5.625" style="73" customWidth="1"/>
    <col min="7177" max="7177" width="3.625" style="73" customWidth="1"/>
    <col min="7178" max="7179" width="9" style="73"/>
    <col min="7180" max="7180" width="3.375" style="73" customWidth="1"/>
    <col min="7181" max="7181" width="18.375" style="73" customWidth="1"/>
    <col min="7182" max="7182" width="12.625" style="73" customWidth="1"/>
    <col min="7183" max="7183" width="3.125" style="73" customWidth="1"/>
    <col min="7184" max="7184" width="12.625" style="73" customWidth="1"/>
    <col min="7185" max="7185" width="13.625" style="73" customWidth="1"/>
    <col min="7186" max="7430" width="9" style="73"/>
    <col min="7431" max="7431" width="18.625" style="73" customWidth="1"/>
    <col min="7432" max="7432" width="5.625" style="73" customWidth="1"/>
    <col min="7433" max="7433" width="3.625" style="73" customWidth="1"/>
    <col min="7434" max="7435" width="9" style="73"/>
    <col min="7436" max="7436" width="3.375" style="73" customWidth="1"/>
    <col min="7437" max="7437" width="18.375" style="73" customWidth="1"/>
    <col min="7438" max="7438" width="12.625" style="73" customWidth="1"/>
    <col min="7439" max="7439" width="3.125" style="73" customWidth="1"/>
    <col min="7440" max="7440" width="12.625" style="73" customWidth="1"/>
    <col min="7441" max="7441" width="13.625" style="73" customWidth="1"/>
    <col min="7442" max="7686" width="9" style="73"/>
    <col min="7687" max="7687" width="18.625" style="73" customWidth="1"/>
    <col min="7688" max="7688" width="5.625" style="73" customWidth="1"/>
    <col min="7689" max="7689" width="3.625" style="73" customWidth="1"/>
    <col min="7690" max="7691" width="9" style="73"/>
    <col min="7692" max="7692" width="3.375" style="73" customWidth="1"/>
    <col min="7693" max="7693" width="18.375" style="73" customWidth="1"/>
    <col min="7694" max="7694" width="12.625" style="73" customWidth="1"/>
    <col min="7695" max="7695" width="3.125" style="73" customWidth="1"/>
    <col min="7696" max="7696" width="12.625" style="73" customWidth="1"/>
    <col min="7697" max="7697" width="13.625" style="73" customWidth="1"/>
    <col min="7698" max="7942" width="9" style="73"/>
    <col min="7943" max="7943" width="18.625" style="73" customWidth="1"/>
    <col min="7944" max="7944" width="5.625" style="73" customWidth="1"/>
    <col min="7945" max="7945" width="3.625" style="73" customWidth="1"/>
    <col min="7946" max="7947" width="9" style="73"/>
    <col min="7948" max="7948" width="3.375" style="73" customWidth="1"/>
    <col min="7949" max="7949" width="18.375" style="73" customWidth="1"/>
    <col min="7950" max="7950" width="12.625" style="73" customWidth="1"/>
    <col min="7951" max="7951" width="3.125" style="73" customWidth="1"/>
    <col min="7952" max="7952" width="12.625" style="73" customWidth="1"/>
    <col min="7953" max="7953" width="13.625" style="73" customWidth="1"/>
    <col min="7954" max="8198" width="9" style="73"/>
    <col min="8199" max="8199" width="18.625" style="73" customWidth="1"/>
    <col min="8200" max="8200" width="5.625" style="73" customWidth="1"/>
    <col min="8201" max="8201" width="3.625" style="73" customWidth="1"/>
    <col min="8202" max="8203" width="9" style="73"/>
    <col min="8204" max="8204" width="3.375" style="73" customWidth="1"/>
    <col min="8205" max="8205" width="18.375" style="73" customWidth="1"/>
    <col min="8206" max="8206" width="12.625" style="73" customWidth="1"/>
    <col min="8207" max="8207" width="3.125" style="73" customWidth="1"/>
    <col min="8208" max="8208" width="12.625" style="73" customWidth="1"/>
    <col min="8209" max="8209" width="13.625" style="73" customWidth="1"/>
    <col min="8210" max="8454" width="9" style="73"/>
    <col min="8455" max="8455" width="18.625" style="73" customWidth="1"/>
    <col min="8456" max="8456" width="5.625" style="73" customWidth="1"/>
    <col min="8457" max="8457" width="3.625" style="73" customWidth="1"/>
    <col min="8458" max="8459" width="9" style="73"/>
    <col min="8460" max="8460" width="3.375" style="73" customWidth="1"/>
    <col min="8461" max="8461" width="18.375" style="73" customWidth="1"/>
    <col min="8462" max="8462" width="12.625" style="73" customWidth="1"/>
    <col min="8463" max="8463" width="3.125" style="73" customWidth="1"/>
    <col min="8464" max="8464" width="12.625" style="73" customWidth="1"/>
    <col min="8465" max="8465" width="13.625" style="73" customWidth="1"/>
    <col min="8466" max="8710" width="9" style="73"/>
    <col min="8711" max="8711" width="18.625" style="73" customWidth="1"/>
    <col min="8712" max="8712" width="5.625" style="73" customWidth="1"/>
    <col min="8713" max="8713" width="3.625" style="73" customWidth="1"/>
    <col min="8714" max="8715" width="9" style="73"/>
    <col min="8716" max="8716" width="3.375" style="73" customWidth="1"/>
    <col min="8717" max="8717" width="18.375" style="73" customWidth="1"/>
    <col min="8718" max="8718" width="12.625" style="73" customWidth="1"/>
    <col min="8719" max="8719" width="3.125" style="73" customWidth="1"/>
    <col min="8720" max="8720" width="12.625" style="73" customWidth="1"/>
    <col min="8721" max="8721" width="13.625" style="73" customWidth="1"/>
    <col min="8722" max="8966" width="9" style="73"/>
    <col min="8967" max="8967" width="18.625" style="73" customWidth="1"/>
    <col min="8968" max="8968" width="5.625" style="73" customWidth="1"/>
    <col min="8969" max="8969" width="3.625" style="73" customWidth="1"/>
    <col min="8970" max="8971" width="9" style="73"/>
    <col min="8972" max="8972" width="3.375" style="73" customWidth="1"/>
    <col min="8973" max="8973" width="18.375" style="73" customWidth="1"/>
    <col min="8974" max="8974" width="12.625" style="73" customWidth="1"/>
    <col min="8975" max="8975" width="3.125" style="73" customWidth="1"/>
    <col min="8976" max="8976" width="12.625" style="73" customWidth="1"/>
    <col min="8977" max="8977" width="13.625" style="73" customWidth="1"/>
    <col min="8978" max="9222" width="9" style="73"/>
    <col min="9223" max="9223" width="18.625" style="73" customWidth="1"/>
    <col min="9224" max="9224" width="5.625" style="73" customWidth="1"/>
    <col min="9225" max="9225" width="3.625" style="73" customWidth="1"/>
    <col min="9226" max="9227" width="9" style="73"/>
    <col min="9228" max="9228" width="3.375" style="73" customWidth="1"/>
    <col min="9229" max="9229" width="18.375" style="73" customWidth="1"/>
    <col min="9230" max="9230" width="12.625" style="73" customWidth="1"/>
    <col min="9231" max="9231" width="3.125" style="73" customWidth="1"/>
    <col min="9232" max="9232" width="12.625" style="73" customWidth="1"/>
    <col min="9233" max="9233" width="13.625" style="73" customWidth="1"/>
    <col min="9234" max="9478" width="9" style="73"/>
    <col min="9479" max="9479" width="18.625" style="73" customWidth="1"/>
    <col min="9480" max="9480" width="5.625" style="73" customWidth="1"/>
    <col min="9481" max="9481" width="3.625" style="73" customWidth="1"/>
    <col min="9482" max="9483" width="9" style="73"/>
    <col min="9484" max="9484" width="3.375" style="73" customWidth="1"/>
    <col min="9485" max="9485" width="18.375" style="73" customWidth="1"/>
    <col min="9486" max="9486" width="12.625" style="73" customWidth="1"/>
    <col min="9487" max="9487" width="3.125" style="73" customWidth="1"/>
    <col min="9488" max="9488" width="12.625" style="73" customWidth="1"/>
    <col min="9489" max="9489" width="13.625" style="73" customWidth="1"/>
    <col min="9490" max="9734" width="9" style="73"/>
    <col min="9735" max="9735" width="18.625" style="73" customWidth="1"/>
    <col min="9736" max="9736" width="5.625" style="73" customWidth="1"/>
    <col min="9737" max="9737" width="3.625" style="73" customWidth="1"/>
    <col min="9738" max="9739" width="9" style="73"/>
    <col min="9740" max="9740" width="3.375" style="73" customWidth="1"/>
    <col min="9741" max="9741" width="18.375" style="73" customWidth="1"/>
    <col min="9742" max="9742" width="12.625" style="73" customWidth="1"/>
    <col min="9743" max="9743" width="3.125" style="73" customWidth="1"/>
    <col min="9744" max="9744" width="12.625" style="73" customWidth="1"/>
    <col min="9745" max="9745" width="13.625" style="73" customWidth="1"/>
    <col min="9746" max="9990" width="9" style="73"/>
    <col min="9991" max="9991" width="18.625" style="73" customWidth="1"/>
    <col min="9992" max="9992" width="5.625" style="73" customWidth="1"/>
    <col min="9993" max="9993" width="3.625" style="73" customWidth="1"/>
    <col min="9994" max="9995" width="9" style="73"/>
    <col min="9996" max="9996" width="3.375" style="73" customWidth="1"/>
    <col min="9997" max="9997" width="18.375" style="73" customWidth="1"/>
    <col min="9998" max="9998" width="12.625" style="73" customWidth="1"/>
    <col min="9999" max="9999" width="3.125" style="73" customWidth="1"/>
    <col min="10000" max="10000" width="12.625" style="73" customWidth="1"/>
    <col min="10001" max="10001" width="13.625" style="73" customWidth="1"/>
    <col min="10002" max="10246" width="9" style="73"/>
    <col min="10247" max="10247" width="18.625" style="73" customWidth="1"/>
    <col min="10248" max="10248" width="5.625" style="73" customWidth="1"/>
    <col min="10249" max="10249" width="3.625" style="73" customWidth="1"/>
    <col min="10250" max="10251" width="9" style="73"/>
    <col min="10252" max="10252" width="3.375" style="73" customWidth="1"/>
    <col min="10253" max="10253" width="18.375" style="73" customWidth="1"/>
    <col min="10254" max="10254" width="12.625" style="73" customWidth="1"/>
    <col min="10255" max="10255" width="3.125" style="73" customWidth="1"/>
    <col min="10256" max="10256" width="12.625" style="73" customWidth="1"/>
    <col min="10257" max="10257" width="13.625" style="73" customWidth="1"/>
    <col min="10258" max="10502" width="9" style="73"/>
    <col min="10503" max="10503" width="18.625" style="73" customWidth="1"/>
    <col min="10504" max="10504" width="5.625" style="73" customWidth="1"/>
    <col min="10505" max="10505" width="3.625" style="73" customWidth="1"/>
    <col min="10506" max="10507" width="9" style="73"/>
    <col min="10508" max="10508" width="3.375" style="73" customWidth="1"/>
    <col min="10509" max="10509" width="18.375" style="73" customWidth="1"/>
    <col min="10510" max="10510" width="12.625" style="73" customWidth="1"/>
    <col min="10511" max="10511" width="3.125" style="73" customWidth="1"/>
    <col min="10512" max="10512" width="12.625" style="73" customWidth="1"/>
    <col min="10513" max="10513" width="13.625" style="73" customWidth="1"/>
    <col min="10514" max="10758" width="9" style="73"/>
    <col min="10759" max="10759" width="18.625" style="73" customWidth="1"/>
    <col min="10760" max="10760" width="5.625" style="73" customWidth="1"/>
    <col min="10761" max="10761" width="3.625" style="73" customWidth="1"/>
    <col min="10762" max="10763" width="9" style="73"/>
    <col min="10764" max="10764" width="3.375" style="73" customWidth="1"/>
    <col min="10765" max="10765" width="18.375" style="73" customWidth="1"/>
    <col min="10766" max="10766" width="12.625" style="73" customWidth="1"/>
    <col min="10767" max="10767" width="3.125" style="73" customWidth="1"/>
    <col min="10768" max="10768" width="12.625" style="73" customWidth="1"/>
    <col min="10769" max="10769" width="13.625" style="73" customWidth="1"/>
    <col min="10770" max="11014" width="9" style="73"/>
    <col min="11015" max="11015" width="18.625" style="73" customWidth="1"/>
    <col min="11016" max="11016" width="5.625" style="73" customWidth="1"/>
    <col min="11017" max="11017" width="3.625" style="73" customWidth="1"/>
    <col min="11018" max="11019" width="9" style="73"/>
    <col min="11020" max="11020" width="3.375" style="73" customWidth="1"/>
    <col min="11021" max="11021" width="18.375" style="73" customWidth="1"/>
    <col min="11022" max="11022" width="12.625" style="73" customWidth="1"/>
    <col min="11023" max="11023" width="3.125" style="73" customWidth="1"/>
    <col min="11024" max="11024" width="12.625" style="73" customWidth="1"/>
    <col min="11025" max="11025" width="13.625" style="73" customWidth="1"/>
    <col min="11026" max="11270" width="9" style="73"/>
    <col min="11271" max="11271" width="18.625" style="73" customWidth="1"/>
    <col min="11272" max="11272" width="5.625" style="73" customWidth="1"/>
    <col min="11273" max="11273" width="3.625" style="73" customWidth="1"/>
    <col min="11274" max="11275" width="9" style="73"/>
    <col min="11276" max="11276" width="3.375" style="73" customWidth="1"/>
    <col min="11277" max="11277" width="18.375" style="73" customWidth="1"/>
    <col min="11278" max="11278" width="12.625" style="73" customWidth="1"/>
    <col min="11279" max="11279" width="3.125" style="73" customWidth="1"/>
    <col min="11280" max="11280" width="12.625" style="73" customWidth="1"/>
    <col min="11281" max="11281" width="13.625" style="73" customWidth="1"/>
    <col min="11282" max="11526" width="9" style="73"/>
    <col min="11527" max="11527" width="18.625" style="73" customWidth="1"/>
    <col min="11528" max="11528" width="5.625" style="73" customWidth="1"/>
    <col min="11529" max="11529" width="3.625" style="73" customWidth="1"/>
    <col min="11530" max="11531" width="9" style="73"/>
    <col min="11532" max="11532" width="3.375" style="73" customWidth="1"/>
    <col min="11533" max="11533" width="18.375" style="73" customWidth="1"/>
    <col min="11534" max="11534" width="12.625" style="73" customWidth="1"/>
    <col min="11535" max="11535" width="3.125" style="73" customWidth="1"/>
    <col min="11536" max="11536" width="12.625" style="73" customWidth="1"/>
    <col min="11537" max="11537" width="13.625" style="73" customWidth="1"/>
    <col min="11538" max="11782" width="9" style="73"/>
    <col min="11783" max="11783" width="18.625" style="73" customWidth="1"/>
    <col min="11784" max="11784" width="5.625" style="73" customWidth="1"/>
    <col min="11785" max="11785" width="3.625" style="73" customWidth="1"/>
    <col min="11786" max="11787" width="9" style="73"/>
    <col min="11788" max="11788" width="3.375" style="73" customWidth="1"/>
    <col min="11789" max="11789" width="18.375" style="73" customWidth="1"/>
    <col min="11790" max="11790" width="12.625" style="73" customWidth="1"/>
    <col min="11791" max="11791" width="3.125" style="73" customWidth="1"/>
    <col min="11792" max="11792" width="12.625" style="73" customWidth="1"/>
    <col min="11793" max="11793" width="13.625" style="73" customWidth="1"/>
    <col min="11794" max="12038" width="9" style="73"/>
    <col min="12039" max="12039" width="18.625" style="73" customWidth="1"/>
    <col min="12040" max="12040" width="5.625" style="73" customWidth="1"/>
    <col min="12041" max="12041" width="3.625" style="73" customWidth="1"/>
    <col min="12042" max="12043" width="9" style="73"/>
    <col min="12044" max="12044" width="3.375" style="73" customWidth="1"/>
    <col min="12045" max="12045" width="18.375" style="73" customWidth="1"/>
    <col min="12046" max="12046" width="12.625" style="73" customWidth="1"/>
    <col min="12047" max="12047" width="3.125" style="73" customWidth="1"/>
    <col min="12048" max="12048" width="12.625" style="73" customWidth="1"/>
    <col min="12049" max="12049" width="13.625" style="73" customWidth="1"/>
    <col min="12050" max="12294" width="9" style="73"/>
    <col min="12295" max="12295" width="18.625" style="73" customWidth="1"/>
    <col min="12296" max="12296" width="5.625" style="73" customWidth="1"/>
    <col min="12297" max="12297" width="3.625" style="73" customWidth="1"/>
    <col min="12298" max="12299" width="9" style="73"/>
    <col min="12300" max="12300" width="3.375" style="73" customWidth="1"/>
    <col min="12301" max="12301" width="18.375" style="73" customWidth="1"/>
    <col min="12302" max="12302" width="12.625" style="73" customWidth="1"/>
    <col min="12303" max="12303" width="3.125" style="73" customWidth="1"/>
    <col min="12304" max="12304" width="12.625" style="73" customWidth="1"/>
    <col min="12305" max="12305" width="13.625" style="73" customWidth="1"/>
    <col min="12306" max="12550" width="9" style="73"/>
    <col min="12551" max="12551" width="18.625" style="73" customWidth="1"/>
    <col min="12552" max="12552" width="5.625" style="73" customWidth="1"/>
    <col min="12553" max="12553" width="3.625" style="73" customWidth="1"/>
    <col min="12554" max="12555" width="9" style="73"/>
    <col min="12556" max="12556" width="3.375" style="73" customWidth="1"/>
    <col min="12557" max="12557" width="18.375" style="73" customWidth="1"/>
    <col min="12558" max="12558" width="12.625" style="73" customWidth="1"/>
    <col min="12559" max="12559" width="3.125" style="73" customWidth="1"/>
    <col min="12560" max="12560" width="12.625" style="73" customWidth="1"/>
    <col min="12561" max="12561" width="13.625" style="73" customWidth="1"/>
    <col min="12562" max="12806" width="9" style="73"/>
    <col min="12807" max="12807" width="18.625" style="73" customWidth="1"/>
    <col min="12808" max="12808" width="5.625" style="73" customWidth="1"/>
    <col min="12809" max="12809" width="3.625" style="73" customWidth="1"/>
    <col min="12810" max="12811" width="9" style="73"/>
    <col min="12812" max="12812" width="3.375" style="73" customWidth="1"/>
    <col min="12813" max="12813" width="18.375" style="73" customWidth="1"/>
    <col min="12814" max="12814" width="12.625" style="73" customWidth="1"/>
    <col min="12815" max="12815" width="3.125" style="73" customWidth="1"/>
    <col min="12816" max="12816" width="12.625" style="73" customWidth="1"/>
    <col min="12817" max="12817" width="13.625" style="73" customWidth="1"/>
    <col min="12818" max="13062" width="9" style="73"/>
    <col min="13063" max="13063" width="18.625" style="73" customWidth="1"/>
    <col min="13064" max="13064" width="5.625" style="73" customWidth="1"/>
    <col min="13065" max="13065" width="3.625" style="73" customWidth="1"/>
    <col min="13066" max="13067" width="9" style="73"/>
    <col min="13068" max="13068" width="3.375" style="73" customWidth="1"/>
    <col min="13069" max="13069" width="18.375" style="73" customWidth="1"/>
    <col min="13070" max="13070" width="12.625" style="73" customWidth="1"/>
    <col min="13071" max="13071" width="3.125" style="73" customWidth="1"/>
    <col min="13072" max="13072" width="12.625" style="73" customWidth="1"/>
    <col min="13073" max="13073" width="13.625" style="73" customWidth="1"/>
    <col min="13074" max="13318" width="9" style="73"/>
    <col min="13319" max="13319" width="18.625" style="73" customWidth="1"/>
    <col min="13320" max="13320" width="5.625" style="73" customWidth="1"/>
    <col min="13321" max="13321" width="3.625" style="73" customWidth="1"/>
    <col min="13322" max="13323" width="9" style="73"/>
    <col min="13324" max="13324" width="3.375" style="73" customWidth="1"/>
    <col min="13325" max="13325" width="18.375" style="73" customWidth="1"/>
    <col min="13326" max="13326" width="12.625" style="73" customWidth="1"/>
    <col min="13327" max="13327" width="3.125" style="73" customWidth="1"/>
    <col min="13328" max="13328" width="12.625" style="73" customWidth="1"/>
    <col min="13329" max="13329" width="13.625" style="73" customWidth="1"/>
    <col min="13330" max="13574" width="9" style="73"/>
    <col min="13575" max="13575" width="18.625" style="73" customWidth="1"/>
    <col min="13576" max="13576" width="5.625" style="73" customWidth="1"/>
    <col min="13577" max="13577" width="3.625" style="73" customWidth="1"/>
    <col min="13578" max="13579" width="9" style="73"/>
    <col min="13580" max="13580" width="3.375" style="73" customWidth="1"/>
    <col min="13581" max="13581" width="18.375" style="73" customWidth="1"/>
    <col min="13582" max="13582" width="12.625" style="73" customWidth="1"/>
    <col min="13583" max="13583" width="3.125" style="73" customWidth="1"/>
    <col min="13584" max="13584" width="12.625" style="73" customWidth="1"/>
    <col min="13585" max="13585" width="13.625" style="73" customWidth="1"/>
    <col min="13586" max="13830" width="9" style="73"/>
    <col min="13831" max="13831" width="18.625" style="73" customWidth="1"/>
    <col min="13832" max="13832" width="5.625" style="73" customWidth="1"/>
    <col min="13833" max="13833" width="3.625" style="73" customWidth="1"/>
    <col min="13834" max="13835" width="9" style="73"/>
    <col min="13836" max="13836" width="3.375" style="73" customWidth="1"/>
    <col min="13837" max="13837" width="18.375" style="73" customWidth="1"/>
    <col min="13838" max="13838" width="12.625" style="73" customWidth="1"/>
    <col min="13839" max="13839" width="3.125" style="73" customWidth="1"/>
    <col min="13840" max="13840" width="12.625" style="73" customWidth="1"/>
    <col min="13841" max="13841" width="13.625" style="73" customWidth="1"/>
    <col min="13842" max="14086" width="9" style="73"/>
    <col min="14087" max="14087" width="18.625" style="73" customWidth="1"/>
    <col min="14088" max="14088" width="5.625" style="73" customWidth="1"/>
    <col min="14089" max="14089" width="3.625" style="73" customWidth="1"/>
    <col min="14090" max="14091" width="9" style="73"/>
    <col min="14092" max="14092" width="3.375" style="73" customWidth="1"/>
    <col min="14093" max="14093" width="18.375" style="73" customWidth="1"/>
    <col min="14094" max="14094" width="12.625" style="73" customWidth="1"/>
    <col min="14095" max="14095" width="3.125" style="73" customWidth="1"/>
    <col min="14096" max="14096" width="12.625" style="73" customWidth="1"/>
    <col min="14097" max="14097" width="13.625" style="73" customWidth="1"/>
    <col min="14098" max="14342" width="9" style="73"/>
    <col min="14343" max="14343" width="18.625" style="73" customWidth="1"/>
    <col min="14344" max="14344" width="5.625" style="73" customWidth="1"/>
    <col min="14345" max="14345" width="3.625" style="73" customWidth="1"/>
    <col min="14346" max="14347" width="9" style="73"/>
    <col min="14348" max="14348" width="3.375" style="73" customWidth="1"/>
    <col min="14349" max="14349" width="18.375" style="73" customWidth="1"/>
    <col min="14350" max="14350" width="12.625" style="73" customWidth="1"/>
    <col min="14351" max="14351" width="3.125" style="73" customWidth="1"/>
    <col min="14352" max="14352" width="12.625" style="73" customWidth="1"/>
    <col min="14353" max="14353" width="13.625" style="73" customWidth="1"/>
    <col min="14354" max="14598" width="9" style="73"/>
    <col min="14599" max="14599" width="18.625" style="73" customWidth="1"/>
    <col min="14600" max="14600" width="5.625" style="73" customWidth="1"/>
    <col min="14601" max="14601" width="3.625" style="73" customWidth="1"/>
    <col min="14602" max="14603" width="9" style="73"/>
    <col min="14604" max="14604" width="3.375" style="73" customWidth="1"/>
    <col min="14605" max="14605" width="18.375" style="73" customWidth="1"/>
    <col min="14606" max="14606" width="12.625" style="73" customWidth="1"/>
    <col min="14607" max="14607" width="3.125" style="73" customWidth="1"/>
    <col min="14608" max="14608" width="12.625" style="73" customWidth="1"/>
    <col min="14609" max="14609" width="13.625" style="73" customWidth="1"/>
    <col min="14610" max="14854" width="9" style="73"/>
    <col min="14855" max="14855" width="18.625" style="73" customWidth="1"/>
    <col min="14856" max="14856" width="5.625" style="73" customWidth="1"/>
    <col min="14857" max="14857" width="3.625" style="73" customWidth="1"/>
    <col min="14858" max="14859" width="9" style="73"/>
    <col min="14860" max="14860" width="3.375" style="73" customWidth="1"/>
    <col min="14861" max="14861" width="18.375" style="73" customWidth="1"/>
    <col min="14862" max="14862" width="12.625" style="73" customWidth="1"/>
    <col min="14863" max="14863" width="3.125" style="73" customWidth="1"/>
    <col min="14864" max="14864" width="12.625" style="73" customWidth="1"/>
    <col min="14865" max="14865" width="13.625" style="73" customWidth="1"/>
    <col min="14866" max="15110" width="9" style="73"/>
    <col min="15111" max="15111" width="18.625" style="73" customWidth="1"/>
    <col min="15112" max="15112" width="5.625" style="73" customWidth="1"/>
    <col min="15113" max="15113" width="3.625" style="73" customWidth="1"/>
    <col min="15114" max="15115" width="9" style="73"/>
    <col min="15116" max="15116" width="3.375" style="73" customWidth="1"/>
    <col min="15117" max="15117" width="18.375" style="73" customWidth="1"/>
    <col min="15118" max="15118" width="12.625" style="73" customWidth="1"/>
    <col min="15119" max="15119" width="3.125" style="73" customWidth="1"/>
    <col min="15120" max="15120" width="12.625" style="73" customWidth="1"/>
    <col min="15121" max="15121" width="13.625" style="73" customWidth="1"/>
    <col min="15122" max="15366" width="9" style="73"/>
    <col min="15367" max="15367" width="18.625" style="73" customWidth="1"/>
    <col min="15368" max="15368" width="5.625" style="73" customWidth="1"/>
    <col min="15369" max="15369" width="3.625" style="73" customWidth="1"/>
    <col min="15370" max="15371" width="9" style="73"/>
    <col min="15372" max="15372" width="3.375" style="73" customWidth="1"/>
    <col min="15373" max="15373" width="18.375" style="73" customWidth="1"/>
    <col min="15374" max="15374" width="12.625" style="73" customWidth="1"/>
    <col min="15375" max="15375" width="3.125" style="73" customWidth="1"/>
    <col min="15376" max="15376" width="12.625" style="73" customWidth="1"/>
    <col min="15377" max="15377" width="13.625" style="73" customWidth="1"/>
    <col min="15378" max="15622" width="9" style="73"/>
    <col min="15623" max="15623" width="18.625" style="73" customWidth="1"/>
    <col min="15624" max="15624" width="5.625" style="73" customWidth="1"/>
    <col min="15625" max="15625" width="3.625" style="73" customWidth="1"/>
    <col min="15626" max="15627" width="9" style="73"/>
    <col min="15628" max="15628" width="3.375" style="73" customWidth="1"/>
    <col min="15629" max="15629" width="18.375" style="73" customWidth="1"/>
    <col min="15630" max="15630" width="12.625" style="73" customWidth="1"/>
    <col min="15631" max="15631" width="3.125" style="73" customWidth="1"/>
    <col min="15632" max="15632" width="12.625" style="73" customWidth="1"/>
    <col min="15633" max="15633" width="13.625" style="73" customWidth="1"/>
    <col min="15634" max="15878" width="9" style="73"/>
    <col min="15879" max="15879" width="18.625" style="73" customWidth="1"/>
    <col min="15880" max="15880" width="5.625" style="73" customWidth="1"/>
    <col min="15881" max="15881" width="3.625" style="73" customWidth="1"/>
    <col min="15882" max="15883" width="9" style="73"/>
    <col min="15884" max="15884" width="3.375" style="73" customWidth="1"/>
    <col min="15885" max="15885" width="18.375" style="73" customWidth="1"/>
    <col min="15886" max="15886" width="12.625" style="73" customWidth="1"/>
    <col min="15887" max="15887" width="3.125" style="73" customWidth="1"/>
    <col min="15888" max="15888" width="12.625" style="73" customWidth="1"/>
    <col min="15889" max="15889" width="13.625" style="73" customWidth="1"/>
    <col min="15890" max="16134" width="9" style="73"/>
    <col min="16135" max="16135" width="18.625" style="73" customWidth="1"/>
    <col min="16136" max="16136" width="5.625" style="73" customWidth="1"/>
    <col min="16137" max="16137" width="3.625" style="73" customWidth="1"/>
    <col min="16138" max="16139" width="9" style="73"/>
    <col min="16140" max="16140" width="3.375" style="73" customWidth="1"/>
    <col min="16141" max="16141" width="18.375" style="73" customWidth="1"/>
    <col min="16142" max="16142" width="12.625" style="73" customWidth="1"/>
    <col min="16143" max="16143" width="3.125" style="73" customWidth="1"/>
    <col min="16144" max="16144" width="12.625" style="73" customWidth="1"/>
    <col min="16145" max="16145" width="13.625" style="73" customWidth="1"/>
    <col min="16146" max="16384" width="9" style="73"/>
  </cols>
  <sheetData>
    <row r="1" spans="1:17" s="69" customFormat="1" ht="36" customHeight="1">
      <c r="A1" s="69" t="s">
        <v>97</v>
      </c>
      <c r="D1" s="70" t="s">
        <v>98</v>
      </c>
      <c r="E1" s="70"/>
      <c r="F1" s="220" t="s">
        <v>99</v>
      </c>
      <c r="G1" s="221"/>
      <c r="H1" s="221"/>
      <c r="I1" s="221"/>
      <c r="J1" s="221"/>
      <c r="K1" s="221"/>
      <c r="L1" s="221"/>
      <c r="M1" s="71"/>
    </row>
    <row r="2" spans="1:17" ht="23.4">
      <c r="C2" s="74"/>
    </row>
    <row r="3" spans="1:17" ht="23.4">
      <c r="A3" s="74" t="s">
        <v>100</v>
      </c>
      <c r="B3" s="74"/>
      <c r="D3" s="70" t="s">
        <v>98</v>
      </c>
      <c r="E3" s="70"/>
    </row>
    <row r="4" spans="1:17" ht="23.4">
      <c r="C4" s="74"/>
    </row>
    <row r="6" spans="1:17" s="76" customFormat="1" ht="16.2">
      <c r="A6" s="76" t="s">
        <v>101</v>
      </c>
      <c r="F6" s="76" t="s">
        <v>102</v>
      </c>
      <c r="Q6" s="93" t="s">
        <v>103</v>
      </c>
    </row>
    <row r="7" spans="1:17" s="76" customFormat="1" ht="16.2"/>
    <row r="9" spans="1:17" ht="18" customHeight="1">
      <c r="A9" s="78" t="s">
        <v>104</v>
      </c>
      <c r="B9" s="78"/>
      <c r="C9" s="79"/>
      <c r="D9" s="73" t="s">
        <v>105</v>
      </c>
      <c r="F9" s="227"/>
      <c r="G9" s="227"/>
      <c r="H9" s="80"/>
      <c r="I9" s="81" t="str">
        <f>IFERROR(LOOKUP(10^17,LEFT(I10,COLUMN($1:$1))*1)/K9,"")</f>
        <v/>
      </c>
      <c r="J9" s="80" t="s">
        <v>106</v>
      </c>
      <c r="K9" s="80"/>
      <c r="L9" s="80"/>
      <c r="M9" s="82"/>
      <c r="N9" s="83" t="s">
        <v>107</v>
      </c>
      <c r="O9" s="84"/>
      <c r="P9" s="83" t="s">
        <v>108</v>
      </c>
    </row>
    <row r="10" spans="1:17" ht="18" customHeight="1">
      <c r="A10" s="79"/>
      <c r="B10" s="79"/>
      <c r="C10" s="79"/>
      <c r="F10" s="94"/>
      <c r="G10" s="94"/>
      <c r="H10" s="80"/>
      <c r="I10" s="223"/>
      <c r="J10" s="223"/>
      <c r="K10" s="223"/>
      <c r="L10" s="223"/>
      <c r="M10" s="86"/>
      <c r="N10" s="86"/>
      <c r="O10" s="84"/>
      <c r="P10" s="87" t="s">
        <v>109</v>
      </c>
    </row>
    <row r="11" spans="1:17" ht="18" customHeight="1">
      <c r="A11" s="79" t="s">
        <v>110</v>
      </c>
      <c r="B11" s="223"/>
      <c r="C11" s="223"/>
      <c r="D11" s="223"/>
      <c r="F11" s="94"/>
      <c r="G11" s="94"/>
      <c r="H11" s="80"/>
      <c r="I11" s="80"/>
      <c r="J11" s="80"/>
      <c r="K11" s="80"/>
      <c r="L11" s="81" t="s">
        <v>111</v>
      </c>
      <c r="M11" s="86"/>
      <c r="N11" s="86"/>
      <c r="O11" s="86"/>
    </row>
    <row r="12" spans="1:17" ht="18" customHeight="1">
      <c r="M12" s="86"/>
      <c r="N12" s="86"/>
      <c r="O12" s="86"/>
    </row>
    <row r="13" spans="1:17" ht="18" customHeight="1">
      <c r="A13" s="78" t="s">
        <v>104</v>
      </c>
      <c r="B13" s="78"/>
      <c r="C13" s="79"/>
      <c r="D13" s="73" t="s">
        <v>105</v>
      </c>
      <c r="F13" s="227"/>
      <c r="G13" s="227"/>
      <c r="I13" s="73" t="str">
        <f>IFERROR(LOOKUP(10^17,LEFT(I14,COLUMN($1:$1))*1)/K13,"")</f>
        <v/>
      </c>
      <c r="J13" s="73" t="s">
        <v>106</v>
      </c>
      <c r="M13" s="84"/>
      <c r="N13" s="86" t="s">
        <v>107</v>
      </c>
      <c r="O13" s="84"/>
      <c r="P13" s="83" t="s">
        <v>108</v>
      </c>
    </row>
    <row r="14" spans="1:17" ht="18" customHeight="1">
      <c r="A14" s="79"/>
      <c r="B14" s="79"/>
      <c r="C14" s="79"/>
      <c r="F14" s="94"/>
      <c r="G14" s="94"/>
      <c r="I14" s="219"/>
      <c r="J14" s="219"/>
      <c r="K14" s="219"/>
      <c r="L14" s="219"/>
      <c r="M14" s="86"/>
      <c r="N14" s="86"/>
      <c r="O14" s="84"/>
      <c r="P14" s="87" t="s">
        <v>109</v>
      </c>
    </row>
    <row r="15" spans="1:17" ht="18" customHeight="1">
      <c r="A15" s="79" t="s">
        <v>110</v>
      </c>
      <c r="B15" s="223"/>
      <c r="C15" s="223"/>
      <c r="D15" s="223"/>
      <c r="F15" s="94"/>
      <c r="G15" s="94"/>
      <c r="L15" s="81" t="s">
        <v>111</v>
      </c>
      <c r="M15" s="86"/>
      <c r="N15" s="86"/>
      <c r="O15" s="86"/>
    </row>
    <row r="16" spans="1:17" ht="18" customHeight="1">
      <c r="M16" s="86"/>
      <c r="N16" s="86"/>
      <c r="O16" s="86"/>
    </row>
    <row r="17" spans="1:16" ht="18" customHeight="1">
      <c r="A17" s="78" t="s">
        <v>104</v>
      </c>
      <c r="B17" s="88"/>
      <c r="C17" s="79"/>
      <c r="D17" s="73" t="s">
        <v>105</v>
      </c>
      <c r="F17" s="227"/>
      <c r="G17" s="227"/>
      <c r="I17" s="73" t="str">
        <f>IFERROR(LOOKUP(10^17,LEFT(I18,COLUMN($1:$1))*1)/K17,"")</f>
        <v/>
      </c>
      <c r="J17" s="73" t="s">
        <v>106</v>
      </c>
      <c r="M17" s="84"/>
      <c r="N17" s="86" t="s">
        <v>107</v>
      </c>
      <c r="O17" s="84"/>
      <c r="P17" s="83" t="s">
        <v>108</v>
      </c>
    </row>
    <row r="18" spans="1:16" ht="18" customHeight="1">
      <c r="A18" s="79"/>
      <c r="B18" s="79"/>
      <c r="C18" s="79"/>
      <c r="F18" s="94"/>
      <c r="G18" s="94"/>
      <c r="I18" s="219"/>
      <c r="J18" s="219"/>
      <c r="K18" s="219"/>
      <c r="L18" s="219"/>
      <c r="M18" s="86"/>
      <c r="N18" s="86"/>
      <c r="O18" s="84"/>
      <c r="P18" s="87" t="s">
        <v>109</v>
      </c>
    </row>
    <row r="19" spans="1:16" ht="18" customHeight="1">
      <c r="A19" s="79" t="s">
        <v>110</v>
      </c>
      <c r="B19" s="224" t="s">
        <v>99</v>
      </c>
      <c r="C19" s="223"/>
      <c r="D19" s="223"/>
      <c r="F19" s="94"/>
      <c r="G19" s="94"/>
      <c r="L19" s="81" t="s">
        <v>111</v>
      </c>
      <c r="M19" s="86"/>
      <c r="N19" s="86"/>
      <c r="O19" s="86"/>
    </row>
    <row r="20" spans="1:16" ht="18" customHeight="1">
      <c r="M20" s="86"/>
      <c r="N20" s="86"/>
      <c r="O20" s="86"/>
    </row>
    <row r="21" spans="1:16" ht="18" customHeight="1">
      <c r="A21" s="78" t="s">
        <v>104</v>
      </c>
      <c r="B21" s="78"/>
      <c r="C21" s="79"/>
      <c r="D21" s="73" t="s">
        <v>105</v>
      </c>
      <c r="E21" s="89"/>
      <c r="F21" s="227"/>
      <c r="G21" s="227"/>
      <c r="I21" s="73" t="str">
        <f>IFERROR(LOOKUP(10^17,LEFT(I22,COLUMN($1:$1))*1)/K21,"")</f>
        <v/>
      </c>
      <c r="J21" s="73" t="s">
        <v>106</v>
      </c>
      <c r="M21" s="84"/>
      <c r="N21" s="86" t="s">
        <v>107</v>
      </c>
      <c r="O21" s="84"/>
      <c r="P21" s="83" t="s">
        <v>108</v>
      </c>
    </row>
    <row r="22" spans="1:16" ht="18" customHeight="1">
      <c r="A22" s="79"/>
      <c r="B22" s="79"/>
      <c r="C22" s="79"/>
      <c r="F22" s="94"/>
      <c r="G22" s="94"/>
      <c r="I22" s="219"/>
      <c r="J22" s="219"/>
      <c r="K22" s="219"/>
      <c r="L22" s="219"/>
      <c r="M22" s="86"/>
      <c r="N22" s="86"/>
      <c r="O22" s="84"/>
      <c r="P22" s="87" t="s">
        <v>109</v>
      </c>
    </row>
    <row r="23" spans="1:16" ht="18" customHeight="1">
      <c r="A23" s="79" t="s">
        <v>110</v>
      </c>
      <c r="B23" s="223"/>
      <c r="C23" s="223"/>
      <c r="D23" s="223"/>
      <c r="F23" s="94"/>
      <c r="G23" s="94"/>
      <c r="L23" s="81" t="s">
        <v>111</v>
      </c>
      <c r="M23" s="86"/>
      <c r="N23" s="86"/>
      <c r="O23" s="86"/>
    </row>
    <row r="24" spans="1:16" ht="18" customHeight="1">
      <c r="M24" s="86"/>
      <c r="N24" s="86"/>
      <c r="O24" s="86"/>
    </row>
    <row r="25" spans="1:16" ht="18" customHeight="1">
      <c r="A25" s="78" t="s">
        <v>104</v>
      </c>
      <c r="B25" s="78"/>
      <c r="C25" s="79"/>
      <c r="D25" s="73" t="s">
        <v>105</v>
      </c>
      <c r="F25" s="227"/>
      <c r="G25" s="227"/>
      <c r="I25" s="73" t="str">
        <f>IFERROR(LOOKUP(10^17,LEFT(I26,COLUMN($1:$1))*1)/K25,"")</f>
        <v/>
      </c>
      <c r="J25" s="73" t="s">
        <v>106</v>
      </c>
      <c r="M25" s="84"/>
      <c r="N25" s="86" t="s">
        <v>107</v>
      </c>
      <c r="O25" s="84"/>
      <c r="P25" s="83" t="s">
        <v>108</v>
      </c>
    </row>
    <row r="26" spans="1:16" ht="18" customHeight="1">
      <c r="A26" s="79"/>
      <c r="B26" s="79"/>
      <c r="C26" s="79"/>
      <c r="F26" s="94"/>
      <c r="G26" s="94"/>
      <c r="I26" s="219"/>
      <c r="J26" s="219"/>
      <c r="K26" s="219"/>
      <c r="L26" s="219"/>
      <c r="M26" s="86"/>
      <c r="N26" s="86"/>
      <c r="O26" s="84"/>
      <c r="P26" s="87" t="s">
        <v>109</v>
      </c>
    </row>
    <row r="27" spans="1:16" ht="18" customHeight="1">
      <c r="A27" s="79" t="s">
        <v>110</v>
      </c>
      <c r="B27" s="223"/>
      <c r="C27" s="223"/>
      <c r="D27" s="223"/>
      <c r="F27" s="94"/>
      <c r="G27" s="94"/>
      <c r="L27" s="81" t="s">
        <v>111</v>
      </c>
      <c r="M27" s="86"/>
      <c r="N27" s="86"/>
      <c r="O27" s="86"/>
    </row>
    <row r="28" spans="1:16" ht="18" customHeight="1">
      <c r="M28" s="86"/>
      <c r="N28" s="86"/>
      <c r="O28" s="86"/>
    </row>
    <row r="29" spans="1:16" ht="18" customHeight="1">
      <c r="A29" s="78" t="s">
        <v>104</v>
      </c>
      <c r="B29" s="78"/>
      <c r="C29" s="79"/>
      <c r="D29" s="73" t="s">
        <v>105</v>
      </c>
      <c r="F29" s="227"/>
      <c r="G29" s="227"/>
      <c r="I29" s="73" t="str">
        <f>IFERROR(LOOKUP(10^17,LEFT(I30,COLUMN($1:$1))*1)/K26,"")</f>
        <v/>
      </c>
      <c r="J29" s="73" t="s">
        <v>106</v>
      </c>
      <c r="M29" s="84"/>
      <c r="N29" s="86" t="s">
        <v>107</v>
      </c>
      <c r="O29" s="84"/>
      <c r="P29" s="83" t="s">
        <v>108</v>
      </c>
    </row>
    <row r="30" spans="1:16" ht="18" customHeight="1">
      <c r="A30" s="79"/>
      <c r="B30" s="79"/>
      <c r="C30" s="79"/>
      <c r="F30" s="94"/>
      <c r="G30" s="94"/>
      <c r="I30" s="219"/>
      <c r="J30" s="219"/>
      <c r="K30" s="219"/>
      <c r="L30" s="219"/>
      <c r="M30" s="86"/>
      <c r="N30" s="86"/>
      <c r="O30" s="84"/>
      <c r="P30" s="87" t="s">
        <v>109</v>
      </c>
    </row>
    <row r="31" spans="1:16" ht="18" customHeight="1">
      <c r="A31" s="79" t="s">
        <v>110</v>
      </c>
      <c r="B31" s="223"/>
      <c r="C31" s="223"/>
      <c r="D31" s="223"/>
      <c r="F31" s="94"/>
      <c r="G31" s="94"/>
      <c r="L31" s="81" t="s">
        <v>111</v>
      </c>
      <c r="M31" s="86"/>
      <c r="N31" s="86"/>
      <c r="O31" s="86"/>
    </row>
    <row r="32" spans="1:16" ht="18" customHeight="1">
      <c r="M32" s="86"/>
      <c r="N32" s="86"/>
      <c r="O32" s="86"/>
    </row>
    <row r="33" spans="1:16" ht="18" customHeight="1">
      <c r="A33" s="78" t="s">
        <v>104</v>
      </c>
      <c r="B33" s="78"/>
      <c r="C33" s="79"/>
      <c r="D33" s="73" t="s">
        <v>105</v>
      </c>
      <c r="F33" s="227"/>
      <c r="G33" s="227"/>
      <c r="I33" s="73" t="str">
        <f>IFERROR(LOOKUP(10^17,LEFT(I34,COLUMN($1:$1))*1)/K33,"")</f>
        <v/>
      </c>
      <c r="J33" s="73" t="s">
        <v>106</v>
      </c>
      <c r="M33" s="84"/>
      <c r="N33" s="86" t="s">
        <v>107</v>
      </c>
      <c r="O33" s="84"/>
      <c r="P33" s="83" t="s">
        <v>108</v>
      </c>
    </row>
    <row r="34" spans="1:16" ht="18" customHeight="1">
      <c r="A34" s="79"/>
      <c r="B34" s="79"/>
      <c r="C34" s="79"/>
      <c r="I34" s="219"/>
      <c r="J34" s="219"/>
      <c r="K34" s="219"/>
      <c r="L34" s="219"/>
      <c r="M34" s="86"/>
      <c r="N34" s="86"/>
      <c r="O34" s="84"/>
      <c r="P34" s="87" t="s">
        <v>109</v>
      </c>
    </row>
    <row r="35" spans="1:16" ht="18" customHeight="1">
      <c r="A35" s="79" t="s">
        <v>110</v>
      </c>
      <c r="B35" s="223"/>
      <c r="C35" s="223"/>
      <c r="D35" s="223"/>
      <c r="L35" s="81" t="s">
        <v>111</v>
      </c>
      <c r="M35" s="86"/>
      <c r="N35" s="86"/>
      <c r="O35" s="86"/>
    </row>
    <row r="36" spans="1:16" ht="15">
      <c r="M36" s="86"/>
      <c r="N36" s="86"/>
      <c r="O36" s="86"/>
    </row>
    <row r="37" spans="1:16" ht="15">
      <c r="M37" s="86"/>
      <c r="N37" s="86"/>
      <c r="O37" s="86"/>
    </row>
    <row r="38" spans="1:16" ht="15">
      <c r="M38" s="86"/>
      <c r="N38" s="86"/>
      <c r="O38" s="86"/>
    </row>
    <row r="39" spans="1:16" ht="23.4">
      <c r="A39" s="74" t="s">
        <v>112</v>
      </c>
      <c r="B39" s="74"/>
      <c r="D39" s="70" t="s">
        <v>98</v>
      </c>
      <c r="E39" s="70"/>
      <c r="F39" s="225" t="s">
        <v>99</v>
      </c>
      <c r="G39" s="225"/>
      <c r="L39" s="81" t="s">
        <v>113</v>
      </c>
    </row>
    <row r="41" spans="1:16" ht="23.4">
      <c r="A41" s="74" t="s">
        <v>114</v>
      </c>
      <c r="B41" s="74"/>
      <c r="D41" s="70" t="s">
        <v>98</v>
      </c>
      <c r="E41" s="70"/>
      <c r="F41" s="226" t="s">
        <v>99</v>
      </c>
      <c r="G41" s="226"/>
      <c r="L41" s="81" t="s">
        <v>115</v>
      </c>
    </row>
    <row r="43" spans="1:16" ht="23.4">
      <c r="A43" s="74" t="s">
        <v>116</v>
      </c>
      <c r="B43" s="74"/>
      <c r="D43" s="70" t="s">
        <v>98</v>
      </c>
      <c r="E43" s="70"/>
      <c r="F43" s="225" t="s">
        <v>99</v>
      </c>
      <c r="G43" s="225"/>
    </row>
    <row r="45" spans="1:16" ht="23.4">
      <c r="A45" s="74" t="s">
        <v>117</v>
      </c>
      <c r="B45" s="74"/>
      <c r="D45" s="70" t="s">
        <v>98</v>
      </c>
      <c r="E45" s="70"/>
    </row>
    <row r="46" spans="1:16" ht="23.4">
      <c r="A46" s="74" t="s">
        <v>118</v>
      </c>
      <c r="B46" s="74"/>
      <c r="D46" s="70" t="s">
        <v>98</v>
      </c>
      <c r="E46" s="70"/>
    </row>
    <row r="48" spans="1:16" ht="23.4">
      <c r="A48" s="74" t="s">
        <v>119</v>
      </c>
      <c r="B48" s="74"/>
      <c r="G48" s="91" t="s">
        <v>120</v>
      </c>
      <c r="M48" s="91" t="s">
        <v>121</v>
      </c>
    </row>
    <row r="49" spans="7:13" ht="14.4">
      <c r="G49" s="91" t="s">
        <v>122</v>
      </c>
      <c r="M49" s="91" t="s">
        <v>122</v>
      </c>
    </row>
    <row r="50" spans="7:13" ht="14.4">
      <c r="G50" s="91" t="s">
        <v>123</v>
      </c>
      <c r="M50" s="91" t="s">
        <v>123</v>
      </c>
    </row>
  </sheetData>
  <mergeCells count="25">
    <mergeCell ref="F43:G43"/>
    <mergeCell ref="B31:D31"/>
    <mergeCell ref="F33:G33"/>
    <mergeCell ref="I34:L34"/>
    <mergeCell ref="B35:D35"/>
    <mergeCell ref="F39:G39"/>
    <mergeCell ref="F41:G41"/>
    <mergeCell ref="I30:L30"/>
    <mergeCell ref="B15:D15"/>
    <mergeCell ref="F17:G17"/>
    <mergeCell ref="I18:L18"/>
    <mergeCell ref="B19:D19"/>
    <mergeCell ref="F21:G21"/>
    <mergeCell ref="I22:L22"/>
    <mergeCell ref="B23:D23"/>
    <mergeCell ref="F25:G25"/>
    <mergeCell ref="I26:L26"/>
    <mergeCell ref="B27:D27"/>
    <mergeCell ref="F29:G29"/>
    <mergeCell ref="I14:L14"/>
    <mergeCell ref="F1:L1"/>
    <mergeCell ref="F9:G9"/>
    <mergeCell ref="I10:L10"/>
    <mergeCell ref="B11:D11"/>
    <mergeCell ref="F13:G13"/>
  </mergeCells>
  <phoneticPr fontId="1"/>
  <pageMargins left="0.35433070866141736" right="0.19685039370078741" top="0.59055118110236227" bottom="0.51181102362204722" header="0.51181102362204722" footer="0.51181102362204722"/>
  <pageSetup paperSize="9" scale="86" orientation="portrait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6">
    <pageSetUpPr fitToPage="1"/>
  </sheetPr>
  <dimension ref="A1:Q50"/>
  <sheetViews>
    <sheetView view="pageBreakPreview" zoomScaleNormal="100" zoomScaleSheetLayoutView="100" workbookViewId="0">
      <selection activeCell="T377" sqref="T377"/>
    </sheetView>
  </sheetViews>
  <sheetFormatPr defaultRowHeight="13.2"/>
  <cols>
    <col min="1" max="1" width="4.375" style="73" customWidth="1"/>
    <col min="2" max="2" width="8.25" style="73" customWidth="1"/>
    <col min="3" max="3" width="4.375" style="73" customWidth="1"/>
    <col min="4" max="4" width="4.75" style="73" customWidth="1"/>
    <col min="5" max="5" width="7.375" style="73" customWidth="1"/>
    <col min="6" max="6" width="9" style="73"/>
    <col min="7" max="7" width="7.625" style="73" customWidth="1"/>
    <col min="8" max="8" width="3.375" style="73" customWidth="1"/>
    <col min="9" max="9" width="7.375" style="73" customWidth="1"/>
    <col min="10" max="10" width="3.375" style="73" customWidth="1"/>
    <col min="11" max="11" width="6.25" style="73" customWidth="1"/>
    <col min="12" max="12" width="3.25" style="73" customWidth="1"/>
    <col min="13" max="13" width="3.125" style="73" customWidth="1"/>
    <col min="14" max="14" width="10.75" style="73" customWidth="1"/>
    <col min="15" max="15" width="3.125" style="73" customWidth="1"/>
    <col min="16" max="16" width="10.75" style="73" customWidth="1"/>
    <col min="17" max="17" width="17" style="73" customWidth="1"/>
    <col min="18" max="262" width="9" style="73"/>
    <col min="263" max="263" width="18.625" style="73" customWidth="1"/>
    <col min="264" max="264" width="5.625" style="73" customWidth="1"/>
    <col min="265" max="265" width="3.625" style="73" customWidth="1"/>
    <col min="266" max="267" width="9" style="73"/>
    <col min="268" max="268" width="3.375" style="73" customWidth="1"/>
    <col min="269" max="269" width="18.375" style="73" customWidth="1"/>
    <col min="270" max="270" width="12.625" style="73" customWidth="1"/>
    <col min="271" max="271" width="3.125" style="73" customWidth="1"/>
    <col min="272" max="272" width="12.625" style="73" customWidth="1"/>
    <col min="273" max="273" width="13.625" style="73" customWidth="1"/>
    <col min="274" max="518" width="9" style="73"/>
    <col min="519" max="519" width="18.625" style="73" customWidth="1"/>
    <col min="520" max="520" width="5.625" style="73" customWidth="1"/>
    <col min="521" max="521" width="3.625" style="73" customWidth="1"/>
    <col min="522" max="523" width="9" style="73"/>
    <col min="524" max="524" width="3.375" style="73" customWidth="1"/>
    <col min="525" max="525" width="18.375" style="73" customWidth="1"/>
    <col min="526" max="526" width="12.625" style="73" customWidth="1"/>
    <col min="527" max="527" width="3.125" style="73" customWidth="1"/>
    <col min="528" max="528" width="12.625" style="73" customWidth="1"/>
    <col min="529" max="529" width="13.625" style="73" customWidth="1"/>
    <col min="530" max="774" width="9" style="73"/>
    <col min="775" max="775" width="18.625" style="73" customWidth="1"/>
    <col min="776" max="776" width="5.625" style="73" customWidth="1"/>
    <col min="777" max="777" width="3.625" style="73" customWidth="1"/>
    <col min="778" max="779" width="9" style="73"/>
    <col min="780" max="780" width="3.375" style="73" customWidth="1"/>
    <col min="781" max="781" width="18.375" style="73" customWidth="1"/>
    <col min="782" max="782" width="12.625" style="73" customWidth="1"/>
    <col min="783" max="783" width="3.125" style="73" customWidth="1"/>
    <col min="784" max="784" width="12.625" style="73" customWidth="1"/>
    <col min="785" max="785" width="13.625" style="73" customWidth="1"/>
    <col min="786" max="1030" width="9" style="73"/>
    <col min="1031" max="1031" width="18.625" style="73" customWidth="1"/>
    <col min="1032" max="1032" width="5.625" style="73" customWidth="1"/>
    <col min="1033" max="1033" width="3.625" style="73" customWidth="1"/>
    <col min="1034" max="1035" width="9" style="73"/>
    <col min="1036" max="1036" width="3.375" style="73" customWidth="1"/>
    <col min="1037" max="1037" width="18.375" style="73" customWidth="1"/>
    <col min="1038" max="1038" width="12.625" style="73" customWidth="1"/>
    <col min="1039" max="1039" width="3.125" style="73" customWidth="1"/>
    <col min="1040" max="1040" width="12.625" style="73" customWidth="1"/>
    <col min="1041" max="1041" width="13.625" style="73" customWidth="1"/>
    <col min="1042" max="1286" width="9" style="73"/>
    <col min="1287" max="1287" width="18.625" style="73" customWidth="1"/>
    <col min="1288" max="1288" width="5.625" style="73" customWidth="1"/>
    <col min="1289" max="1289" width="3.625" style="73" customWidth="1"/>
    <col min="1290" max="1291" width="9" style="73"/>
    <col min="1292" max="1292" width="3.375" style="73" customWidth="1"/>
    <col min="1293" max="1293" width="18.375" style="73" customWidth="1"/>
    <col min="1294" max="1294" width="12.625" style="73" customWidth="1"/>
    <col min="1295" max="1295" width="3.125" style="73" customWidth="1"/>
    <col min="1296" max="1296" width="12.625" style="73" customWidth="1"/>
    <col min="1297" max="1297" width="13.625" style="73" customWidth="1"/>
    <col min="1298" max="1542" width="9" style="73"/>
    <col min="1543" max="1543" width="18.625" style="73" customWidth="1"/>
    <col min="1544" max="1544" width="5.625" style="73" customWidth="1"/>
    <col min="1545" max="1545" width="3.625" style="73" customWidth="1"/>
    <col min="1546" max="1547" width="9" style="73"/>
    <col min="1548" max="1548" width="3.375" style="73" customWidth="1"/>
    <col min="1549" max="1549" width="18.375" style="73" customWidth="1"/>
    <col min="1550" max="1550" width="12.625" style="73" customWidth="1"/>
    <col min="1551" max="1551" width="3.125" style="73" customWidth="1"/>
    <col min="1552" max="1552" width="12.625" style="73" customWidth="1"/>
    <col min="1553" max="1553" width="13.625" style="73" customWidth="1"/>
    <col min="1554" max="1798" width="9" style="73"/>
    <col min="1799" max="1799" width="18.625" style="73" customWidth="1"/>
    <col min="1800" max="1800" width="5.625" style="73" customWidth="1"/>
    <col min="1801" max="1801" width="3.625" style="73" customWidth="1"/>
    <col min="1802" max="1803" width="9" style="73"/>
    <col min="1804" max="1804" width="3.375" style="73" customWidth="1"/>
    <col min="1805" max="1805" width="18.375" style="73" customWidth="1"/>
    <col min="1806" max="1806" width="12.625" style="73" customWidth="1"/>
    <col min="1807" max="1807" width="3.125" style="73" customWidth="1"/>
    <col min="1808" max="1808" width="12.625" style="73" customWidth="1"/>
    <col min="1809" max="1809" width="13.625" style="73" customWidth="1"/>
    <col min="1810" max="2054" width="9" style="73"/>
    <col min="2055" max="2055" width="18.625" style="73" customWidth="1"/>
    <col min="2056" max="2056" width="5.625" style="73" customWidth="1"/>
    <col min="2057" max="2057" width="3.625" style="73" customWidth="1"/>
    <col min="2058" max="2059" width="9" style="73"/>
    <col min="2060" max="2060" width="3.375" style="73" customWidth="1"/>
    <col min="2061" max="2061" width="18.375" style="73" customWidth="1"/>
    <col min="2062" max="2062" width="12.625" style="73" customWidth="1"/>
    <col min="2063" max="2063" width="3.125" style="73" customWidth="1"/>
    <col min="2064" max="2064" width="12.625" style="73" customWidth="1"/>
    <col min="2065" max="2065" width="13.625" style="73" customWidth="1"/>
    <col min="2066" max="2310" width="9" style="73"/>
    <col min="2311" max="2311" width="18.625" style="73" customWidth="1"/>
    <col min="2312" max="2312" width="5.625" style="73" customWidth="1"/>
    <col min="2313" max="2313" width="3.625" style="73" customWidth="1"/>
    <col min="2314" max="2315" width="9" style="73"/>
    <col min="2316" max="2316" width="3.375" style="73" customWidth="1"/>
    <col min="2317" max="2317" width="18.375" style="73" customWidth="1"/>
    <col min="2318" max="2318" width="12.625" style="73" customWidth="1"/>
    <col min="2319" max="2319" width="3.125" style="73" customWidth="1"/>
    <col min="2320" max="2320" width="12.625" style="73" customWidth="1"/>
    <col min="2321" max="2321" width="13.625" style="73" customWidth="1"/>
    <col min="2322" max="2566" width="9" style="73"/>
    <col min="2567" max="2567" width="18.625" style="73" customWidth="1"/>
    <col min="2568" max="2568" width="5.625" style="73" customWidth="1"/>
    <col min="2569" max="2569" width="3.625" style="73" customWidth="1"/>
    <col min="2570" max="2571" width="9" style="73"/>
    <col min="2572" max="2572" width="3.375" style="73" customWidth="1"/>
    <col min="2573" max="2573" width="18.375" style="73" customWidth="1"/>
    <col min="2574" max="2574" width="12.625" style="73" customWidth="1"/>
    <col min="2575" max="2575" width="3.125" style="73" customWidth="1"/>
    <col min="2576" max="2576" width="12.625" style="73" customWidth="1"/>
    <col min="2577" max="2577" width="13.625" style="73" customWidth="1"/>
    <col min="2578" max="2822" width="9" style="73"/>
    <col min="2823" max="2823" width="18.625" style="73" customWidth="1"/>
    <col min="2824" max="2824" width="5.625" style="73" customWidth="1"/>
    <col min="2825" max="2825" width="3.625" style="73" customWidth="1"/>
    <col min="2826" max="2827" width="9" style="73"/>
    <col min="2828" max="2828" width="3.375" style="73" customWidth="1"/>
    <col min="2829" max="2829" width="18.375" style="73" customWidth="1"/>
    <col min="2830" max="2830" width="12.625" style="73" customWidth="1"/>
    <col min="2831" max="2831" width="3.125" style="73" customWidth="1"/>
    <col min="2832" max="2832" width="12.625" style="73" customWidth="1"/>
    <col min="2833" max="2833" width="13.625" style="73" customWidth="1"/>
    <col min="2834" max="3078" width="9" style="73"/>
    <col min="3079" max="3079" width="18.625" style="73" customWidth="1"/>
    <col min="3080" max="3080" width="5.625" style="73" customWidth="1"/>
    <col min="3081" max="3081" width="3.625" style="73" customWidth="1"/>
    <col min="3082" max="3083" width="9" style="73"/>
    <col min="3084" max="3084" width="3.375" style="73" customWidth="1"/>
    <col min="3085" max="3085" width="18.375" style="73" customWidth="1"/>
    <col min="3086" max="3086" width="12.625" style="73" customWidth="1"/>
    <col min="3087" max="3087" width="3.125" style="73" customWidth="1"/>
    <col min="3088" max="3088" width="12.625" style="73" customWidth="1"/>
    <col min="3089" max="3089" width="13.625" style="73" customWidth="1"/>
    <col min="3090" max="3334" width="9" style="73"/>
    <col min="3335" max="3335" width="18.625" style="73" customWidth="1"/>
    <col min="3336" max="3336" width="5.625" style="73" customWidth="1"/>
    <col min="3337" max="3337" width="3.625" style="73" customWidth="1"/>
    <col min="3338" max="3339" width="9" style="73"/>
    <col min="3340" max="3340" width="3.375" style="73" customWidth="1"/>
    <col min="3341" max="3341" width="18.375" style="73" customWidth="1"/>
    <col min="3342" max="3342" width="12.625" style="73" customWidth="1"/>
    <col min="3343" max="3343" width="3.125" style="73" customWidth="1"/>
    <col min="3344" max="3344" width="12.625" style="73" customWidth="1"/>
    <col min="3345" max="3345" width="13.625" style="73" customWidth="1"/>
    <col min="3346" max="3590" width="9" style="73"/>
    <col min="3591" max="3591" width="18.625" style="73" customWidth="1"/>
    <col min="3592" max="3592" width="5.625" style="73" customWidth="1"/>
    <col min="3593" max="3593" width="3.625" style="73" customWidth="1"/>
    <col min="3594" max="3595" width="9" style="73"/>
    <col min="3596" max="3596" width="3.375" style="73" customWidth="1"/>
    <col min="3597" max="3597" width="18.375" style="73" customWidth="1"/>
    <col min="3598" max="3598" width="12.625" style="73" customWidth="1"/>
    <col min="3599" max="3599" width="3.125" style="73" customWidth="1"/>
    <col min="3600" max="3600" width="12.625" style="73" customWidth="1"/>
    <col min="3601" max="3601" width="13.625" style="73" customWidth="1"/>
    <col min="3602" max="3846" width="9" style="73"/>
    <col min="3847" max="3847" width="18.625" style="73" customWidth="1"/>
    <col min="3848" max="3848" width="5.625" style="73" customWidth="1"/>
    <col min="3849" max="3849" width="3.625" style="73" customWidth="1"/>
    <col min="3850" max="3851" width="9" style="73"/>
    <col min="3852" max="3852" width="3.375" style="73" customWidth="1"/>
    <col min="3853" max="3853" width="18.375" style="73" customWidth="1"/>
    <col min="3854" max="3854" width="12.625" style="73" customWidth="1"/>
    <col min="3855" max="3855" width="3.125" style="73" customWidth="1"/>
    <col min="3856" max="3856" width="12.625" style="73" customWidth="1"/>
    <col min="3857" max="3857" width="13.625" style="73" customWidth="1"/>
    <col min="3858" max="4102" width="9" style="73"/>
    <col min="4103" max="4103" width="18.625" style="73" customWidth="1"/>
    <col min="4104" max="4104" width="5.625" style="73" customWidth="1"/>
    <col min="4105" max="4105" width="3.625" style="73" customWidth="1"/>
    <col min="4106" max="4107" width="9" style="73"/>
    <col min="4108" max="4108" width="3.375" style="73" customWidth="1"/>
    <col min="4109" max="4109" width="18.375" style="73" customWidth="1"/>
    <col min="4110" max="4110" width="12.625" style="73" customWidth="1"/>
    <col min="4111" max="4111" width="3.125" style="73" customWidth="1"/>
    <col min="4112" max="4112" width="12.625" style="73" customWidth="1"/>
    <col min="4113" max="4113" width="13.625" style="73" customWidth="1"/>
    <col min="4114" max="4358" width="9" style="73"/>
    <col min="4359" max="4359" width="18.625" style="73" customWidth="1"/>
    <col min="4360" max="4360" width="5.625" style="73" customWidth="1"/>
    <col min="4361" max="4361" width="3.625" style="73" customWidth="1"/>
    <col min="4362" max="4363" width="9" style="73"/>
    <col min="4364" max="4364" width="3.375" style="73" customWidth="1"/>
    <col min="4365" max="4365" width="18.375" style="73" customWidth="1"/>
    <col min="4366" max="4366" width="12.625" style="73" customWidth="1"/>
    <col min="4367" max="4367" width="3.125" style="73" customWidth="1"/>
    <col min="4368" max="4368" width="12.625" style="73" customWidth="1"/>
    <col min="4369" max="4369" width="13.625" style="73" customWidth="1"/>
    <col min="4370" max="4614" width="9" style="73"/>
    <col min="4615" max="4615" width="18.625" style="73" customWidth="1"/>
    <col min="4616" max="4616" width="5.625" style="73" customWidth="1"/>
    <col min="4617" max="4617" width="3.625" style="73" customWidth="1"/>
    <col min="4618" max="4619" width="9" style="73"/>
    <col min="4620" max="4620" width="3.375" style="73" customWidth="1"/>
    <col min="4621" max="4621" width="18.375" style="73" customWidth="1"/>
    <col min="4622" max="4622" width="12.625" style="73" customWidth="1"/>
    <col min="4623" max="4623" width="3.125" style="73" customWidth="1"/>
    <col min="4624" max="4624" width="12.625" style="73" customWidth="1"/>
    <col min="4625" max="4625" width="13.625" style="73" customWidth="1"/>
    <col min="4626" max="4870" width="9" style="73"/>
    <col min="4871" max="4871" width="18.625" style="73" customWidth="1"/>
    <col min="4872" max="4872" width="5.625" style="73" customWidth="1"/>
    <col min="4873" max="4873" width="3.625" style="73" customWidth="1"/>
    <col min="4874" max="4875" width="9" style="73"/>
    <col min="4876" max="4876" width="3.375" style="73" customWidth="1"/>
    <col min="4877" max="4877" width="18.375" style="73" customWidth="1"/>
    <col min="4878" max="4878" width="12.625" style="73" customWidth="1"/>
    <col min="4879" max="4879" width="3.125" style="73" customWidth="1"/>
    <col min="4880" max="4880" width="12.625" style="73" customWidth="1"/>
    <col min="4881" max="4881" width="13.625" style="73" customWidth="1"/>
    <col min="4882" max="5126" width="9" style="73"/>
    <col min="5127" max="5127" width="18.625" style="73" customWidth="1"/>
    <col min="5128" max="5128" width="5.625" style="73" customWidth="1"/>
    <col min="5129" max="5129" width="3.625" style="73" customWidth="1"/>
    <col min="5130" max="5131" width="9" style="73"/>
    <col min="5132" max="5132" width="3.375" style="73" customWidth="1"/>
    <col min="5133" max="5133" width="18.375" style="73" customWidth="1"/>
    <col min="5134" max="5134" width="12.625" style="73" customWidth="1"/>
    <col min="5135" max="5135" width="3.125" style="73" customWidth="1"/>
    <col min="5136" max="5136" width="12.625" style="73" customWidth="1"/>
    <col min="5137" max="5137" width="13.625" style="73" customWidth="1"/>
    <col min="5138" max="5382" width="9" style="73"/>
    <col min="5383" max="5383" width="18.625" style="73" customWidth="1"/>
    <col min="5384" max="5384" width="5.625" style="73" customWidth="1"/>
    <col min="5385" max="5385" width="3.625" style="73" customWidth="1"/>
    <col min="5386" max="5387" width="9" style="73"/>
    <col min="5388" max="5388" width="3.375" style="73" customWidth="1"/>
    <col min="5389" max="5389" width="18.375" style="73" customWidth="1"/>
    <col min="5390" max="5390" width="12.625" style="73" customWidth="1"/>
    <col min="5391" max="5391" width="3.125" style="73" customWidth="1"/>
    <col min="5392" max="5392" width="12.625" style="73" customWidth="1"/>
    <col min="5393" max="5393" width="13.625" style="73" customWidth="1"/>
    <col min="5394" max="5638" width="9" style="73"/>
    <col min="5639" max="5639" width="18.625" style="73" customWidth="1"/>
    <col min="5640" max="5640" width="5.625" style="73" customWidth="1"/>
    <col min="5641" max="5641" width="3.625" style="73" customWidth="1"/>
    <col min="5642" max="5643" width="9" style="73"/>
    <col min="5644" max="5644" width="3.375" style="73" customWidth="1"/>
    <col min="5645" max="5645" width="18.375" style="73" customWidth="1"/>
    <col min="5646" max="5646" width="12.625" style="73" customWidth="1"/>
    <col min="5647" max="5647" width="3.125" style="73" customWidth="1"/>
    <col min="5648" max="5648" width="12.625" style="73" customWidth="1"/>
    <col min="5649" max="5649" width="13.625" style="73" customWidth="1"/>
    <col min="5650" max="5894" width="9" style="73"/>
    <col min="5895" max="5895" width="18.625" style="73" customWidth="1"/>
    <col min="5896" max="5896" width="5.625" style="73" customWidth="1"/>
    <col min="5897" max="5897" width="3.625" style="73" customWidth="1"/>
    <col min="5898" max="5899" width="9" style="73"/>
    <col min="5900" max="5900" width="3.375" style="73" customWidth="1"/>
    <col min="5901" max="5901" width="18.375" style="73" customWidth="1"/>
    <col min="5902" max="5902" width="12.625" style="73" customWidth="1"/>
    <col min="5903" max="5903" width="3.125" style="73" customWidth="1"/>
    <col min="5904" max="5904" width="12.625" style="73" customWidth="1"/>
    <col min="5905" max="5905" width="13.625" style="73" customWidth="1"/>
    <col min="5906" max="6150" width="9" style="73"/>
    <col min="6151" max="6151" width="18.625" style="73" customWidth="1"/>
    <col min="6152" max="6152" width="5.625" style="73" customWidth="1"/>
    <col min="6153" max="6153" width="3.625" style="73" customWidth="1"/>
    <col min="6154" max="6155" width="9" style="73"/>
    <col min="6156" max="6156" width="3.375" style="73" customWidth="1"/>
    <col min="6157" max="6157" width="18.375" style="73" customWidth="1"/>
    <col min="6158" max="6158" width="12.625" style="73" customWidth="1"/>
    <col min="6159" max="6159" width="3.125" style="73" customWidth="1"/>
    <col min="6160" max="6160" width="12.625" style="73" customWidth="1"/>
    <col min="6161" max="6161" width="13.625" style="73" customWidth="1"/>
    <col min="6162" max="6406" width="9" style="73"/>
    <col min="6407" max="6407" width="18.625" style="73" customWidth="1"/>
    <col min="6408" max="6408" width="5.625" style="73" customWidth="1"/>
    <col min="6409" max="6409" width="3.625" style="73" customWidth="1"/>
    <col min="6410" max="6411" width="9" style="73"/>
    <col min="6412" max="6412" width="3.375" style="73" customWidth="1"/>
    <col min="6413" max="6413" width="18.375" style="73" customWidth="1"/>
    <col min="6414" max="6414" width="12.625" style="73" customWidth="1"/>
    <col min="6415" max="6415" width="3.125" style="73" customWidth="1"/>
    <col min="6416" max="6416" width="12.625" style="73" customWidth="1"/>
    <col min="6417" max="6417" width="13.625" style="73" customWidth="1"/>
    <col min="6418" max="6662" width="9" style="73"/>
    <col min="6663" max="6663" width="18.625" style="73" customWidth="1"/>
    <col min="6664" max="6664" width="5.625" style="73" customWidth="1"/>
    <col min="6665" max="6665" width="3.625" style="73" customWidth="1"/>
    <col min="6666" max="6667" width="9" style="73"/>
    <col min="6668" max="6668" width="3.375" style="73" customWidth="1"/>
    <col min="6669" max="6669" width="18.375" style="73" customWidth="1"/>
    <col min="6670" max="6670" width="12.625" style="73" customWidth="1"/>
    <col min="6671" max="6671" width="3.125" style="73" customWidth="1"/>
    <col min="6672" max="6672" width="12.625" style="73" customWidth="1"/>
    <col min="6673" max="6673" width="13.625" style="73" customWidth="1"/>
    <col min="6674" max="6918" width="9" style="73"/>
    <col min="6919" max="6919" width="18.625" style="73" customWidth="1"/>
    <col min="6920" max="6920" width="5.625" style="73" customWidth="1"/>
    <col min="6921" max="6921" width="3.625" style="73" customWidth="1"/>
    <col min="6922" max="6923" width="9" style="73"/>
    <col min="6924" max="6924" width="3.375" style="73" customWidth="1"/>
    <col min="6925" max="6925" width="18.375" style="73" customWidth="1"/>
    <col min="6926" max="6926" width="12.625" style="73" customWidth="1"/>
    <col min="6927" max="6927" width="3.125" style="73" customWidth="1"/>
    <col min="6928" max="6928" width="12.625" style="73" customWidth="1"/>
    <col min="6929" max="6929" width="13.625" style="73" customWidth="1"/>
    <col min="6930" max="7174" width="9" style="73"/>
    <col min="7175" max="7175" width="18.625" style="73" customWidth="1"/>
    <col min="7176" max="7176" width="5.625" style="73" customWidth="1"/>
    <col min="7177" max="7177" width="3.625" style="73" customWidth="1"/>
    <col min="7178" max="7179" width="9" style="73"/>
    <col min="7180" max="7180" width="3.375" style="73" customWidth="1"/>
    <col min="7181" max="7181" width="18.375" style="73" customWidth="1"/>
    <col min="7182" max="7182" width="12.625" style="73" customWidth="1"/>
    <col min="7183" max="7183" width="3.125" style="73" customWidth="1"/>
    <col min="7184" max="7184" width="12.625" style="73" customWidth="1"/>
    <col min="7185" max="7185" width="13.625" style="73" customWidth="1"/>
    <col min="7186" max="7430" width="9" style="73"/>
    <col min="7431" max="7431" width="18.625" style="73" customWidth="1"/>
    <col min="7432" max="7432" width="5.625" style="73" customWidth="1"/>
    <col min="7433" max="7433" width="3.625" style="73" customWidth="1"/>
    <col min="7434" max="7435" width="9" style="73"/>
    <col min="7436" max="7436" width="3.375" style="73" customWidth="1"/>
    <col min="7437" max="7437" width="18.375" style="73" customWidth="1"/>
    <col min="7438" max="7438" width="12.625" style="73" customWidth="1"/>
    <col min="7439" max="7439" width="3.125" style="73" customWidth="1"/>
    <col min="7440" max="7440" width="12.625" style="73" customWidth="1"/>
    <col min="7441" max="7441" width="13.625" style="73" customWidth="1"/>
    <col min="7442" max="7686" width="9" style="73"/>
    <col min="7687" max="7687" width="18.625" style="73" customWidth="1"/>
    <col min="7688" max="7688" width="5.625" style="73" customWidth="1"/>
    <col min="7689" max="7689" width="3.625" style="73" customWidth="1"/>
    <col min="7690" max="7691" width="9" style="73"/>
    <col min="7692" max="7692" width="3.375" style="73" customWidth="1"/>
    <col min="7693" max="7693" width="18.375" style="73" customWidth="1"/>
    <col min="7694" max="7694" width="12.625" style="73" customWidth="1"/>
    <col min="7695" max="7695" width="3.125" style="73" customWidth="1"/>
    <col min="7696" max="7696" width="12.625" style="73" customWidth="1"/>
    <col min="7697" max="7697" width="13.625" style="73" customWidth="1"/>
    <col min="7698" max="7942" width="9" style="73"/>
    <col min="7943" max="7943" width="18.625" style="73" customWidth="1"/>
    <col min="7944" max="7944" width="5.625" style="73" customWidth="1"/>
    <col min="7945" max="7945" width="3.625" style="73" customWidth="1"/>
    <col min="7946" max="7947" width="9" style="73"/>
    <col min="7948" max="7948" width="3.375" style="73" customWidth="1"/>
    <col min="7949" max="7949" width="18.375" style="73" customWidth="1"/>
    <col min="7950" max="7950" width="12.625" style="73" customWidth="1"/>
    <col min="7951" max="7951" width="3.125" style="73" customWidth="1"/>
    <col min="7952" max="7952" width="12.625" style="73" customWidth="1"/>
    <col min="7953" max="7953" width="13.625" style="73" customWidth="1"/>
    <col min="7954" max="8198" width="9" style="73"/>
    <col min="8199" max="8199" width="18.625" style="73" customWidth="1"/>
    <col min="8200" max="8200" width="5.625" style="73" customWidth="1"/>
    <col min="8201" max="8201" width="3.625" style="73" customWidth="1"/>
    <col min="8202" max="8203" width="9" style="73"/>
    <col min="8204" max="8204" width="3.375" style="73" customWidth="1"/>
    <col min="8205" max="8205" width="18.375" style="73" customWidth="1"/>
    <col min="8206" max="8206" width="12.625" style="73" customWidth="1"/>
    <col min="8207" max="8207" width="3.125" style="73" customWidth="1"/>
    <col min="8208" max="8208" width="12.625" style="73" customWidth="1"/>
    <col min="8209" max="8209" width="13.625" style="73" customWidth="1"/>
    <col min="8210" max="8454" width="9" style="73"/>
    <col min="8455" max="8455" width="18.625" style="73" customWidth="1"/>
    <col min="8456" max="8456" width="5.625" style="73" customWidth="1"/>
    <col min="8457" max="8457" width="3.625" style="73" customWidth="1"/>
    <col min="8458" max="8459" width="9" style="73"/>
    <col min="8460" max="8460" width="3.375" style="73" customWidth="1"/>
    <col min="8461" max="8461" width="18.375" style="73" customWidth="1"/>
    <col min="8462" max="8462" width="12.625" style="73" customWidth="1"/>
    <col min="8463" max="8463" width="3.125" style="73" customWidth="1"/>
    <col min="8464" max="8464" width="12.625" style="73" customWidth="1"/>
    <col min="8465" max="8465" width="13.625" style="73" customWidth="1"/>
    <col min="8466" max="8710" width="9" style="73"/>
    <col min="8711" max="8711" width="18.625" style="73" customWidth="1"/>
    <col min="8712" max="8712" width="5.625" style="73" customWidth="1"/>
    <col min="8713" max="8713" width="3.625" style="73" customWidth="1"/>
    <col min="8714" max="8715" width="9" style="73"/>
    <col min="8716" max="8716" width="3.375" style="73" customWidth="1"/>
    <col min="8717" max="8717" width="18.375" style="73" customWidth="1"/>
    <col min="8718" max="8718" width="12.625" style="73" customWidth="1"/>
    <col min="8719" max="8719" width="3.125" style="73" customWidth="1"/>
    <col min="8720" max="8720" width="12.625" style="73" customWidth="1"/>
    <col min="8721" max="8721" width="13.625" style="73" customWidth="1"/>
    <col min="8722" max="8966" width="9" style="73"/>
    <col min="8967" max="8967" width="18.625" style="73" customWidth="1"/>
    <col min="8968" max="8968" width="5.625" style="73" customWidth="1"/>
    <col min="8969" max="8969" width="3.625" style="73" customWidth="1"/>
    <col min="8970" max="8971" width="9" style="73"/>
    <col min="8972" max="8972" width="3.375" style="73" customWidth="1"/>
    <col min="8973" max="8973" width="18.375" style="73" customWidth="1"/>
    <col min="8974" max="8974" width="12.625" style="73" customWidth="1"/>
    <col min="8975" max="8975" width="3.125" style="73" customWidth="1"/>
    <col min="8976" max="8976" width="12.625" style="73" customWidth="1"/>
    <col min="8977" max="8977" width="13.625" style="73" customWidth="1"/>
    <col min="8978" max="9222" width="9" style="73"/>
    <col min="9223" max="9223" width="18.625" style="73" customWidth="1"/>
    <col min="9224" max="9224" width="5.625" style="73" customWidth="1"/>
    <col min="9225" max="9225" width="3.625" style="73" customWidth="1"/>
    <col min="9226" max="9227" width="9" style="73"/>
    <col min="9228" max="9228" width="3.375" style="73" customWidth="1"/>
    <col min="9229" max="9229" width="18.375" style="73" customWidth="1"/>
    <col min="9230" max="9230" width="12.625" style="73" customWidth="1"/>
    <col min="9231" max="9231" width="3.125" style="73" customWidth="1"/>
    <col min="9232" max="9232" width="12.625" style="73" customWidth="1"/>
    <col min="9233" max="9233" width="13.625" style="73" customWidth="1"/>
    <col min="9234" max="9478" width="9" style="73"/>
    <col min="9479" max="9479" width="18.625" style="73" customWidth="1"/>
    <col min="9480" max="9480" width="5.625" style="73" customWidth="1"/>
    <col min="9481" max="9481" width="3.625" style="73" customWidth="1"/>
    <col min="9482" max="9483" width="9" style="73"/>
    <col min="9484" max="9484" width="3.375" style="73" customWidth="1"/>
    <col min="9485" max="9485" width="18.375" style="73" customWidth="1"/>
    <col min="9486" max="9486" width="12.625" style="73" customWidth="1"/>
    <col min="9487" max="9487" width="3.125" style="73" customWidth="1"/>
    <col min="9488" max="9488" width="12.625" style="73" customWidth="1"/>
    <col min="9489" max="9489" width="13.625" style="73" customWidth="1"/>
    <col min="9490" max="9734" width="9" style="73"/>
    <col min="9735" max="9735" width="18.625" style="73" customWidth="1"/>
    <col min="9736" max="9736" width="5.625" style="73" customWidth="1"/>
    <col min="9737" max="9737" width="3.625" style="73" customWidth="1"/>
    <col min="9738" max="9739" width="9" style="73"/>
    <col min="9740" max="9740" width="3.375" style="73" customWidth="1"/>
    <col min="9741" max="9741" width="18.375" style="73" customWidth="1"/>
    <col min="9742" max="9742" width="12.625" style="73" customWidth="1"/>
    <col min="9743" max="9743" width="3.125" style="73" customWidth="1"/>
    <col min="9744" max="9744" width="12.625" style="73" customWidth="1"/>
    <col min="9745" max="9745" width="13.625" style="73" customWidth="1"/>
    <col min="9746" max="9990" width="9" style="73"/>
    <col min="9991" max="9991" width="18.625" style="73" customWidth="1"/>
    <col min="9992" max="9992" width="5.625" style="73" customWidth="1"/>
    <col min="9993" max="9993" width="3.625" style="73" customWidth="1"/>
    <col min="9994" max="9995" width="9" style="73"/>
    <col min="9996" max="9996" width="3.375" style="73" customWidth="1"/>
    <col min="9997" max="9997" width="18.375" style="73" customWidth="1"/>
    <col min="9998" max="9998" width="12.625" style="73" customWidth="1"/>
    <col min="9999" max="9999" width="3.125" style="73" customWidth="1"/>
    <col min="10000" max="10000" width="12.625" style="73" customWidth="1"/>
    <col min="10001" max="10001" width="13.625" style="73" customWidth="1"/>
    <col min="10002" max="10246" width="9" style="73"/>
    <col min="10247" max="10247" width="18.625" style="73" customWidth="1"/>
    <col min="10248" max="10248" width="5.625" style="73" customWidth="1"/>
    <col min="10249" max="10249" width="3.625" style="73" customWidth="1"/>
    <col min="10250" max="10251" width="9" style="73"/>
    <col min="10252" max="10252" width="3.375" style="73" customWidth="1"/>
    <col min="10253" max="10253" width="18.375" style="73" customWidth="1"/>
    <col min="10254" max="10254" width="12.625" style="73" customWidth="1"/>
    <col min="10255" max="10255" width="3.125" style="73" customWidth="1"/>
    <col min="10256" max="10256" width="12.625" style="73" customWidth="1"/>
    <col min="10257" max="10257" width="13.625" style="73" customWidth="1"/>
    <col min="10258" max="10502" width="9" style="73"/>
    <col min="10503" max="10503" width="18.625" style="73" customWidth="1"/>
    <col min="10504" max="10504" width="5.625" style="73" customWidth="1"/>
    <col min="10505" max="10505" width="3.625" style="73" customWidth="1"/>
    <col min="10506" max="10507" width="9" style="73"/>
    <col min="10508" max="10508" width="3.375" style="73" customWidth="1"/>
    <col min="10509" max="10509" width="18.375" style="73" customWidth="1"/>
    <col min="10510" max="10510" width="12.625" style="73" customWidth="1"/>
    <col min="10511" max="10511" width="3.125" style="73" customWidth="1"/>
    <col min="10512" max="10512" width="12.625" style="73" customWidth="1"/>
    <col min="10513" max="10513" width="13.625" style="73" customWidth="1"/>
    <col min="10514" max="10758" width="9" style="73"/>
    <col min="10759" max="10759" width="18.625" style="73" customWidth="1"/>
    <col min="10760" max="10760" width="5.625" style="73" customWidth="1"/>
    <col min="10761" max="10761" width="3.625" style="73" customWidth="1"/>
    <col min="10762" max="10763" width="9" style="73"/>
    <col min="10764" max="10764" width="3.375" style="73" customWidth="1"/>
    <col min="10765" max="10765" width="18.375" style="73" customWidth="1"/>
    <col min="10766" max="10766" width="12.625" style="73" customWidth="1"/>
    <col min="10767" max="10767" width="3.125" style="73" customWidth="1"/>
    <col min="10768" max="10768" width="12.625" style="73" customWidth="1"/>
    <col min="10769" max="10769" width="13.625" style="73" customWidth="1"/>
    <col min="10770" max="11014" width="9" style="73"/>
    <col min="11015" max="11015" width="18.625" style="73" customWidth="1"/>
    <col min="11016" max="11016" width="5.625" style="73" customWidth="1"/>
    <col min="11017" max="11017" width="3.625" style="73" customWidth="1"/>
    <col min="11018" max="11019" width="9" style="73"/>
    <col min="11020" max="11020" width="3.375" style="73" customWidth="1"/>
    <col min="11021" max="11021" width="18.375" style="73" customWidth="1"/>
    <col min="11022" max="11022" width="12.625" style="73" customWidth="1"/>
    <col min="11023" max="11023" width="3.125" style="73" customWidth="1"/>
    <col min="11024" max="11024" width="12.625" style="73" customWidth="1"/>
    <col min="11025" max="11025" width="13.625" style="73" customWidth="1"/>
    <col min="11026" max="11270" width="9" style="73"/>
    <col min="11271" max="11271" width="18.625" style="73" customWidth="1"/>
    <col min="11272" max="11272" width="5.625" style="73" customWidth="1"/>
    <col min="11273" max="11273" width="3.625" style="73" customWidth="1"/>
    <col min="11274" max="11275" width="9" style="73"/>
    <col min="11276" max="11276" width="3.375" style="73" customWidth="1"/>
    <col min="11277" max="11277" width="18.375" style="73" customWidth="1"/>
    <col min="11278" max="11278" width="12.625" style="73" customWidth="1"/>
    <col min="11279" max="11279" width="3.125" style="73" customWidth="1"/>
    <col min="11280" max="11280" width="12.625" style="73" customWidth="1"/>
    <col min="11281" max="11281" width="13.625" style="73" customWidth="1"/>
    <col min="11282" max="11526" width="9" style="73"/>
    <col min="11527" max="11527" width="18.625" style="73" customWidth="1"/>
    <col min="11528" max="11528" width="5.625" style="73" customWidth="1"/>
    <col min="11529" max="11529" width="3.625" style="73" customWidth="1"/>
    <col min="11530" max="11531" width="9" style="73"/>
    <col min="11532" max="11532" width="3.375" style="73" customWidth="1"/>
    <col min="11533" max="11533" width="18.375" style="73" customWidth="1"/>
    <col min="11534" max="11534" width="12.625" style="73" customWidth="1"/>
    <col min="11535" max="11535" width="3.125" style="73" customWidth="1"/>
    <col min="11536" max="11536" width="12.625" style="73" customWidth="1"/>
    <col min="11537" max="11537" width="13.625" style="73" customWidth="1"/>
    <col min="11538" max="11782" width="9" style="73"/>
    <col min="11783" max="11783" width="18.625" style="73" customWidth="1"/>
    <col min="11784" max="11784" width="5.625" style="73" customWidth="1"/>
    <col min="11785" max="11785" width="3.625" style="73" customWidth="1"/>
    <col min="11786" max="11787" width="9" style="73"/>
    <col min="11788" max="11788" width="3.375" style="73" customWidth="1"/>
    <col min="11789" max="11789" width="18.375" style="73" customWidth="1"/>
    <col min="11790" max="11790" width="12.625" style="73" customWidth="1"/>
    <col min="11791" max="11791" width="3.125" style="73" customWidth="1"/>
    <col min="11792" max="11792" width="12.625" style="73" customWidth="1"/>
    <col min="11793" max="11793" width="13.625" style="73" customWidth="1"/>
    <col min="11794" max="12038" width="9" style="73"/>
    <col min="12039" max="12039" width="18.625" style="73" customWidth="1"/>
    <col min="12040" max="12040" width="5.625" style="73" customWidth="1"/>
    <col min="12041" max="12041" width="3.625" style="73" customWidth="1"/>
    <col min="12042" max="12043" width="9" style="73"/>
    <col min="12044" max="12044" width="3.375" style="73" customWidth="1"/>
    <col min="12045" max="12045" width="18.375" style="73" customWidth="1"/>
    <col min="12046" max="12046" width="12.625" style="73" customWidth="1"/>
    <col min="12047" max="12047" width="3.125" style="73" customWidth="1"/>
    <col min="12048" max="12048" width="12.625" style="73" customWidth="1"/>
    <col min="12049" max="12049" width="13.625" style="73" customWidth="1"/>
    <col min="12050" max="12294" width="9" style="73"/>
    <col min="12295" max="12295" width="18.625" style="73" customWidth="1"/>
    <col min="12296" max="12296" width="5.625" style="73" customWidth="1"/>
    <col min="12297" max="12297" width="3.625" style="73" customWidth="1"/>
    <col min="12298" max="12299" width="9" style="73"/>
    <col min="12300" max="12300" width="3.375" style="73" customWidth="1"/>
    <col min="12301" max="12301" width="18.375" style="73" customWidth="1"/>
    <col min="12302" max="12302" width="12.625" style="73" customWidth="1"/>
    <col min="12303" max="12303" width="3.125" style="73" customWidth="1"/>
    <col min="12304" max="12304" width="12.625" style="73" customWidth="1"/>
    <col min="12305" max="12305" width="13.625" style="73" customWidth="1"/>
    <col min="12306" max="12550" width="9" style="73"/>
    <col min="12551" max="12551" width="18.625" style="73" customWidth="1"/>
    <col min="12552" max="12552" width="5.625" style="73" customWidth="1"/>
    <col min="12553" max="12553" width="3.625" style="73" customWidth="1"/>
    <col min="12554" max="12555" width="9" style="73"/>
    <col min="12556" max="12556" width="3.375" style="73" customWidth="1"/>
    <col min="12557" max="12557" width="18.375" style="73" customWidth="1"/>
    <col min="12558" max="12558" width="12.625" style="73" customWidth="1"/>
    <col min="12559" max="12559" width="3.125" style="73" customWidth="1"/>
    <col min="12560" max="12560" width="12.625" style="73" customWidth="1"/>
    <col min="12561" max="12561" width="13.625" style="73" customWidth="1"/>
    <col min="12562" max="12806" width="9" style="73"/>
    <col min="12807" max="12807" width="18.625" style="73" customWidth="1"/>
    <col min="12808" max="12808" width="5.625" style="73" customWidth="1"/>
    <col min="12809" max="12809" width="3.625" style="73" customWidth="1"/>
    <col min="12810" max="12811" width="9" style="73"/>
    <col min="12812" max="12812" width="3.375" style="73" customWidth="1"/>
    <col min="12813" max="12813" width="18.375" style="73" customWidth="1"/>
    <col min="12814" max="12814" width="12.625" style="73" customWidth="1"/>
    <col min="12815" max="12815" width="3.125" style="73" customWidth="1"/>
    <col min="12816" max="12816" width="12.625" style="73" customWidth="1"/>
    <col min="12817" max="12817" width="13.625" style="73" customWidth="1"/>
    <col min="12818" max="13062" width="9" style="73"/>
    <col min="13063" max="13063" width="18.625" style="73" customWidth="1"/>
    <col min="13064" max="13064" width="5.625" style="73" customWidth="1"/>
    <col min="13065" max="13065" width="3.625" style="73" customWidth="1"/>
    <col min="13066" max="13067" width="9" style="73"/>
    <col min="13068" max="13068" width="3.375" style="73" customWidth="1"/>
    <col min="13069" max="13069" width="18.375" style="73" customWidth="1"/>
    <col min="13070" max="13070" width="12.625" style="73" customWidth="1"/>
    <col min="13071" max="13071" width="3.125" style="73" customWidth="1"/>
    <col min="13072" max="13072" width="12.625" style="73" customWidth="1"/>
    <col min="13073" max="13073" width="13.625" style="73" customWidth="1"/>
    <col min="13074" max="13318" width="9" style="73"/>
    <col min="13319" max="13319" width="18.625" style="73" customWidth="1"/>
    <col min="13320" max="13320" width="5.625" style="73" customWidth="1"/>
    <col min="13321" max="13321" width="3.625" style="73" customWidth="1"/>
    <col min="13322" max="13323" width="9" style="73"/>
    <col min="13324" max="13324" width="3.375" style="73" customWidth="1"/>
    <col min="13325" max="13325" width="18.375" style="73" customWidth="1"/>
    <col min="13326" max="13326" width="12.625" style="73" customWidth="1"/>
    <col min="13327" max="13327" width="3.125" style="73" customWidth="1"/>
    <col min="13328" max="13328" width="12.625" style="73" customWidth="1"/>
    <col min="13329" max="13329" width="13.625" style="73" customWidth="1"/>
    <col min="13330" max="13574" width="9" style="73"/>
    <col min="13575" max="13575" width="18.625" style="73" customWidth="1"/>
    <col min="13576" max="13576" width="5.625" style="73" customWidth="1"/>
    <col min="13577" max="13577" width="3.625" style="73" customWidth="1"/>
    <col min="13578" max="13579" width="9" style="73"/>
    <col min="13580" max="13580" width="3.375" style="73" customWidth="1"/>
    <col min="13581" max="13581" width="18.375" style="73" customWidth="1"/>
    <col min="13582" max="13582" width="12.625" style="73" customWidth="1"/>
    <col min="13583" max="13583" width="3.125" style="73" customWidth="1"/>
    <col min="13584" max="13584" width="12.625" style="73" customWidth="1"/>
    <col min="13585" max="13585" width="13.625" style="73" customWidth="1"/>
    <col min="13586" max="13830" width="9" style="73"/>
    <col min="13831" max="13831" width="18.625" style="73" customWidth="1"/>
    <col min="13832" max="13832" width="5.625" style="73" customWidth="1"/>
    <col min="13833" max="13833" width="3.625" style="73" customWidth="1"/>
    <col min="13834" max="13835" width="9" style="73"/>
    <col min="13836" max="13836" width="3.375" style="73" customWidth="1"/>
    <col min="13837" max="13837" width="18.375" style="73" customWidth="1"/>
    <col min="13838" max="13838" width="12.625" style="73" customWidth="1"/>
    <col min="13839" max="13839" width="3.125" style="73" customWidth="1"/>
    <col min="13840" max="13840" width="12.625" style="73" customWidth="1"/>
    <col min="13841" max="13841" width="13.625" style="73" customWidth="1"/>
    <col min="13842" max="14086" width="9" style="73"/>
    <col min="14087" max="14087" width="18.625" style="73" customWidth="1"/>
    <col min="14088" max="14088" width="5.625" style="73" customWidth="1"/>
    <col min="14089" max="14089" width="3.625" style="73" customWidth="1"/>
    <col min="14090" max="14091" width="9" style="73"/>
    <col min="14092" max="14092" width="3.375" style="73" customWidth="1"/>
    <col min="14093" max="14093" width="18.375" style="73" customWidth="1"/>
    <col min="14094" max="14094" width="12.625" style="73" customWidth="1"/>
    <col min="14095" max="14095" width="3.125" style="73" customWidth="1"/>
    <col min="14096" max="14096" width="12.625" style="73" customWidth="1"/>
    <col min="14097" max="14097" width="13.625" style="73" customWidth="1"/>
    <col min="14098" max="14342" width="9" style="73"/>
    <col min="14343" max="14343" width="18.625" style="73" customWidth="1"/>
    <col min="14344" max="14344" width="5.625" style="73" customWidth="1"/>
    <col min="14345" max="14345" width="3.625" style="73" customWidth="1"/>
    <col min="14346" max="14347" width="9" style="73"/>
    <col min="14348" max="14348" width="3.375" style="73" customWidth="1"/>
    <col min="14349" max="14349" width="18.375" style="73" customWidth="1"/>
    <col min="14350" max="14350" width="12.625" style="73" customWidth="1"/>
    <col min="14351" max="14351" width="3.125" style="73" customWidth="1"/>
    <col min="14352" max="14352" width="12.625" style="73" customWidth="1"/>
    <col min="14353" max="14353" width="13.625" style="73" customWidth="1"/>
    <col min="14354" max="14598" width="9" style="73"/>
    <col min="14599" max="14599" width="18.625" style="73" customWidth="1"/>
    <col min="14600" max="14600" width="5.625" style="73" customWidth="1"/>
    <col min="14601" max="14601" width="3.625" style="73" customWidth="1"/>
    <col min="14602" max="14603" width="9" style="73"/>
    <col min="14604" max="14604" width="3.375" style="73" customWidth="1"/>
    <col min="14605" max="14605" width="18.375" style="73" customWidth="1"/>
    <col min="14606" max="14606" width="12.625" style="73" customWidth="1"/>
    <col min="14607" max="14607" width="3.125" style="73" customWidth="1"/>
    <col min="14608" max="14608" width="12.625" style="73" customWidth="1"/>
    <col min="14609" max="14609" width="13.625" style="73" customWidth="1"/>
    <col min="14610" max="14854" width="9" style="73"/>
    <col min="14855" max="14855" width="18.625" style="73" customWidth="1"/>
    <col min="14856" max="14856" width="5.625" style="73" customWidth="1"/>
    <col min="14857" max="14857" width="3.625" style="73" customWidth="1"/>
    <col min="14858" max="14859" width="9" style="73"/>
    <col min="14860" max="14860" width="3.375" style="73" customWidth="1"/>
    <col min="14861" max="14861" width="18.375" style="73" customWidth="1"/>
    <col min="14862" max="14862" width="12.625" style="73" customWidth="1"/>
    <col min="14863" max="14863" width="3.125" style="73" customWidth="1"/>
    <col min="14864" max="14864" width="12.625" style="73" customWidth="1"/>
    <col min="14865" max="14865" width="13.625" style="73" customWidth="1"/>
    <col min="14866" max="15110" width="9" style="73"/>
    <col min="15111" max="15111" width="18.625" style="73" customWidth="1"/>
    <col min="15112" max="15112" width="5.625" style="73" customWidth="1"/>
    <col min="15113" max="15113" width="3.625" style="73" customWidth="1"/>
    <col min="15114" max="15115" width="9" style="73"/>
    <col min="15116" max="15116" width="3.375" style="73" customWidth="1"/>
    <col min="15117" max="15117" width="18.375" style="73" customWidth="1"/>
    <col min="15118" max="15118" width="12.625" style="73" customWidth="1"/>
    <col min="15119" max="15119" width="3.125" style="73" customWidth="1"/>
    <col min="15120" max="15120" width="12.625" style="73" customWidth="1"/>
    <col min="15121" max="15121" width="13.625" style="73" customWidth="1"/>
    <col min="15122" max="15366" width="9" style="73"/>
    <col min="15367" max="15367" width="18.625" style="73" customWidth="1"/>
    <col min="15368" max="15368" width="5.625" style="73" customWidth="1"/>
    <col min="15369" max="15369" width="3.625" style="73" customWidth="1"/>
    <col min="15370" max="15371" width="9" style="73"/>
    <col min="15372" max="15372" width="3.375" style="73" customWidth="1"/>
    <col min="15373" max="15373" width="18.375" style="73" customWidth="1"/>
    <col min="15374" max="15374" width="12.625" style="73" customWidth="1"/>
    <col min="15375" max="15375" width="3.125" style="73" customWidth="1"/>
    <col min="15376" max="15376" width="12.625" style="73" customWidth="1"/>
    <col min="15377" max="15377" width="13.625" style="73" customWidth="1"/>
    <col min="15378" max="15622" width="9" style="73"/>
    <col min="15623" max="15623" width="18.625" style="73" customWidth="1"/>
    <col min="15624" max="15624" width="5.625" style="73" customWidth="1"/>
    <col min="15625" max="15625" width="3.625" style="73" customWidth="1"/>
    <col min="15626" max="15627" width="9" style="73"/>
    <col min="15628" max="15628" width="3.375" style="73" customWidth="1"/>
    <col min="15629" max="15629" width="18.375" style="73" customWidth="1"/>
    <col min="15630" max="15630" width="12.625" style="73" customWidth="1"/>
    <col min="15631" max="15631" width="3.125" style="73" customWidth="1"/>
    <col min="15632" max="15632" width="12.625" style="73" customWidth="1"/>
    <col min="15633" max="15633" width="13.625" style="73" customWidth="1"/>
    <col min="15634" max="15878" width="9" style="73"/>
    <col min="15879" max="15879" width="18.625" style="73" customWidth="1"/>
    <col min="15880" max="15880" width="5.625" style="73" customWidth="1"/>
    <col min="15881" max="15881" width="3.625" style="73" customWidth="1"/>
    <col min="15882" max="15883" width="9" style="73"/>
    <col min="15884" max="15884" width="3.375" style="73" customWidth="1"/>
    <col min="15885" max="15885" width="18.375" style="73" customWidth="1"/>
    <col min="15886" max="15886" width="12.625" style="73" customWidth="1"/>
    <col min="15887" max="15887" width="3.125" style="73" customWidth="1"/>
    <col min="15888" max="15888" width="12.625" style="73" customWidth="1"/>
    <col min="15889" max="15889" width="13.625" style="73" customWidth="1"/>
    <col min="15890" max="16134" width="9" style="73"/>
    <col min="16135" max="16135" width="18.625" style="73" customWidth="1"/>
    <col min="16136" max="16136" width="5.625" style="73" customWidth="1"/>
    <col min="16137" max="16137" width="3.625" style="73" customWidth="1"/>
    <col min="16138" max="16139" width="9" style="73"/>
    <col min="16140" max="16140" width="3.375" style="73" customWidth="1"/>
    <col min="16141" max="16141" width="18.375" style="73" customWidth="1"/>
    <col min="16142" max="16142" width="12.625" style="73" customWidth="1"/>
    <col min="16143" max="16143" width="3.125" style="73" customWidth="1"/>
    <col min="16144" max="16144" width="12.625" style="73" customWidth="1"/>
    <col min="16145" max="16145" width="13.625" style="73" customWidth="1"/>
    <col min="16146" max="16384" width="9" style="73"/>
  </cols>
  <sheetData>
    <row r="1" spans="1:17" s="69" customFormat="1" ht="36" customHeight="1">
      <c r="A1" s="69" t="s">
        <v>186</v>
      </c>
      <c r="D1" s="70" t="s">
        <v>187</v>
      </c>
      <c r="E1" s="70"/>
      <c r="F1" s="220" t="s">
        <v>99</v>
      </c>
      <c r="G1" s="221"/>
      <c r="H1" s="221"/>
      <c r="I1" s="221"/>
      <c r="J1" s="221"/>
      <c r="K1" s="221"/>
      <c r="L1" s="221"/>
      <c r="M1" s="71"/>
    </row>
    <row r="2" spans="1:17" ht="23.4">
      <c r="C2" s="74"/>
    </row>
    <row r="3" spans="1:17" ht="23.4">
      <c r="A3" s="74" t="s">
        <v>188</v>
      </c>
      <c r="B3" s="74"/>
      <c r="D3" s="70" t="s">
        <v>187</v>
      </c>
      <c r="E3" s="70"/>
    </row>
    <row r="4" spans="1:17" ht="23.4">
      <c r="C4" s="74"/>
    </row>
    <row r="6" spans="1:17" s="76" customFormat="1" ht="16.2">
      <c r="A6" s="76" t="s">
        <v>189</v>
      </c>
      <c r="F6" s="76" t="s">
        <v>102</v>
      </c>
      <c r="Q6" s="95" t="s">
        <v>103</v>
      </c>
    </row>
    <row r="7" spans="1:17" s="76" customFormat="1" ht="16.2"/>
    <row r="9" spans="1:17" ht="18" customHeight="1">
      <c r="A9" s="78" t="s">
        <v>190</v>
      </c>
      <c r="B9" s="78"/>
      <c r="C9" s="79"/>
      <c r="D9" s="73" t="s">
        <v>191</v>
      </c>
      <c r="F9" s="227"/>
      <c r="G9" s="227"/>
      <c r="H9" s="80"/>
      <c r="I9" s="81" t="str">
        <f>IFERROR(LOOKUP(10^17,LEFT(I10,COLUMN($1:$1))*1)/K9,"")</f>
        <v/>
      </c>
      <c r="J9" s="80" t="s">
        <v>106</v>
      </c>
      <c r="K9" s="80"/>
      <c r="L9" s="80"/>
      <c r="M9" s="82"/>
      <c r="N9" s="83" t="s">
        <v>107</v>
      </c>
      <c r="O9" s="84"/>
      <c r="P9" s="83" t="s">
        <v>108</v>
      </c>
    </row>
    <row r="10" spans="1:17" ht="18" customHeight="1">
      <c r="A10" s="79"/>
      <c r="B10" s="79"/>
      <c r="C10" s="79"/>
      <c r="F10" s="94"/>
      <c r="G10" s="94"/>
      <c r="H10" s="80"/>
      <c r="I10" s="223"/>
      <c r="J10" s="223"/>
      <c r="K10" s="223"/>
      <c r="L10" s="223"/>
      <c r="M10" s="86"/>
      <c r="N10" s="86"/>
      <c r="O10" s="84"/>
      <c r="P10" s="87" t="s">
        <v>109</v>
      </c>
    </row>
    <row r="11" spans="1:17" ht="18" customHeight="1">
      <c r="A11" s="79" t="s">
        <v>110</v>
      </c>
      <c r="B11" s="223"/>
      <c r="C11" s="223"/>
      <c r="D11" s="223"/>
      <c r="F11" s="94"/>
      <c r="G11" s="94"/>
      <c r="H11" s="80"/>
      <c r="I11" s="80"/>
      <c r="J11" s="80"/>
      <c r="K11" s="80"/>
      <c r="L11" s="81" t="s">
        <v>111</v>
      </c>
      <c r="M11" s="86"/>
      <c r="N11" s="86"/>
      <c r="O11" s="86"/>
    </row>
    <row r="12" spans="1:17" ht="18" customHeight="1">
      <c r="M12" s="86"/>
      <c r="N12" s="86"/>
      <c r="O12" s="86"/>
    </row>
    <row r="13" spans="1:17" ht="18" customHeight="1">
      <c r="A13" s="78" t="s">
        <v>104</v>
      </c>
      <c r="B13" s="78"/>
      <c r="C13" s="79"/>
      <c r="D13" s="73" t="s">
        <v>105</v>
      </c>
      <c r="F13" s="227"/>
      <c r="G13" s="227"/>
      <c r="I13" s="73" t="str">
        <f>IFERROR(LOOKUP(10^17,LEFT(I14,COLUMN($1:$1))*1)/K13,"")</f>
        <v/>
      </c>
      <c r="J13" s="73" t="s">
        <v>106</v>
      </c>
      <c r="M13" s="84"/>
      <c r="N13" s="86" t="s">
        <v>107</v>
      </c>
      <c r="O13" s="84"/>
      <c r="P13" s="83" t="s">
        <v>108</v>
      </c>
    </row>
    <row r="14" spans="1:17" ht="18" customHeight="1">
      <c r="A14" s="79"/>
      <c r="B14" s="79"/>
      <c r="C14" s="79"/>
      <c r="F14" s="94"/>
      <c r="G14" s="94"/>
      <c r="I14" s="219"/>
      <c r="J14" s="219"/>
      <c r="K14" s="219"/>
      <c r="L14" s="219"/>
      <c r="M14" s="86"/>
      <c r="N14" s="86"/>
      <c r="O14" s="84"/>
      <c r="P14" s="87" t="s">
        <v>109</v>
      </c>
    </row>
    <row r="15" spans="1:17" ht="18" customHeight="1">
      <c r="A15" s="79" t="s">
        <v>110</v>
      </c>
      <c r="B15" s="223"/>
      <c r="C15" s="223"/>
      <c r="D15" s="223"/>
      <c r="F15" s="94"/>
      <c r="G15" s="94"/>
      <c r="L15" s="81" t="s">
        <v>111</v>
      </c>
      <c r="M15" s="86"/>
      <c r="N15" s="86"/>
      <c r="O15" s="86"/>
    </row>
    <row r="16" spans="1:17" ht="18" customHeight="1">
      <c r="M16" s="86"/>
      <c r="N16" s="86"/>
      <c r="O16" s="86"/>
    </row>
    <row r="17" spans="1:16" ht="18" customHeight="1">
      <c r="A17" s="78" t="s">
        <v>104</v>
      </c>
      <c r="B17" s="88"/>
      <c r="C17" s="79"/>
      <c r="D17" s="73" t="s">
        <v>105</v>
      </c>
      <c r="F17" s="227"/>
      <c r="G17" s="227"/>
      <c r="I17" s="73" t="str">
        <f>IFERROR(LOOKUP(10^17,LEFT(I18,COLUMN($1:$1))*1)/K17,"")</f>
        <v/>
      </c>
      <c r="J17" s="73" t="s">
        <v>106</v>
      </c>
      <c r="M17" s="84"/>
      <c r="N17" s="86" t="s">
        <v>107</v>
      </c>
      <c r="O17" s="84"/>
      <c r="P17" s="83" t="s">
        <v>108</v>
      </c>
    </row>
    <row r="18" spans="1:16" ht="18" customHeight="1">
      <c r="A18" s="79"/>
      <c r="B18" s="79"/>
      <c r="C18" s="79"/>
      <c r="F18" s="94"/>
      <c r="G18" s="94"/>
      <c r="I18" s="219"/>
      <c r="J18" s="219"/>
      <c r="K18" s="219"/>
      <c r="L18" s="219"/>
      <c r="M18" s="86"/>
      <c r="N18" s="86"/>
      <c r="O18" s="84"/>
      <c r="P18" s="87" t="s">
        <v>109</v>
      </c>
    </row>
    <row r="19" spans="1:16" ht="18" customHeight="1">
      <c r="A19" s="79" t="s">
        <v>110</v>
      </c>
      <c r="B19" s="224" t="s">
        <v>99</v>
      </c>
      <c r="C19" s="223"/>
      <c r="D19" s="223"/>
      <c r="F19" s="94"/>
      <c r="G19" s="94"/>
      <c r="L19" s="81" t="s">
        <v>111</v>
      </c>
      <c r="M19" s="86"/>
      <c r="N19" s="86"/>
      <c r="O19" s="86"/>
    </row>
    <row r="20" spans="1:16" ht="18" customHeight="1">
      <c r="M20" s="86"/>
      <c r="N20" s="86"/>
      <c r="O20" s="86"/>
    </row>
    <row r="21" spans="1:16" ht="18" customHeight="1">
      <c r="A21" s="78" t="s">
        <v>104</v>
      </c>
      <c r="B21" s="78"/>
      <c r="C21" s="79"/>
      <c r="D21" s="73" t="s">
        <v>105</v>
      </c>
      <c r="E21" s="89"/>
      <c r="F21" s="227"/>
      <c r="G21" s="227"/>
      <c r="I21" s="73" t="str">
        <f>IFERROR(LOOKUP(10^17,LEFT(I22,COLUMN($1:$1))*1)/K21,"")</f>
        <v/>
      </c>
      <c r="J21" s="73" t="s">
        <v>106</v>
      </c>
      <c r="M21" s="84"/>
      <c r="N21" s="86" t="s">
        <v>107</v>
      </c>
      <c r="O21" s="84"/>
      <c r="P21" s="83" t="s">
        <v>108</v>
      </c>
    </row>
    <row r="22" spans="1:16" ht="18" customHeight="1">
      <c r="A22" s="79"/>
      <c r="B22" s="79"/>
      <c r="C22" s="79"/>
      <c r="F22" s="94"/>
      <c r="G22" s="94"/>
      <c r="I22" s="219"/>
      <c r="J22" s="219"/>
      <c r="K22" s="219"/>
      <c r="L22" s="219"/>
      <c r="M22" s="86"/>
      <c r="N22" s="86"/>
      <c r="O22" s="84"/>
      <c r="P22" s="87" t="s">
        <v>109</v>
      </c>
    </row>
    <row r="23" spans="1:16" ht="18" customHeight="1">
      <c r="A23" s="79" t="s">
        <v>110</v>
      </c>
      <c r="B23" s="223"/>
      <c r="C23" s="223"/>
      <c r="D23" s="223"/>
      <c r="F23" s="94"/>
      <c r="G23" s="94"/>
      <c r="L23" s="81" t="s">
        <v>111</v>
      </c>
      <c r="M23" s="86"/>
      <c r="N23" s="86"/>
      <c r="O23" s="86"/>
    </row>
    <row r="24" spans="1:16" ht="18" customHeight="1">
      <c r="M24" s="86"/>
      <c r="N24" s="86"/>
      <c r="O24" s="86"/>
    </row>
    <row r="25" spans="1:16" ht="18" customHeight="1">
      <c r="A25" s="78" t="s">
        <v>104</v>
      </c>
      <c r="B25" s="78"/>
      <c r="C25" s="79"/>
      <c r="D25" s="73" t="s">
        <v>105</v>
      </c>
      <c r="F25" s="227"/>
      <c r="G25" s="227"/>
      <c r="I25" s="73" t="str">
        <f>IFERROR(LOOKUP(10^17,LEFT(I26,COLUMN($1:$1))*1)/K25,"")</f>
        <v/>
      </c>
      <c r="J25" s="73" t="s">
        <v>106</v>
      </c>
      <c r="M25" s="84"/>
      <c r="N25" s="86" t="s">
        <v>107</v>
      </c>
      <c r="O25" s="84"/>
      <c r="P25" s="83" t="s">
        <v>108</v>
      </c>
    </row>
    <row r="26" spans="1:16" ht="18" customHeight="1">
      <c r="A26" s="79"/>
      <c r="B26" s="79"/>
      <c r="C26" s="79"/>
      <c r="F26" s="94"/>
      <c r="G26" s="94"/>
      <c r="I26" s="219"/>
      <c r="J26" s="219"/>
      <c r="K26" s="219"/>
      <c r="L26" s="219"/>
      <c r="M26" s="86"/>
      <c r="N26" s="86"/>
      <c r="O26" s="84"/>
      <c r="P26" s="87" t="s">
        <v>109</v>
      </c>
    </row>
    <row r="27" spans="1:16" ht="18" customHeight="1">
      <c r="A27" s="79" t="s">
        <v>110</v>
      </c>
      <c r="B27" s="223"/>
      <c r="C27" s="223"/>
      <c r="D27" s="223"/>
      <c r="F27" s="94"/>
      <c r="G27" s="94"/>
      <c r="L27" s="81" t="s">
        <v>111</v>
      </c>
      <c r="M27" s="86"/>
      <c r="N27" s="86"/>
      <c r="O27" s="86"/>
    </row>
    <row r="28" spans="1:16" ht="18" customHeight="1">
      <c r="M28" s="86"/>
      <c r="N28" s="86"/>
      <c r="O28" s="86"/>
    </row>
    <row r="29" spans="1:16" ht="18" customHeight="1">
      <c r="A29" s="78" t="s">
        <v>104</v>
      </c>
      <c r="B29" s="78"/>
      <c r="C29" s="79"/>
      <c r="D29" s="73" t="s">
        <v>105</v>
      </c>
      <c r="F29" s="227"/>
      <c r="G29" s="227"/>
      <c r="I29" s="73" t="str">
        <f>IFERROR(LOOKUP(10^17,LEFT(I30,COLUMN($1:$1))*1)/K26,"")</f>
        <v/>
      </c>
      <c r="J29" s="73" t="s">
        <v>106</v>
      </c>
      <c r="M29" s="84"/>
      <c r="N29" s="86" t="s">
        <v>107</v>
      </c>
      <c r="O29" s="84"/>
      <c r="P29" s="83" t="s">
        <v>108</v>
      </c>
    </row>
    <row r="30" spans="1:16" ht="18" customHeight="1">
      <c r="A30" s="79"/>
      <c r="B30" s="79"/>
      <c r="C30" s="79"/>
      <c r="F30" s="94"/>
      <c r="G30" s="94"/>
      <c r="I30" s="219"/>
      <c r="J30" s="219"/>
      <c r="K30" s="219"/>
      <c r="L30" s="219"/>
      <c r="M30" s="86"/>
      <c r="N30" s="86"/>
      <c r="O30" s="84"/>
      <c r="P30" s="87" t="s">
        <v>109</v>
      </c>
    </row>
    <row r="31" spans="1:16" ht="18" customHeight="1">
      <c r="A31" s="79" t="s">
        <v>110</v>
      </c>
      <c r="B31" s="223"/>
      <c r="C31" s="223"/>
      <c r="D31" s="223"/>
      <c r="F31" s="94"/>
      <c r="G31" s="94"/>
      <c r="L31" s="81" t="s">
        <v>111</v>
      </c>
      <c r="M31" s="86"/>
      <c r="N31" s="86"/>
      <c r="O31" s="86"/>
    </row>
    <row r="32" spans="1:16" ht="18" customHeight="1">
      <c r="M32" s="86"/>
      <c r="N32" s="86"/>
      <c r="O32" s="86"/>
    </row>
    <row r="33" spans="1:16" ht="18" customHeight="1">
      <c r="A33" s="78" t="s">
        <v>104</v>
      </c>
      <c r="B33" s="78"/>
      <c r="C33" s="79"/>
      <c r="D33" s="73" t="s">
        <v>105</v>
      </c>
      <c r="F33" s="227"/>
      <c r="G33" s="227"/>
      <c r="I33" s="73" t="str">
        <f>IFERROR(LOOKUP(10^17,LEFT(I34,COLUMN($1:$1))*1)/K33,"")</f>
        <v/>
      </c>
      <c r="J33" s="73" t="s">
        <v>106</v>
      </c>
      <c r="M33" s="84"/>
      <c r="N33" s="86" t="s">
        <v>107</v>
      </c>
      <c r="O33" s="84"/>
      <c r="P33" s="83" t="s">
        <v>108</v>
      </c>
    </row>
    <row r="34" spans="1:16" ht="18" customHeight="1">
      <c r="A34" s="79"/>
      <c r="B34" s="79"/>
      <c r="C34" s="79"/>
      <c r="I34" s="219"/>
      <c r="J34" s="219"/>
      <c r="K34" s="219"/>
      <c r="L34" s="219"/>
      <c r="M34" s="86"/>
      <c r="N34" s="86"/>
      <c r="O34" s="84"/>
      <c r="P34" s="87" t="s">
        <v>109</v>
      </c>
    </row>
    <row r="35" spans="1:16" ht="18" customHeight="1">
      <c r="A35" s="79" t="s">
        <v>110</v>
      </c>
      <c r="B35" s="223"/>
      <c r="C35" s="223"/>
      <c r="D35" s="223"/>
      <c r="L35" s="81" t="s">
        <v>111</v>
      </c>
      <c r="M35" s="86"/>
      <c r="N35" s="86"/>
      <c r="O35" s="86"/>
    </row>
    <row r="36" spans="1:16" ht="15">
      <c r="M36" s="86"/>
      <c r="N36" s="86"/>
      <c r="O36" s="86"/>
    </row>
    <row r="37" spans="1:16" ht="15">
      <c r="M37" s="86"/>
      <c r="N37" s="86"/>
      <c r="O37" s="86"/>
    </row>
    <row r="38" spans="1:16" ht="15">
      <c r="M38" s="86"/>
      <c r="N38" s="86"/>
      <c r="O38" s="86"/>
    </row>
    <row r="39" spans="1:16" ht="23.4">
      <c r="A39" s="74" t="s">
        <v>112</v>
      </c>
      <c r="B39" s="74"/>
      <c r="D39" s="70" t="s">
        <v>98</v>
      </c>
      <c r="E39" s="70"/>
      <c r="F39" s="225" t="s">
        <v>99</v>
      </c>
      <c r="G39" s="225"/>
      <c r="L39" s="81" t="s">
        <v>113</v>
      </c>
    </row>
    <row r="41" spans="1:16" ht="23.4">
      <c r="A41" s="74" t="s">
        <v>114</v>
      </c>
      <c r="B41" s="74"/>
      <c r="D41" s="70" t="s">
        <v>98</v>
      </c>
      <c r="E41" s="70"/>
      <c r="F41" s="226" t="s">
        <v>99</v>
      </c>
      <c r="G41" s="226"/>
      <c r="L41" s="81" t="s">
        <v>115</v>
      </c>
    </row>
    <row r="43" spans="1:16" ht="23.4">
      <c r="A43" s="74" t="s">
        <v>116</v>
      </c>
      <c r="B43" s="74"/>
      <c r="D43" s="70" t="s">
        <v>98</v>
      </c>
      <c r="E43" s="70"/>
      <c r="F43" s="225" t="s">
        <v>99</v>
      </c>
      <c r="G43" s="225"/>
    </row>
    <row r="45" spans="1:16" ht="23.4">
      <c r="A45" s="74" t="s">
        <v>117</v>
      </c>
      <c r="B45" s="74"/>
      <c r="D45" s="70" t="s">
        <v>98</v>
      </c>
      <c r="E45" s="70"/>
    </row>
    <row r="46" spans="1:16" ht="23.4">
      <c r="A46" s="74" t="s">
        <v>118</v>
      </c>
      <c r="B46" s="74"/>
      <c r="D46" s="70" t="s">
        <v>98</v>
      </c>
      <c r="E46" s="70"/>
    </row>
    <row r="48" spans="1:16" ht="23.4">
      <c r="A48" s="74" t="s">
        <v>119</v>
      </c>
      <c r="B48" s="74"/>
      <c r="G48" s="91" t="s">
        <v>120</v>
      </c>
      <c r="M48" s="91" t="s">
        <v>121</v>
      </c>
    </row>
    <row r="49" spans="7:13" ht="14.4">
      <c r="G49" s="91" t="s">
        <v>122</v>
      </c>
      <c r="M49" s="91" t="s">
        <v>122</v>
      </c>
    </row>
    <row r="50" spans="7:13" ht="14.4">
      <c r="G50" s="91" t="s">
        <v>123</v>
      </c>
      <c r="M50" s="91" t="s">
        <v>123</v>
      </c>
    </row>
  </sheetData>
  <mergeCells count="25">
    <mergeCell ref="F43:G43"/>
    <mergeCell ref="B31:D31"/>
    <mergeCell ref="F33:G33"/>
    <mergeCell ref="I34:L34"/>
    <mergeCell ref="B35:D35"/>
    <mergeCell ref="F39:G39"/>
    <mergeCell ref="F41:G41"/>
    <mergeCell ref="I30:L30"/>
    <mergeCell ref="B15:D15"/>
    <mergeCell ref="F17:G17"/>
    <mergeCell ref="I18:L18"/>
    <mergeCell ref="B19:D19"/>
    <mergeCell ref="F21:G21"/>
    <mergeCell ref="I22:L22"/>
    <mergeCell ref="B23:D23"/>
    <mergeCell ref="F25:G25"/>
    <mergeCell ref="I26:L26"/>
    <mergeCell ref="B27:D27"/>
    <mergeCell ref="F29:G29"/>
    <mergeCell ref="I14:L14"/>
    <mergeCell ref="F1:L1"/>
    <mergeCell ref="F9:G9"/>
    <mergeCell ref="I10:L10"/>
    <mergeCell ref="B11:D11"/>
    <mergeCell ref="F13:G13"/>
  </mergeCells>
  <phoneticPr fontId="1"/>
  <pageMargins left="0.35433070866141736" right="0.19685039370078741" top="0.59055118110236227" bottom="0.51181102362204722" header="0.51181102362204722" footer="0.51181102362204722"/>
  <pageSetup paperSize="9" scale="86" orientation="portrait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15">
    <pageSetUpPr fitToPage="1"/>
  </sheetPr>
  <dimension ref="A1:Q50"/>
  <sheetViews>
    <sheetView view="pageBreakPreview" topLeftCell="A10" zoomScaleNormal="100" zoomScaleSheetLayoutView="100" workbookViewId="0">
      <selection activeCell="N31" sqref="N31"/>
    </sheetView>
  </sheetViews>
  <sheetFormatPr defaultRowHeight="13.2"/>
  <cols>
    <col min="1" max="1" width="4.375" style="73" customWidth="1"/>
    <col min="2" max="2" width="8.25" style="73" customWidth="1"/>
    <col min="3" max="3" width="4.375" style="73" customWidth="1"/>
    <col min="4" max="4" width="4.75" style="73" customWidth="1"/>
    <col min="5" max="5" width="7.375" style="73" customWidth="1"/>
    <col min="6" max="6" width="9" style="73"/>
    <col min="7" max="7" width="7.625" style="73" customWidth="1"/>
    <col min="8" max="8" width="3.375" style="73" customWidth="1"/>
    <col min="9" max="9" width="7.375" style="73" customWidth="1"/>
    <col min="10" max="10" width="3.375" style="73" customWidth="1"/>
    <col min="11" max="11" width="6.25" style="73" customWidth="1"/>
    <col min="12" max="12" width="3.25" style="73" customWidth="1"/>
    <col min="13" max="13" width="3.125" style="73" customWidth="1"/>
    <col min="14" max="14" width="10.75" style="73" customWidth="1"/>
    <col min="15" max="15" width="3.125" style="73" customWidth="1"/>
    <col min="16" max="16" width="10.75" style="73" customWidth="1"/>
    <col min="17" max="17" width="13.625" style="73" customWidth="1"/>
    <col min="18" max="262" width="9" style="73"/>
    <col min="263" max="263" width="18.625" style="73" customWidth="1"/>
    <col min="264" max="264" width="5.625" style="73" customWidth="1"/>
    <col min="265" max="265" width="3.625" style="73" customWidth="1"/>
    <col min="266" max="267" width="9" style="73"/>
    <col min="268" max="268" width="3.375" style="73" customWidth="1"/>
    <col min="269" max="269" width="18.375" style="73" customWidth="1"/>
    <col min="270" max="270" width="12.625" style="73" customWidth="1"/>
    <col min="271" max="271" width="3.125" style="73" customWidth="1"/>
    <col min="272" max="272" width="12.625" style="73" customWidth="1"/>
    <col min="273" max="273" width="13.625" style="73" customWidth="1"/>
    <col min="274" max="518" width="9" style="73"/>
    <col min="519" max="519" width="18.625" style="73" customWidth="1"/>
    <col min="520" max="520" width="5.625" style="73" customWidth="1"/>
    <col min="521" max="521" width="3.625" style="73" customWidth="1"/>
    <col min="522" max="523" width="9" style="73"/>
    <col min="524" max="524" width="3.375" style="73" customWidth="1"/>
    <col min="525" max="525" width="18.375" style="73" customWidth="1"/>
    <col min="526" max="526" width="12.625" style="73" customWidth="1"/>
    <col min="527" max="527" width="3.125" style="73" customWidth="1"/>
    <col min="528" max="528" width="12.625" style="73" customWidth="1"/>
    <col min="529" max="529" width="13.625" style="73" customWidth="1"/>
    <col min="530" max="774" width="9" style="73"/>
    <col min="775" max="775" width="18.625" style="73" customWidth="1"/>
    <col min="776" max="776" width="5.625" style="73" customWidth="1"/>
    <col min="777" max="777" width="3.625" style="73" customWidth="1"/>
    <col min="778" max="779" width="9" style="73"/>
    <col min="780" max="780" width="3.375" style="73" customWidth="1"/>
    <col min="781" max="781" width="18.375" style="73" customWidth="1"/>
    <col min="782" max="782" width="12.625" style="73" customWidth="1"/>
    <col min="783" max="783" width="3.125" style="73" customWidth="1"/>
    <col min="784" max="784" width="12.625" style="73" customWidth="1"/>
    <col min="785" max="785" width="13.625" style="73" customWidth="1"/>
    <col min="786" max="1030" width="9" style="73"/>
    <col min="1031" max="1031" width="18.625" style="73" customWidth="1"/>
    <col min="1032" max="1032" width="5.625" style="73" customWidth="1"/>
    <col min="1033" max="1033" width="3.625" style="73" customWidth="1"/>
    <col min="1034" max="1035" width="9" style="73"/>
    <col min="1036" max="1036" width="3.375" style="73" customWidth="1"/>
    <col min="1037" max="1037" width="18.375" style="73" customWidth="1"/>
    <col min="1038" max="1038" width="12.625" style="73" customWidth="1"/>
    <col min="1039" max="1039" width="3.125" style="73" customWidth="1"/>
    <col min="1040" max="1040" width="12.625" style="73" customWidth="1"/>
    <col min="1041" max="1041" width="13.625" style="73" customWidth="1"/>
    <col min="1042" max="1286" width="9" style="73"/>
    <col min="1287" max="1287" width="18.625" style="73" customWidth="1"/>
    <col min="1288" max="1288" width="5.625" style="73" customWidth="1"/>
    <col min="1289" max="1289" width="3.625" style="73" customWidth="1"/>
    <col min="1290" max="1291" width="9" style="73"/>
    <col min="1292" max="1292" width="3.375" style="73" customWidth="1"/>
    <col min="1293" max="1293" width="18.375" style="73" customWidth="1"/>
    <col min="1294" max="1294" width="12.625" style="73" customWidth="1"/>
    <col min="1295" max="1295" width="3.125" style="73" customWidth="1"/>
    <col min="1296" max="1296" width="12.625" style="73" customWidth="1"/>
    <col min="1297" max="1297" width="13.625" style="73" customWidth="1"/>
    <col min="1298" max="1542" width="9" style="73"/>
    <col min="1543" max="1543" width="18.625" style="73" customWidth="1"/>
    <col min="1544" max="1544" width="5.625" style="73" customWidth="1"/>
    <col min="1545" max="1545" width="3.625" style="73" customWidth="1"/>
    <col min="1546" max="1547" width="9" style="73"/>
    <col min="1548" max="1548" width="3.375" style="73" customWidth="1"/>
    <col min="1549" max="1549" width="18.375" style="73" customWidth="1"/>
    <col min="1550" max="1550" width="12.625" style="73" customWidth="1"/>
    <col min="1551" max="1551" width="3.125" style="73" customWidth="1"/>
    <col min="1552" max="1552" width="12.625" style="73" customWidth="1"/>
    <col min="1553" max="1553" width="13.625" style="73" customWidth="1"/>
    <col min="1554" max="1798" width="9" style="73"/>
    <col min="1799" max="1799" width="18.625" style="73" customWidth="1"/>
    <col min="1800" max="1800" width="5.625" style="73" customWidth="1"/>
    <col min="1801" max="1801" width="3.625" style="73" customWidth="1"/>
    <col min="1802" max="1803" width="9" style="73"/>
    <col min="1804" max="1804" width="3.375" style="73" customWidth="1"/>
    <col min="1805" max="1805" width="18.375" style="73" customWidth="1"/>
    <col min="1806" max="1806" width="12.625" style="73" customWidth="1"/>
    <col min="1807" max="1807" width="3.125" style="73" customWidth="1"/>
    <col min="1808" max="1808" width="12.625" style="73" customWidth="1"/>
    <col min="1809" max="1809" width="13.625" style="73" customWidth="1"/>
    <col min="1810" max="2054" width="9" style="73"/>
    <col min="2055" max="2055" width="18.625" style="73" customWidth="1"/>
    <col min="2056" max="2056" width="5.625" style="73" customWidth="1"/>
    <col min="2057" max="2057" width="3.625" style="73" customWidth="1"/>
    <col min="2058" max="2059" width="9" style="73"/>
    <col min="2060" max="2060" width="3.375" style="73" customWidth="1"/>
    <col min="2061" max="2061" width="18.375" style="73" customWidth="1"/>
    <col min="2062" max="2062" width="12.625" style="73" customWidth="1"/>
    <col min="2063" max="2063" width="3.125" style="73" customWidth="1"/>
    <col min="2064" max="2064" width="12.625" style="73" customWidth="1"/>
    <col min="2065" max="2065" width="13.625" style="73" customWidth="1"/>
    <col min="2066" max="2310" width="9" style="73"/>
    <col min="2311" max="2311" width="18.625" style="73" customWidth="1"/>
    <col min="2312" max="2312" width="5.625" style="73" customWidth="1"/>
    <col min="2313" max="2313" width="3.625" style="73" customWidth="1"/>
    <col min="2314" max="2315" width="9" style="73"/>
    <col min="2316" max="2316" width="3.375" style="73" customWidth="1"/>
    <col min="2317" max="2317" width="18.375" style="73" customWidth="1"/>
    <col min="2318" max="2318" width="12.625" style="73" customWidth="1"/>
    <col min="2319" max="2319" width="3.125" style="73" customWidth="1"/>
    <col min="2320" max="2320" width="12.625" style="73" customWidth="1"/>
    <col min="2321" max="2321" width="13.625" style="73" customWidth="1"/>
    <col min="2322" max="2566" width="9" style="73"/>
    <col min="2567" max="2567" width="18.625" style="73" customWidth="1"/>
    <col min="2568" max="2568" width="5.625" style="73" customWidth="1"/>
    <col min="2569" max="2569" width="3.625" style="73" customWidth="1"/>
    <col min="2570" max="2571" width="9" style="73"/>
    <col min="2572" max="2572" width="3.375" style="73" customWidth="1"/>
    <col min="2573" max="2573" width="18.375" style="73" customWidth="1"/>
    <col min="2574" max="2574" width="12.625" style="73" customWidth="1"/>
    <col min="2575" max="2575" width="3.125" style="73" customWidth="1"/>
    <col min="2576" max="2576" width="12.625" style="73" customWidth="1"/>
    <col min="2577" max="2577" width="13.625" style="73" customWidth="1"/>
    <col min="2578" max="2822" width="9" style="73"/>
    <col min="2823" max="2823" width="18.625" style="73" customWidth="1"/>
    <col min="2824" max="2824" width="5.625" style="73" customWidth="1"/>
    <col min="2825" max="2825" width="3.625" style="73" customWidth="1"/>
    <col min="2826" max="2827" width="9" style="73"/>
    <col min="2828" max="2828" width="3.375" style="73" customWidth="1"/>
    <col min="2829" max="2829" width="18.375" style="73" customWidth="1"/>
    <col min="2830" max="2830" width="12.625" style="73" customWidth="1"/>
    <col min="2831" max="2831" width="3.125" style="73" customWidth="1"/>
    <col min="2832" max="2832" width="12.625" style="73" customWidth="1"/>
    <col min="2833" max="2833" width="13.625" style="73" customWidth="1"/>
    <col min="2834" max="3078" width="9" style="73"/>
    <col min="3079" max="3079" width="18.625" style="73" customWidth="1"/>
    <col min="3080" max="3080" width="5.625" style="73" customWidth="1"/>
    <col min="3081" max="3081" width="3.625" style="73" customWidth="1"/>
    <col min="3082" max="3083" width="9" style="73"/>
    <col min="3084" max="3084" width="3.375" style="73" customWidth="1"/>
    <col min="3085" max="3085" width="18.375" style="73" customWidth="1"/>
    <col min="3086" max="3086" width="12.625" style="73" customWidth="1"/>
    <col min="3087" max="3087" width="3.125" style="73" customWidth="1"/>
    <col min="3088" max="3088" width="12.625" style="73" customWidth="1"/>
    <col min="3089" max="3089" width="13.625" style="73" customWidth="1"/>
    <col min="3090" max="3334" width="9" style="73"/>
    <col min="3335" max="3335" width="18.625" style="73" customWidth="1"/>
    <col min="3336" max="3336" width="5.625" style="73" customWidth="1"/>
    <col min="3337" max="3337" width="3.625" style="73" customWidth="1"/>
    <col min="3338" max="3339" width="9" style="73"/>
    <col min="3340" max="3340" width="3.375" style="73" customWidth="1"/>
    <col min="3341" max="3341" width="18.375" style="73" customWidth="1"/>
    <col min="3342" max="3342" width="12.625" style="73" customWidth="1"/>
    <col min="3343" max="3343" width="3.125" style="73" customWidth="1"/>
    <col min="3344" max="3344" width="12.625" style="73" customWidth="1"/>
    <col min="3345" max="3345" width="13.625" style="73" customWidth="1"/>
    <col min="3346" max="3590" width="9" style="73"/>
    <col min="3591" max="3591" width="18.625" style="73" customWidth="1"/>
    <col min="3592" max="3592" width="5.625" style="73" customWidth="1"/>
    <col min="3593" max="3593" width="3.625" style="73" customWidth="1"/>
    <col min="3594" max="3595" width="9" style="73"/>
    <col min="3596" max="3596" width="3.375" style="73" customWidth="1"/>
    <col min="3597" max="3597" width="18.375" style="73" customWidth="1"/>
    <col min="3598" max="3598" width="12.625" style="73" customWidth="1"/>
    <col min="3599" max="3599" width="3.125" style="73" customWidth="1"/>
    <col min="3600" max="3600" width="12.625" style="73" customWidth="1"/>
    <col min="3601" max="3601" width="13.625" style="73" customWidth="1"/>
    <col min="3602" max="3846" width="9" style="73"/>
    <col min="3847" max="3847" width="18.625" style="73" customWidth="1"/>
    <col min="3848" max="3848" width="5.625" style="73" customWidth="1"/>
    <col min="3849" max="3849" width="3.625" style="73" customWidth="1"/>
    <col min="3850" max="3851" width="9" style="73"/>
    <col min="3852" max="3852" width="3.375" style="73" customWidth="1"/>
    <col min="3853" max="3853" width="18.375" style="73" customWidth="1"/>
    <col min="3854" max="3854" width="12.625" style="73" customWidth="1"/>
    <col min="3855" max="3855" width="3.125" style="73" customWidth="1"/>
    <col min="3856" max="3856" width="12.625" style="73" customWidth="1"/>
    <col min="3857" max="3857" width="13.625" style="73" customWidth="1"/>
    <col min="3858" max="4102" width="9" style="73"/>
    <col min="4103" max="4103" width="18.625" style="73" customWidth="1"/>
    <col min="4104" max="4104" width="5.625" style="73" customWidth="1"/>
    <col min="4105" max="4105" width="3.625" style="73" customWidth="1"/>
    <col min="4106" max="4107" width="9" style="73"/>
    <col min="4108" max="4108" width="3.375" style="73" customWidth="1"/>
    <col min="4109" max="4109" width="18.375" style="73" customWidth="1"/>
    <col min="4110" max="4110" width="12.625" style="73" customWidth="1"/>
    <col min="4111" max="4111" width="3.125" style="73" customWidth="1"/>
    <col min="4112" max="4112" width="12.625" style="73" customWidth="1"/>
    <col min="4113" max="4113" width="13.625" style="73" customWidth="1"/>
    <col min="4114" max="4358" width="9" style="73"/>
    <col min="4359" max="4359" width="18.625" style="73" customWidth="1"/>
    <col min="4360" max="4360" width="5.625" style="73" customWidth="1"/>
    <col min="4361" max="4361" width="3.625" style="73" customWidth="1"/>
    <col min="4362" max="4363" width="9" style="73"/>
    <col min="4364" max="4364" width="3.375" style="73" customWidth="1"/>
    <col min="4365" max="4365" width="18.375" style="73" customWidth="1"/>
    <col min="4366" max="4366" width="12.625" style="73" customWidth="1"/>
    <col min="4367" max="4367" width="3.125" style="73" customWidth="1"/>
    <col min="4368" max="4368" width="12.625" style="73" customWidth="1"/>
    <col min="4369" max="4369" width="13.625" style="73" customWidth="1"/>
    <col min="4370" max="4614" width="9" style="73"/>
    <col min="4615" max="4615" width="18.625" style="73" customWidth="1"/>
    <col min="4616" max="4616" width="5.625" style="73" customWidth="1"/>
    <col min="4617" max="4617" width="3.625" style="73" customWidth="1"/>
    <col min="4618" max="4619" width="9" style="73"/>
    <col min="4620" max="4620" width="3.375" style="73" customWidth="1"/>
    <col min="4621" max="4621" width="18.375" style="73" customWidth="1"/>
    <col min="4622" max="4622" width="12.625" style="73" customWidth="1"/>
    <col min="4623" max="4623" width="3.125" style="73" customWidth="1"/>
    <col min="4624" max="4624" width="12.625" style="73" customWidth="1"/>
    <col min="4625" max="4625" width="13.625" style="73" customWidth="1"/>
    <col min="4626" max="4870" width="9" style="73"/>
    <col min="4871" max="4871" width="18.625" style="73" customWidth="1"/>
    <col min="4872" max="4872" width="5.625" style="73" customWidth="1"/>
    <col min="4873" max="4873" width="3.625" style="73" customWidth="1"/>
    <col min="4874" max="4875" width="9" style="73"/>
    <col min="4876" max="4876" width="3.375" style="73" customWidth="1"/>
    <col min="4877" max="4877" width="18.375" style="73" customWidth="1"/>
    <col min="4878" max="4878" width="12.625" style="73" customWidth="1"/>
    <col min="4879" max="4879" width="3.125" style="73" customWidth="1"/>
    <col min="4880" max="4880" width="12.625" style="73" customWidth="1"/>
    <col min="4881" max="4881" width="13.625" style="73" customWidth="1"/>
    <col min="4882" max="5126" width="9" style="73"/>
    <col min="5127" max="5127" width="18.625" style="73" customWidth="1"/>
    <col min="5128" max="5128" width="5.625" style="73" customWidth="1"/>
    <col min="5129" max="5129" width="3.625" style="73" customWidth="1"/>
    <col min="5130" max="5131" width="9" style="73"/>
    <col min="5132" max="5132" width="3.375" style="73" customWidth="1"/>
    <col min="5133" max="5133" width="18.375" style="73" customWidth="1"/>
    <col min="5134" max="5134" width="12.625" style="73" customWidth="1"/>
    <col min="5135" max="5135" width="3.125" style="73" customWidth="1"/>
    <col min="5136" max="5136" width="12.625" style="73" customWidth="1"/>
    <col min="5137" max="5137" width="13.625" style="73" customWidth="1"/>
    <col min="5138" max="5382" width="9" style="73"/>
    <col min="5383" max="5383" width="18.625" style="73" customWidth="1"/>
    <col min="5384" max="5384" width="5.625" style="73" customWidth="1"/>
    <col min="5385" max="5385" width="3.625" style="73" customWidth="1"/>
    <col min="5386" max="5387" width="9" style="73"/>
    <col min="5388" max="5388" width="3.375" style="73" customWidth="1"/>
    <col min="5389" max="5389" width="18.375" style="73" customWidth="1"/>
    <col min="5390" max="5390" width="12.625" style="73" customWidth="1"/>
    <col min="5391" max="5391" width="3.125" style="73" customWidth="1"/>
    <col min="5392" max="5392" width="12.625" style="73" customWidth="1"/>
    <col min="5393" max="5393" width="13.625" style="73" customWidth="1"/>
    <col min="5394" max="5638" width="9" style="73"/>
    <col min="5639" max="5639" width="18.625" style="73" customWidth="1"/>
    <col min="5640" max="5640" width="5.625" style="73" customWidth="1"/>
    <col min="5641" max="5641" width="3.625" style="73" customWidth="1"/>
    <col min="5642" max="5643" width="9" style="73"/>
    <col min="5644" max="5644" width="3.375" style="73" customWidth="1"/>
    <col min="5645" max="5645" width="18.375" style="73" customWidth="1"/>
    <col min="5646" max="5646" width="12.625" style="73" customWidth="1"/>
    <col min="5647" max="5647" width="3.125" style="73" customWidth="1"/>
    <col min="5648" max="5648" width="12.625" style="73" customWidth="1"/>
    <col min="5649" max="5649" width="13.625" style="73" customWidth="1"/>
    <col min="5650" max="5894" width="9" style="73"/>
    <col min="5895" max="5895" width="18.625" style="73" customWidth="1"/>
    <col min="5896" max="5896" width="5.625" style="73" customWidth="1"/>
    <col min="5897" max="5897" width="3.625" style="73" customWidth="1"/>
    <col min="5898" max="5899" width="9" style="73"/>
    <col min="5900" max="5900" width="3.375" style="73" customWidth="1"/>
    <col min="5901" max="5901" width="18.375" style="73" customWidth="1"/>
    <col min="5902" max="5902" width="12.625" style="73" customWidth="1"/>
    <col min="5903" max="5903" width="3.125" style="73" customWidth="1"/>
    <col min="5904" max="5904" width="12.625" style="73" customWidth="1"/>
    <col min="5905" max="5905" width="13.625" style="73" customWidth="1"/>
    <col min="5906" max="6150" width="9" style="73"/>
    <col min="6151" max="6151" width="18.625" style="73" customWidth="1"/>
    <col min="6152" max="6152" width="5.625" style="73" customWidth="1"/>
    <col min="6153" max="6153" width="3.625" style="73" customWidth="1"/>
    <col min="6154" max="6155" width="9" style="73"/>
    <col min="6156" max="6156" width="3.375" style="73" customWidth="1"/>
    <col min="6157" max="6157" width="18.375" style="73" customWidth="1"/>
    <col min="6158" max="6158" width="12.625" style="73" customWidth="1"/>
    <col min="6159" max="6159" width="3.125" style="73" customWidth="1"/>
    <col min="6160" max="6160" width="12.625" style="73" customWidth="1"/>
    <col min="6161" max="6161" width="13.625" style="73" customWidth="1"/>
    <col min="6162" max="6406" width="9" style="73"/>
    <col min="6407" max="6407" width="18.625" style="73" customWidth="1"/>
    <col min="6408" max="6408" width="5.625" style="73" customWidth="1"/>
    <col min="6409" max="6409" width="3.625" style="73" customWidth="1"/>
    <col min="6410" max="6411" width="9" style="73"/>
    <col min="6412" max="6412" width="3.375" style="73" customWidth="1"/>
    <col min="6413" max="6413" width="18.375" style="73" customWidth="1"/>
    <col min="6414" max="6414" width="12.625" style="73" customWidth="1"/>
    <col min="6415" max="6415" width="3.125" style="73" customWidth="1"/>
    <col min="6416" max="6416" width="12.625" style="73" customWidth="1"/>
    <col min="6417" max="6417" width="13.625" style="73" customWidth="1"/>
    <col min="6418" max="6662" width="9" style="73"/>
    <col min="6663" max="6663" width="18.625" style="73" customWidth="1"/>
    <col min="6664" max="6664" width="5.625" style="73" customWidth="1"/>
    <col min="6665" max="6665" width="3.625" style="73" customWidth="1"/>
    <col min="6666" max="6667" width="9" style="73"/>
    <col min="6668" max="6668" width="3.375" style="73" customWidth="1"/>
    <col min="6669" max="6669" width="18.375" style="73" customWidth="1"/>
    <col min="6670" max="6670" width="12.625" style="73" customWidth="1"/>
    <col min="6671" max="6671" width="3.125" style="73" customWidth="1"/>
    <col min="6672" max="6672" width="12.625" style="73" customWidth="1"/>
    <col min="6673" max="6673" width="13.625" style="73" customWidth="1"/>
    <col min="6674" max="6918" width="9" style="73"/>
    <col min="6919" max="6919" width="18.625" style="73" customWidth="1"/>
    <col min="6920" max="6920" width="5.625" style="73" customWidth="1"/>
    <col min="6921" max="6921" width="3.625" style="73" customWidth="1"/>
    <col min="6922" max="6923" width="9" style="73"/>
    <col min="6924" max="6924" width="3.375" style="73" customWidth="1"/>
    <col min="6925" max="6925" width="18.375" style="73" customWidth="1"/>
    <col min="6926" max="6926" width="12.625" style="73" customWidth="1"/>
    <col min="6927" max="6927" width="3.125" style="73" customWidth="1"/>
    <col min="6928" max="6928" width="12.625" style="73" customWidth="1"/>
    <col min="6929" max="6929" width="13.625" style="73" customWidth="1"/>
    <col min="6930" max="7174" width="9" style="73"/>
    <col min="7175" max="7175" width="18.625" style="73" customWidth="1"/>
    <col min="7176" max="7176" width="5.625" style="73" customWidth="1"/>
    <col min="7177" max="7177" width="3.625" style="73" customWidth="1"/>
    <col min="7178" max="7179" width="9" style="73"/>
    <col min="7180" max="7180" width="3.375" style="73" customWidth="1"/>
    <col min="7181" max="7181" width="18.375" style="73" customWidth="1"/>
    <col min="7182" max="7182" width="12.625" style="73" customWidth="1"/>
    <col min="7183" max="7183" width="3.125" style="73" customWidth="1"/>
    <col min="7184" max="7184" width="12.625" style="73" customWidth="1"/>
    <col min="7185" max="7185" width="13.625" style="73" customWidth="1"/>
    <col min="7186" max="7430" width="9" style="73"/>
    <col min="7431" max="7431" width="18.625" style="73" customWidth="1"/>
    <col min="7432" max="7432" width="5.625" style="73" customWidth="1"/>
    <col min="7433" max="7433" width="3.625" style="73" customWidth="1"/>
    <col min="7434" max="7435" width="9" style="73"/>
    <col min="7436" max="7436" width="3.375" style="73" customWidth="1"/>
    <col min="7437" max="7437" width="18.375" style="73" customWidth="1"/>
    <col min="7438" max="7438" width="12.625" style="73" customWidth="1"/>
    <col min="7439" max="7439" width="3.125" style="73" customWidth="1"/>
    <col min="7440" max="7440" width="12.625" style="73" customWidth="1"/>
    <col min="7441" max="7441" width="13.625" style="73" customWidth="1"/>
    <col min="7442" max="7686" width="9" style="73"/>
    <col min="7687" max="7687" width="18.625" style="73" customWidth="1"/>
    <col min="7688" max="7688" width="5.625" style="73" customWidth="1"/>
    <col min="7689" max="7689" width="3.625" style="73" customWidth="1"/>
    <col min="7690" max="7691" width="9" style="73"/>
    <col min="7692" max="7692" width="3.375" style="73" customWidth="1"/>
    <col min="7693" max="7693" width="18.375" style="73" customWidth="1"/>
    <col min="7694" max="7694" width="12.625" style="73" customWidth="1"/>
    <col min="7695" max="7695" width="3.125" style="73" customWidth="1"/>
    <col min="7696" max="7696" width="12.625" style="73" customWidth="1"/>
    <col min="7697" max="7697" width="13.625" style="73" customWidth="1"/>
    <col min="7698" max="7942" width="9" style="73"/>
    <col min="7943" max="7943" width="18.625" style="73" customWidth="1"/>
    <col min="7944" max="7944" width="5.625" style="73" customWidth="1"/>
    <col min="7945" max="7945" width="3.625" style="73" customWidth="1"/>
    <col min="7946" max="7947" width="9" style="73"/>
    <col min="7948" max="7948" width="3.375" style="73" customWidth="1"/>
    <col min="7949" max="7949" width="18.375" style="73" customWidth="1"/>
    <col min="7950" max="7950" width="12.625" style="73" customWidth="1"/>
    <col min="7951" max="7951" width="3.125" style="73" customWidth="1"/>
    <col min="7952" max="7952" width="12.625" style="73" customWidth="1"/>
    <col min="7953" max="7953" width="13.625" style="73" customWidth="1"/>
    <col min="7954" max="8198" width="9" style="73"/>
    <col min="8199" max="8199" width="18.625" style="73" customWidth="1"/>
    <col min="8200" max="8200" width="5.625" style="73" customWidth="1"/>
    <col min="8201" max="8201" width="3.625" style="73" customWidth="1"/>
    <col min="8202" max="8203" width="9" style="73"/>
    <col min="8204" max="8204" width="3.375" style="73" customWidth="1"/>
    <col min="8205" max="8205" width="18.375" style="73" customWidth="1"/>
    <col min="8206" max="8206" width="12.625" style="73" customWidth="1"/>
    <col min="8207" max="8207" width="3.125" style="73" customWidth="1"/>
    <col min="8208" max="8208" width="12.625" style="73" customWidth="1"/>
    <col min="8209" max="8209" width="13.625" style="73" customWidth="1"/>
    <col min="8210" max="8454" width="9" style="73"/>
    <col min="8455" max="8455" width="18.625" style="73" customWidth="1"/>
    <col min="8456" max="8456" width="5.625" style="73" customWidth="1"/>
    <col min="8457" max="8457" width="3.625" style="73" customWidth="1"/>
    <col min="8458" max="8459" width="9" style="73"/>
    <col min="8460" max="8460" width="3.375" style="73" customWidth="1"/>
    <col min="8461" max="8461" width="18.375" style="73" customWidth="1"/>
    <col min="8462" max="8462" width="12.625" style="73" customWidth="1"/>
    <col min="8463" max="8463" width="3.125" style="73" customWidth="1"/>
    <col min="8464" max="8464" width="12.625" style="73" customWidth="1"/>
    <col min="8465" max="8465" width="13.625" style="73" customWidth="1"/>
    <col min="8466" max="8710" width="9" style="73"/>
    <col min="8711" max="8711" width="18.625" style="73" customWidth="1"/>
    <col min="8712" max="8712" width="5.625" style="73" customWidth="1"/>
    <col min="8713" max="8713" width="3.625" style="73" customWidth="1"/>
    <col min="8714" max="8715" width="9" style="73"/>
    <col min="8716" max="8716" width="3.375" style="73" customWidth="1"/>
    <col min="8717" max="8717" width="18.375" style="73" customWidth="1"/>
    <col min="8718" max="8718" width="12.625" style="73" customWidth="1"/>
    <col min="8719" max="8719" width="3.125" style="73" customWidth="1"/>
    <col min="8720" max="8720" width="12.625" style="73" customWidth="1"/>
    <col min="8721" max="8721" width="13.625" style="73" customWidth="1"/>
    <col min="8722" max="8966" width="9" style="73"/>
    <col min="8967" max="8967" width="18.625" style="73" customWidth="1"/>
    <col min="8968" max="8968" width="5.625" style="73" customWidth="1"/>
    <col min="8969" max="8969" width="3.625" style="73" customWidth="1"/>
    <col min="8970" max="8971" width="9" style="73"/>
    <col min="8972" max="8972" width="3.375" style="73" customWidth="1"/>
    <col min="8973" max="8973" width="18.375" style="73" customWidth="1"/>
    <col min="8974" max="8974" width="12.625" style="73" customWidth="1"/>
    <col min="8975" max="8975" width="3.125" style="73" customWidth="1"/>
    <col min="8976" max="8976" width="12.625" style="73" customWidth="1"/>
    <col min="8977" max="8977" width="13.625" style="73" customWidth="1"/>
    <col min="8978" max="9222" width="9" style="73"/>
    <col min="9223" max="9223" width="18.625" style="73" customWidth="1"/>
    <col min="9224" max="9224" width="5.625" style="73" customWidth="1"/>
    <col min="9225" max="9225" width="3.625" style="73" customWidth="1"/>
    <col min="9226" max="9227" width="9" style="73"/>
    <col min="9228" max="9228" width="3.375" style="73" customWidth="1"/>
    <col min="9229" max="9229" width="18.375" style="73" customWidth="1"/>
    <col min="9230" max="9230" width="12.625" style="73" customWidth="1"/>
    <col min="9231" max="9231" width="3.125" style="73" customWidth="1"/>
    <col min="9232" max="9232" width="12.625" style="73" customWidth="1"/>
    <col min="9233" max="9233" width="13.625" style="73" customWidth="1"/>
    <col min="9234" max="9478" width="9" style="73"/>
    <col min="9479" max="9479" width="18.625" style="73" customWidth="1"/>
    <col min="9480" max="9480" width="5.625" style="73" customWidth="1"/>
    <col min="9481" max="9481" width="3.625" style="73" customWidth="1"/>
    <col min="9482" max="9483" width="9" style="73"/>
    <col min="9484" max="9484" width="3.375" style="73" customWidth="1"/>
    <col min="9485" max="9485" width="18.375" style="73" customWidth="1"/>
    <col min="9486" max="9486" width="12.625" style="73" customWidth="1"/>
    <col min="9487" max="9487" width="3.125" style="73" customWidth="1"/>
    <col min="9488" max="9488" width="12.625" style="73" customWidth="1"/>
    <col min="9489" max="9489" width="13.625" style="73" customWidth="1"/>
    <col min="9490" max="9734" width="9" style="73"/>
    <col min="9735" max="9735" width="18.625" style="73" customWidth="1"/>
    <col min="9736" max="9736" width="5.625" style="73" customWidth="1"/>
    <col min="9737" max="9737" width="3.625" style="73" customWidth="1"/>
    <col min="9738" max="9739" width="9" style="73"/>
    <col min="9740" max="9740" width="3.375" style="73" customWidth="1"/>
    <col min="9741" max="9741" width="18.375" style="73" customWidth="1"/>
    <col min="9742" max="9742" width="12.625" style="73" customWidth="1"/>
    <col min="9743" max="9743" width="3.125" style="73" customWidth="1"/>
    <col min="9744" max="9744" width="12.625" style="73" customWidth="1"/>
    <col min="9745" max="9745" width="13.625" style="73" customWidth="1"/>
    <col min="9746" max="9990" width="9" style="73"/>
    <col min="9991" max="9991" width="18.625" style="73" customWidth="1"/>
    <col min="9992" max="9992" width="5.625" style="73" customWidth="1"/>
    <col min="9993" max="9993" width="3.625" style="73" customWidth="1"/>
    <col min="9994" max="9995" width="9" style="73"/>
    <col min="9996" max="9996" width="3.375" style="73" customWidth="1"/>
    <col min="9997" max="9997" width="18.375" style="73" customWidth="1"/>
    <col min="9998" max="9998" width="12.625" style="73" customWidth="1"/>
    <col min="9999" max="9999" width="3.125" style="73" customWidth="1"/>
    <col min="10000" max="10000" width="12.625" style="73" customWidth="1"/>
    <col min="10001" max="10001" width="13.625" style="73" customWidth="1"/>
    <col min="10002" max="10246" width="9" style="73"/>
    <col min="10247" max="10247" width="18.625" style="73" customWidth="1"/>
    <col min="10248" max="10248" width="5.625" style="73" customWidth="1"/>
    <col min="10249" max="10249" width="3.625" style="73" customWidth="1"/>
    <col min="10250" max="10251" width="9" style="73"/>
    <col min="10252" max="10252" width="3.375" style="73" customWidth="1"/>
    <col min="10253" max="10253" width="18.375" style="73" customWidth="1"/>
    <col min="10254" max="10254" width="12.625" style="73" customWidth="1"/>
    <col min="10255" max="10255" width="3.125" style="73" customWidth="1"/>
    <col min="10256" max="10256" width="12.625" style="73" customWidth="1"/>
    <col min="10257" max="10257" width="13.625" style="73" customWidth="1"/>
    <col min="10258" max="10502" width="9" style="73"/>
    <col min="10503" max="10503" width="18.625" style="73" customWidth="1"/>
    <col min="10504" max="10504" width="5.625" style="73" customWidth="1"/>
    <col min="10505" max="10505" width="3.625" style="73" customWidth="1"/>
    <col min="10506" max="10507" width="9" style="73"/>
    <col min="10508" max="10508" width="3.375" style="73" customWidth="1"/>
    <col min="10509" max="10509" width="18.375" style="73" customWidth="1"/>
    <col min="10510" max="10510" width="12.625" style="73" customWidth="1"/>
    <col min="10511" max="10511" width="3.125" style="73" customWidth="1"/>
    <col min="10512" max="10512" width="12.625" style="73" customWidth="1"/>
    <col min="10513" max="10513" width="13.625" style="73" customWidth="1"/>
    <col min="10514" max="10758" width="9" style="73"/>
    <col min="10759" max="10759" width="18.625" style="73" customWidth="1"/>
    <col min="10760" max="10760" width="5.625" style="73" customWidth="1"/>
    <col min="10761" max="10761" width="3.625" style="73" customWidth="1"/>
    <col min="10762" max="10763" width="9" style="73"/>
    <col min="10764" max="10764" width="3.375" style="73" customWidth="1"/>
    <col min="10765" max="10765" width="18.375" style="73" customWidth="1"/>
    <col min="10766" max="10766" width="12.625" style="73" customWidth="1"/>
    <col min="10767" max="10767" width="3.125" style="73" customWidth="1"/>
    <col min="10768" max="10768" width="12.625" style="73" customWidth="1"/>
    <col min="10769" max="10769" width="13.625" style="73" customWidth="1"/>
    <col min="10770" max="11014" width="9" style="73"/>
    <col min="11015" max="11015" width="18.625" style="73" customWidth="1"/>
    <col min="11016" max="11016" width="5.625" style="73" customWidth="1"/>
    <col min="11017" max="11017" width="3.625" style="73" customWidth="1"/>
    <col min="11018" max="11019" width="9" style="73"/>
    <col min="11020" max="11020" width="3.375" style="73" customWidth="1"/>
    <col min="11021" max="11021" width="18.375" style="73" customWidth="1"/>
    <col min="11022" max="11022" width="12.625" style="73" customWidth="1"/>
    <col min="11023" max="11023" width="3.125" style="73" customWidth="1"/>
    <col min="11024" max="11024" width="12.625" style="73" customWidth="1"/>
    <col min="11025" max="11025" width="13.625" style="73" customWidth="1"/>
    <col min="11026" max="11270" width="9" style="73"/>
    <col min="11271" max="11271" width="18.625" style="73" customWidth="1"/>
    <col min="11272" max="11272" width="5.625" style="73" customWidth="1"/>
    <col min="11273" max="11273" width="3.625" style="73" customWidth="1"/>
    <col min="11274" max="11275" width="9" style="73"/>
    <col min="11276" max="11276" width="3.375" style="73" customWidth="1"/>
    <col min="11277" max="11277" width="18.375" style="73" customWidth="1"/>
    <col min="11278" max="11278" width="12.625" style="73" customWidth="1"/>
    <col min="11279" max="11279" width="3.125" style="73" customWidth="1"/>
    <col min="11280" max="11280" width="12.625" style="73" customWidth="1"/>
    <col min="11281" max="11281" width="13.625" style="73" customWidth="1"/>
    <col min="11282" max="11526" width="9" style="73"/>
    <col min="11527" max="11527" width="18.625" style="73" customWidth="1"/>
    <col min="11528" max="11528" width="5.625" style="73" customWidth="1"/>
    <col min="11529" max="11529" width="3.625" style="73" customWidth="1"/>
    <col min="11530" max="11531" width="9" style="73"/>
    <col min="11532" max="11532" width="3.375" style="73" customWidth="1"/>
    <col min="11533" max="11533" width="18.375" style="73" customWidth="1"/>
    <col min="11534" max="11534" width="12.625" style="73" customWidth="1"/>
    <col min="11535" max="11535" width="3.125" style="73" customWidth="1"/>
    <col min="11536" max="11536" width="12.625" style="73" customWidth="1"/>
    <col min="11537" max="11537" width="13.625" style="73" customWidth="1"/>
    <col min="11538" max="11782" width="9" style="73"/>
    <col min="11783" max="11783" width="18.625" style="73" customWidth="1"/>
    <col min="11784" max="11784" width="5.625" style="73" customWidth="1"/>
    <col min="11785" max="11785" width="3.625" style="73" customWidth="1"/>
    <col min="11786" max="11787" width="9" style="73"/>
    <col min="11788" max="11788" width="3.375" style="73" customWidth="1"/>
    <col min="11789" max="11789" width="18.375" style="73" customWidth="1"/>
    <col min="11790" max="11790" width="12.625" style="73" customWidth="1"/>
    <col min="11791" max="11791" width="3.125" style="73" customWidth="1"/>
    <col min="11792" max="11792" width="12.625" style="73" customWidth="1"/>
    <col min="11793" max="11793" width="13.625" style="73" customWidth="1"/>
    <col min="11794" max="12038" width="9" style="73"/>
    <col min="12039" max="12039" width="18.625" style="73" customWidth="1"/>
    <col min="12040" max="12040" width="5.625" style="73" customWidth="1"/>
    <col min="12041" max="12041" width="3.625" style="73" customWidth="1"/>
    <col min="12042" max="12043" width="9" style="73"/>
    <col min="12044" max="12044" width="3.375" style="73" customWidth="1"/>
    <col min="12045" max="12045" width="18.375" style="73" customWidth="1"/>
    <col min="12046" max="12046" width="12.625" style="73" customWidth="1"/>
    <col min="12047" max="12047" width="3.125" style="73" customWidth="1"/>
    <col min="12048" max="12048" width="12.625" style="73" customWidth="1"/>
    <col min="12049" max="12049" width="13.625" style="73" customWidth="1"/>
    <col min="12050" max="12294" width="9" style="73"/>
    <col min="12295" max="12295" width="18.625" style="73" customWidth="1"/>
    <col min="12296" max="12296" width="5.625" style="73" customWidth="1"/>
    <col min="12297" max="12297" width="3.625" style="73" customWidth="1"/>
    <col min="12298" max="12299" width="9" style="73"/>
    <col min="12300" max="12300" width="3.375" style="73" customWidth="1"/>
    <col min="12301" max="12301" width="18.375" style="73" customWidth="1"/>
    <col min="12302" max="12302" width="12.625" style="73" customWidth="1"/>
    <col min="12303" max="12303" width="3.125" style="73" customWidth="1"/>
    <col min="12304" max="12304" width="12.625" style="73" customWidth="1"/>
    <col min="12305" max="12305" width="13.625" style="73" customWidth="1"/>
    <col min="12306" max="12550" width="9" style="73"/>
    <col min="12551" max="12551" width="18.625" style="73" customWidth="1"/>
    <col min="12552" max="12552" width="5.625" style="73" customWidth="1"/>
    <col min="12553" max="12553" width="3.625" style="73" customWidth="1"/>
    <col min="12554" max="12555" width="9" style="73"/>
    <col min="12556" max="12556" width="3.375" style="73" customWidth="1"/>
    <col min="12557" max="12557" width="18.375" style="73" customWidth="1"/>
    <col min="12558" max="12558" width="12.625" style="73" customWidth="1"/>
    <col min="12559" max="12559" width="3.125" style="73" customWidth="1"/>
    <col min="12560" max="12560" width="12.625" style="73" customWidth="1"/>
    <col min="12561" max="12561" width="13.625" style="73" customWidth="1"/>
    <col min="12562" max="12806" width="9" style="73"/>
    <col min="12807" max="12807" width="18.625" style="73" customWidth="1"/>
    <col min="12808" max="12808" width="5.625" style="73" customWidth="1"/>
    <col min="12809" max="12809" width="3.625" style="73" customWidth="1"/>
    <col min="12810" max="12811" width="9" style="73"/>
    <col min="12812" max="12812" width="3.375" style="73" customWidth="1"/>
    <col min="12813" max="12813" width="18.375" style="73" customWidth="1"/>
    <col min="12814" max="12814" width="12.625" style="73" customWidth="1"/>
    <col min="12815" max="12815" width="3.125" style="73" customWidth="1"/>
    <col min="12816" max="12816" width="12.625" style="73" customWidth="1"/>
    <col min="12817" max="12817" width="13.625" style="73" customWidth="1"/>
    <col min="12818" max="13062" width="9" style="73"/>
    <col min="13063" max="13063" width="18.625" style="73" customWidth="1"/>
    <col min="13064" max="13064" width="5.625" style="73" customWidth="1"/>
    <col min="13065" max="13065" width="3.625" style="73" customWidth="1"/>
    <col min="13066" max="13067" width="9" style="73"/>
    <col min="13068" max="13068" width="3.375" style="73" customWidth="1"/>
    <col min="13069" max="13069" width="18.375" style="73" customWidth="1"/>
    <col min="13070" max="13070" width="12.625" style="73" customWidth="1"/>
    <col min="13071" max="13071" width="3.125" style="73" customWidth="1"/>
    <col min="13072" max="13072" width="12.625" style="73" customWidth="1"/>
    <col min="13073" max="13073" width="13.625" style="73" customWidth="1"/>
    <col min="13074" max="13318" width="9" style="73"/>
    <col min="13319" max="13319" width="18.625" style="73" customWidth="1"/>
    <col min="13320" max="13320" width="5.625" style="73" customWidth="1"/>
    <col min="13321" max="13321" width="3.625" style="73" customWidth="1"/>
    <col min="13322" max="13323" width="9" style="73"/>
    <col min="13324" max="13324" width="3.375" style="73" customWidth="1"/>
    <col min="13325" max="13325" width="18.375" style="73" customWidth="1"/>
    <col min="13326" max="13326" width="12.625" style="73" customWidth="1"/>
    <col min="13327" max="13327" width="3.125" style="73" customWidth="1"/>
    <col min="13328" max="13328" width="12.625" style="73" customWidth="1"/>
    <col min="13329" max="13329" width="13.625" style="73" customWidth="1"/>
    <col min="13330" max="13574" width="9" style="73"/>
    <col min="13575" max="13575" width="18.625" style="73" customWidth="1"/>
    <col min="13576" max="13576" width="5.625" style="73" customWidth="1"/>
    <col min="13577" max="13577" width="3.625" style="73" customWidth="1"/>
    <col min="13578" max="13579" width="9" style="73"/>
    <col min="13580" max="13580" width="3.375" style="73" customWidth="1"/>
    <col min="13581" max="13581" width="18.375" style="73" customWidth="1"/>
    <col min="13582" max="13582" width="12.625" style="73" customWidth="1"/>
    <col min="13583" max="13583" width="3.125" style="73" customWidth="1"/>
    <col min="13584" max="13584" width="12.625" style="73" customWidth="1"/>
    <col min="13585" max="13585" width="13.625" style="73" customWidth="1"/>
    <col min="13586" max="13830" width="9" style="73"/>
    <col min="13831" max="13831" width="18.625" style="73" customWidth="1"/>
    <col min="13832" max="13832" width="5.625" style="73" customWidth="1"/>
    <col min="13833" max="13833" width="3.625" style="73" customWidth="1"/>
    <col min="13834" max="13835" width="9" style="73"/>
    <col min="13836" max="13836" width="3.375" style="73" customWidth="1"/>
    <col min="13837" max="13837" width="18.375" style="73" customWidth="1"/>
    <col min="13838" max="13838" width="12.625" style="73" customWidth="1"/>
    <col min="13839" max="13839" width="3.125" style="73" customWidth="1"/>
    <col min="13840" max="13840" width="12.625" style="73" customWidth="1"/>
    <col min="13841" max="13841" width="13.625" style="73" customWidth="1"/>
    <col min="13842" max="14086" width="9" style="73"/>
    <col min="14087" max="14087" width="18.625" style="73" customWidth="1"/>
    <col min="14088" max="14088" width="5.625" style="73" customWidth="1"/>
    <col min="14089" max="14089" width="3.625" style="73" customWidth="1"/>
    <col min="14090" max="14091" width="9" style="73"/>
    <col min="14092" max="14092" width="3.375" style="73" customWidth="1"/>
    <col min="14093" max="14093" width="18.375" style="73" customWidth="1"/>
    <col min="14094" max="14094" width="12.625" style="73" customWidth="1"/>
    <col min="14095" max="14095" width="3.125" style="73" customWidth="1"/>
    <col min="14096" max="14096" width="12.625" style="73" customWidth="1"/>
    <col min="14097" max="14097" width="13.625" style="73" customWidth="1"/>
    <col min="14098" max="14342" width="9" style="73"/>
    <col min="14343" max="14343" width="18.625" style="73" customWidth="1"/>
    <col min="14344" max="14344" width="5.625" style="73" customWidth="1"/>
    <col min="14345" max="14345" width="3.625" style="73" customWidth="1"/>
    <col min="14346" max="14347" width="9" style="73"/>
    <col min="14348" max="14348" width="3.375" style="73" customWidth="1"/>
    <col min="14349" max="14349" width="18.375" style="73" customWidth="1"/>
    <col min="14350" max="14350" width="12.625" style="73" customWidth="1"/>
    <col min="14351" max="14351" width="3.125" style="73" customWidth="1"/>
    <col min="14352" max="14352" width="12.625" style="73" customWidth="1"/>
    <col min="14353" max="14353" width="13.625" style="73" customWidth="1"/>
    <col min="14354" max="14598" width="9" style="73"/>
    <col min="14599" max="14599" width="18.625" style="73" customWidth="1"/>
    <col min="14600" max="14600" width="5.625" style="73" customWidth="1"/>
    <col min="14601" max="14601" width="3.625" style="73" customWidth="1"/>
    <col min="14602" max="14603" width="9" style="73"/>
    <col min="14604" max="14604" width="3.375" style="73" customWidth="1"/>
    <col min="14605" max="14605" width="18.375" style="73" customWidth="1"/>
    <col min="14606" max="14606" width="12.625" style="73" customWidth="1"/>
    <col min="14607" max="14607" width="3.125" style="73" customWidth="1"/>
    <col min="14608" max="14608" width="12.625" style="73" customWidth="1"/>
    <col min="14609" max="14609" width="13.625" style="73" customWidth="1"/>
    <col min="14610" max="14854" width="9" style="73"/>
    <col min="14855" max="14855" width="18.625" style="73" customWidth="1"/>
    <col min="14856" max="14856" width="5.625" style="73" customWidth="1"/>
    <col min="14857" max="14857" width="3.625" style="73" customWidth="1"/>
    <col min="14858" max="14859" width="9" style="73"/>
    <col min="14860" max="14860" width="3.375" style="73" customWidth="1"/>
    <col min="14861" max="14861" width="18.375" style="73" customWidth="1"/>
    <col min="14862" max="14862" width="12.625" style="73" customWidth="1"/>
    <col min="14863" max="14863" width="3.125" style="73" customWidth="1"/>
    <col min="14864" max="14864" width="12.625" style="73" customWidth="1"/>
    <col min="14865" max="14865" width="13.625" style="73" customWidth="1"/>
    <col min="14866" max="15110" width="9" style="73"/>
    <col min="15111" max="15111" width="18.625" style="73" customWidth="1"/>
    <col min="15112" max="15112" width="5.625" style="73" customWidth="1"/>
    <col min="15113" max="15113" width="3.625" style="73" customWidth="1"/>
    <col min="15114" max="15115" width="9" style="73"/>
    <col min="15116" max="15116" width="3.375" style="73" customWidth="1"/>
    <col min="15117" max="15117" width="18.375" style="73" customWidth="1"/>
    <col min="15118" max="15118" width="12.625" style="73" customWidth="1"/>
    <col min="15119" max="15119" width="3.125" style="73" customWidth="1"/>
    <col min="15120" max="15120" width="12.625" style="73" customWidth="1"/>
    <col min="15121" max="15121" width="13.625" style="73" customWidth="1"/>
    <col min="15122" max="15366" width="9" style="73"/>
    <col min="15367" max="15367" width="18.625" style="73" customWidth="1"/>
    <col min="15368" max="15368" width="5.625" style="73" customWidth="1"/>
    <col min="15369" max="15369" width="3.625" style="73" customWidth="1"/>
    <col min="15370" max="15371" width="9" style="73"/>
    <col min="15372" max="15372" width="3.375" style="73" customWidth="1"/>
    <col min="15373" max="15373" width="18.375" style="73" customWidth="1"/>
    <col min="15374" max="15374" width="12.625" style="73" customWidth="1"/>
    <col min="15375" max="15375" width="3.125" style="73" customWidth="1"/>
    <col min="15376" max="15376" width="12.625" style="73" customWidth="1"/>
    <col min="15377" max="15377" width="13.625" style="73" customWidth="1"/>
    <col min="15378" max="15622" width="9" style="73"/>
    <col min="15623" max="15623" width="18.625" style="73" customWidth="1"/>
    <col min="15624" max="15624" width="5.625" style="73" customWidth="1"/>
    <col min="15625" max="15625" width="3.625" style="73" customWidth="1"/>
    <col min="15626" max="15627" width="9" style="73"/>
    <col min="15628" max="15628" width="3.375" style="73" customWidth="1"/>
    <col min="15629" max="15629" width="18.375" style="73" customWidth="1"/>
    <col min="15630" max="15630" width="12.625" style="73" customWidth="1"/>
    <col min="15631" max="15631" width="3.125" style="73" customWidth="1"/>
    <col min="15632" max="15632" width="12.625" style="73" customWidth="1"/>
    <col min="15633" max="15633" width="13.625" style="73" customWidth="1"/>
    <col min="15634" max="15878" width="9" style="73"/>
    <col min="15879" max="15879" width="18.625" style="73" customWidth="1"/>
    <col min="15880" max="15880" width="5.625" style="73" customWidth="1"/>
    <col min="15881" max="15881" width="3.625" style="73" customWidth="1"/>
    <col min="15882" max="15883" width="9" style="73"/>
    <col min="15884" max="15884" width="3.375" style="73" customWidth="1"/>
    <col min="15885" max="15885" width="18.375" style="73" customWidth="1"/>
    <col min="15886" max="15886" width="12.625" style="73" customWidth="1"/>
    <col min="15887" max="15887" width="3.125" style="73" customWidth="1"/>
    <col min="15888" max="15888" width="12.625" style="73" customWidth="1"/>
    <col min="15889" max="15889" width="13.625" style="73" customWidth="1"/>
    <col min="15890" max="16134" width="9" style="73"/>
    <col min="16135" max="16135" width="18.625" style="73" customWidth="1"/>
    <col min="16136" max="16136" width="5.625" style="73" customWidth="1"/>
    <col min="16137" max="16137" width="3.625" style="73" customWidth="1"/>
    <col min="16138" max="16139" width="9" style="73"/>
    <col min="16140" max="16140" width="3.375" style="73" customWidth="1"/>
    <col min="16141" max="16141" width="18.375" style="73" customWidth="1"/>
    <col min="16142" max="16142" width="12.625" style="73" customWidth="1"/>
    <col min="16143" max="16143" width="3.125" style="73" customWidth="1"/>
    <col min="16144" max="16144" width="12.625" style="73" customWidth="1"/>
    <col min="16145" max="16145" width="13.625" style="73" customWidth="1"/>
    <col min="16146" max="16384" width="9" style="73"/>
  </cols>
  <sheetData>
    <row r="1" spans="1:17" s="69" customFormat="1" ht="36" customHeight="1">
      <c r="A1" s="69" t="s">
        <v>97</v>
      </c>
      <c r="D1" s="70" t="s">
        <v>98</v>
      </c>
      <c r="E1" s="70"/>
      <c r="F1" s="220" t="s">
        <v>99</v>
      </c>
      <c r="G1" s="221"/>
      <c r="H1" s="221"/>
      <c r="I1" s="221"/>
      <c r="J1" s="221"/>
      <c r="K1" s="221"/>
      <c r="L1" s="221"/>
      <c r="M1" s="71"/>
    </row>
    <row r="2" spans="1:17" ht="23.4">
      <c r="C2" s="74"/>
    </row>
    <row r="3" spans="1:17" ht="23.4">
      <c r="A3" s="74" t="s">
        <v>100</v>
      </c>
      <c r="B3" s="74"/>
      <c r="D3" s="70" t="s">
        <v>98</v>
      </c>
      <c r="E3" s="70"/>
    </row>
    <row r="4" spans="1:17" ht="23.4">
      <c r="C4" s="74"/>
    </row>
    <row r="6" spans="1:17" s="76" customFormat="1" ht="16.2">
      <c r="A6" s="76" t="s">
        <v>101</v>
      </c>
      <c r="F6" s="76" t="s">
        <v>102</v>
      </c>
      <c r="Q6" s="93" t="s">
        <v>103</v>
      </c>
    </row>
    <row r="7" spans="1:17" s="76" customFormat="1" ht="16.2"/>
    <row r="9" spans="1:17" ht="18" customHeight="1">
      <c r="A9" s="78" t="s">
        <v>104</v>
      </c>
      <c r="B9" s="78"/>
      <c r="C9" s="79"/>
      <c r="D9" s="73" t="s">
        <v>105</v>
      </c>
      <c r="F9" s="227"/>
      <c r="G9" s="227"/>
      <c r="H9" s="80"/>
      <c r="I9" s="81" t="str">
        <f>IFERROR(LOOKUP(10^17,LEFT(I10,COLUMN($1:$1))*1)/K9,"")</f>
        <v/>
      </c>
      <c r="J9" s="80" t="s">
        <v>192</v>
      </c>
      <c r="K9" s="80"/>
      <c r="L9" s="80"/>
      <c r="M9" s="82"/>
      <c r="N9" s="83" t="s">
        <v>107</v>
      </c>
      <c r="O9" s="84"/>
      <c r="P9" s="83" t="s">
        <v>108</v>
      </c>
    </row>
    <row r="10" spans="1:17" ht="18" customHeight="1">
      <c r="A10" s="79"/>
      <c r="B10" s="79"/>
      <c r="C10" s="79"/>
      <c r="F10" s="94"/>
      <c r="G10" s="94"/>
      <c r="H10" s="80"/>
      <c r="I10" s="223"/>
      <c r="J10" s="223"/>
      <c r="K10" s="223"/>
      <c r="L10" s="223"/>
      <c r="M10" s="86"/>
      <c r="N10" s="86"/>
      <c r="O10" s="84"/>
      <c r="P10" s="87" t="s">
        <v>193</v>
      </c>
    </row>
    <row r="11" spans="1:17" ht="18" customHeight="1">
      <c r="A11" s="79" t="s">
        <v>194</v>
      </c>
      <c r="B11" s="223"/>
      <c r="C11" s="223"/>
      <c r="D11" s="223"/>
      <c r="F11" s="94"/>
      <c r="G11" s="94"/>
      <c r="H11" s="80"/>
      <c r="I11" s="80"/>
      <c r="J11" s="80"/>
      <c r="K11" s="80"/>
      <c r="L11" s="81" t="s">
        <v>195</v>
      </c>
      <c r="M11" s="86"/>
      <c r="N11" s="86"/>
      <c r="O11" s="86"/>
    </row>
    <row r="12" spans="1:17" ht="18" customHeight="1">
      <c r="M12" s="86"/>
      <c r="N12" s="86"/>
      <c r="O12" s="86"/>
    </row>
    <row r="13" spans="1:17" ht="18" customHeight="1">
      <c r="A13" s="78" t="s">
        <v>190</v>
      </c>
      <c r="B13" s="78"/>
      <c r="C13" s="79"/>
      <c r="D13" s="73" t="s">
        <v>191</v>
      </c>
      <c r="F13" s="227"/>
      <c r="G13" s="227"/>
      <c r="I13" s="73" t="str">
        <f>IFERROR(LOOKUP(10^17,LEFT(I14,COLUMN($1:$1))*1)/K13,"")</f>
        <v/>
      </c>
      <c r="J13" s="73" t="s">
        <v>192</v>
      </c>
      <c r="M13" s="84"/>
      <c r="N13" s="86" t="s">
        <v>107</v>
      </c>
      <c r="O13" s="84"/>
      <c r="P13" s="83" t="s">
        <v>108</v>
      </c>
    </row>
    <row r="14" spans="1:17" ht="18" customHeight="1">
      <c r="A14" s="79"/>
      <c r="B14" s="79"/>
      <c r="C14" s="79"/>
      <c r="F14" s="94"/>
      <c r="G14" s="94"/>
      <c r="I14" s="219"/>
      <c r="J14" s="219"/>
      <c r="K14" s="219"/>
      <c r="L14" s="219"/>
      <c r="M14" s="86"/>
      <c r="N14" s="86"/>
      <c r="O14" s="84"/>
      <c r="P14" s="87" t="s">
        <v>193</v>
      </c>
    </row>
    <row r="15" spans="1:17" ht="18" customHeight="1">
      <c r="A15" s="79" t="s">
        <v>194</v>
      </c>
      <c r="B15" s="223"/>
      <c r="C15" s="223"/>
      <c r="D15" s="223"/>
      <c r="F15" s="94"/>
      <c r="G15" s="94"/>
      <c r="L15" s="81" t="s">
        <v>195</v>
      </c>
      <c r="M15" s="86"/>
      <c r="N15" s="86"/>
      <c r="O15" s="86"/>
    </row>
    <row r="16" spans="1:17" ht="18" customHeight="1">
      <c r="M16" s="86"/>
      <c r="N16" s="86"/>
      <c r="O16" s="86"/>
    </row>
    <row r="17" spans="1:16" ht="18" customHeight="1">
      <c r="A17" s="78" t="s">
        <v>190</v>
      </c>
      <c r="B17" s="88"/>
      <c r="C17" s="79"/>
      <c r="D17" s="73" t="s">
        <v>191</v>
      </c>
      <c r="F17" s="227"/>
      <c r="G17" s="227"/>
      <c r="I17" s="73" t="str">
        <f>IFERROR(LOOKUP(10^17,LEFT(I18,COLUMN($1:$1))*1)/K17,"")</f>
        <v/>
      </c>
      <c r="J17" s="73" t="s">
        <v>192</v>
      </c>
      <c r="M17" s="84"/>
      <c r="N17" s="86" t="s">
        <v>107</v>
      </c>
      <c r="O17" s="84"/>
      <c r="P17" s="83" t="s">
        <v>108</v>
      </c>
    </row>
    <row r="18" spans="1:16" ht="18" customHeight="1">
      <c r="A18" s="79"/>
      <c r="B18" s="79"/>
      <c r="C18" s="79"/>
      <c r="F18" s="94"/>
      <c r="G18" s="94"/>
      <c r="I18" s="219"/>
      <c r="J18" s="219"/>
      <c r="K18" s="219"/>
      <c r="L18" s="219"/>
      <c r="M18" s="86"/>
      <c r="N18" s="86"/>
      <c r="O18" s="84"/>
      <c r="P18" s="87" t="s">
        <v>193</v>
      </c>
    </row>
    <row r="19" spans="1:16" ht="18" customHeight="1">
      <c r="A19" s="79" t="s">
        <v>194</v>
      </c>
      <c r="B19" s="224" t="s">
        <v>99</v>
      </c>
      <c r="C19" s="223"/>
      <c r="D19" s="223"/>
      <c r="F19" s="94"/>
      <c r="G19" s="94"/>
      <c r="L19" s="81" t="s">
        <v>195</v>
      </c>
      <c r="M19" s="86"/>
      <c r="N19" s="86"/>
      <c r="O19" s="86"/>
    </row>
    <row r="20" spans="1:16" ht="18" customHeight="1">
      <c r="M20" s="86"/>
      <c r="N20" s="86"/>
      <c r="O20" s="86"/>
    </row>
    <row r="21" spans="1:16" ht="18" customHeight="1">
      <c r="A21" s="78" t="s">
        <v>190</v>
      </c>
      <c r="B21" s="78"/>
      <c r="C21" s="79"/>
      <c r="D21" s="73" t="s">
        <v>191</v>
      </c>
      <c r="E21" s="89"/>
      <c r="F21" s="227"/>
      <c r="G21" s="227"/>
      <c r="I21" s="73" t="str">
        <f>IFERROR(LOOKUP(10^17,LEFT(I22,COLUMN($1:$1))*1)/K21,"")</f>
        <v/>
      </c>
      <c r="J21" s="73" t="s">
        <v>192</v>
      </c>
      <c r="M21" s="84"/>
      <c r="N21" s="86" t="s">
        <v>107</v>
      </c>
      <c r="O21" s="84"/>
      <c r="P21" s="83" t="s">
        <v>108</v>
      </c>
    </row>
    <row r="22" spans="1:16" ht="18" customHeight="1">
      <c r="A22" s="79"/>
      <c r="B22" s="79"/>
      <c r="C22" s="79"/>
      <c r="F22" s="94"/>
      <c r="G22" s="94"/>
      <c r="I22" s="219"/>
      <c r="J22" s="219"/>
      <c r="K22" s="219"/>
      <c r="L22" s="219"/>
      <c r="M22" s="86"/>
      <c r="N22" s="86"/>
      <c r="O22" s="84"/>
      <c r="P22" s="87" t="s">
        <v>193</v>
      </c>
    </row>
    <row r="23" spans="1:16" ht="18" customHeight="1">
      <c r="A23" s="79" t="s">
        <v>194</v>
      </c>
      <c r="B23" s="223"/>
      <c r="C23" s="223"/>
      <c r="D23" s="223"/>
      <c r="F23" s="94"/>
      <c r="G23" s="94"/>
      <c r="L23" s="81" t="s">
        <v>195</v>
      </c>
      <c r="M23" s="86"/>
      <c r="N23" s="86"/>
      <c r="O23" s="86"/>
    </row>
    <row r="24" spans="1:16" ht="18" customHeight="1">
      <c r="M24" s="86"/>
      <c r="N24" s="86"/>
      <c r="O24" s="86"/>
    </row>
    <row r="25" spans="1:16" ht="18" customHeight="1">
      <c r="A25" s="78" t="s">
        <v>190</v>
      </c>
      <c r="B25" s="78"/>
      <c r="C25" s="79"/>
      <c r="D25" s="73" t="s">
        <v>191</v>
      </c>
      <c r="F25" s="227"/>
      <c r="G25" s="227"/>
      <c r="I25" s="73" t="str">
        <f>IFERROR(LOOKUP(10^17,LEFT(I26,COLUMN($1:$1))*1)/K25,"")</f>
        <v/>
      </c>
      <c r="J25" s="73" t="s">
        <v>192</v>
      </c>
      <c r="M25" s="84"/>
      <c r="N25" s="86" t="s">
        <v>107</v>
      </c>
      <c r="O25" s="84"/>
      <c r="P25" s="83" t="s">
        <v>108</v>
      </c>
    </row>
    <row r="26" spans="1:16" ht="18" customHeight="1">
      <c r="A26" s="79"/>
      <c r="B26" s="79"/>
      <c r="C26" s="79"/>
      <c r="F26" s="94"/>
      <c r="G26" s="94"/>
      <c r="I26" s="219"/>
      <c r="J26" s="219"/>
      <c r="K26" s="219"/>
      <c r="L26" s="219"/>
      <c r="M26" s="86"/>
      <c r="N26" s="86"/>
      <c r="O26" s="84"/>
      <c r="P26" s="87" t="s">
        <v>193</v>
      </c>
    </row>
    <row r="27" spans="1:16" ht="18" customHeight="1">
      <c r="A27" s="79" t="s">
        <v>194</v>
      </c>
      <c r="B27" s="223"/>
      <c r="C27" s="223"/>
      <c r="D27" s="223"/>
      <c r="F27" s="94"/>
      <c r="G27" s="94"/>
      <c r="L27" s="81" t="s">
        <v>195</v>
      </c>
      <c r="M27" s="86"/>
      <c r="N27" s="86"/>
      <c r="O27" s="86"/>
    </row>
    <row r="28" spans="1:16" ht="18" customHeight="1">
      <c r="M28" s="86"/>
      <c r="N28" s="86"/>
      <c r="O28" s="86"/>
    </row>
    <row r="29" spans="1:16" ht="18" customHeight="1">
      <c r="A29" s="78" t="s">
        <v>190</v>
      </c>
      <c r="B29" s="78"/>
      <c r="C29" s="79"/>
      <c r="D29" s="73" t="s">
        <v>191</v>
      </c>
      <c r="F29" s="227"/>
      <c r="G29" s="227"/>
      <c r="I29" s="73" t="str">
        <f>IFERROR(LOOKUP(10^17,LEFT(I30,COLUMN($1:$1))*1)/K26,"")</f>
        <v/>
      </c>
      <c r="J29" s="73" t="s">
        <v>192</v>
      </c>
      <c r="M29" s="84"/>
      <c r="N29" s="86" t="s">
        <v>107</v>
      </c>
      <c r="O29" s="84"/>
      <c r="P29" s="83" t="s">
        <v>108</v>
      </c>
    </row>
    <row r="30" spans="1:16" ht="18" customHeight="1">
      <c r="A30" s="79"/>
      <c r="B30" s="79"/>
      <c r="C30" s="79"/>
      <c r="F30" s="94"/>
      <c r="G30" s="94"/>
      <c r="I30" s="219"/>
      <c r="J30" s="219"/>
      <c r="K30" s="219"/>
      <c r="L30" s="219"/>
      <c r="M30" s="86"/>
      <c r="N30" s="86"/>
      <c r="O30" s="84"/>
      <c r="P30" s="87" t="s">
        <v>193</v>
      </c>
    </row>
    <row r="31" spans="1:16" ht="18" customHeight="1">
      <c r="A31" s="79" t="s">
        <v>194</v>
      </c>
      <c r="B31" s="223"/>
      <c r="C31" s="223"/>
      <c r="D31" s="223"/>
      <c r="F31" s="94"/>
      <c r="G31" s="94"/>
      <c r="L31" s="81" t="s">
        <v>195</v>
      </c>
      <c r="M31" s="86"/>
      <c r="N31" s="86"/>
      <c r="O31" s="86"/>
    </row>
    <row r="32" spans="1:16" ht="18" customHeight="1">
      <c r="M32" s="86"/>
      <c r="N32" s="86"/>
      <c r="O32" s="86"/>
    </row>
    <row r="33" spans="1:16" ht="18" customHeight="1">
      <c r="A33" s="78" t="s">
        <v>190</v>
      </c>
      <c r="B33" s="78"/>
      <c r="C33" s="79"/>
      <c r="D33" s="73" t="s">
        <v>191</v>
      </c>
      <c r="F33" s="227"/>
      <c r="G33" s="227"/>
      <c r="I33" s="73" t="str">
        <f>IFERROR(LOOKUP(10^17,LEFT(I34,COLUMN($1:$1))*1)/K33,"")</f>
        <v/>
      </c>
      <c r="J33" s="73" t="s">
        <v>192</v>
      </c>
      <c r="M33" s="84"/>
      <c r="N33" s="86" t="s">
        <v>107</v>
      </c>
      <c r="O33" s="84"/>
      <c r="P33" s="83" t="s">
        <v>108</v>
      </c>
    </row>
    <row r="34" spans="1:16" ht="18" customHeight="1">
      <c r="A34" s="79"/>
      <c r="B34" s="79"/>
      <c r="C34" s="79"/>
      <c r="I34" s="219"/>
      <c r="J34" s="219"/>
      <c r="K34" s="219"/>
      <c r="L34" s="219"/>
      <c r="M34" s="86"/>
      <c r="N34" s="86"/>
      <c r="O34" s="84"/>
      <c r="P34" s="87" t="s">
        <v>193</v>
      </c>
    </row>
    <row r="35" spans="1:16" ht="18" customHeight="1">
      <c r="A35" s="79" t="s">
        <v>194</v>
      </c>
      <c r="B35" s="223"/>
      <c r="C35" s="223"/>
      <c r="D35" s="223"/>
      <c r="L35" s="81" t="s">
        <v>195</v>
      </c>
      <c r="M35" s="86"/>
      <c r="N35" s="86"/>
      <c r="O35" s="86"/>
    </row>
    <row r="36" spans="1:16" ht="15">
      <c r="M36" s="86"/>
      <c r="N36" s="86"/>
      <c r="O36" s="86"/>
    </row>
    <row r="37" spans="1:16" ht="15">
      <c r="M37" s="86"/>
      <c r="N37" s="86"/>
      <c r="O37" s="86"/>
    </row>
    <row r="38" spans="1:16" ht="15">
      <c r="M38" s="86"/>
      <c r="N38" s="86"/>
      <c r="O38" s="86"/>
    </row>
    <row r="39" spans="1:16" ht="23.4">
      <c r="A39" s="74" t="s">
        <v>196</v>
      </c>
      <c r="B39" s="74"/>
      <c r="D39" s="70" t="s">
        <v>187</v>
      </c>
      <c r="E39" s="70"/>
      <c r="F39" s="225" t="s">
        <v>99</v>
      </c>
      <c r="G39" s="225"/>
      <c r="L39" s="81" t="s">
        <v>113</v>
      </c>
    </row>
    <row r="41" spans="1:16" ht="23.4">
      <c r="A41" s="74" t="s">
        <v>197</v>
      </c>
      <c r="B41" s="74"/>
      <c r="D41" s="70" t="s">
        <v>187</v>
      </c>
      <c r="E41" s="70"/>
      <c r="F41" s="226" t="s">
        <v>99</v>
      </c>
      <c r="G41" s="226"/>
      <c r="L41" s="81" t="s">
        <v>198</v>
      </c>
    </row>
    <row r="43" spans="1:16" ht="23.4">
      <c r="A43" s="74" t="s">
        <v>199</v>
      </c>
      <c r="B43" s="74"/>
      <c r="D43" s="70" t="s">
        <v>187</v>
      </c>
      <c r="E43" s="70"/>
      <c r="F43" s="225" t="s">
        <v>99</v>
      </c>
      <c r="G43" s="225"/>
    </row>
    <row r="45" spans="1:16" ht="23.4">
      <c r="A45" s="74" t="s">
        <v>200</v>
      </c>
      <c r="B45" s="74"/>
      <c r="D45" s="70" t="s">
        <v>187</v>
      </c>
      <c r="E45" s="70"/>
    </row>
    <row r="46" spans="1:16" ht="23.4">
      <c r="A46" s="74" t="s">
        <v>201</v>
      </c>
      <c r="B46" s="74"/>
      <c r="D46" s="70" t="s">
        <v>187</v>
      </c>
      <c r="E46" s="70"/>
    </row>
    <row r="48" spans="1:16" ht="23.4">
      <c r="A48" s="74" t="s">
        <v>202</v>
      </c>
      <c r="B48" s="74"/>
      <c r="G48" s="91" t="s">
        <v>203</v>
      </c>
      <c r="M48" s="91" t="s">
        <v>204</v>
      </c>
    </row>
    <row r="49" spans="7:13" ht="14.4">
      <c r="G49" s="91" t="s">
        <v>205</v>
      </c>
      <c r="M49" s="91" t="s">
        <v>205</v>
      </c>
    </row>
    <row r="50" spans="7:13" ht="14.4">
      <c r="G50" s="91" t="s">
        <v>206</v>
      </c>
      <c r="M50" s="91" t="s">
        <v>206</v>
      </c>
    </row>
  </sheetData>
  <mergeCells count="25">
    <mergeCell ref="F43:G43"/>
    <mergeCell ref="B31:D31"/>
    <mergeCell ref="F33:G33"/>
    <mergeCell ref="I34:L34"/>
    <mergeCell ref="B35:D35"/>
    <mergeCell ref="F39:G39"/>
    <mergeCell ref="F41:G41"/>
    <mergeCell ref="I30:L30"/>
    <mergeCell ref="B15:D15"/>
    <mergeCell ref="F17:G17"/>
    <mergeCell ref="I18:L18"/>
    <mergeCell ref="B19:D19"/>
    <mergeCell ref="F21:G21"/>
    <mergeCell ref="I22:L22"/>
    <mergeCell ref="B23:D23"/>
    <mergeCell ref="F25:G25"/>
    <mergeCell ref="I26:L26"/>
    <mergeCell ref="B27:D27"/>
    <mergeCell ref="F29:G29"/>
    <mergeCell ref="I14:L14"/>
    <mergeCell ref="F1:L1"/>
    <mergeCell ref="F9:G9"/>
    <mergeCell ref="I10:L10"/>
    <mergeCell ref="B11:D11"/>
    <mergeCell ref="F13:G13"/>
  </mergeCells>
  <phoneticPr fontId="1"/>
  <pageMargins left="0.35433070866141736" right="0.19685039370078741" top="0.59055118110236227" bottom="0.51181102362204722" header="0.51181102362204722" footer="0.51181102362204722"/>
  <pageSetup paperSize="9" scale="8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49</vt:i4>
      </vt:variant>
      <vt:variant>
        <vt:lpstr>具名範圍</vt:lpstr>
      </vt:variant>
      <vt:variant>
        <vt:i4>62</vt:i4>
      </vt:variant>
    </vt:vector>
  </HeadingPairs>
  <TitlesOfParts>
    <vt:vector size="111" baseType="lpstr">
      <vt:lpstr>Sheet4</vt:lpstr>
      <vt:lpstr>1018</vt:lpstr>
      <vt:lpstr>1014</vt:lpstr>
      <vt:lpstr>1010</vt:lpstr>
      <vt:lpstr>1004</vt:lpstr>
      <vt:lpstr>0926</vt:lpstr>
      <vt:lpstr>0919</vt:lpstr>
      <vt:lpstr>0913</vt:lpstr>
      <vt:lpstr>0912</vt:lpstr>
      <vt:lpstr>0905</vt:lpstr>
      <vt:lpstr>0829</vt:lpstr>
      <vt:lpstr>0822</vt:lpstr>
      <vt:lpstr>0809</vt:lpstr>
      <vt:lpstr>0725</vt:lpstr>
      <vt:lpstr>0719</vt:lpstr>
      <vt:lpstr>0718</vt:lpstr>
      <vt:lpstr>0712</vt:lpstr>
      <vt:lpstr>0704</vt:lpstr>
      <vt:lpstr>0628</vt:lpstr>
      <vt:lpstr>0627</vt:lpstr>
      <vt:lpstr>0621</vt:lpstr>
      <vt:lpstr>0610</vt:lpstr>
      <vt:lpstr>0606</vt:lpstr>
      <vt:lpstr>0603.</vt:lpstr>
      <vt:lpstr>0530</vt:lpstr>
      <vt:lpstr>0524</vt:lpstr>
      <vt:lpstr>0517</vt:lpstr>
      <vt:lpstr>0516</vt:lpstr>
      <vt:lpstr>0511</vt:lpstr>
      <vt:lpstr>0510</vt:lpstr>
      <vt:lpstr>0509</vt:lpstr>
      <vt:lpstr>0426</vt:lpstr>
      <vt:lpstr>0425</vt:lpstr>
      <vt:lpstr>0419</vt:lpstr>
      <vt:lpstr>0418</vt:lpstr>
      <vt:lpstr>0413</vt:lpstr>
      <vt:lpstr>0412</vt:lpstr>
      <vt:lpstr>0411</vt:lpstr>
      <vt:lpstr>0408</vt:lpstr>
      <vt:lpstr>0404</vt:lpstr>
      <vt:lpstr>0403</vt:lpstr>
      <vt:lpstr>How to use</vt:lpstr>
      <vt:lpstr>変換用シート</vt:lpstr>
      <vt:lpstr>表紙(テンプレート)</vt:lpstr>
      <vt:lpstr>変換用シート (2)</vt:lpstr>
      <vt:lpstr>表紙(テンプレート) (4)</vt:lpstr>
      <vt:lpstr>表紙(テンプレート) (3)</vt:lpstr>
      <vt:lpstr>表紙(テンプレート) </vt:lpstr>
      <vt:lpstr>表紙(テンプレート) (2)</vt:lpstr>
      <vt:lpstr>'0403'!Print_Area</vt:lpstr>
      <vt:lpstr>'0404'!Print_Area</vt:lpstr>
      <vt:lpstr>'0408'!Print_Area</vt:lpstr>
      <vt:lpstr>'0411'!Print_Area</vt:lpstr>
      <vt:lpstr>'0412'!Print_Area</vt:lpstr>
      <vt:lpstr>'0413'!Print_Area</vt:lpstr>
      <vt:lpstr>'0418'!Print_Area</vt:lpstr>
      <vt:lpstr>'0419'!Print_Area</vt:lpstr>
      <vt:lpstr>'0425'!Print_Area</vt:lpstr>
      <vt:lpstr>'0426'!Print_Area</vt:lpstr>
      <vt:lpstr>'0509'!Print_Area</vt:lpstr>
      <vt:lpstr>'0510'!Print_Area</vt:lpstr>
      <vt:lpstr>'0511'!Print_Area</vt:lpstr>
      <vt:lpstr>'0516'!Print_Area</vt:lpstr>
      <vt:lpstr>'0517'!Print_Area</vt:lpstr>
      <vt:lpstr>'0524'!Print_Area</vt:lpstr>
      <vt:lpstr>'0530'!Print_Area</vt:lpstr>
      <vt:lpstr>'表紙(テンプレート)'!Print_Area</vt:lpstr>
      <vt:lpstr>'表紙(テンプレート) '!Print_Area</vt:lpstr>
      <vt:lpstr>'表紙(テンプレート) (2)'!Print_Area</vt:lpstr>
      <vt:lpstr>'表紙(テンプレート) (3)'!Print_Area</vt:lpstr>
      <vt:lpstr>'表紙(テンプレート) (4)'!Print_Area</vt:lpstr>
      <vt:lpstr>'0403'!Print_Titles</vt:lpstr>
      <vt:lpstr>'0404'!Print_Titles</vt:lpstr>
      <vt:lpstr>'0408'!Print_Titles</vt:lpstr>
      <vt:lpstr>'0411'!Print_Titles</vt:lpstr>
      <vt:lpstr>'0412'!Print_Titles</vt:lpstr>
      <vt:lpstr>'0413'!Print_Titles</vt:lpstr>
      <vt:lpstr>'0418'!Print_Titles</vt:lpstr>
      <vt:lpstr>'0419'!Print_Titles</vt:lpstr>
      <vt:lpstr>'0425'!Print_Titles</vt:lpstr>
      <vt:lpstr>'0426'!Print_Titles</vt:lpstr>
      <vt:lpstr>'0509'!Print_Titles</vt:lpstr>
      <vt:lpstr>'0510'!Print_Titles</vt:lpstr>
      <vt:lpstr>'0511'!Print_Titles</vt:lpstr>
      <vt:lpstr>'0516'!Print_Titles</vt:lpstr>
      <vt:lpstr>'0517'!Print_Titles</vt:lpstr>
      <vt:lpstr>'0524'!Print_Titles</vt:lpstr>
      <vt:lpstr>'0530'!Print_Titles</vt:lpstr>
      <vt:lpstr>'0603.'!Print_Titles</vt:lpstr>
      <vt:lpstr>'0606'!Print_Titles</vt:lpstr>
      <vt:lpstr>'0610'!Print_Titles</vt:lpstr>
      <vt:lpstr>'0621'!Print_Titles</vt:lpstr>
      <vt:lpstr>'0627'!Print_Titles</vt:lpstr>
      <vt:lpstr>'0628'!Print_Titles</vt:lpstr>
      <vt:lpstr>'0704'!Print_Titles</vt:lpstr>
      <vt:lpstr>'0712'!Print_Titles</vt:lpstr>
      <vt:lpstr>'0718'!Print_Titles</vt:lpstr>
      <vt:lpstr>'0719'!Print_Titles</vt:lpstr>
      <vt:lpstr>'0725'!Print_Titles</vt:lpstr>
      <vt:lpstr>'0809'!Print_Titles</vt:lpstr>
      <vt:lpstr>'0822'!Print_Titles</vt:lpstr>
      <vt:lpstr>'0829'!Print_Titles</vt:lpstr>
      <vt:lpstr>'0905'!Print_Titles</vt:lpstr>
      <vt:lpstr>'0912'!Print_Titles</vt:lpstr>
      <vt:lpstr>'0913'!Print_Titles</vt:lpstr>
      <vt:lpstr>'0919'!Print_Titles</vt:lpstr>
      <vt:lpstr>'0926'!Print_Titles</vt:lpstr>
      <vt:lpstr>'1004'!Print_Titles</vt:lpstr>
      <vt:lpstr>'1010'!Print_Titles</vt:lpstr>
      <vt:lpstr>'1014'!Print_Titles</vt:lpstr>
      <vt:lpstr>'1018'!Print_Titles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Lin yi wen(林怡雯)</cp:lastModifiedBy>
  <cp:lastPrinted>2019-10-02T09:29:20Z</cp:lastPrinted>
  <dcterms:created xsi:type="dcterms:W3CDTF">2014-05-01T05:14:43Z</dcterms:created>
  <dcterms:modified xsi:type="dcterms:W3CDTF">2019-10-24T11:07:44Z</dcterms:modified>
</cp:coreProperties>
</file>