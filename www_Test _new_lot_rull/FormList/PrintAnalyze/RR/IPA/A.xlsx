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ystest\FormList\PrintAnalyze\RR\IPA\"/>
    </mc:Choice>
  </mc:AlternateContent>
  <bookViews>
    <workbookView xWindow="120" yWindow="60" windowWidth="11715" windowHeight="5070" activeTab="2"/>
  </bookViews>
  <sheets>
    <sheet name="ASSAY RAW DATA" sheetId="5" r:id="rId1"/>
    <sheet name="H2O2-ASSAY" sheetId="6" r:id="rId2"/>
    <sheet name="Sheet1" sheetId="7" r:id="rId3"/>
  </sheets>
  <calcPr calcId="152511"/>
</workbook>
</file>

<file path=xl/calcChain.xml><?xml version="1.0" encoding="utf-8"?>
<calcChain xmlns="http://schemas.openxmlformats.org/spreadsheetml/2006/main">
  <c r="H7" i="7" l="1"/>
  <c r="D7" i="7" l="1"/>
  <c r="D6" i="6" l="1"/>
  <c r="D9" i="6" s="1"/>
  <c r="D7" i="6"/>
  <c r="D8" i="6" s="1"/>
  <c r="D10" i="6"/>
  <c r="D11" i="6"/>
  <c r="E6" i="6"/>
  <c r="E8" i="6"/>
  <c r="E7" i="6"/>
  <c r="E10" i="6"/>
  <c r="E11" i="6"/>
  <c r="E12" i="6" s="1"/>
  <c r="F6" i="6"/>
  <c r="F8" i="6" s="1"/>
  <c r="F7" i="6"/>
  <c r="F10" i="6"/>
  <c r="F11" i="6"/>
  <c r="G6" i="6"/>
  <c r="G7" i="6"/>
  <c r="G9" i="6" s="1"/>
  <c r="G10" i="6"/>
  <c r="G11" i="6"/>
  <c r="G12" i="6" s="1"/>
  <c r="H6" i="6"/>
  <c r="H7" i="6"/>
  <c r="H8" i="6" s="1"/>
  <c r="H10" i="6"/>
  <c r="H11" i="6"/>
  <c r="I6" i="6"/>
  <c r="I7" i="6"/>
  <c r="I9" i="6" s="1"/>
  <c r="I10" i="6"/>
  <c r="I13" i="6" s="1"/>
  <c r="I12" i="6"/>
  <c r="I11" i="6"/>
  <c r="J6" i="6"/>
  <c r="J8" i="6"/>
  <c r="J7" i="6"/>
  <c r="J10" i="6"/>
  <c r="J11" i="6"/>
  <c r="K6" i="6"/>
  <c r="K9" i="6" s="1"/>
  <c r="K7" i="6"/>
  <c r="K10" i="6"/>
  <c r="K11" i="6"/>
  <c r="L6" i="6"/>
  <c r="L8" i="6" s="1"/>
  <c r="L7" i="6"/>
  <c r="L10" i="6"/>
  <c r="L13" i="6" s="1"/>
  <c r="L11" i="6"/>
  <c r="L12" i="6" s="1"/>
  <c r="L15" i="6" s="1"/>
  <c r="M6" i="6"/>
  <c r="M7" i="6"/>
  <c r="M9" i="6" s="1"/>
  <c r="M10" i="6"/>
  <c r="M13" i="6" s="1"/>
  <c r="M11" i="6"/>
  <c r="E9" i="6"/>
  <c r="H9" i="6"/>
  <c r="D59" i="6"/>
  <c r="E37" i="6" s="1"/>
  <c r="F32" i="6"/>
  <c r="L57" i="6"/>
  <c r="L23" i="6"/>
  <c r="G4" i="6"/>
  <c r="E23" i="6" s="1"/>
  <c r="G3" i="6"/>
  <c r="F1" i="6"/>
  <c r="B11" i="6"/>
  <c r="B10" i="6"/>
  <c r="B7" i="6"/>
  <c r="B6" i="6"/>
  <c r="F46" i="6"/>
  <c r="E13" i="6"/>
  <c r="J9" i="6"/>
  <c r="F9" i="6"/>
  <c r="O11" i="6" l="1"/>
  <c r="O6" i="6"/>
  <c r="H12" i="6"/>
  <c r="F12" i="6"/>
  <c r="F15" i="6" s="1"/>
  <c r="E15" i="6"/>
  <c r="H13" i="6"/>
  <c r="F13" i="6"/>
  <c r="M8" i="6"/>
  <c r="K12" i="6"/>
  <c r="J12" i="6"/>
  <c r="J15" i="6" s="1"/>
  <c r="I8" i="6"/>
  <c r="I15" i="6" s="1"/>
  <c r="D12" i="6"/>
  <c r="D15" i="6"/>
  <c r="H61" i="6"/>
  <c r="J61" i="6"/>
  <c r="H15" i="6"/>
  <c r="K13" i="6"/>
  <c r="M12" i="6"/>
  <c r="K8" i="6"/>
  <c r="J13" i="6"/>
  <c r="L9" i="6"/>
  <c r="O9" i="6" s="1"/>
  <c r="G8" i="6"/>
  <c r="G15" i="6" s="1"/>
  <c r="O7" i="6"/>
  <c r="O8" i="6" s="1"/>
  <c r="D13" i="6"/>
  <c r="O10" i="6"/>
  <c r="G13" i="6"/>
  <c r="K15" i="6" l="1"/>
  <c r="O15" i="6" s="1"/>
  <c r="J27" i="6" s="1"/>
  <c r="D46" i="6" s="1"/>
  <c r="D47" i="6" s="1"/>
  <c r="M15" i="6"/>
  <c r="O13" i="6"/>
  <c r="O16" i="6" s="1"/>
  <c r="F27" i="6" s="1"/>
  <c r="D32" i="6" s="1"/>
  <c r="D33" i="6" s="1"/>
  <c r="O12" i="6"/>
  <c r="O14" i="6" s="1"/>
  <c r="H65" i="6" l="1"/>
  <c r="J65" i="6"/>
  <c r="H57" i="6"/>
  <c r="J57" i="6" s="1"/>
  <c r="D61" i="6"/>
  <c r="F61" i="6"/>
  <c r="O17" i="6"/>
  <c r="H27" i="6" s="1"/>
  <c r="D57" i="6" s="1"/>
  <c r="D62" i="6" l="1"/>
  <c r="D63" i="6" s="1"/>
  <c r="F57" i="6"/>
  <c r="D58" i="6"/>
  <c r="E43" i="6" l="1"/>
  <c r="D65" i="6"/>
  <c r="F65" i="6"/>
  <c r="L2" i="6"/>
  <c r="D66" i="6" l="1"/>
  <c r="D67" i="6" s="1"/>
  <c r="D51" i="6" s="1"/>
  <c r="I42" i="6" s="1"/>
  <c r="I36" i="6" l="1"/>
  <c r="I32" i="6"/>
  <c r="I46" i="6"/>
</calcChain>
</file>

<file path=xl/sharedStrings.xml><?xml version="1.0" encoding="utf-8"?>
<sst xmlns="http://schemas.openxmlformats.org/spreadsheetml/2006/main" count="188" uniqueCount="146">
  <si>
    <t>AVE</t>
    <phoneticPr fontId="2" type="noConversion"/>
  </si>
  <si>
    <t>DATE</t>
    <phoneticPr fontId="2" type="noConversion"/>
  </si>
  <si>
    <t>RANGE</t>
    <phoneticPr fontId="2" type="noConversion"/>
  </si>
  <si>
    <t>X</t>
    <phoneticPr fontId="2" type="noConversion"/>
  </si>
  <si>
    <t>Xp</t>
    <phoneticPr fontId="2" type="noConversion"/>
  </si>
  <si>
    <t>Part No.and Name</t>
    <phoneticPr fontId="2" type="noConversion"/>
  </si>
  <si>
    <t>Gage Nane</t>
    <phoneticPr fontId="2" type="noConversion"/>
  </si>
  <si>
    <t>Date:</t>
    <phoneticPr fontId="2" type="noConversion"/>
  </si>
  <si>
    <t>Gage No</t>
    <phoneticPr fontId="2" type="noConversion"/>
  </si>
  <si>
    <t>performed by</t>
    <phoneticPr fontId="2" type="noConversion"/>
  </si>
  <si>
    <t>Specification:</t>
    <phoneticPr fontId="2" type="noConversion"/>
  </si>
  <si>
    <t>Characteristics:</t>
    <phoneticPr fontId="2" type="noConversion"/>
  </si>
  <si>
    <t>Gage Type:</t>
    <phoneticPr fontId="2" type="noConversion"/>
  </si>
  <si>
    <t>Measurement Unit Analysis</t>
    <phoneticPr fontId="2" type="noConversion"/>
  </si>
  <si>
    <t>%Total Variation(TV)</t>
    <phoneticPr fontId="2" type="noConversion"/>
  </si>
  <si>
    <t>Repeatability-Equipment Variation(EV)</t>
    <phoneticPr fontId="2" type="noConversion"/>
  </si>
  <si>
    <t>Trials</t>
    <phoneticPr fontId="2" type="noConversion"/>
  </si>
  <si>
    <t>K1</t>
    <phoneticPr fontId="2" type="noConversion"/>
  </si>
  <si>
    <t>=</t>
    <phoneticPr fontId="2" type="noConversion"/>
  </si>
  <si>
    <t>*</t>
    <phoneticPr fontId="2" type="noConversion"/>
  </si>
  <si>
    <t>%EV=100(EV/TV)</t>
    <phoneticPr fontId="2" type="noConversion"/>
  </si>
  <si>
    <t>Reproducibity-Appraiser Variation(AV)</t>
    <phoneticPr fontId="2" type="noConversion"/>
  </si>
  <si>
    <r>
      <t>√【（</t>
    </r>
    <r>
      <rPr>
        <sz val="12"/>
        <rFont val="Times New Roman"/>
        <family val="1"/>
      </rPr>
      <t>X</t>
    </r>
    <r>
      <rPr>
        <vertAlign val="subscript"/>
        <sz val="12"/>
        <rFont val="Times New Roman"/>
        <family val="1"/>
      </rPr>
      <t>diff</t>
    </r>
    <r>
      <rPr>
        <sz val="12"/>
        <rFont val="Times New Roman"/>
        <family val="1"/>
      </rPr>
      <t xml:space="preserve"> X K</t>
    </r>
    <r>
      <rPr>
        <vertAlign val="subscript"/>
        <sz val="12"/>
        <rFont val="Times New Roman"/>
        <family val="1"/>
      </rPr>
      <t>2</t>
    </r>
    <r>
      <rPr>
        <sz val="12"/>
        <rFont val="新細明體"/>
        <family val="1"/>
        <charset val="136"/>
      </rPr>
      <t>）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新細明體"/>
        <family val="1"/>
        <charset val="136"/>
      </rPr>
      <t>（</t>
    </r>
    <r>
      <rPr>
        <sz val="10"/>
        <rFont val="Times New Roman"/>
        <family val="1"/>
      </rPr>
      <t>EV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/nr</t>
    </r>
    <r>
      <rPr>
        <sz val="10"/>
        <rFont val="新細明體"/>
        <family val="1"/>
        <charset val="136"/>
      </rPr>
      <t>）</t>
    </r>
    <r>
      <rPr>
        <sz val="12"/>
        <rFont val="新細明體"/>
        <family val="1"/>
        <charset val="136"/>
      </rPr>
      <t>】</t>
    </r>
    <phoneticPr fontId="2" type="noConversion"/>
  </si>
  <si>
    <t>Appraisers</t>
    <phoneticPr fontId="2" type="noConversion"/>
  </si>
  <si>
    <t>k2</t>
    <phoneticPr fontId="2" type="noConversion"/>
  </si>
  <si>
    <t>Repeatability&amp; Reproducibility(R&amp;R)</t>
    <phoneticPr fontId="2" type="noConversion"/>
  </si>
  <si>
    <t>R&amp;R=</t>
    <phoneticPr fontId="2" type="noConversion"/>
  </si>
  <si>
    <r>
      <t>√</t>
    </r>
    <r>
      <rPr>
        <sz val="12"/>
        <rFont val="Times New Roman"/>
        <family val="1"/>
      </rPr>
      <t>(EV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+AV</t>
    </r>
    <r>
      <rPr>
        <vertAlign val="superscript"/>
        <sz val="12"/>
        <rFont val="Times New Roman"/>
        <family val="1"/>
      </rPr>
      <t>2</t>
    </r>
    <phoneticPr fontId="2" type="noConversion"/>
  </si>
  <si>
    <t>Part Variation(PV)</t>
    <phoneticPr fontId="2" type="noConversion"/>
  </si>
  <si>
    <t>PV=</t>
    <phoneticPr fontId="2" type="noConversion"/>
  </si>
  <si>
    <r>
      <t>Rp*K</t>
    </r>
    <r>
      <rPr>
        <vertAlign val="subscript"/>
        <sz val="12"/>
        <rFont val="Times New Roman"/>
        <family val="1"/>
      </rPr>
      <t>3</t>
    </r>
    <phoneticPr fontId="2" type="noConversion"/>
  </si>
  <si>
    <t>*</t>
    <phoneticPr fontId="2" type="noConversion"/>
  </si>
  <si>
    <t>Part</t>
    <phoneticPr fontId="2" type="noConversion"/>
  </si>
  <si>
    <t>k3</t>
    <phoneticPr fontId="2" type="noConversion"/>
  </si>
  <si>
    <t>TV=</t>
    <phoneticPr fontId="2" type="noConversion"/>
  </si>
  <si>
    <r>
      <t>√</t>
    </r>
    <r>
      <rPr>
        <sz val="12"/>
        <rFont val="Times New Roman"/>
        <family val="1"/>
      </rPr>
      <t>(R&amp;R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+PV</t>
    </r>
    <r>
      <rPr>
        <vertAlign val="superscript"/>
        <sz val="12"/>
        <rFont val="Times New Roman"/>
        <family val="1"/>
      </rPr>
      <t>2</t>
    </r>
    <phoneticPr fontId="2" type="noConversion"/>
  </si>
  <si>
    <t>%AV=100(AV/TV)</t>
    <phoneticPr fontId="2" type="noConversion"/>
  </si>
  <si>
    <t>n=number of parts</t>
    <phoneticPr fontId="2" type="noConversion"/>
  </si>
  <si>
    <t>r=number of trials</t>
    <phoneticPr fontId="2" type="noConversion"/>
  </si>
  <si>
    <t>%R&amp;R=100(R&amp;R/TV)</t>
    <phoneticPr fontId="2" type="noConversion"/>
  </si>
  <si>
    <t>%PV=100(PV/TV)</t>
    <phoneticPr fontId="2" type="noConversion"/>
  </si>
  <si>
    <t>Gage Repeatability and Reproducibility Report</t>
    <phoneticPr fontId="2" type="noConversion"/>
  </si>
  <si>
    <t>AV=</t>
    <phoneticPr fontId="2" type="noConversion"/>
  </si>
  <si>
    <t>Rp=</t>
    <phoneticPr fontId="2" type="noConversion"/>
  </si>
  <si>
    <t>From date sheet:</t>
    <phoneticPr fontId="2" type="noConversion"/>
  </si>
  <si>
    <t>R=</t>
    <phoneticPr fontId="2" type="noConversion"/>
  </si>
  <si>
    <t>x diff=</t>
    <phoneticPr fontId="2" type="noConversion"/>
  </si>
  <si>
    <t>ASSAY R&amp;R</t>
    <phoneticPr fontId="2" type="noConversion"/>
  </si>
  <si>
    <t>%</t>
    <phoneticPr fontId="2" type="noConversion"/>
  </si>
  <si>
    <t>R8D4=UCLR</t>
    <phoneticPr fontId="2" type="noConversion"/>
  </si>
  <si>
    <t>R8D4=LCLR</t>
    <phoneticPr fontId="2" type="noConversion"/>
  </si>
  <si>
    <t>METAL</t>
    <phoneticPr fontId="2" type="noConversion"/>
  </si>
  <si>
    <t>X diff</t>
  </si>
  <si>
    <t>-</t>
    <phoneticPr fontId="2" type="noConversion"/>
  </si>
  <si>
    <t>*</t>
    <phoneticPr fontId="2" type="noConversion"/>
  </si>
  <si>
    <t>/</t>
    <phoneticPr fontId="2" type="noConversion"/>
  </si>
  <si>
    <t>√</t>
  </si>
  <si>
    <t>√</t>
    <phoneticPr fontId="2" type="noConversion"/>
  </si>
  <si>
    <t>+</t>
    <phoneticPr fontId="2" type="noConversion"/>
  </si>
  <si>
    <t>Rp</t>
    <phoneticPr fontId="2" type="noConversion"/>
  </si>
  <si>
    <t>R</t>
    <phoneticPr fontId="2" type="noConversion"/>
  </si>
  <si>
    <t>Xa</t>
    <phoneticPr fontId="2" type="noConversion"/>
  </si>
  <si>
    <t>Ra</t>
    <phoneticPr fontId="2" type="noConversion"/>
  </si>
  <si>
    <t>Xb</t>
    <phoneticPr fontId="2" type="noConversion"/>
  </si>
  <si>
    <t>Rb</t>
    <phoneticPr fontId="2" type="noConversion"/>
  </si>
  <si>
    <t>PART</t>
    <phoneticPr fontId="2" type="noConversion"/>
  </si>
  <si>
    <t>R=(Ra+Rb)/2</t>
    <phoneticPr fontId="2" type="noConversion"/>
  </si>
  <si>
    <t>Max X-MaxB=X diff</t>
    <phoneticPr fontId="2" type="noConversion"/>
  </si>
  <si>
    <t>n=</t>
    <phoneticPr fontId="2" type="noConversion"/>
  </si>
  <si>
    <t>test=</t>
    <phoneticPr fontId="2" type="noConversion"/>
  </si>
  <si>
    <t>總變異</t>
    <phoneticPr fontId="2" type="noConversion"/>
  </si>
  <si>
    <t>零件變異</t>
    <phoneticPr fontId="2" type="noConversion"/>
  </si>
  <si>
    <t>重複性及再現性</t>
    <phoneticPr fontId="2" type="noConversion"/>
  </si>
  <si>
    <r>
      <t>再現性</t>
    </r>
    <r>
      <rPr>
        <sz val="12"/>
        <rFont val="Times New Roman"/>
        <family val="1"/>
      </rPr>
      <t>-</t>
    </r>
    <r>
      <rPr>
        <sz val="12"/>
        <rFont val="新細明體"/>
        <family val="1"/>
        <charset val="136"/>
      </rPr>
      <t>評價者變異</t>
    </r>
    <phoneticPr fontId="2" type="noConversion"/>
  </si>
  <si>
    <r>
      <t>重複性</t>
    </r>
    <r>
      <rPr>
        <sz val="12"/>
        <rFont val="Times New Roman"/>
        <family val="1"/>
      </rPr>
      <t>-</t>
    </r>
    <r>
      <rPr>
        <sz val="12"/>
        <rFont val="細明體"/>
        <family val="3"/>
        <charset val="136"/>
      </rPr>
      <t>設備變異</t>
    </r>
    <phoneticPr fontId="2" type="noConversion"/>
  </si>
  <si>
    <t>EV      =</t>
    <phoneticPr fontId="2" type="noConversion"/>
  </si>
  <si>
    <t>R × K1</t>
    <phoneticPr fontId="2" type="noConversion"/>
  </si>
  <si>
    <t>NO</t>
    <phoneticPr fontId="2" type="noConversion"/>
  </si>
  <si>
    <t>R&amp;R TEST RESULT:</t>
    <phoneticPr fontId="2" type="noConversion"/>
  </si>
  <si>
    <r>
      <t>30%</t>
    </r>
    <r>
      <rPr>
        <sz val="12"/>
        <rFont val="新細明體"/>
        <family val="1"/>
        <charset val="136"/>
      </rPr>
      <t>以下為合</t>
    </r>
    <phoneticPr fontId="2" type="noConversion"/>
  </si>
  <si>
    <r>
      <t>R&amp;R</t>
    </r>
    <r>
      <rPr>
        <sz val="12"/>
        <rFont val="細明體"/>
        <family val="3"/>
        <charset val="136"/>
      </rPr>
      <t>判斷基準</t>
    </r>
    <phoneticPr fontId="2" type="noConversion"/>
  </si>
  <si>
    <r>
      <t>超出基準值之處置</t>
    </r>
    <r>
      <rPr>
        <sz val="12"/>
        <rFont val="Times New Roman"/>
        <family val="1"/>
      </rPr>
      <t>:</t>
    </r>
    <phoneticPr fontId="2" type="noConversion"/>
  </si>
  <si>
    <t xml:space="preserve">  R&amp;R TEST RESULT TABLE (ASSAY)</t>
    <phoneticPr fontId="2" type="noConversion"/>
  </si>
  <si>
    <t>PRODUCT:</t>
    <phoneticPr fontId="2" type="noConversion"/>
  </si>
  <si>
    <t>技師\次數</t>
    <phoneticPr fontId="2" type="noConversion"/>
  </si>
  <si>
    <t xml:space="preserve"> </t>
    <phoneticPr fontId="2" type="noConversion"/>
  </si>
  <si>
    <t>PRODUCT</t>
    <phoneticPr fontId="2" type="noConversion"/>
  </si>
  <si>
    <t>TEST DATE</t>
    <phoneticPr fontId="2" type="noConversion"/>
  </si>
  <si>
    <t>H2O2(ASSAY)</t>
    <phoneticPr fontId="2" type="noConversion"/>
  </si>
  <si>
    <t>=</t>
    <phoneticPr fontId="2" type="noConversion"/>
  </si>
  <si>
    <t>PASS</t>
    <phoneticPr fontId="2" type="noConversion"/>
  </si>
  <si>
    <t>A1</t>
    <phoneticPr fontId="2" type="noConversion"/>
  </si>
  <si>
    <t>A2</t>
    <phoneticPr fontId="2" type="noConversion"/>
  </si>
  <si>
    <t>A3</t>
    <phoneticPr fontId="2" type="noConversion"/>
  </si>
  <si>
    <t>A4</t>
    <phoneticPr fontId="2" type="noConversion"/>
  </si>
  <si>
    <t>A5</t>
    <phoneticPr fontId="2" type="noConversion"/>
  </si>
  <si>
    <t>B1</t>
    <phoneticPr fontId="2" type="noConversion"/>
  </si>
  <si>
    <t>B2</t>
    <phoneticPr fontId="2" type="noConversion"/>
  </si>
  <si>
    <t>B3</t>
    <phoneticPr fontId="2" type="noConversion"/>
  </si>
  <si>
    <t>B4</t>
    <phoneticPr fontId="2" type="noConversion"/>
  </si>
  <si>
    <t>B5</t>
    <phoneticPr fontId="2" type="noConversion"/>
  </si>
  <si>
    <t>文美</t>
    <phoneticPr fontId="2" type="noConversion"/>
  </si>
  <si>
    <t>NDC</t>
    <phoneticPr fontId="2" type="noConversion"/>
  </si>
  <si>
    <t>↓</t>
  </si>
  <si>
    <r>
      <t>3g upw+h2o2</t>
    </r>
    <r>
      <rPr>
        <sz val="12"/>
        <rFont val="細明體"/>
        <family val="3"/>
        <charset val="136"/>
      </rPr>
      <t>定量至</t>
    </r>
    <r>
      <rPr>
        <sz val="12"/>
        <rFont val="Times New Roman"/>
        <family val="1"/>
      </rPr>
      <t>100g</t>
    </r>
    <phoneticPr fontId="2" type="noConversion"/>
  </si>
  <si>
    <t>取1g+upw定量至250ml</t>
    <phoneticPr fontId="2" type="noConversion"/>
  </si>
  <si>
    <r>
      <t>取</t>
    </r>
    <r>
      <rPr>
        <sz val="12"/>
        <rFont val="Times New Roman"/>
        <family val="1"/>
      </rPr>
      <t>sample 25g</t>
    </r>
    <r>
      <rPr>
        <sz val="12"/>
        <rFont val="細明體"/>
        <family val="3"/>
        <charset val="136"/>
      </rPr>
      <t>滴定</t>
    </r>
    <phoneticPr fontId="2" type="noConversion"/>
  </si>
  <si>
    <t>20110710~20120720</t>
    <phoneticPr fontId="2" type="noConversion"/>
  </si>
  <si>
    <t>妍希</t>
    <phoneticPr fontId="2" type="noConversion"/>
  </si>
  <si>
    <t>附件2</t>
    <phoneticPr fontId="2" type="noConversion"/>
  </si>
  <si>
    <t>R&amp;R 測試報告表</t>
    <phoneticPr fontId="2" type="noConversion"/>
  </si>
  <si>
    <t>測試日期</t>
    <phoneticPr fontId="2" type="noConversion"/>
  </si>
  <si>
    <t>測試項目</t>
    <phoneticPr fontId="2" type="noConversion"/>
  </si>
  <si>
    <t>R&amp;R</t>
  </si>
  <si>
    <t>判定</t>
    <phoneticPr fontId="2" type="noConversion"/>
  </si>
  <si>
    <t>NDC</t>
    <phoneticPr fontId="2" type="noConversion"/>
  </si>
  <si>
    <t>Assay</t>
    <phoneticPr fontId="2" type="noConversion"/>
  </si>
  <si>
    <t>Metal</t>
    <phoneticPr fontId="2" type="noConversion"/>
  </si>
  <si>
    <t>Na</t>
    <phoneticPr fontId="2" type="noConversion"/>
  </si>
  <si>
    <t>Mg</t>
    <phoneticPr fontId="2" type="noConversion"/>
  </si>
  <si>
    <t>Al</t>
    <phoneticPr fontId="2" type="noConversion"/>
  </si>
  <si>
    <t>K</t>
    <phoneticPr fontId="2" type="noConversion"/>
  </si>
  <si>
    <t>Ca</t>
    <phoneticPr fontId="2" type="noConversion"/>
  </si>
  <si>
    <t>Cr</t>
    <phoneticPr fontId="2" type="noConversion"/>
  </si>
  <si>
    <t>Mn</t>
    <phoneticPr fontId="2" type="noConversion"/>
  </si>
  <si>
    <t>Fe</t>
    <phoneticPr fontId="2" type="noConversion"/>
  </si>
  <si>
    <t>Ni</t>
    <phoneticPr fontId="2" type="noConversion"/>
  </si>
  <si>
    <t>Co</t>
    <phoneticPr fontId="2" type="noConversion"/>
  </si>
  <si>
    <t>Cu</t>
    <phoneticPr fontId="2" type="noConversion"/>
  </si>
  <si>
    <t>Zn</t>
    <phoneticPr fontId="2" type="noConversion"/>
  </si>
  <si>
    <t>Pb</t>
    <phoneticPr fontId="2" type="noConversion"/>
  </si>
  <si>
    <t>Particle 0.5um</t>
    <phoneticPr fontId="2" type="noConversion"/>
  </si>
  <si>
    <t>-</t>
    <phoneticPr fontId="2" type="noConversion"/>
  </si>
  <si>
    <t>Particle 0.2um</t>
    <phoneticPr fontId="2" type="noConversion"/>
  </si>
  <si>
    <t>判定基準:</t>
    <phoneticPr fontId="2" type="noConversion"/>
  </si>
  <si>
    <t>&lt;10%= 良好</t>
    <phoneticPr fontId="2" type="noConversion"/>
  </si>
  <si>
    <t>10%~30%=中等</t>
    <phoneticPr fontId="2" type="noConversion"/>
  </si>
  <si>
    <t>&gt;30%=不合格</t>
    <phoneticPr fontId="2" type="noConversion"/>
  </si>
  <si>
    <t xml:space="preserve">值須&gt;5以上,當NDC數據≧5時,量具研究才是有效的結果. </t>
  </si>
  <si>
    <t>分析高專(主任)</t>
    <phoneticPr fontId="2" type="noConversion"/>
  </si>
  <si>
    <t>分析課</t>
    <phoneticPr fontId="2" type="noConversion"/>
  </si>
  <si>
    <r>
      <t>品</t>
    </r>
    <r>
      <rPr>
        <sz val="12"/>
        <color indexed="10"/>
        <rFont val="新細明體"/>
        <family val="1"/>
        <charset val="136"/>
      </rPr>
      <t>管</t>
    </r>
    <r>
      <rPr>
        <sz val="12"/>
        <rFont val="新細明體"/>
        <family val="1"/>
        <charset val="136"/>
      </rPr>
      <t>課</t>
    </r>
    <phoneticPr fontId="2" type="noConversion"/>
  </si>
  <si>
    <t>物流課</t>
    <phoneticPr fontId="2" type="noConversion"/>
  </si>
  <si>
    <t>部門長</t>
    <phoneticPr fontId="2" type="noConversion"/>
  </si>
  <si>
    <t>(TLEQA920010102A4)</t>
    <phoneticPr fontId="2" type="noConversion"/>
  </si>
  <si>
    <t>IPA-Assay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</si>
</sst>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00"/>
    <numFmt numFmtId="177" formatCode="0.0"/>
    <numFmt numFmtId="178" formatCode="0.0_ "/>
    <numFmt numFmtId="179" formatCode="0.00_ "/>
  </numFmts>
  <fonts count="40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b/>
      <u/>
      <sz val="12"/>
      <name val="Times New Roman"/>
      <family val="1"/>
    </font>
    <font>
      <b/>
      <sz val="12"/>
      <name val="新細明體"/>
      <family val="1"/>
      <charset val="136"/>
    </font>
    <font>
      <sz val="12"/>
      <color indexed="10"/>
      <name val="Times New Roman"/>
      <family val="1"/>
    </font>
    <font>
      <sz val="12"/>
      <color indexed="10"/>
      <name val="細明體"/>
      <family val="3"/>
      <charset val="136"/>
    </font>
    <font>
      <sz val="12"/>
      <color indexed="10"/>
      <name val="新細明體"/>
      <family val="1"/>
      <charset val="136"/>
    </font>
    <font>
      <sz val="12"/>
      <name val="新細明體"/>
      <family val="1"/>
      <charset val="136"/>
    </font>
    <font>
      <sz val="12"/>
      <name val="細明體"/>
      <family val="3"/>
      <charset val="136"/>
    </font>
    <font>
      <sz val="12"/>
      <color indexed="8"/>
      <name val="Times New Roman"/>
      <family val="1"/>
    </font>
    <font>
      <sz val="12"/>
      <color indexed="12"/>
      <name val="Times New Roman"/>
      <family val="1"/>
    </font>
    <font>
      <sz val="12"/>
      <color indexed="12"/>
      <name val="新細明體"/>
      <family val="1"/>
      <charset val="136"/>
    </font>
    <font>
      <u/>
      <sz val="12"/>
      <name val="新細明體"/>
      <family val="1"/>
      <charset val="136"/>
    </font>
    <font>
      <vertAlign val="superscript"/>
      <sz val="10"/>
      <name val="Times New Roman"/>
      <family val="1"/>
    </font>
    <font>
      <vertAlign val="subscript"/>
      <sz val="12"/>
      <name val="Times New Roman"/>
      <family val="1"/>
    </font>
    <font>
      <vertAlign val="superscript"/>
      <sz val="12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u/>
      <sz val="14"/>
      <color indexed="10"/>
      <name val="新細明體"/>
      <family val="1"/>
      <charset val="136"/>
    </font>
    <font>
      <sz val="14"/>
      <color indexed="10"/>
      <name val="Times New Roman"/>
      <family val="1"/>
    </font>
    <font>
      <sz val="14"/>
      <color indexed="10"/>
      <name val="新細明體"/>
      <family val="1"/>
      <charset val="136"/>
    </font>
    <font>
      <sz val="12"/>
      <color indexed="63"/>
      <name val="Times New Roman"/>
      <family val="1"/>
    </font>
    <font>
      <sz val="12"/>
      <color indexed="63"/>
      <name val="新細明體"/>
      <family val="1"/>
      <charset val="136"/>
    </font>
    <font>
      <sz val="12"/>
      <color indexed="63"/>
      <name val="細明體"/>
      <family val="3"/>
      <charset val="136"/>
    </font>
    <font>
      <sz val="14"/>
      <color indexed="8"/>
      <name val="新細明體"/>
      <family val="1"/>
      <charset val="136"/>
    </font>
    <font>
      <sz val="18"/>
      <color indexed="8"/>
      <name val="新細明體"/>
      <family val="1"/>
      <charset val="136"/>
    </font>
    <font>
      <sz val="20"/>
      <color indexed="8"/>
      <name val="新細明體"/>
      <family val="1"/>
      <charset val="136"/>
    </font>
    <font>
      <sz val="20"/>
      <name val="新細明體"/>
      <family val="1"/>
      <charset val="136"/>
    </font>
    <font>
      <b/>
      <u/>
      <sz val="20"/>
      <name val="Times New Roman"/>
      <family val="1"/>
    </font>
    <font>
      <sz val="20"/>
      <color indexed="10"/>
      <name val="Times New Roman"/>
      <family val="1"/>
    </font>
    <font>
      <sz val="12"/>
      <name val="細明體"/>
      <family val="3"/>
    </font>
    <font>
      <sz val="14"/>
      <name val="Times New Roman"/>
      <family val="1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sz val="18"/>
      <color indexed="10"/>
      <name val="新細明體"/>
      <family val="1"/>
      <charset val="136"/>
    </font>
    <font>
      <sz val="18"/>
      <name val="新細明體"/>
      <family val="1"/>
      <charset val="136"/>
    </font>
    <font>
      <b/>
      <u/>
      <sz val="14"/>
      <name val="新細明體"/>
      <family val="1"/>
      <charset val="136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3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3" fillId="0" borderId="0" xfId="0" applyFont="1"/>
    <xf numFmtId="0" fontId="8" fillId="0" borderId="9" xfId="0" applyFont="1" applyBorder="1" applyAlignment="1">
      <alignment horizontal="center"/>
    </xf>
    <xf numFmtId="0" fontId="0" fillId="0" borderId="0" xfId="0" applyBorder="1"/>
    <xf numFmtId="0" fontId="0" fillId="0" borderId="1" xfId="0" applyBorder="1"/>
    <xf numFmtId="0" fontId="0" fillId="0" borderId="9" xfId="0" applyBorder="1"/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18" xfId="0" applyFont="1" applyBorder="1"/>
    <xf numFmtId="0" fontId="0" fillId="0" borderId="19" xfId="0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0" fillId="0" borderId="22" xfId="0" applyBorder="1" applyAlignment="1">
      <alignment horizontal="center"/>
    </xf>
    <xf numFmtId="10" fontId="6" fillId="0" borderId="23" xfId="0" applyNumberFormat="1" applyFont="1" applyBorder="1" applyAlignment="1">
      <alignment horizontal="center"/>
    </xf>
    <xf numFmtId="9" fontId="8" fillId="0" borderId="23" xfId="0" applyNumberFormat="1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Border="1" applyAlignment="1">
      <alignment horizontal="left"/>
    </xf>
    <xf numFmtId="0" fontId="3" fillId="0" borderId="0" xfId="0" applyFont="1" applyBorder="1" applyAlignment="1">
      <alignment horizontal="left"/>
    </xf>
    <xf numFmtId="0" fontId="0" fillId="0" borderId="0" xfId="0" applyBorder="1" applyAlignment="1"/>
    <xf numFmtId="0" fontId="6" fillId="0" borderId="0" xfId="0" applyFont="1" applyBorder="1" applyAlignment="1"/>
    <xf numFmtId="0" fontId="3" fillId="0" borderId="0" xfId="0" quotePrefix="1" applyFont="1" applyBorder="1" applyAlignment="1"/>
    <xf numFmtId="0" fontId="3" fillId="0" borderId="0" xfId="0" applyFont="1" applyBorder="1" applyAlignment="1"/>
    <xf numFmtId="0" fontId="3" fillId="0" borderId="23" xfId="0" applyFont="1" applyBorder="1" applyAlignment="1">
      <alignment horizontal="left"/>
    </xf>
    <xf numFmtId="0" fontId="3" fillId="0" borderId="23" xfId="0" applyFont="1" applyFill="1" applyBorder="1" applyAlignment="1">
      <alignment horizontal="left"/>
    </xf>
    <xf numFmtId="0" fontId="6" fillId="0" borderId="9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6" fillId="0" borderId="0" xfId="0" applyFont="1" applyBorder="1" applyAlignment="1">
      <alignment horizontal="left"/>
    </xf>
    <xf numFmtId="0" fontId="3" fillId="0" borderId="1" xfId="0" applyFont="1" applyBorder="1" applyAlignment="1"/>
    <xf numFmtId="0" fontId="0" fillId="0" borderId="1" xfId="0" applyBorder="1" applyAlignment="1"/>
    <xf numFmtId="0" fontId="0" fillId="0" borderId="9" xfId="0" applyBorder="1" applyAlignment="1"/>
    <xf numFmtId="0" fontId="12" fillId="0" borderId="25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3" fillId="0" borderId="0" xfId="0" applyFont="1"/>
    <xf numFmtId="0" fontId="6" fillId="0" borderId="1" xfId="0" applyFont="1" applyFill="1" applyBorder="1" applyAlignment="1">
      <alignment horizontal="left"/>
    </xf>
    <xf numFmtId="0" fontId="3" fillId="0" borderId="0" xfId="0" quotePrefix="1" applyFont="1"/>
    <xf numFmtId="0" fontId="3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3" fillId="0" borderId="1" xfId="0" quotePrefix="1" applyFont="1" applyBorder="1" applyAlignment="1"/>
    <xf numFmtId="0" fontId="0" fillId="0" borderId="3" xfId="0" applyBorder="1" applyAlignment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/>
    <xf numFmtId="0" fontId="0" fillId="0" borderId="10" xfId="0" applyBorder="1" applyAlignment="1"/>
    <xf numFmtId="0" fontId="0" fillId="0" borderId="10" xfId="0" applyBorder="1" applyAlignment="1">
      <alignment horizontal="left"/>
    </xf>
    <xf numFmtId="0" fontId="6" fillId="0" borderId="6" xfId="0" applyFont="1" applyFill="1" applyBorder="1" applyAlignment="1">
      <alignment horizontal="left"/>
    </xf>
    <xf numFmtId="0" fontId="3" fillId="0" borderId="26" xfId="0" applyFont="1" applyBorder="1"/>
    <xf numFmtId="0" fontId="3" fillId="0" borderId="9" xfId="0" applyFont="1" applyBorder="1"/>
    <xf numFmtId="0" fontId="0" fillId="0" borderId="31" xfId="0" applyBorder="1"/>
    <xf numFmtId="0" fontId="3" fillId="0" borderId="32" xfId="0" applyFont="1" applyBorder="1"/>
    <xf numFmtId="0" fontId="0" fillId="0" borderId="32" xfId="0" applyBorder="1"/>
    <xf numFmtId="0" fontId="0" fillId="0" borderId="33" xfId="0" applyBorder="1"/>
    <xf numFmtId="0" fontId="3" fillId="0" borderId="34" xfId="0" applyFont="1" applyBorder="1"/>
    <xf numFmtId="0" fontId="3" fillId="0" borderId="4" xfId="0" applyFont="1" applyBorder="1"/>
    <xf numFmtId="0" fontId="3" fillId="0" borderId="3" xfId="0" applyFont="1" applyBorder="1"/>
    <xf numFmtId="0" fontId="6" fillId="0" borderId="3" xfId="0" applyFont="1" applyBorder="1" applyAlignment="1"/>
    <xf numFmtId="0" fontId="3" fillId="0" borderId="26" xfId="0" applyFont="1" applyBorder="1" applyAlignment="1">
      <alignment horizontal="left"/>
    </xf>
    <xf numFmtId="0" fontId="3" fillId="0" borderId="4" xfId="0" applyFont="1" applyFill="1" applyBorder="1"/>
    <xf numFmtId="0" fontId="3" fillId="0" borderId="3" xfId="0" applyFont="1" applyFill="1" applyBorder="1"/>
    <xf numFmtId="0" fontId="0" fillId="0" borderId="35" xfId="0" applyBorder="1"/>
    <xf numFmtId="0" fontId="10" fillId="0" borderId="0" xfId="0" quotePrefix="1" applyFont="1"/>
    <xf numFmtId="0" fontId="0" fillId="0" borderId="11" xfId="0" applyBorder="1"/>
    <xf numFmtId="0" fontId="6" fillId="0" borderId="1" xfId="0" quotePrefix="1" applyFont="1" applyBorder="1" applyAlignment="1"/>
    <xf numFmtId="0" fontId="10" fillId="0" borderId="11" xfId="0" quotePrefix="1" applyFont="1" applyBorder="1"/>
    <xf numFmtId="0" fontId="6" fillId="0" borderId="3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/>
    <xf numFmtId="0" fontId="3" fillId="0" borderId="0" xfId="0" quotePrefix="1" applyFont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6" xfId="0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24" fillId="0" borderId="0" xfId="0" applyFont="1"/>
    <xf numFmtId="0" fontId="23" fillId="0" borderId="6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3" fillId="0" borderId="6" xfId="0" applyFont="1" applyFill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23" fillId="0" borderId="6" xfId="0" applyFont="1" applyFill="1" applyBorder="1" applyAlignment="1">
      <alignment horizontal="left"/>
    </xf>
    <xf numFmtId="0" fontId="23" fillId="0" borderId="1" xfId="0" applyFont="1" applyFill="1" applyBorder="1" applyAlignment="1">
      <alignment horizontal="left"/>
    </xf>
    <xf numFmtId="0" fontId="24" fillId="0" borderId="1" xfId="0" applyFont="1" applyBorder="1"/>
    <xf numFmtId="0" fontId="0" fillId="0" borderId="37" xfId="0" applyBorder="1" applyAlignment="1">
      <alignment horizontal="center"/>
    </xf>
    <xf numFmtId="0" fontId="0" fillId="0" borderId="26" xfId="0" applyBorder="1"/>
    <xf numFmtId="0" fontId="11" fillId="0" borderId="9" xfId="0" quotePrefix="1" applyFont="1" applyBorder="1" applyAlignment="1"/>
    <xf numFmtId="0" fontId="0" fillId="0" borderId="2" xfId="0" applyBorder="1" applyAlignment="1">
      <alignment horizontal="left"/>
    </xf>
    <xf numFmtId="0" fontId="0" fillId="0" borderId="4" xfId="0" applyBorder="1"/>
    <xf numFmtId="0" fontId="0" fillId="0" borderId="3" xfId="0" applyBorder="1"/>
    <xf numFmtId="0" fontId="0" fillId="0" borderId="38" xfId="0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1" fillId="0" borderId="23" xfId="0" quotePrefix="1" applyFont="1" applyFill="1" applyBorder="1" applyAlignment="1">
      <alignment horizontal="center"/>
    </xf>
    <xf numFmtId="0" fontId="3" fillId="0" borderId="22" xfId="0" applyFont="1" applyBorder="1" applyAlignment="1">
      <alignment horizontal="left"/>
    </xf>
    <xf numFmtId="0" fontId="21" fillId="0" borderId="23" xfId="0" quotePrefix="1" applyFont="1" applyBorder="1" applyAlignment="1">
      <alignment horizontal="center"/>
    </xf>
    <xf numFmtId="10" fontId="6" fillId="0" borderId="16" xfId="0" quotePrefix="1" applyNumberFormat="1" applyFont="1" applyBorder="1" applyAlignment="1">
      <alignment horizontal="center"/>
    </xf>
    <xf numFmtId="0" fontId="3" fillId="0" borderId="16" xfId="0" applyFont="1" applyBorder="1" applyAlignment="1">
      <alignment horizontal="left"/>
    </xf>
    <xf numFmtId="0" fontId="3" fillId="0" borderId="39" xfId="0" applyFont="1" applyBorder="1" applyAlignment="1">
      <alignment horizontal="left"/>
    </xf>
    <xf numFmtId="0" fontId="0" fillId="0" borderId="39" xfId="0" applyBorder="1" applyAlignment="1">
      <alignment horizontal="center"/>
    </xf>
    <xf numFmtId="0" fontId="22" fillId="0" borderId="33" xfId="0" applyFont="1" applyBorder="1" applyAlignment="1">
      <alignment horizontal="center"/>
    </xf>
    <xf numFmtId="0" fontId="21" fillId="0" borderId="33" xfId="0" applyFont="1" applyBorder="1" applyAlignment="1">
      <alignment horizontal="center"/>
    </xf>
    <xf numFmtId="0" fontId="20" fillId="0" borderId="33" xfId="0" applyFont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33" xfId="0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177" fontId="6" fillId="0" borderId="9" xfId="0" applyNumberFormat="1" applyFont="1" applyBorder="1" applyAlignment="1">
      <alignment horizontal="center"/>
    </xf>
    <xf numFmtId="179" fontId="13" fillId="0" borderId="10" xfId="0" applyNumberFormat="1" applyFont="1" applyBorder="1" applyAlignment="1">
      <alignment horizontal="center"/>
    </xf>
    <xf numFmtId="178" fontId="24" fillId="0" borderId="7" xfId="0" applyNumberFormat="1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/>
    <xf numFmtId="0" fontId="32" fillId="0" borderId="4" xfId="0" applyFont="1" applyBorder="1" applyAlignment="1">
      <alignment horizontal="left"/>
    </xf>
    <xf numFmtId="0" fontId="7" fillId="0" borderId="2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3" fillId="0" borderId="0" xfId="0" applyFont="1" applyBorder="1"/>
    <xf numFmtId="0" fontId="14" fillId="0" borderId="0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2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6" fillId="0" borderId="0" xfId="0" applyFont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left"/>
    </xf>
    <xf numFmtId="2" fontId="22" fillId="0" borderId="0" xfId="0" quotePrefix="1" applyNumberFormat="1" applyFont="1" applyBorder="1" applyAlignment="1">
      <alignment horizontal="left"/>
    </xf>
    <xf numFmtId="0" fontId="3" fillId="0" borderId="0" xfId="0" quotePrefix="1" applyFont="1" applyBorder="1"/>
    <xf numFmtId="0" fontId="22" fillId="0" borderId="0" xfId="0" applyFont="1" applyBorder="1" applyAlignment="1"/>
    <xf numFmtId="10" fontId="6" fillId="0" borderId="0" xfId="0" quotePrefix="1" applyNumberFormat="1" applyFont="1" applyBorder="1" applyAlignment="1">
      <alignment horizontal="center"/>
    </xf>
    <xf numFmtId="0" fontId="14" fillId="0" borderId="0" xfId="0" applyFont="1" applyBorder="1" applyAlignment="1">
      <alignment horizontal="left"/>
    </xf>
    <xf numFmtId="2" fontId="21" fillId="0" borderId="0" xfId="0" quotePrefix="1" applyNumberFormat="1" applyFont="1" applyBorder="1" applyAlignment="1">
      <alignment horizontal="center"/>
    </xf>
    <xf numFmtId="0" fontId="6" fillId="0" borderId="0" xfId="0" quotePrefix="1" applyFont="1" applyBorder="1" applyAlignment="1"/>
    <xf numFmtId="176" fontId="22" fillId="0" borderId="0" xfId="0" applyNumberFormat="1" applyFont="1" applyBorder="1"/>
    <xf numFmtId="10" fontId="6" fillId="0" borderId="0" xfId="0" applyNumberFormat="1" applyFont="1" applyBorder="1" applyAlignment="1">
      <alignment horizontal="center"/>
    </xf>
    <xf numFmtId="2" fontId="21" fillId="0" borderId="0" xfId="0" quotePrefix="1" applyNumberFormat="1" applyFont="1" applyBorder="1" applyAlignment="1">
      <alignment horizontal="left"/>
    </xf>
    <xf numFmtId="0" fontId="11" fillId="0" borderId="0" xfId="0" quotePrefix="1" applyFont="1" applyBorder="1" applyAlignment="1"/>
    <xf numFmtId="176" fontId="22" fillId="0" borderId="0" xfId="0" applyNumberFormat="1" applyFont="1" applyBorder="1" applyAlignment="1">
      <alignment horizontal="left"/>
    </xf>
    <xf numFmtId="10" fontId="8" fillId="0" borderId="0" xfId="0" applyNumberFormat="1" applyFont="1" applyBorder="1" applyAlignment="1">
      <alignment horizontal="center"/>
    </xf>
    <xf numFmtId="2" fontId="21" fillId="0" borderId="0" xfId="0" quotePrefix="1" applyNumberFormat="1" applyFont="1" applyFill="1" applyBorder="1" applyAlignment="1">
      <alignment horizontal="center"/>
    </xf>
    <xf numFmtId="9" fontId="8" fillId="0" borderId="0" xfId="0" applyNumberFormat="1" applyFont="1" applyBorder="1" applyAlignment="1">
      <alignment horizontal="center"/>
    </xf>
    <xf numFmtId="0" fontId="3" fillId="0" borderId="0" xfId="0" quotePrefix="1" applyFont="1" applyFill="1" applyBorder="1"/>
    <xf numFmtId="0" fontId="6" fillId="0" borderId="0" xfId="0" applyFont="1" applyFill="1" applyBorder="1"/>
    <xf numFmtId="176" fontId="22" fillId="0" borderId="0" xfId="0" applyNumberFormat="1" applyFont="1" applyBorder="1" applyAlignment="1"/>
    <xf numFmtId="0" fontId="10" fillId="0" borderId="0" xfId="0" quotePrefix="1" applyFont="1" applyBorder="1"/>
    <xf numFmtId="0" fontId="3" fillId="0" borderId="0" xfId="0" quotePrefix="1" applyFont="1" applyBorder="1" applyAlignment="1">
      <alignment horizontal="center"/>
    </xf>
    <xf numFmtId="176" fontId="8" fillId="0" borderId="0" xfId="0" applyNumberFormat="1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/>
    <xf numFmtId="0" fontId="23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179" fontId="8" fillId="0" borderId="9" xfId="0" applyNumberFormat="1" applyFont="1" applyBorder="1" applyAlignment="1">
      <alignment horizontal="center"/>
    </xf>
    <xf numFmtId="0" fontId="0" fillId="0" borderId="0" xfId="0" quotePrefix="1"/>
    <xf numFmtId="0" fontId="22" fillId="0" borderId="23" xfId="0" quotePrefix="1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3" fillId="0" borderId="15" xfId="0" applyFont="1" applyBorder="1"/>
    <xf numFmtId="0" fontId="6" fillId="0" borderId="40" xfId="0" applyFont="1" applyBorder="1" applyAlignment="1">
      <alignment horizontal="center"/>
    </xf>
    <xf numFmtId="179" fontId="6" fillId="0" borderId="1" xfId="0" applyNumberFormat="1" applyFont="1" applyBorder="1" applyAlignment="1">
      <alignment horizontal="center"/>
    </xf>
    <xf numFmtId="179" fontId="1" fillId="0" borderId="10" xfId="0" applyNumberFormat="1" applyFont="1" applyBorder="1" applyAlignment="1">
      <alignment horizontal="center"/>
    </xf>
    <xf numFmtId="179" fontId="3" fillId="0" borderId="1" xfId="0" applyNumberFormat="1" applyFont="1" applyBorder="1" applyAlignment="1">
      <alignment horizontal="center"/>
    </xf>
    <xf numFmtId="179" fontId="9" fillId="0" borderId="10" xfId="0" applyNumberFormat="1" applyFont="1" applyBorder="1" applyAlignment="1">
      <alignment horizontal="center"/>
    </xf>
    <xf numFmtId="179" fontId="3" fillId="0" borderId="10" xfId="0" applyNumberFormat="1" applyFont="1" applyBorder="1" applyAlignment="1">
      <alignment horizontal="center"/>
    </xf>
    <xf numFmtId="2" fontId="8" fillId="0" borderId="9" xfId="0" applyNumberFormat="1" applyFont="1" applyBorder="1" applyAlignment="1">
      <alignment horizontal="center"/>
    </xf>
    <xf numFmtId="179" fontId="24" fillId="0" borderId="1" xfId="0" applyNumberFormat="1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24" fillId="0" borderId="34" xfId="0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179" fontId="8" fillId="0" borderId="31" xfId="0" applyNumberFormat="1" applyFont="1" applyBorder="1" applyAlignment="1">
      <alignment horizontal="center"/>
    </xf>
    <xf numFmtId="178" fontId="13" fillId="0" borderId="21" xfId="0" applyNumberFormat="1" applyFont="1" applyBorder="1" applyAlignment="1">
      <alignment horizontal="center"/>
    </xf>
    <xf numFmtId="2" fontId="8" fillId="0" borderId="5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179" fontId="24" fillId="0" borderId="5" xfId="0" applyNumberFormat="1" applyFont="1" applyBorder="1" applyAlignment="1">
      <alignment horizontal="center"/>
    </xf>
    <xf numFmtId="179" fontId="24" fillId="0" borderId="34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41" xfId="0" applyBorder="1"/>
    <xf numFmtId="0" fontId="0" fillId="0" borderId="42" xfId="0" applyBorder="1"/>
    <xf numFmtId="0" fontId="36" fillId="0" borderId="0" xfId="0" applyFont="1"/>
    <xf numFmtId="178" fontId="37" fillId="0" borderId="0" xfId="0" applyNumberFormat="1" applyFont="1" applyAlignment="1">
      <alignment horizontal="center"/>
    </xf>
    <xf numFmtId="0" fontId="22" fillId="0" borderId="2" xfId="0" applyFont="1" applyBorder="1" applyAlignment="1"/>
    <xf numFmtId="0" fontId="0" fillId="0" borderId="2" xfId="0" applyBorder="1" applyAlignment="1"/>
    <xf numFmtId="0" fontId="0" fillId="0" borderId="10" xfId="0" applyBorder="1"/>
    <xf numFmtId="0" fontId="10" fillId="0" borderId="0" xfId="0" applyFont="1" applyFill="1" applyBorder="1" applyAlignment="1">
      <alignment horizontal="center"/>
    </xf>
    <xf numFmtId="0" fontId="10" fillId="0" borderId="0" xfId="0" applyFont="1" applyBorder="1"/>
    <xf numFmtId="179" fontId="23" fillId="3" borderId="1" xfId="0" applyNumberFormat="1" applyFont="1" applyFill="1" applyBorder="1" applyAlignment="1">
      <alignment horizontal="center"/>
    </xf>
    <xf numFmtId="179" fontId="23" fillId="3" borderId="3" xfId="0" applyNumberFormat="1" applyFont="1" applyFill="1" applyBorder="1" applyAlignment="1">
      <alignment horizontal="center"/>
    </xf>
    <xf numFmtId="179" fontId="23" fillId="3" borderId="2" xfId="0" applyNumberFormat="1" applyFont="1" applyFill="1" applyBorder="1" applyAlignment="1">
      <alignment horizontal="center"/>
    </xf>
    <xf numFmtId="0" fontId="1" fillId="0" borderId="0" xfId="1">
      <alignment vertical="center"/>
    </xf>
    <xf numFmtId="0" fontId="38" fillId="0" borderId="0" xfId="1" applyFont="1">
      <alignment vertical="center"/>
    </xf>
    <xf numFmtId="0" fontId="1" fillId="0" borderId="4" xfId="1" applyBorder="1" applyAlignment="1">
      <alignment horizontal="center" vertical="center"/>
    </xf>
    <xf numFmtId="0" fontId="1" fillId="0" borderId="25" xfId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49" xfId="1" applyBorder="1" applyAlignment="1">
      <alignment horizontal="center" vertical="center"/>
    </xf>
    <xf numFmtId="0" fontId="1" fillId="0" borderId="51" xfId="1" applyBorder="1" applyAlignment="1">
      <alignment horizontal="center" vertical="center"/>
    </xf>
    <xf numFmtId="0" fontId="1" fillId="0" borderId="43" xfId="1" applyBorder="1" applyAlignment="1">
      <alignment horizontal="center" vertical="center"/>
    </xf>
    <xf numFmtId="0" fontId="1" fillId="0" borderId="54" xfId="1" applyBorder="1" applyAlignment="1">
      <alignment horizontal="center" vertical="center"/>
    </xf>
    <xf numFmtId="0" fontId="1" fillId="0" borderId="60" xfId="1" applyBorder="1" applyAlignment="1">
      <alignment horizontal="center" vertical="center"/>
    </xf>
    <xf numFmtId="0" fontId="1" fillId="0" borderId="59" xfId="1" applyBorder="1" applyAlignment="1">
      <alignment horizontal="center" vertical="center"/>
    </xf>
    <xf numFmtId="0" fontId="1" fillId="0" borderId="58" xfId="1" applyBorder="1" applyAlignment="1">
      <alignment horizontal="center" vertical="center"/>
    </xf>
    <xf numFmtId="0" fontId="1" fillId="0" borderId="0" xfId="1" applyFill="1" applyBorder="1" applyAlignment="1">
      <alignment horizontal="left" vertical="center"/>
    </xf>
    <xf numFmtId="0" fontId="19" fillId="0" borderId="1" xfId="1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1" applyBorder="1">
      <alignment vertical="center"/>
    </xf>
    <xf numFmtId="0" fontId="39" fillId="0" borderId="0" xfId="1" applyFont="1">
      <alignment vertical="center"/>
    </xf>
    <xf numFmtId="0" fontId="1" fillId="0" borderId="60" xfId="1" applyFill="1" applyBorder="1" applyAlignment="1">
      <alignment horizontal="center" vertical="center"/>
    </xf>
    <xf numFmtId="0" fontId="1" fillId="3" borderId="50" xfId="1" applyFill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29" xfId="0" applyBorder="1" applyAlignment="1">
      <alignment horizontal="center"/>
    </xf>
    <xf numFmtId="0" fontId="3" fillId="0" borderId="43" xfId="0" quotePrefix="1" applyFont="1" applyFill="1" applyBorder="1" applyAlignment="1">
      <alignment horizontal="center"/>
    </xf>
    <xf numFmtId="0" fontId="3" fillId="0" borderId="28" xfId="0" quotePrefix="1" applyFont="1" applyFill="1" applyBorder="1" applyAlignment="1">
      <alignment horizontal="center"/>
    </xf>
    <xf numFmtId="0" fontId="10" fillId="0" borderId="59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10" fontId="8" fillId="0" borderId="24" xfId="0" applyNumberFormat="1" applyFont="1" applyBorder="1" applyAlignment="1">
      <alignment horizontal="center"/>
    </xf>
    <xf numFmtId="10" fontId="8" fillId="0" borderId="20" xfId="0" applyNumberFormat="1" applyFont="1" applyBorder="1" applyAlignment="1">
      <alignment horizontal="center"/>
    </xf>
    <xf numFmtId="10" fontId="8" fillId="0" borderId="14" xfId="0" applyNumberFormat="1" applyFont="1" applyBorder="1" applyAlignment="1">
      <alignment horizontal="center"/>
    </xf>
    <xf numFmtId="0" fontId="6" fillId="0" borderId="51" xfId="0" applyFont="1" applyFill="1" applyBorder="1" applyAlignment="1">
      <alignment horizontal="center"/>
    </xf>
    <xf numFmtId="0" fontId="6" fillId="0" borderId="27" xfId="0" applyFont="1" applyFill="1" applyBorder="1" applyAlignment="1">
      <alignment horizontal="center"/>
    </xf>
    <xf numFmtId="0" fontId="3" fillId="0" borderId="43" xfId="0" quotePrefix="1" applyFont="1" applyBorder="1" applyAlignment="1">
      <alignment horizontal="center"/>
    </xf>
    <xf numFmtId="0" fontId="3" fillId="0" borderId="28" xfId="0" quotePrefix="1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3" xfId="0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53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58" xfId="0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27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9" fontId="1" fillId="0" borderId="51" xfId="1" applyNumberFormat="1" applyFill="1" applyBorder="1" applyAlignment="1">
      <alignment horizontal="center" vertical="center"/>
    </xf>
    <xf numFmtId="0" fontId="1" fillId="0" borderId="60" xfId="1" applyFill="1" applyBorder="1" applyAlignment="1">
      <alignment horizontal="center" vertical="center"/>
    </xf>
    <xf numFmtId="0" fontId="1" fillId="0" borderId="4" xfId="1" applyFill="1" applyBorder="1" applyAlignment="1">
      <alignment horizontal="center" vertical="center"/>
    </xf>
    <xf numFmtId="0" fontId="1" fillId="0" borderId="7" xfId="1" applyFill="1" applyBorder="1" applyAlignment="1">
      <alignment horizontal="center" vertical="center"/>
    </xf>
    <xf numFmtId="0" fontId="1" fillId="0" borderId="49" xfId="1" applyBorder="1" applyAlignment="1">
      <alignment horizontal="center" vertical="center"/>
    </xf>
    <xf numFmtId="0" fontId="1" fillId="0" borderId="50" xfId="1" applyBorder="1" applyAlignment="1">
      <alignment horizontal="center" vertical="center"/>
    </xf>
    <xf numFmtId="0" fontId="1" fillId="0" borderId="61" xfId="1" applyBorder="1" applyAlignment="1">
      <alignment horizontal="center" vertical="center"/>
    </xf>
    <xf numFmtId="0" fontId="1" fillId="0" borderId="62" xfId="1" applyBorder="1" applyAlignment="1">
      <alignment horizontal="center" vertical="center"/>
    </xf>
    <xf numFmtId="0" fontId="1" fillId="0" borderId="63" xfId="1" applyBorder="1" applyAlignment="1">
      <alignment horizontal="center" vertical="center"/>
    </xf>
    <xf numFmtId="0" fontId="1" fillId="0" borderId="37" xfId="1" applyBorder="1" applyAlignment="1">
      <alignment horizontal="center" vertical="center"/>
    </xf>
    <xf numFmtId="0" fontId="1" fillId="0" borderId="52" xfId="1" applyBorder="1" applyAlignment="1">
      <alignment horizontal="center" vertical="center"/>
    </xf>
    <xf numFmtId="0" fontId="1" fillId="0" borderId="60" xfId="1" applyBorder="1" applyAlignment="1">
      <alignment horizontal="center" vertical="center"/>
    </xf>
    <xf numFmtId="0" fontId="0" fillId="0" borderId="38" xfId="1" applyFont="1" applyBorder="1" applyAlignment="1">
      <alignment horizontal="center" vertical="center"/>
    </xf>
    <xf numFmtId="0" fontId="1" fillId="0" borderId="44" xfId="1" applyBorder="1" applyAlignment="1">
      <alignment horizontal="center" vertical="center"/>
    </xf>
    <xf numFmtId="0" fontId="1" fillId="0" borderId="58" xfId="1" applyBorder="1" applyAlignment="1">
      <alignment horizontal="center" vertical="center"/>
    </xf>
    <xf numFmtId="0" fontId="1" fillId="3" borderId="49" xfId="1" applyFill="1" applyBorder="1" applyAlignment="1">
      <alignment horizontal="center" vertical="center"/>
    </xf>
    <xf numFmtId="0" fontId="1" fillId="3" borderId="50" xfId="1" applyFill="1" applyBorder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zoomScale="75" workbookViewId="0">
      <selection activeCell="D5" sqref="D5:M9"/>
    </sheetView>
  </sheetViews>
  <sheetFormatPr defaultRowHeight="16.5" x14ac:dyDescent="0.25"/>
  <cols>
    <col min="2" max="2" width="13.75" customWidth="1"/>
    <col min="4" max="4" width="13.5" customWidth="1"/>
    <col min="5" max="5" width="11.75" customWidth="1"/>
    <col min="6" max="6" width="10" customWidth="1"/>
    <col min="7" max="7" width="10.375" customWidth="1"/>
    <col min="9" max="9" width="13" customWidth="1"/>
    <col min="10" max="10" width="12.375" customWidth="1"/>
    <col min="11" max="11" width="11.75" customWidth="1"/>
    <col min="12" max="12" width="12.125" customWidth="1"/>
    <col min="15" max="15" width="10" bestFit="1" customWidth="1"/>
  </cols>
  <sheetData>
    <row r="1" spans="2:15" ht="42.75" customHeight="1" x14ac:dyDescent="0.4">
      <c r="B1" s="3"/>
      <c r="C1" s="3"/>
      <c r="D1" s="149"/>
      <c r="E1" s="150"/>
      <c r="F1" s="151" t="s">
        <v>82</v>
      </c>
      <c r="G1" s="152"/>
      <c r="H1" s="150"/>
      <c r="I1" s="1"/>
      <c r="J1" s="191" t="s">
        <v>1</v>
      </c>
      <c r="K1" s="192">
        <v>20120726</v>
      </c>
      <c r="L1" s="1"/>
      <c r="M1" s="1"/>
      <c r="N1" s="1"/>
      <c r="O1" s="9"/>
    </row>
    <row r="2" spans="2:15" ht="42.75" customHeight="1" x14ac:dyDescent="0.3">
      <c r="B2" s="3"/>
      <c r="C2" s="3"/>
      <c r="D2" s="144" t="s">
        <v>83</v>
      </c>
      <c r="E2" s="252" t="s">
        <v>88</v>
      </c>
      <c r="F2" s="252"/>
      <c r="G2" s="253" t="s">
        <v>87</v>
      </c>
      <c r="H2" s="253"/>
      <c r="I2" s="253" t="s">
        <v>107</v>
      </c>
      <c r="J2" s="253"/>
      <c r="K2" s="11"/>
      <c r="L2" s="1"/>
      <c r="M2" s="1"/>
      <c r="N2" s="1"/>
      <c r="O2" s="9"/>
    </row>
    <row r="3" spans="2:15" ht="17.25" thickBot="1" x14ac:dyDescent="0.3">
      <c r="D3" s="1"/>
      <c r="E3" s="1"/>
      <c r="H3" s="1"/>
      <c r="I3" s="1"/>
      <c r="J3" s="9"/>
      <c r="K3" s="9"/>
      <c r="L3" s="1"/>
      <c r="M3" s="1"/>
      <c r="N3" s="1"/>
      <c r="O3" s="9"/>
    </row>
    <row r="4" spans="2:15" ht="35.25" customHeight="1" x14ac:dyDescent="0.25">
      <c r="B4" s="153" t="s">
        <v>84</v>
      </c>
      <c r="C4" s="68"/>
      <c r="D4" s="6" t="s">
        <v>91</v>
      </c>
      <c r="E4" s="6" t="s">
        <v>92</v>
      </c>
      <c r="F4" s="6" t="s">
        <v>93</v>
      </c>
      <c r="G4" s="6" t="s">
        <v>94</v>
      </c>
      <c r="H4" s="6" t="s">
        <v>95</v>
      </c>
      <c r="I4" s="6" t="s">
        <v>96</v>
      </c>
      <c r="J4" s="6" t="s">
        <v>97</v>
      </c>
      <c r="K4" s="6" t="s">
        <v>98</v>
      </c>
      <c r="L4" s="6" t="s">
        <v>99</v>
      </c>
      <c r="M4" s="6" t="s">
        <v>100</v>
      </c>
      <c r="N4" s="6"/>
      <c r="O4" s="18"/>
    </row>
    <row r="5" spans="2:15" ht="29.25" customHeight="1" x14ac:dyDescent="0.25">
      <c r="B5" s="17" t="s">
        <v>101</v>
      </c>
      <c r="C5" s="69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12"/>
      <c r="O5" s="16"/>
    </row>
    <row r="6" spans="2:15" ht="30.75" customHeight="1" thickBot="1" x14ac:dyDescent="0.3">
      <c r="B6" s="17" t="s">
        <v>101</v>
      </c>
      <c r="C6" s="186"/>
      <c r="D6" s="204"/>
      <c r="E6" s="204"/>
      <c r="F6" s="205"/>
      <c r="G6" s="205"/>
      <c r="H6" s="206"/>
      <c r="I6" s="206"/>
      <c r="J6" s="206"/>
      <c r="K6" s="206"/>
      <c r="L6" s="206"/>
      <c r="M6" s="206"/>
      <c r="N6" s="35"/>
      <c r="O6" s="43"/>
    </row>
    <row r="7" spans="2:15" ht="24" customHeight="1" x14ac:dyDescent="0.25">
      <c r="B7" s="187"/>
      <c r="C7" s="188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90"/>
    </row>
    <row r="8" spans="2:15" ht="31.5" customHeight="1" x14ac:dyDescent="0.25">
      <c r="B8" s="17" t="s">
        <v>108</v>
      </c>
      <c r="C8" s="71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13"/>
      <c r="O8" s="16"/>
    </row>
    <row r="9" spans="2:15" ht="36" customHeight="1" thickBot="1" x14ac:dyDescent="0.3">
      <c r="B9" s="210" t="s">
        <v>108</v>
      </c>
      <c r="C9" s="154"/>
      <c r="D9" s="204"/>
      <c r="E9" s="204"/>
      <c r="F9" s="207"/>
      <c r="G9" s="207"/>
      <c r="H9" s="206"/>
      <c r="I9" s="206"/>
      <c r="J9" s="206"/>
      <c r="K9" s="206"/>
      <c r="L9" s="206"/>
      <c r="M9" s="206"/>
      <c r="N9" s="155"/>
      <c r="O9" s="43"/>
    </row>
    <row r="10" spans="2:15" x14ac:dyDescent="0.25">
      <c r="D10" s="51"/>
      <c r="E10" s="49"/>
      <c r="F10" s="36"/>
      <c r="G10" s="36"/>
      <c r="H10" s="36"/>
      <c r="I10" s="36"/>
      <c r="J10" s="36"/>
      <c r="K10" s="36"/>
      <c r="L10" s="24"/>
    </row>
    <row r="11" spans="2:15" s="24" customFormat="1" x14ac:dyDescent="0.25">
      <c r="B11" s="256"/>
      <c r="C11" s="256"/>
      <c r="D11" s="256"/>
      <c r="E11" s="256"/>
      <c r="F11" s="256"/>
      <c r="G11" s="256"/>
      <c r="H11" s="256"/>
      <c r="I11" s="256"/>
      <c r="J11" s="256"/>
      <c r="K11" s="256"/>
      <c r="L11" s="256"/>
    </row>
    <row r="12" spans="2:15" s="24" customFormat="1" x14ac:dyDescent="0.25">
      <c r="B12" s="255"/>
      <c r="C12" s="255"/>
      <c r="D12" s="255"/>
      <c r="E12" s="254"/>
      <c r="F12" s="257"/>
      <c r="G12" s="257"/>
      <c r="H12" s="257"/>
      <c r="I12" s="41"/>
      <c r="J12" s="41"/>
      <c r="K12" s="41"/>
      <c r="L12" s="156"/>
    </row>
    <row r="13" spans="2:15" s="24" customFormat="1" x14ac:dyDescent="0.25">
      <c r="B13" s="254"/>
      <c r="C13" s="254"/>
      <c r="D13" s="254"/>
      <c r="E13" s="258"/>
      <c r="F13" s="258"/>
      <c r="G13" s="258"/>
      <c r="H13" s="258"/>
      <c r="I13" s="41"/>
      <c r="J13" s="41"/>
      <c r="K13" s="41"/>
      <c r="L13" s="156"/>
    </row>
    <row r="14" spans="2:15" s="24" customFormat="1" x14ac:dyDescent="0.25">
      <c r="B14" s="254"/>
      <c r="C14" s="254"/>
      <c r="D14" s="254"/>
      <c r="E14" s="255"/>
      <c r="F14" s="255"/>
      <c r="G14" s="255"/>
      <c r="H14" s="255"/>
      <c r="I14" s="41"/>
      <c r="J14" s="41"/>
      <c r="K14" s="36"/>
    </row>
    <row r="15" spans="2:15" s="24" customFormat="1" x14ac:dyDescent="0.25">
      <c r="B15" s="156"/>
      <c r="C15" s="156"/>
      <c r="D15" s="51"/>
      <c r="E15" s="49"/>
      <c r="F15" s="36"/>
      <c r="G15" s="36"/>
      <c r="H15" s="36"/>
      <c r="I15" s="36"/>
      <c r="J15" s="36"/>
      <c r="K15" s="36"/>
    </row>
    <row r="16" spans="2:15" s="24" customFormat="1" ht="19.5" x14ac:dyDescent="0.3">
      <c r="B16" s="255"/>
      <c r="C16" s="255"/>
      <c r="D16" s="255"/>
      <c r="E16" s="59"/>
      <c r="F16" s="158"/>
      <c r="G16" s="39"/>
      <c r="H16" s="159"/>
      <c r="I16" s="39"/>
      <c r="J16" s="160"/>
      <c r="K16" s="259"/>
      <c r="L16" s="259"/>
    </row>
    <row r="17" spans="1:11" s="24" customFormat="1" x14ac:dyDescent="0.25">
      <c r="B17" s="162"/>
      <c r="C17" s="162"/>
      <c r="D17" s="36"/>
      <c r="E17" s="36"/>
      <c r="F17" s="36"/>
      <c r="G17" s="36"/>
      <c r="H17" s="36"/>
      <c r="I17" s="254"/>
      <c r="J17" s="255"/>
      <c r="K17" s="255"/>
    </row>
    <row r="18" spans="1:11" s="24" customFormat="1" x14ac:dyDescent="0.25">
      <c r="B18" s="162"/>
      <c r="C18" s="162"/>
      <c r="D18" s="36"/>
      <c r="E18" s="36"/>
      <c r="F18" s="36"/>
      <c r="G18" s="36"/>
      <c r="H18" s="36"/>
      <c r="I18" s="41"/>
      <c r="J18" s="36"/>
      <c r="K18" s="36"/>
    </row>
    <row r="19" spans="1:11" s="24" customFormat="1" x14ac:dyDescent="0.25">
      <c r="B19" s="50" t="s">
        <v>104</v>
      </c>
      <c r="C19" s="41"/>
      <c r="D19" s="51"/>
      <c r="E19" s="49"/>
      <c r="F19" s="36"/>
      <c r="G19" s="36"/>
      <c r="H19" s="36"/>
      <c r="I19" s="36"/>
      <c r="J19" s="36"/>
      <c r="K19" s="36"/>
    </row>
    <row r="20" spans="1:11" s="24" customFormat="1" x14ac:dyDescent="0.25">
      <c r="B20" s="227" t="s">
        <v>103</v>
      </c>
      <c r="C20" s="163"/>
      <c r="D20" s="52"/>
      <c r="E20" s="50"/>
      <c r="F20" s="36"/>
      <c r="G20" s="41"/>
      <c r="H20" s="41"/>
      <c r="I20" s="164"/>
      <c r="J20" s="36"/>
      <c r="K20" s="36"/>
    </row>
    <row r="21" spans="1:11" s="24" customFormat="1" ht="19.5" x14ac:dyDescent="0.3">
      <c r="B21" s="24" t="s">
        <v>105</v>
      </c>
      <c r="D21" s="53"/>
      <c r="E21" s="50"/>
      <c r="F21" s="36"/>
      <c r="G21" s="36"/>
      <c r="H21" s="36"/>
      <c r="I21" s="165"/>
      <c r="J21" s="39"/>
      <c r="K21" s="36"/>
    </row>
    <row r="22" spans="1:11" s="24" customFormat="1" ht="19.5" x14ac:dyDescent="0.3">
      <c r="B22" s="227" t="s">
        <v>103</v>
      </c>
      <c r="C22" s="166"/>
      <c r="D22" s="167"/>
      <c r="E22" s="49"/>
      <c r="F22" s="36"/>
      <c r="G22" s="36"/>
      <c r="H22" s="36"/>
      <c r="I22" s="168"/>
      <c r="J22" s="36"/>
      <c r="K22" s="36"/>
    </row>
    <row r="23" spans="1:11" s="24" customFormat="1" x14ac:dyDescent="0.25">
      <c r="B23" s="228" t="s">
        <v>106</v>
      </c>
      <c r="C23" s="166"/>
      <c r="D23" s="51"/>
      <c r="E23" s="169"/>
      <c r="F23" s="157"/>
      <c r="G23" s="157"/>
      <c r="H23" s="36"/>
      <c r="I23" s="36"/>
      <c r="J23" s="36"/>
      <c r="K23" s="36"/>
    </row>
    <row r="24" spans="1:11" s="24" customFormat="1" x14ac:dyDescent="0.25">
      <c r="B24" s="156"/>
      <c r="C24" s="156"/>
      <c r="D24" s="52"/>
      <c r="E24" s="49"/>
      <c r="F24" s="36"/>
      <c r="G24" s="36"/>
      <c r="H24" s="36"/>
      <c r="I24" s="50"/>
      <c r="J24" s="36"/>
      <c r="K24" s="36"/>
    </row>
    <row r="25" spans="1:11" s="24" customFormat="1" ht="18.75" x14ac:dyDescent="0.3">
      <c r="D25" s="53"/>
      <c r="E25" s="49"/>
      <c r="F25" s="36"/>
      <c r="G25" s="36"/>
      <c r="H25" s="36"/>
      <c r="I25" s="170"/>
      <c r="J25" s="39"/>
      <c r="K25" s="36"/>
    </row>
    <row r="26" spans="1:11" s="24" customFormat="1" ht="19.5" x14ac:dyDescent="0.3">
      <c r="A26" s="156"/>
      <c r="D26" s="171"/>
      <c r="E26" s="172"/>
      <c r="F26" s="36"/>
      <c r="G26" s="36"/>
      <c r="H26" s="36"/>
      <c r="I26" s="173"/>
      <c r="J26" s="36"/>
      <c r="K26" s="36"/>
    </row>
    <row r="27" spans="1:11" s="24" customFormat="1" x14ac:dyDescent="0.25">
      <c r="D27" s="51"/>
      <c r="E27" s="49"/>
      <c r="F27" s="41"/>
      <c r="G27" s="36"/>
      <c r="H27" s="36"/>
      <c r="I27" s="50"/>
      <c r="J27" s="36"/>
      <c r="K27" s="36"/>
    </row>
    <row r="28" spans="1:11" s="24" customFormat="1" x14ac:dyDescent="0.25">
      <c r="D28" s="51"/>
      <c r="E28" s="49"/>
      <c r="F28" s="41"/>
      <c r="G28" s="36"/>
      <c r="H28" s="36"/>
      <c r="I28" s="50"/>
      <c r="J28" s="36"/>
      <c r="K28" s="36"/>
    </row>
    <row r="29" spans="1:11" s="24" customFormat="1" x14ac:dyDescent="0.25">
      <c r="D29" s="51"/>
      <c r="E29" s="49"/>
      <c r="F29" s="36"/>
      <c r="G29" s="36"/>
      <c r="H29" s="36"/>
      <c r="I29" s="36"/>
      <c r="J29" s="36"/>
      <c r="K29" s="36"/>
    </row>
    <row r="30" spans="1:11" s="24" customFormat="1" x14ac:dyDescent="0.25">
      <c r="B30" s="156"/>
      <c r="C30" s="156"/>
      <c r="D30" s="52"/>
      <c r="E30" s="49"/>
      <c r="F30" s="36"/>
      <c r="G30" s="36"/>
      <c r="H30" s="36"/>
      <c r="I30" s="50"/>
      <c r="J30" s="36"/>
      <c r="K30" s="36"/>
    </row>
    <row r="31" spans="1:11" s="24" customFormat="1" ht="18.75" x14ac:dyDescent="0.3">
      <c r="D31" s="53"/>
      <c r="E31" s="49"/>
      <c r="F31" s="36"/>
      <c r="G31" s="36"/>
      <c r="H31" s="36"/>
      <c r="I31" s="174"/>
      <c r="J31" s="39"/>
      <c r="K31" s="36"/>
    </row>
    <row r="32" spans="1:11" s="24" customFormat="1" ht="19.5" x14ac:dyDescent="0.3">
      <c r="D32" s="175"/>
      <c r="E32" s="176"/>
      <c r="F32" s="161"/>
      <c r="G32" s="36"/>
      <c r="H32" s="36"/>
      <c r="I32" s="177"/>
      <c r="J32" s="36"/>
      <c r="K32" s="36"/>
    </row>
    <row r="33" spans="2:12" s="24" customFormat="1" x14ac:dyDescent="0.25">
      <c r="D33" s="51"/>
      <c r="E33" s="49"/>
      <c r="F33" s="36"/>
      <c r="G33" s="41"/>
      <c r="H33" s="41"/>
      <c r="I33" s="36"/>
      <c r="J33" s="36"/>
      <c r="K33" s="36"/>
    </row>
    <row r="34" spans="2:12" s="24" customFormat="1" x14ac:dyDescent="0.25">
      <c r="B34" s="156"/>
      <c r="C34" s="156"/>
      <c r="D34" s="54"/>
      <c r="E34" s="49"/>
      <c r="F34" s="36"/>
      <c r="G34" s="36"/>
      <c r="H34" s="36"/>
      <c r="I34" s="50"/>
      <c r="J34" s="36"/>
      <c r="K34" s="36"/>
    </row>
    <row r="35" spans="2:12" s="24" customFormat="1" ht="18.75" x14ac:dyDescent="0.3">
      <c r="B35" s="162"/>
      <c r="C35" s="162"/>
      <c r="D35" s="51"/>
      <c r="E35" s="41"/>
      <c r="F35" s="36"/>
      <c r="G35" s="36"/>
      <c r="H35" s="36"/>
      <c r="I35" s="178"/>
      <c r="J35" s="39"/>
      <c r="K35" s="36"/>
    </row>
    <row r="36" spans="2:12" s="24" customFormat="1" ht="19.5" x14ac:dyDescent="0.3">
      <c r="B36" s="166"/>
      <c r="C36" s="166"/>
      <c r="D36" s="167"/>
      <c r="E36" s="49"/>
      <c r="F36" s="36"/>
      <c r="G36" s="36"/>
      <c r="H36" s="36"/>
      <c r="I36" s="179"/>
      <c r="J36" s="36"/>
      <c r="K36" s="36"/>
    </row>
    <row r="37" spans="2:12" s="24" customFormat="1" x14ac:dyDescent="0.25">
      <c r="B37" s="180"/>
      <c r="C37" s="180"/>
      <c r="D37" s="51"/>
      <c r="E37" s="49"/>
      <c r="F37" s="36"/>
      <c r="G37" s="36"/>
      <c r="H37" s="36"/>
      <c r="I37" s="36"/>
      <c r="J37" s="36"/>
      <c r="K37" s="36"/>
    </row>
    <row r="38" spans="2:12" s="24" customFormat="1" x14ac:dyDescent="0.25">
      <c r="B38" s="163"/>
      <c r="C38" s="163"/>
      <c r="D38" s="51"/>
      <c r="E38" s="49"/>
      <c r="F38" s="36"/>
      <c r="G38" s="36"/>
      <c r="H38" s="36"/>
      <c r="I38" s="36"/>
      <c r="J38" s="36"/>
      <c r="K38" s="36"/>
    </row>
    <row r="39" spans="2:12" s="24" customFormat="1" x14ac:dyDescent="0.25">
      <c r="B39" s="181"/>
      <c r="C39" s="181"/>
      <c r="D39" s="51"/>
      <c r="E39" s="49"/>
      <c r="F39" s="36"/>
      <c r="G39" s="36"/>
      <c r="H39" s="36"/>
      <c r="I39" s="36"/>
      <c r="J39" s="36"/>
      <c r="K39" s="36"/>
    </row>
    <row r="40" spans="2:12" s="24" customFormat="1" ht="19.5" x14ac:dyDescent="0.3">
      <c r="B40" s="180"/>
      <c r="C40" s="180"/>
      <c r="D40" s="182"/>
      <c r="E40" s="49"/>
      <c r="F40" s="36"/>
      <c r="G40" s="36"/>
      <c r="H40" s="36"/>
      <c r="I40" s="36"/>
      <c r="J40" s="36"/>
      <c r="K40" s="36"/>
    </row>
    <row r="41" spans="2:12" s="24" customFormat="1" x14ac:dyDescent="0.25">
      <c r="B41" s="180"/>
      <c r="C41" s="180"/>
      <c r="D41" s="51"/>
      <c r="E41" s="49"/>
      <c r="F41" s="36"/>
      <c r="G41" s="36"/>
      <c r="H41" s="36"/>
      <c r="I41" s="36"/>
      <c r="J41" s="36"/>
      <c r="K41" s="36"/>
    </row>
    <row r="42" spans="2:12" s="24" customFormat="1" x14ac:dyDescent="0.25">
      <c r="D42" s="51"/>
      <c r="E42" s="49"/>
      <c r="F42" s="36"/>
      <c r="G42" s="36"/>
      <c r="H42" s="36"/>
      <c r="I42" s="36"/>
      <c r="J42" s="36"/>
      <c r="K42" s="36"/>
    </row>
    <row r="43" spans="2:12" s="24" customFormat="1" x14ac:dyDescent="0.25"/>
    <row r="44" spans="2:12" s="24" customFormat="1" x14ac:dyDescent="0.25"/>
    <row r="45" spans="2:12" s="24" customFormat="1" x14ac:dyDescent="0.25"/>
    <row r="46" spans="2:12" s="24" customFormat="1" x14ac:dyDescent="0.25">
      <c r="B46" s="162"/>
      <c r="C46" s="183"/>
      <c r="D46" s="36"/>
      <c r="E46" s="41"/>
      <c r="F46" s="36"/>
      <c r="G46" s="184"/>
      <c r="H46" s="41"/>
      <c r="I46" s="41"/>
      <c r="J46" s="41"/>
      <c r="K46" s="41"/>
      <c r="L46" s="36"/>
    </row>
    <row r="47" spans="2:12" s="24" customFormat="1" x14ac:dyDescent="0.25">
      <c r="B47" s="166"/>
      <c r="C47" s="183"/>
      <c r="D47" s="36"/>
    </row>
    <row r="48" spans="2:12" s="24" customFormat="1" x14ac:dyDescent="0.25">
      <c r="B48" s="166"/>
      <c r="C48" s="166"/>
      <c r="D48" s="185"/>
    </row>
    <row r="49" spans="2:10" s="24" customFormat="1" x14ac:dyDescent="0.25"/>
    <row r="50" spans="2:10" s="24" customFormat="1" x14ac:dyDescent="0.25">
      <c r="B50" s="162"/>
      <c r="D50" s="36"/>
      <c r="E50" s="41"/>
      <c r="F50" s="36"/>
      <c r="G50" s="184"/>
      <c r="H50" s="36"/>
      <c r="I50" s="41"/>
      <c r="J50" s="41"/>
    </row>
    <row r="51" spans="2:10" s="24" customFormat="1" x14ac:dyDescent="0.25">
      <c r="B51" s="166"/>
      <c r="D51" s="36"/>
    </row>
    <row r="52" spans="2:10" s="24" customFormat="1" x14ac:dyDescent="0.25">
      <c r="B52" s="166"/>
      <c r="D52" s="185"/>
    </row>
    <row r="53" spans="2:10" s="24" customFormat="1" x14ac:dyDescent="0.25"/>
    <row r="54" spans="2:10" s="24" customFormat="1" x14ac:dyDescent="0.25">
      <c r="B54" s="162"/>
      <c r="D54" s="36"/>
      <c r="E54" s="41"/>
      <c r="F54" s="36"/>
      <c r="G54" s="184"/>
      <c r="H54" s="36"/>
      <c r="I54" s="41"/>
      <c r="J54" s="36"/>
    </row>
    <row r="55" spans="2:10" s="24" customFormat="1" x14ac:dyDescent="0.25">
      <c r="B55" s="166"/>
      <c r="D55" s="36"/>
    </row>
    <row r="56" spans="2:10" s="24" customFormat="1" x14ac:dyDescent="0.25">
      <c r="B56" s="166"/>
      <c r="D56" s="185"/>
    </row>
    <row r="57" spans="2:10" s="24" customFormat="1" x14ac:dyDescent="0.25"/>
    <row r="58" spans="2:10" s="24" customFormat="1" x14ac:dyDescent="0.25"/>
  </sheetData>
  <mergeCells count="13">
    <mergeCell ref="E2:F2"/>
    <mergeCell ref="G2:H2"/>
    <mergeCell ref="I2:J2"/>
    <mergeCell ref="I17:K17"/>
    <mergeCell ref="B11:L11"/>
    <mergeCell ref="B12:D12"/>
    <mergeCell ref="E12:H12"/>
    <mergeCell ref="B13:D13"/>
    <mergeCell ref="E13:H13"/>
    <mergeCell ref="B14:D14"/>
    <mergeCell ref="E14:H14"/>
    <mergeCell ref="B16:D16"/>
    <mergeCell ref="K16:L16"/>
  </mergeCells>
  <phoneticPr fontId="2" type="noConversion"/>
  <printOptions horizontalCentered="1"/>
  <pageMargins left="0.35433070866141736" right="0.35433070866141736" top="0.59055118110236227" bottom="0.59055118110236227" header="0.51181102362204722" footer="0.51181102362204722"/>
  <pageSetup paperSize="9" scale="55" orientation="portrait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2"/>
  <sheetViews>
    <sheetView zoomScale="65" workbookViewId="0">
      <selection activeCell="E48" sqref="E48"/>
    </sheetView>
  </sheetViews>
  <sheetFormatPr defaultRowHeight="16.5" x14ac:dyDescent="0.2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875" customWidth="1"/>
    <col min="8" max="8" width="13" bestFit="1" customWidth="1"/>
    <col min="9" max="9" width="13" customWidth="1"/>
    <col min="10" max="10" width="12.375" customWidth="1"/>
    <col min="11" max="11" width="11.75" customWidth="1"/>
    <col min="12" max="12" width="17.5" customWidth="1"/>
    <col min="13" max="13" width="13" bestFit="1" customWidth="1"/>
    <col min="15" max="15" width="10" bestFit="1" customWidth="1"/>
  </cols>
  <sheetData>
    <row r="1" spans="2:15" ht="25.5" x14ac:dyDescent="0.4">
      <c r="B1" s="3"/>
      <c r="C1" s="3"/>
      <c r="D1" s="145"/>
      <c r="E1" s="1"/>
      <c r="F1" s="8" t="str">
        <f>'ASSAY RAW DATA'!F1</f>
        <v xml:space="preserve">  R&amp;R TEST RESULT TABLE (ASSAY)</v>
      </c>
      <c r="G1" s="7"/>
      <c r="H1" s="1"/>
      <c r="I1" s="1"/>
      <c r="J1" s="9"/>
      <c r="K1" s="9"/>
      <c r="L1" s="1"/>
      <c r="M1" s="1"/>
      <c r="N1" s="1"/>
      <c r="O1" s="9"/>
    </row>
    <row r="2" spans="2:15" ht="26.25" thickBot="1" x14ac:dyDescent="0.45">
      <c r="B2" s="3"/>
      <c r="C2" s="3"/>
      <c r="D2" s="145"/>
      <c r="E2" s="1"/>
      <c r="F2" s="8"/>
      <c r="G2" s="7"/>
      <c r="H2" s="1"/>
      <c r="I2" s="1"/>
      <c r="J2" s="9"/>
      <c r="K2" s="222" t="s">
        <v>102</v>
      </c>
      <c r="L2" s="223" t="e">
        <f>1.41*(D47/D63)</f>
        <v>#DIV/0!</v>
      </c>
      <c r="M2" s="1"/>
      <c r="N2" s="1"/>
      <c r="O2" s="9"/>
    </row>
    <row r="3" spans="2:15" x14ac:dyDescent="0.25">
      <c r="D3" s="1"/>
      <c r="E3" s="1"/>
      <c r="F3" s="14" t="s">
        <v>1</v>
      </c>
      <c r="G3" s="194">
        <f>'ASSAY RAW DATA'!K1</f>
        <v>20120726</v>
      </c>
      <c r="H3" s="1"/>
      <c r="I3" s="1"/>
      <c r="J3" s="9"/>
      <c r="K3" s="9"/>
      <c r="L3" s="1"/>
      <c r="M3" s="1"/>
      <c r="N3" s="1"/>
      <c r="O3" s="9"/>
    </row>
    <row r="4" spans="2:15" ht="17.25" thickBot="1" x14ac:dyDescent="0.3">
      <c r="D4" s="1"/>
      <c r="E4" s="1"/>
      <c r="F4" s="195" t="s">
        <v>86</v>
      </c>
      <c r="G4" s="196" t="str">
        <f>'ASSAY RAW DATA'!E2</f>
        <v>H2O2(ASSAY)</v>
      </c>
      <c r="H4" s="1"/>
      <c r="I4" s="1"/>
      <c r="J4" s="9"/>
      <c r="K4" s="9"/>
      <c r="L4" s="1"/>
      <c r="M4" s="1"/>
      <c r="N4" s="1"/>
      <c r="O4" s="9"/>
    </row>
    <row r="5" spans="2:15" s="110" customFormat="1" x14ac:dyDescent="0.25">
      <c r="B5" s="107"/>
      <c r="C5" s="108"/>
      <c r="D5" s="109">
        <v>1</v>
      </c>
      <c r="E5" s="109">
        <v>2</v>
      </c>
      <c r="F5" s="109">
        <v>3</v>
      </c>
      <c r="G5" s="109">
        <v>4</v>
      </c>
      <c r="H5" s="109">
        <v>5</v>
      </c>
      <c r="I5" s="109">
        <v>6</v>
      </c>
      <c r="J5" s="109">
        <v>7</v>
      </c>
      <c r="K5" s="109">
        <v>8</v>
      </c>
      <c r="L5" s="109">
        <v>9</v>
      </c>
      <c r="M5" s="109">
        <v>10</v>
      </c>
      <c r="N5" s="109"/>
      <c r="O5" s="212" t="s">
        <v>0</v>
      </c>
    </row>
    <row r="6" spans="2:15" s="110" customFormat="1" x14ac:dyDescent="0.25">
      <c r="B6" s="111" t="str">
        <f>'ASSAY RAW DATA'!B5</f>
        <v>文美</v>
      </c>
      <c r="C6" s="112"/>
      <c r="D6" s="229">
        <f>'ASSAY RAW DATA'!D5</f>
        <v>0</v>
      </c>
      <c r="E6" s="229">
        <f>'ASSAY RAW DATA'!E5</f>
        <v>0</v>
      </c>
      <c r="F6" s="229">
        <f>'ASSAY RAW DATA'!F5</f>
        <v>0</v>
      </c>
      <c r="G6" s="229">
        <f>'ASSAY RAW DATA'!G5</f>
        <v>0</v>
      </c>
      <c r="H6" s="229">
        <f>'ASSAY RAW DATA'!H5</f>
        <v>0</v>
      </c>
      <c r="I6" s="229">
        <f>'ASSAY RAW DATA'!I5</f>
        <v>0</v>
      </c>
      <c r="J6" s="229">
        <f>'ASSAY RAW DATA'!J5</f>
        <v>0</v>
      </c>
      <c r="K6" s="229">
        <f>'ASSAY RAW DATA'!K5</f>
        <v>0</v>
      </c>
      <c r="L6" s="229">
        <f>'ASSAY RAW DATA'!L5</f>
        <v>0</v>
      </c>
      <c r="M6" s="229">
        <f>'ASSAY RAW DATA'!M5</f>
        <v>0</v>
      </c>
      <c r="N6" s="113"/>
      <c r="O6" s="217">
        <f>SUM(D6:M6)/10</f>
        <v>0</v>
      </c>
    </row>
    <row r="7" spans="2:15" s="110" customFormat="1" x14ac:dyDescent="0.25">
      <c r="B7" s="111" t="str">
        <f>'ASSAY RAW DATA'!B6</f>
        <v>文美</v>
      </c>
      <c r="C7" s="112"/>
      <c r="D7" s="229">
        <f>'ASSAY RAW DATA'!D6</f>
        <v>0</v>
      </c>
      <c r="E7" s="229">
        <f>'ASSAY RAW DATA'!E6</f>
        <v>0</v>
      </c>
      <c r="F7" s="229">
        <f>'ASSAY RAW DATA'!F6</f>
        <v>0</v>
      </c>
      <c r="G7" s="229">
        <f>'ASSAY RAW DATA'!G6</f>
        <v>0</v>
      </c>
      <c r="H7" s="229">
        <f>'ASSAY RAW DATA'!H6</f>
        <v>0</v>
      </c>
      <c r="I7" s="229">
        <f>'ASSAY RAW DATA'!I6</f>
        <v>0</v>
      </c>
      <c r="J7" s="229">
        <f>'ASSAY RAW DATA'!J6</f>
        <v>0</v>
      </c>
      <c r="K7" s="229">
        <f>'ASSAY RAW DATA'!K6</f>
        <v>0</v>
      </c>
      <c r="L7" s="229">
        <f>'ASSAY RAW DATA'!L6</f>
        <v>0</v>
      </c>
      <c r="M7" s="229">
        <f>'ASSAY RAW DATA'!M6</f>
        <v>0</v>
      </c>
      <c r="N7" s="114"/>
      <c r="O7" s="217">
        <f>SUM(D7:M7)/10</f>
        <v>0</v>
      </c>
    </row>
    <row r="8" spans="2:15" s="9" customFormat="1" x14ac:dyDescent="0.25">
      <c r="B8" s="64" t="s">
        <v>0</v>
      </c>
      <c r="C8" s="72"/>
      <c r="D8" s="208">
        <f t="shared" ref="D8:M8" si="0">AVERAGE(D6:D7)</f>
        <v>0</v>
      </c>
      <c r="E8" s="208">
        <f t="shared" si="0"/>
        <v>0</v>
      </c>
      <c r="F8" s="208">
        <f t="shared" si="0"/>
        <v>0</v>
      </c>
      <c r="G8" s="208">
        <f t="shared" si="0"/>
        <v>0</v>
      </c>
      <c r="H8" s="208">
        <f t="shared" si="0"/>
        <v>0</v>
      </c>
      <c r="I8" s="208">
        <f t="shared" si="0"/>
        <v>0</v>
      </c>
      <c r="J8" s="208">
        <f t="shared" si="0"/>
        <v>0</v>
      </c>
      <c r="K8" s="208">
        <f t="shared" si="0"/>
        <v>0</v>
      </c>
      <c r="L8" s="208">
        <f t="shared" si="0"/>
        <v>0</v>
      </c>
      <c r="M8" s="208">
        <f t="shared" si="0"/>
        <v>0</v>
      </c>
      <c r="N8" s="57" t="s">
        <v>61</v>
      </c>
      <c r="O8" s="213">
        <f>AVERAGE(O6:O7)</f>
        <v>0</v>
      </c>
    </row>
    <row r="9" spans="2:15" s="22" customFormat="1" ht="17.25" thickBot="1" x14ac:dyDescent="0.3">
      <c r="B9" s="63" t="s">
        <v>2</v>
      </c>
      <c r="C9" s="70"/>
      <c r="D9" s="147">
        <f t="shared" ref="D9:M9" si="1">MAX(D6:D7)-MIN(D6:D7)</f>
        <v>0</v>
      </c>
      <c r="E9" s="147">
        <f t="shared" si="1"/>
        <v>0</v>
      </c>
      <c r="F9" s="147">
        <f t="shared" si="1"/>
        <v>0</v>
      </c>
      <c r="G9" s="147">
        <f t="shared" si="1"/>
        <v>0</v>
      </c>
      <c r="H9" s="147">
        <f t="shared" si="1"/>
        <v>0</v>
      </c>
      <c r="I9" s="147">
        <f t="shared" si="1"/>
        <v>0</v>
      </c>
      <c r="J9" s="147">
        <f t="shared" si="1"/>
        <v>0</v>
      </c>
      <c r="K9" s="147">
        <f t="shared" si="1"/>
        <v>0</v>
      </c>
      <c r="L9" s="147">
        <f t="shared" si="1"/>
        <v>0</v>
      </c>
      <c r="M9" s="147">
        <f t="shared" si="1"/>
        <v>0</v>
      </c>
      <c r="N9" s="21" t="s">
        <v>62</v>
      </c>
      <c r="O9" s="214">
        <f>SUM(D9:M9)/10</f>
        <v>0</v>
      </c>
    </row>
    <row r="10" spans="2:15" s="110" customFormat="1" x14ac:dyDescent="0.25">
      <c r="B10" s="107" t="str">
        <f>'ASSAY RAW DATA'!B8</f>
        <v>妍希</v>
      </c>
      <c r="C10" s="108"/>
      <c r="D10" s="230">
        <f>'ASSAY RAW DATA'!D8</f>
        <v>0</v>
      </c>
      <c r="E10" s="230">
        <f>'ASSAY RAW DATA'!E8</f>
        <v>0</v>
      </c>
      <c r="F10" s="230">
        <f>'ASSAY RAW DATA'!F8</f>
        <v>0</v>
      </c>
      <c r="G10" s="230">
        <f>'ASSAY RAW DATA'!G8</f>
        <v>0</v>
      </c>
      <c r="H10" s="230">
        <f>'ASSAY RAW DATA'!H8</f>
        <v>0</v>
      </c>
      <c r="I10" s="230">
        <f>'ASSAY RAW DATA'!I8</f>
        <v>0</v>
      </c>
      <c r="J10" s="230">
        <f>'ASSAY RAW DATA'!J8</f>
        <v>0</v>
      </c>
      <c r="K10" s="230">
        <f>'ASSAY RAW DATA'!K8</f>
        <v>0</v>
      </c>
      <c r="L10" s="230">
        <f>'ASSAY RAW DATA'!L8</f>
        <v>0</v>
      </c>
      <c r="M10" s="230">
        <f>'ASSAY RAW DATA'!M8</f>
        <v>0</v>
      </c>
      <c r="N10" s="109"/>
      <c r="O10" s="218">
        <f>SUM(D10:M10)/10</f>
        <v>0</v>
      </c>
    </row>
    <row r="11" spans="2:15" s="110" customFormat="1" x14ac:dyDescent="0.25">
      <c r="B11" s="111" t="str">
        <f>'ASSAY RAW DATA'!B9</f>
        <v>妍希</v>
      </c>
      <c r="C11" s="112"/>
      <c r="D11" s="231">
        <f>'ASSAY RAW DATA'!D9</f>
        <v>0</v>
      </c>
      <c r="E11" s="231">
        <f>'ASSAY RAW DATA'!E9</f>
        <v>0</v>
      </c>
      <c r="F11" s="231">
        <f>'ASSAY RAW DATA'!F9</f>
        <v>0</v>
      </c>
      <c r="G11" s="231">
        <f>'ASSAY RAW DATA'!G9</f>
        <v>0</v>
      </c>
      <c r="H11" s="231">
        <f>'ASSAY RAW DATA'!H9</f>
        <v>0</v>
      </c>
      <c r="I11" s="231">
        <f>'ASSAY RAW DATA'!I9</f>
        <v>0</v>
      </c>
      <c r="J11" s="231">
        <f>'ASSAY RAW DATA'!J9</f>
        <v>0</v>
      </c>
      <c r="K11" s="231">
        <f>'ASSAY RAW DATA'!K9</f>
        <v>0</v>
      </c>
      <c r="L11" s="231">
        <f>'ASSAY RAW DATA'!L9</f>
        <v>0</v>
      </c>
      <c r="M11" s="231">
        <f>'ASSAY RAW DATA'!M9</f>
        <v>0</v>
      </c>
      <c r="N11" s="193"/>
      <c r="O11" s="218">
        <f>SUM(D11:M11)/10</f>
        <v>0</v>
      </c>
    </row>
    <row r="12" spans="2:15" s="9" customFormat="1" x14ac:dyDescent="0.25">
      <c r="B12" s="64" t="s">
        <v>0</v>
      </c>
      <c r="C12" s="72"/>
      <c r="D12" s="197">
        <f t="shared" ref="D12:M12" si="2">AVERAGE(D10:D11)</f>
        <v>0</v>
      </c>
      <c r="E12" s="197">
        <f t="shared" si="2"/>
        <v>0</v>
      </c>
      <c r="F12" s="197">
        <f t="shared" si="2"/>
        <v>0</v>
      </c>
      <c r="G12" s="197">
        <f t="shared" si="2"/>
        <v>0</v>
      </c>
      <c r="H12" s="197">
        <f t="shared" si="2"/>
        <v>0</v>
      </c>
      <c r="I12" s="197">
        <f t="shared" si="2"/>
        <v>0</v>
      </c>
      <c r="J12" s="197">
        <f t="shared" si="2"/>
        <v>0</v>
      </c>
      <c r="K12" s="197">
        <f t="shared" si="2"/>
        <v>0</v>
      </c>
      <c r="L12" s="197">
        <f t="shared" si="2"/>
        <v>0</v>
      </c>
      <c r="M12" s="197">
        <f t="shared" si="2"/>
        <v>0</v>
      </c>
      <c r="N12" s="146" t="s">
        <v>63</v>
      </c>
      <c r="O12" s="215">
        <f>SUM(D12:M12)/10</f>
        <v>0</v>
      </c>
    </row>
    <row r="13" spans="2:15" s="22" customFormat="1" ht="17.25" thickBot="1" x14ac:dyDescent="0.3">
      <c r="B13" s="63" t="s">
        <v>2</v>
      </c>
      <c r="C13" s="70"/>
      <c r="D13" s="147">
        <f t="shared" ref="D13:M13" si="3">MAX(D10:D11)-MIN(D10:D11)</f>
        <v>0</v>
      </c>
      <c r="E13" s="147">
        <f t="shared" si="3"/>
        <v>0</v>
      </c>
      <c r="F13" s="147">
        <f t="shared" si="3"/>
        <v>0</v>
      </c>
      <c r="G13" s="147">
        <f t="shared" si="3"/>
        <v>0</v>
      </c>
      <c r="H13" s="147">
        <f t="shared" si="3"/>
        <v>0</v>
      </c>
      <c r="I13" s="147">
        <f t="shared" si="3"/>
        <v>0</v>
      </c>
      <c r="J13" s="147">
        <f t="shared" si="3"/>
        <v>0</v>
      </c>
      <c r="K13" s="147">
        <f t="shared" si="3"/>
        <v>0</v>
      </c>
      <c r="L13" s="147">
        <f t="shared" si="3"/>
        <v>0</v>
      </c>
      <c r="M13" s="147">
        <f t="shared" si="3"/>
        <v>0</v>
      </c>
      <c r="N13" s="21" t="s">
        <v>64</v>
      </c>
      <c r="O13" s="216">
        <f>SUM(D13:M13)/10</f>
        <v>0</v>
      </c>
    </row>
    <row r="14" spans="2:15" s="110" customFormat="1" x14ac:dyDescent="0.25">
      <c r="B14" s="107" t="s">
        <v>65</v>
      </c>
      <c r="C14" s="108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 t="s">
        <v>3</v>
      </c>
      <c r="O14" s="148">
        <f>(O12+O8)/2</f>
        <v>0</v>
      </c>
    </row>
    <row r="15" spans="2:15" s="110" customFormat="1" x14ac:dyDescent="0.25">
      <c r="B15" s="115" t="s">
        <v>0</v>
      </c>
      <c r="C15" s="113" t="s">
        <v>4</v>
      </c>
      <c r="D15" s="209">
        <f>(D12+D8)/2</f>
        <v>0</v>
      </c>
      <c r="E15" s="209">
        <f t="shared" ref="E15:M15" si="4">(E12+E8)/2</f>
        <v>0</v>
      </c>
      <c r="F15" s="209">
        <f t="shared" si="4"/>
        <v>0</v>
      </c>
      <c r="G15" s="209">
        <f t="shared" si="4"/>
        <v>0</v>
      </c>
      <c r="H15" s="209">
        <f t="shared" si="4"/>
        <v>0</v>
      </c>
      <c r="I15" s="209">
        <f t="shared" si="4"/>
        <v>0</v>
      </c>
      <c r="J15" s="209">
        <f t="shared" si="4"/>
        <v>0</v>
      </c>
      <c r="K15" s="209">
        <f t="shared" si="4"/>
        <v>0</v>
      </c>
      <c r="L15" s="209">
        <f t="shared" si="4"/>
        <v>0</v>
      </c>
      <c r="M15" s="209">
        <f t="shared" si="4"/>
        <v>0</v>
      </c>
      <c r="N15" s="113" t="s">
        <v>59</v>
      </c>
      <c r="O15" s="216">
        <f>MAX(A15:M15)-MIN(A15:M15)</f>
        <v>0</v>
      </c>
    </row>
    <row r="16" spans="2:15" s="110" customFormat="1" x14ac:dyDescent="0.25">
      <c r="B16" s="117" t="s">
        <v>66</v>
      </c>
      <c r="C16" s="118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3" t="s">
        <v>60</v>
      </c>
      <c r="O16" s="211">
        <f>(O13+O9)/2</f>
        <v>0</v>
      </c>
    </row>
    <row r="17" spans="2:15" s="110" customFormat="1" x14ac:dyDescent="0.25">
      <c r="B17" s="117" t="s">
        <v>67</v>
      </c>
      <c r="C17" s="118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3" t="s">
        <v>52</v>
      </c>
      <c r="O17" s="116">
        <f>MAX(O8,O12)-MIN(O8,O12)</f>
        <v>0</v>
      </c>
    </row>
    <row r="18" spans="2:15" x14ac:dyDescent="0.25">
      <c r="B18" s="80"/>
      <c r="C18" s="66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16"/>
    </row>
    <row r="19" spans="2:15" ht="17.25" thickBot="1" x14ac:dyDescent="0.3">
      <c r="B19" s="81" t="s">
        <v>49</v>
      </c>
      <c r="C19" s="82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83"/>
    </row>
    <row r="20" spans="2:15" ht="17.25" thickBot="1" x14ac:dyDescent="0.3">
      <c r="B20" s="37" t="s">
        <v>50</v>
      </c>
      <c r="C20" s="84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6"/>
    </row>
    <row r="21" spans="2:15" ht="17.25" thickBot="1" x14ac:dyDescent="0.3">
      <c r="D21" s="51"/>
      <c r="E21" s="49"/>
      <c r="F21" s="36"/>
      <c r="G21" s="36"/>
      <c r="H21" s="36"/>
      <c r="I21" s="36"/>
      <c r="J21" s="36"/>
      <c r="K21" s="36"/>
      <c r="L21" s="24"/>
    </row>
    <row r="22" spans="2:15" ht="17.25" thickBot="1" x14ac:dyDescent="0.3">
      <c r="B22" s="299" t="s">
        <v>41</v>
      </c>
      <c r="C22" s="300"/>
      <c r="D22" s="300"/>
      <c r="E22" s="300"/>
      <c r="F22" s="300"/>
      <c r="G22" s="300"/>
      <c r="H22" s="300"/>
      <c r="I22" s="300"/>
      <c r="J22" s="300"/>
      <c r="K22" s="300"/>
      <c r="L22" s="301"/>
    </row>
    <row r="23" spans="2:15" x14ac:dyDescent="0.25">
      <c r="B23" s="302"/>
      <c r="C23" s="303"/>
      <c r="D23" s="304"/>
      <c r="E23" s="305" t="str">
        <f>G4</f>
        <v>H2O2(ASSAY)</v>
      </c>
      <c r="F23" s="306"/>
      <c r="G23" s="306"/>
      <c r="H23" s="306"/>
      <c r="I23" s="5" t="s">
        <v>6</v>
      </c>
      <c r="J23" s="5" t="s">
        <v>47</v>
      </c>
      <c r="K23" s="5" t="s">
        <v>7</v>
      </c>
      <c r="L23" s="87" t="str">
        <f>'ASSAY RAW DATA'!I2</f>
        <v>20110710~20120720</v>
      </c>
    </row>
    <row r="24" spans="2:15" x14ac:dyDescent="0.25">
      <c r="B24" s="279" t="s">
        <v>5</v>
      </c>
      <c r="C24" s="307"/>
      <c r="D24" s="280"/>
      <c r="E24" s="308"/>
      <c r="F24" s="308"/>
      <c r="G24" s="308"/>
      <c r="H24" s="308"/>
      <c r="I24" s="12" t="s">
        <v>8</v>
      </c>
      <c r="J24" s="12" t="s">
        <v>85</v>
      </c>
      <c r="K24" s="12" t="s">
        <v>9</v>
      </c>
      <c r="L24" s="219"/>
    </row>
    <row r="25" spans="2:15" x14ac:dyDescent="0.25">
      <c r="B25" s="279" t="s">
        <v>11</v>
      </c>
      <c r="C25" s="307"/>
      <c r="D25" s="280"/>
      <c r="E25" s="315"/>
      <c r="F25" s="315"/>
      <c r="G25" s="315"/>
      <c r="H25" s="315"/>
      <c r="I25" s="12" t="s">
        <v>12</v>
      </c>
      <c r="J25" s="12" t="s">
        <v>51</v>
      </c>
      <c r="K25" s="4"/>
      <c r="L25" s="77"/>
    </row>
    <row r="26" spans="2:15" ht="17.25" thickBot="1" x14ac:dyDescent="0.3">
      <c r="B26" s="279" t="s">
        <v>10</v>
      </c>
      <c r="C26" s="307"/>
      <c r="D26" s="280"/>
      <c r="E26" s="296"/>
      <c r="F26" s="297"/>
      <c r="G26" s="297"/>
      <c r="H26" s="261"/>
      <c r="I26" s="28"/>
      <c r="J26" s="28"/>
      <c r="K26" s="4"/>
      <c r="L26" s="77"/>
    </row>
    <row r="27" spans="2:15" ht="20.25" thickBot="1" x14ac:dyDescent="0.35">
      <c r="B27" s="283"/>
      <c r="C27" s="284"/>
      <c r="D27" s="284"/>
      <c r="E27" s="42" t="s">
        <v>45</v>
      </c>
      <c r="F27" s="139">
        <f>O16</f>
        <v>0</v>
      </c>
      <c r="G27" s="42" t="s">
        <v>46</v>
      </c>
      <c r="H27" s="138">
        <f>O17</f>
        <v>0</v>
      </c>
      <c r="I27" s="42" t="s">
        <v>43</v>
      </c>
      <c r="J27" s="137">
        <f>O15</f>
        <v>0</v>
      </c>
      <c r="K27" s="316"/>
      <c r="L27" s="317"/>
    </row>
    <row r="28" spans="2:15" ht="17.25" thickBot="1" x14ac:dyDescent="0.3">
      <c r="B28" s="281" t="s">
        <v>44</v>
      </c>
      <c r="C28" s="310"/>
      <c r="D28" s="282"/>
      <c r="E28" s="318"/>
      <c r="F28" s="319"/>
      <c r="G28" s="319"/>
      <c r="H28" s="320"/>
      <c r="I28" s="312" t="s">
        <v>14</v>
      </c>
      <c r="J28" s="313"/>
      <c r="K28" s="314"/>
      <c r="L28" s="83"/>
    </row>
    <row r="29" spans="2:15" ht="17.25" thickBot="1" x14ac:dyDescent="0.3">
      <c r="B29" s="281"/>
      <c r="C29" s="310"/>
      <c r="D29" s="311"/>
      <c r="E29" s="44" t="s">
        <v>68</v>
      </c>
      <c r="F29" s="141">
        <v>2</v>
      </c>
      <c r="G29" s="44" t="s">
        <v>69</v>
      </c>
      <c r="H29" s="141">
        <v>10</v>
      </c>
      <c r="I29" s="142"/>
      <c r="J29" s="34"/>
      <c r="K29" s="34"/>
      <c r="L29" s="220"/>
    </row>
    <row r="30" spans="2:15" ht="17.25" thickBot="1" x14ac:dyDescent="0.3">
      <c r="B30" s="91" t="s">
        <v>13</v>
      </c>
      <c r="C30" s="20"/>
      <c r="D30" s="62"/>
      <c r="E30" s="140"/>
      <c r="F30" s="19"/>
      <c r="G30" s="19"/>
      <c r="H30" s="136"/>
      <c r="I30" s="106"/>
      <c r="J30" s="104"/>
      <c r="K30" s="104"/>
      <c r="L30" s="221"/>
    </row>
    <row r="31" spans="2:15" x14ac:dyDescent="0.25">
      <c r="B31" s="92" t="s">
        <v>15</v>
      </c>
      <c r="C31" s="93"/>
      <c r="D31" s="99" t="s">
        <v>75</v>
      </c>
      <c r="E31" s="6" t="s">
        <v>76</v>
      </c>
      <c r="F31" s="120"/>
      <c r="G31" s="127" t="s">
        <v>16</v>
      </c>
      <c r="H31" s="129" t="s">
        <v>17</v>
      </c>
      <c r="I31" s="56" t="s">
        <v>20</v>
      </c>
      <c r="J31" s="36"/>
      <c r="K31" s="36"/>
      <c r="L31" s="30"/>
    </row>
    <row r="32" spans="2:15" ht="19.5" x14ac:dyDescent="0.3">
      <c r="B32" s="283"/>
      <c r="C32" s="309"/>
      <c r="D32" s="103">
        <f>F27</f>
        <v>0</v>
      </c>
      <c r="E32" s="12" t="s">
        <v>19</v>
      </c>
      <c r="F32" s="32">
        <f>H32</f>
        <v>4.5599999999999996</v>
      </c>
      <c r="G32" s="105">
        <v>2</v>
      </c>
      <c r="H32" s="36">
        <v>4.5599999999999996</v>
      </c>
      <c r="I32" s="199" t="e">
        <f>100*(D33/D51)</f>
        <v>#DIV/0!</v>
      </c>
      <c r="J32" s="39" t="s">
        <v>48</v>
      </c>
      <c r="K32" s="36"/>
      <c r="L32" s="30"/>
    </row>
    <row r="33" spans="1:12" ht="20.25" thickBot="1" x14ac:dyDescent="0.35">
      <c r="B33" s="271" t="s">
        <v>18</v>
      </c>
      <c r="C33" s="272"/>
      <c r="D33" s="100">
        <f>D32*F32</f>
        <v>0</v>
      </c>
      <c r="E33" s="58"/>
      <c r="F33" s="32"/>
      <c r="G33" s="48">
        <v>3</v>
      </c>
      <c r="H33" s="40">
        <v>3.05</v>
      </c>
      <c r="I33" s="133"/>
      <c r="J33" s="34"/>
      <c r="K33" s="34"/>
      <c r="L33" s="220"/>
    </row>
    <row r="34" spans="1:12" ht="17.25" thickBot="1" x14ac:dyDescent="0.3">
      <c r="B34" s="276" t="s">
        <v>74</v>
      </c>
      <c r="C34" s="277"/>
      <c r="D34" s="277"/>
      <c r="E34" s="277"/>
      <c r="F34" s="277"/>
      <c r="G34" s="277"/>
      <c r="H34" s="278"/>
      <c r="I34" s="106"/>
      <c r="J34" s="104"/>
      <c r="K34" s="104"/>
      <c r="L34" s="221"/>
    </row>
    <row r="35" spans="1:12" ht="18.75" x14ac:dyDescent="0.35">
      <c r="B35" s="88" t="s">
        <v>21</v>
      </c>
      <c r="C35" s="89"/>
      <c r="D35" s="90" t="s">
        <v>42</v>
      </c>
      <c r="E35" s="75" t="s">
        <v>22</v>
      </c>
      <c r="F35" s="15"/>
      <c r="G35" s="15"/>
      <c r="H35" s="120"/>
      <c r="I35" s="55" t="s">
        <v>36</v>
      </c>
      <c r="J35" s="36"/>
      <c r="K35" s="36"/>
      <c r="L35" s="30"/>
    </row>
    <row r="36" spans="1:12" ht="18.75" x14ac:dyDescent="0.3">
      <c r="B36" s="283"/>
      <c r="C36" s="284"/>
      <c r="D36" s="284"/>
      <c r="E36" s="284"/>
      <c r="F36" s="284"/>
      <c r="G36" s="284"/>
      <c r="H36" s="285"/>
      <c r="I36" s="132" t="e">
        <f>100*(E37/D51)</f>
        <v>#DIV/0!</v>
      </c>
      <c r="J36" s="39" t="s">
        <v>48</v>
      </c>
      <c r="K36" s="36"/>
      <c r="L36" s="30"/>
    </row>
    <row r="37" spans="1:12" ht="20.25" thickBot="1" x14ac:dyDescent="0.35">
      <c r="A37" s="65"/>
      <c r="B37" s="286"/>
      <c r="C37" s="287"/>
      <c r="D37" s="97" t="s">
        <v>18</v>
      </c>
      <c r="E37" s="100">
        <f>D59</f>
        <v>0</v>
      </c>
      <c r="F37" s="296"/>
      <c r="G37" s="297"/>
      <c r="H37" s="298"/>
      <c r="I37" s="46"/>
      <c r="J37" s="36"/>
      <c r="K37" s="36"/>
      <c r="L37" s="30"/>
    </row>
    <row r="38" spans="1:12" x14ac:dyDescent="0.25">
      <c r="B38" s="288"/>
      <c r="C38" s="289"/>
      <c r="D38" s="292"/>
      <c r="E38" s="293"/>
      <c r="F38" s="127" t="s">
        <v>23</v>
      </c>
      <c r="G38" s="38">
        <v>2</v>
      </c>
      <c r="H38" s="38">
        <v>3</v>
      </c>
      <c r="I38" s="134" t="s">
        <v>37</v>
      </c>
      <c r="J38" s="34"/>
      <c r="K38" s="34"/>
      <c r="L38" s="220"/>
    </row>
    <row r="39" spans="1:12" ht="17.25" thickBot="1" x14ac:dyDescent="0.3">
      <c r="B39" s="290"/>
      <c r="C39" s="291"/>
      <c r="D39" s="294"/>
      <c r="E39" s="295"/>
      <c r="F39" s="128" t="s">
        <v>24</v>
      </c>
      <c r="G39" s="40">
        <v>0.70709999999999995</v>
      </c>
      <c r="H39" s="40">
        <v>0.52310000000000001</v>
      </c>
      <c r="I39" s="135" t="s">
        <v>38</v>
      </c>
      <c r="J39" s="36"/>
      <c r="K39" s="36"/>
      <c r="L39" s="30"/>
    </row>
    <row r="40" spans="1:12" ht="17.25" thickBot="1" x14ac:dyDescent="0.3">
      <c r="B40" s="273" t="s">
        <v>73</v>
      </c>
      <c r="C40" s="274"/>
      <c r="D40" s="274"/>
      <c r="E40" s="274"/>
      <c r="F40" s="274"/>
      <c r="G40" s="274"/>
      <c r="H40" s="275"/>
      <c r="I40" s="136"/>
      <c r="J40" s="36"/>
      <c r="K40" s="36"/>
      <c r="L40" s="30"/>
    </row>
    <row r="41" spans="1:12" ht="18.75" x14ac:dyDescent="0.25">
      <c r="B41" s="88" t="s">
        <v>25</v>
      </c>
      <c r="C41" s="89"/>
      <c r="D41" s="90" t="s">
        <v>26</v>
      </c>
      <c r="E41" s="75" t="s">
        <v>27</v>
      </c>
      <c r="F41" s="15"/>
      <c r="G41" s="15"/>
      <c r="H41" s="120"/>
      <c r="I41" s="131" t="s">
        <v>39</v>
      </c>
      <c r="J41" s="38"/>
      <c r="K41" s="38"/>
      <c r="L41" s="29"/>
    </row>
    <row r="42" spans="1:12" ht="18.75" x14ac:dyDescent="0.3">
      <c r="B42" s="76"/>
      <c r="C42" s="25"/>
      <c r="D42" s="73" t="s">
        <v>18</v>
      </c>
      <c r="E42" s="58"/>
      <c r="F42" s="4"/>
      <c r="G42" s="4"/>
      <c r="H42" s="32"/>
      <c r="I42" s="132" t="e">
        <f>100*(E43/D51)</f>
        <v>#DIV/0!</v>
      </c>
      <c r="J42" s="39" t="s">
        <v>48</v>
      </c>
      <c r="K42" s="36"/>
      <c r="L42" s="30"/>
    </row>
    <row r="43" spans="1:12" ht="20.25" thickBot="1" x14ac:dyDescent="0.35">
      <c r="B43" s="121" t="s">
        <v>72</v>
      </c>
      <c r="C43" s="26"/>
      <c r="D43" s="122" t="s">
        <v>18</v>
      </c>
      <c r="E43" s="200">
        <f>D63</f>
        <v>0</v>
      </c>
      <c r="F43" s="23"/>
      <c r="G43" s="28"/>
      <c r="H43" s="33"/>
      <c r="I43" s="266"/>
      <c r="J43" s="267"/>
      <c r="K43" s="267"/>
      <c r="L43" s="268"/>
    </row>
    <row r="44" spans="1:12" x14ac:dyDescent="0.25">
      <c r="B44" s="124"/>
      <c r="C44" s="125"/>
      <c r="D44" s="74"/>
      <c r="E44" s="75"/>
      <c r="F44" s="120"/>
      <c r="G44" s="127" t="s">
        <v>32</v>
      </c>
      <c r="H44" s="129" t="s">
        <v>33</v>
      </c>
      <c r="I44" s="105"/>
      <c r="J44" s="36"/>
      <c r="K44" s="36"/>
      <c r="L44" s="30"/>
    </row>
    <row r="45" spans="1:12" ht="18.75" x14ac:dyDescent="0.35">
      <c r="B45" s="279" t="s">
        <v>28</v>
      </c>
      <c r="C45" s="280"/>
      <c r="D45" s="60" t="s">
        <v>30</v>
      </c>
      <c r="E45" s="58"/>
      <c r="F45" s="32"/>
      <c r="G45" s="105">
        <v>2</v>
      </c>
      <c r="H45" s="36">
        <v>3.65</v>
      </c>
      <c r="I45" s="55" t="s">
        <v>40</v>
      </c>
      <c r="J45" s="36"/>
      <c r="K45" s="36"/>
      <c r="L45" s="30"/>
    </row>
    <row r="46" spans="1:12" ht="18.75" x14ac:dyDescent="0.3">
      <c r="B46" s="281" t="s">
        <v>29</v>
      </c>
      <c r="C46" s="282"/>
      <c r="D46" s="61">
        <f>J27</f>
        <v>0</v>
      </c>
      <c r="E46" s="12" t="s">
        <v>31</v>
      </c>
      <c r="F46" s="32">
        <f>H53</f>
        <v>1.62</v>
      </c>
      <c r="G46" s="105">
        <v>3</v>
      </c>
      <c r="H46" s="36">
        <v>2.7</v>
      </c>
      <c r="I46" s="130" t="e">
        <f>100*(D47/D51)</f>
        <v>#DIV/0!</v>
      </c>
      <c r="J46" s="39" t="s">
        <v>48</v>
      </c>
      <c r="K46" s="36"/>
      <c r="L46" s="30"/>
    </row>
    <row r="47" spans="1:12" ht="20.25" thickBot="1" x14ac:dyDescent="0.35">
      <c r="B47" s="271" t="s">
        <v>18</v>
      </c>
      <c r="C47" s="272"/>
      <c r="D47" s="101">
        <f>D46*F46</f>
        <v>0</v>
      </c>
      <c r="E47" s="58"/>
      <c r="F47" s="32"/>
      <c r="G47" s="105">
        <v>4</v>
      </c>
      <c r="H47" s="36">
        <v>2.2999999999999998</v>
      </c>
      <c r="I47" s="47"/>
      <c r="J47" s="36"/>
      <c r="K47" s="36"/>
      <c r="L47" s="30"/>
    </row>
    <row r="48" spans="1:12" x14ac:dyDescent="0.25">
      <c r="B48" s="262" t="s">
        <v>18</v>
      </c>
      <c r="C48" s="263"/>
      <c r="D48" s="61"/>
      <c r="E48" s="58"/>
      <c r="F48" s="32"/>
      <c r="G48" s="105">
        <v>5</v>
      </c>
      <c r="H48" s="36">
        <v>2.08</v>
      </c>
      <c r="I48" s="45"/>
      <c r="J48" s="38"/>
      <c r="K48" s="38"/>
      <c r="L48" s="29"/>
    </row>
    <row r="49" spans="2:12" ht="17.25" thickBot="1" x14ac:dyDescent="0.3">
      <c r="B49" s="264" t="s">
        <v>71</v>
      </c>
      <c r="C49" s="265"/>
      <c r="D49" s="226"/>
      <c r="E49" s="79"/>
      <c r="F49" s="126"/>
      <c r="G49" s="105">
        <v>6</v>
      </c>
      <c r="H49" s="36">
        <v>1.93</v>
      </c>
      <c r="I49" s="105"/>
      <c r="J49" s="36"/>
      <c r="K49" s="36"/>
      <c r="L49" s="30"/>
    </row>
    <row r="50" spans="2:12" ht="18.75" x14ac:dyDescent="0.25">
      <c r="B50" s="269" t="s">
        <v>34</v>
      </c>
      <c r="C50" s="270"/>
      <c r="D50" s="225" t="s">
        <v>35</v>
      </c>
      <c r="E50" s="123"/>
      <c r="F50" s="106"/>
      <c r="G50" s="105">
        <v>7</v>
      </c>
      <c r="H50" s="36">
        <v>1.82</v>
      </c>
      <c r="I50" s="105"/>
      <c r="J50" s="36"/>
      <c r="K50" s="36"/>
      <c r="L50" s="30"/>
    </row>
    <row r="51" spans="2:12" ht="19.5" x14ac:dyDescent="0.3">
      <c r="B51" s="262" t="s">
        <v>18</v>
      </c>
      <c r="C51" s="263"/>
      <c r="D51" s="224">
        <f>D67</f>
        <v>0</v>
      </c>
      <c r="E51" s="58"/>
      <c r="F51" s="32"/>
      <c r="G51" s="105">
        <v>8</v>
      </c>
      <c r="H51" s="36">
        <v>1.74</v>
      </c>
      <c r="I51" s="105"/>
      <c r="J51" s="36"/>
      <c r="K51" s="36"/>
      <c r="L51" s="30"/>
    </row>
    <row r="52" spans="2:12" x14ac:dyDescent="0.25">
      <c r="B52" s="262"/>
      <c r="C52" s="263"/>
      <c r="D52" s="61"/>
      <c r="E52" s="58"/>
      <c r="F52" s="32"/>
      <c r="G52" s="105">
        <v>9</v>
      </c>
      <c r="H52" s="36">
        <v>1.67</v>
      </c>
      <c r="I52" s="105"/>
      <c r="J52" s="36"/>
      <c r="K52" s="36"/>
      <c r="L52" s="30"/>
    </row>
    <row r="53" spans="2:12" ht="17.25" thickBot="1" x14ac:dyDescent="0.3">
      <c r="B53" s="260" t="s">
        <v>70</v>
      </c>
      <c r="C53" s="261"/>
      <c r="D53" s="78"/>
      <c r="E53" s="79"/>
      <c r="F53" s="126"/>
      <c r="G53" s="48">
        <v>10</v>
      </c>
      <c r="H53" s="40">
        <v>1.62</v>
      </c>
      <c r="I53" s="48"/>
      <c r="J53" s="40"/>
      <c r="K53" s="40"/>
      <c r="L53" s="31"/>
    </row>
    <row r="54" spans="2:12" x14ac:dyDescent="0.25">
      <c r="B54" s="24"/>
      <c r="C54" s="24"/>
    </row>
    <row r="56" spans="2:12" x14ac:dyDescent="0.25">
      <c r="C56" s="94"/>
      <c r="D56" s="94"/>
      <c r="E56" s="94"/>
      <c r="F56" s="94"/>
      <c r="G56" s="94"/>
      <c r="H56" s="94"/>
      <c r="I56" s="94"/>
      <c r="J56" s="94"/>
      <c r="K56" s="94"/>
      <c r="L56" s="94"/>
    </row>
    <row r="57" spans="2:12" x14ac:dyDescent="0.25">
      <c r="B57" s="7" t="s">
        <v>42</v>
      </c>
      <c r="C57" s="98" t="s">
        <v>57</v>
      </c>
      <c r="D57" s="27">
        <f>(H27*G39)</f>
        <v>0</v>
      </c>
      <c r="E57" s="2" t="s">
        <v>31</v>
      </c>
      <c r="F57" s="1">
        <f>D57</f>
        <v>0</v>
      </c>
      <c r="G57" s="102" t="s">
        <v>53</v>
      </c>
      <c r="H57" s="2">
        <f>D33</f>
        <v>0</v>
      </c>
      <c r="I57" s="2" t="s">
        <v>54</v>
      </c>
      <c r="J57" s="2">
        <f>H57</f>
        <v>0</v>
      </c>
      <c r="K57" s="2" t="s">
        <v>55</v>
      </c>
      <c r="L57" s="1">
        <f>F29*H29</f>
        <v>20</v>
      </c>
    </row>
    <row r="58" spans="2:12" x14ac:dyDescent="0.25">
      <c r="B58" s="67" t="s">
        <v>18</v>
      </c>
      <c r="C58" s="95" t="s">
        <v>57</v>
      </c>
      <c r="D58" s="1">
        <f>(D57*F57)-((H57*J57)/L57)</f>
        <v>0</v>
      </c>
      <c r="F58" s="198" t="s">
        <v>89</v>
      </c>
      <c r="G58">
        <v>0</v>
      </c>
    </row>
    <row r="59" spans="2:12" x14ac:dyDescent="0.25">
      <c r="B59" s="67" t="s">
        <v>18</v>
      </c>
      <c r="C59" s="67"/>
      <c r="D59" s="10">
        <f>SQRT(G58)</f>
        <v>0</v>
      </c>
    </row>
    <row r="60" spans="2:12" x14ac:dyDescent="0.25">
      <c r="C60" s="94"/>
      <c r="D60" s="94"/>
      <c r="E60" s="94"/>
      <c r="F60" s="94"/>
      <c r="G60" s="94"/>
      <c r="H60" s="94"/>
      <c r="I60" s="94"/>
      <c r="J60" s="94"/>
    </row>
    <row r="61" spans="2:12" x14ac:dyDescent="0.25">
      <c r="B61" s="7" t="s">
        <v>26</v>
      </c>
      <c r="C61" s="96" t="s">
        <v>56</v>
      </c>
      <c r="D61" s="27">
        <f>D33</f>
        <v>0</v>
      </c>
      <c r="E61" s="2" t="s">
        <v>31</v>
      </c>
      <c r="F61" s="1">
        <f>D33</f>
        <v>0</v>
      </c>
      <c r="G61" s="102" t="s">
        <v>58</v>
      </c>
      <c r="H61" s="1">
        <f>E37</f>
        <v>0</v>
      </c>
      <c r="I61" s="2" t="s">
        <v>31</v>
      </c>
      <c r="J61" s="2">
        <f>E37</f>
        <v>0</v>
      </c>
    </row>
    <row r="62" spans="2:12" x14ac:dyDescent="0.25">
      <c r="B62" s="67" t="s">
        <v>18</v>
      </c>
      <c r="C62" t="s">
        <v>56</v>
      </c>
      <c r="D62" s="1">
        <f>(D61*F61)+(J61*J61)</f>
        <v>0</v>
      </c>
    </row>
    <row r="63" spans="2:12" x14ac:dyDescent="0.25">
      <c r="B63" s="67" t="s">
        <v>18</v>
      </c>
      <c r="D63" s="10">
        <f>SQRT(D62)</f>
        <v>0</v>
      </c>
    </row>
    <row r="64" spans="2:12" x14ac:dyDescent="0.25">
      <c r="C64" s="94"/>
      <c r="D64" s="94"/>
      <c r="E64" s="94"/>
      <c r="F64" s="94"/>
      <c r="G64" s="94"/>
      <c r="H64" s="94"/>
      <c r="I64" s="94"/>
      <c r="J64" s="94"/>
    </row>
    <row r="65" spans="2:10" x14ac:dyDescent="0.25">
      <c r="B65" s="7" t="s">
        <v>34</v>
      </c>
      <c r="C65" t="s">
        <v>56</v>
      </c>
      <c r="D65" s="1">
        <f>D63</f>
        <v>0</v>
      </c>
      <c r="E65" s="2" t="s">
        <v>31</v>
      </c>
      <c r="F65" s="1">
        <f>D63</f>
        <v>0</v>
      </c>
      <c r="G65" s="102" t="s">
        <v>58</v>
      </c>
      <c r="H65" s="1">
        <f>D47</f>
        <v>0</v>
      </c>
      <c r="I65" s="2" t="s">
        <v>31</v>
      </c>
      <c r="J65" s="1">
        <f>D47</f>
        <v>0</v>
      </c>
    </row>
    <row r="66" spans="2:10" x14ac:dyDescent="0.25">
      <c r="B66" s="67" t="s">
        <v>18</v>
      </c>
      <c r="C66" t="s">
        <v>56</v>
      </c>
      <c r="D66" s="1">
        <f>(D65*F65)+(H65*J65)</f>
        <v>0</v>
      </c>
    </row>
    <row r="67" spans="2:10" x14ac:dyDescent="0.25">
      <c r="B67" s="67" t="s">
        <v>18</v>
      </c>
      <c r="D67" s="10">
        <f>SQRT(D66)</f>
        <v>0</v>
      </c>
    </row>
    <row r="68" spans="2:10" ht="17.25" thickBot="1" x14ac:dyDescent="0.3"/>
    <row r="69" spans="2:10" ht="17.25" thickBot="1" x14ac:dyDescent="0.3">
      <c r="B69" s="201" t="s">
        <v>78</v>
      </c>
      <c r="C69" s="202" t="s">
        <v>90</v>
      </c>
      <c r="D69" s="143" t="s">
        <v>77</v>
      </c>
    </row>
    <row r="71" spans="2:10" x14ac:dyDescent="0.25">
      <c r="B71" s="2" t="s">
        <v>80</v>
      </c>
      <c r="C71" s="2" t="s">
        <v>79</v>
      </c>
    </row>
    <row r="72" spans="2:10" x14ac:dyDescent="0.25">
      <c r="B72" s="1" t="s">
        <v>81</v>
      </c>
    </row>
  </sheetData>
  <mergeCells count="33">
    <mergeCell ref="I28:K28"/>
    <mergeCell ref="B25:D25"/>
    <mergeCell ref="E25:H25"/>
    <mergeCell ref="B27:D27"/>
    <mergeCell ref="K27:L27"/>
    <mergeCell ref="E26:H26"/>
    <mergeCell ref="E28:H28"/>
    <mergeCell ref="B32:C32"/>
    <mergeCell ref="B33:C33"/>
    <mergeCell ref="B29:D29"/>
    <mergeCell ref="B26:D26"/>
    <mergeCell ref="B28:D28"/>
    <mergeCell ref="B22:L22"/>
    <mergeCell ref="B23:D23"/>
    <mergeCell ref="E23:H23"/>
    <mergeCell ref="B24:D24"/>
    <mergeCell ref="E24:H24"/>
    <mergeCell ref="B40:H40"/>
    <mergeCell ref="B34:H34"/>
    <mergeCell ref="B45:C45"/>
    <mergeCell ref="B46:C46"/>
    <mergeCell ref="B36:H36"/>
    <mergeCell ref="B37:C39"/>
    <mergeCell ref="D38:E39"/>
    <mergeCell ref="F37:H37"/>
    <mergeCell ref="B53:C53"/>
    <mergeCell ref="B48:C48"/>
    <mergeCell ref="B49:C49"/>
    <mergeCell ref="I43:L43"/>
    <mergeCell ref="B50:C50"/>
    <mergeCell ref="B51:C51"/>
    <mergeCell ref="B52:C52"/>
    <mergeCell ref="B47:C47"/>
  </mergeCells>
  <phoneticPr fontId="2" type="noConversion"/>
  <printOptions horizontalCentered="1"/>
  <pageMargins left="0.15748031496062992" right="0.15748031496062992" top="0.98425196850393704" bottom="0.98425196850393704" header="0.51181102362204722" footer="0.51181102362204722"/>
  <pageSetup paperSize="9" scale="45" orientation="portrait" horizontalDpi="360" vertic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1"/>
  <sheetViews>
    <sheetView tabSelected="1" workbookViewId="0">
      <selection activeCell="D5" sqref="D5:H5"/>
    </sheetView>
  </sheetViews>
  <sheetFormatPr defaultRowHeight="16.5" x14ac:dyDescent="0.25"/>
  <cols>
    <col min="1" max="1" width="4.125" style="232" customWidth="1"/>
    <col min="2" max="2" width="6" style="232" customWidth="1"/>
    <col min="3" max="3" width="13.375" style="232" customWidth="1"/>
    <col min="4" max="4" width="2.875" style="232" customWidth="1"/>
    <col min="5" max="5" width="12.125" style="232" customWidth="1"/>
    <col min="6" max="6" width="2.75" style="232" customWidth="1"/>
    <col min="7" max="7" width="11" style="232" customWidth="1"/>
    <col min="8" max="8" width="13.375" style="232" customWidth="1"/>
    <col min="9" max="9" width="10.875" style="232" customWidth="1"/>
    <col min="10" max="10" width="3.625" style="232" customWidth="1"/>
    <col min="11" max="11" width="10.375" style="232" customWidth="1"/>
    <col min="12" max="256" width="9" style="232"/>
    <col min="257" max="257" width="4.125" style="232" customWidth="1"/>
    <col min="258" max="258" width="6" style="232" customWidth="1"/>
    <col min="259" max="259" width="13.375" style="232" customWidth="1"/>
    <col min="260" max="260" width="2.875" style="232" customWidth="1"/>
    <col min="261" max="261" width="12.125" style="232" customWidth="1"/>
    <col min="262" max="262" width="2.75" style="232" customWidth="1"/>
    <col min="263" max="263" width="11" style="232" customWidth="1"/>
    <col min="264" max="264" width="13.375" style="232" customWidth="1"/>
    <col min="265" max="265" width="10.875" style="232" customWidth="1"/>
    <col min="266" max="266" width="3.625" style="232" customWidth="1"/>
    <col min="267" max="267" width="10.375" style="232" customWidth="1"/>
    <col min="268" max="512" width="9" style="232"/>
    <col min="513" max="513" width="4.125" style="232" customWidth="1"/>
    <col min="514" max="514" width="6" style="232" customWidth="1"/>
    <col min="515" max="515" width="13.375" style="232" customWidth="1"/>
    <col min="516" max="516" width="2.875" style="232" customWidth="1"/>
    <col min="517" max="517" width="12.125" style="232" customWidth="1"/>
    <col min="518" max="518" width="2.75" style="232" customWidth="1"/>
    <col min="519" max="519" width="11" style="232" customWidth="1"/>
    <col min="520" max="520" width="13.375" style="232" customWidth="1"/>
    <col min="521" max="521" width="10.875" style="232" customWidth="1"/>
    <col min="522" max="522" width="3.625" style="232" customWidth="1"/>
    <col min="523" max="523" width="10.375" style="232" customWidth="1"/>
    <col min="524" max="768" width="9" style="232"/>
    <col min="769" max="769" width="4.125" style="232" customWidth="1"/>
    <col min="770" max="770" width="6" style="232" customWidth="1"/>
    <col min="771" max="771" width="13.375" style="232" customWidth="1"/>
    <col min="772" max="772" width="2.875" style="232" customWidth="1"/>
    <col min="773" max="773" width="12.125" style="232" customWidth="1"/>
    <col min="774" max="774" width="2.75" style="232" customWidth="1"/>
    <col min="775" max="775" width="11" style="232" customWidth="1"/>
    <col min="776" max="776" width="13.375" style="232" customWidth="1"/>
    <col min="777" max="777" width="10.875" style="232" customWidth="1"/>
    <col min="778" max="778" width="3.625" style="232" customWidth="1"/>
    <col min="779" max="779" width="10.375" style="232" customWidth="1"/>
    <col min="780" max="1024" width="9" style="232"/>
    <col min="1025" max="1025" width="4.125" style="232" customWidth="1"/>
    <col min="1026" max="1026" width="6" style="232" customWidth="1"/>
    <col min="1027" max="1027" width="13.375" style="232" customWidth="1"/>
    <col min="1028" max="1028" width="2.875" style="232" customWidth="1"/>
    <col min="1029" max="1029" width="12.125" style="232" customWidth="1"/>
    <col min="1030" max="1030" width="2.75" style="232" customWidth="1"/>
    <col min="1031" max="1031" width="11" style="232" customWidth="1"/>
    <col min="1032" max="1032" width="13.375" style="232" customWidth="1"/>
    <col min="1033" max="1033" width="10.875" style="232" customWidth="1"/>
    <col min="1034" max="1034" width="3.625" style="232" customWidth="1"/>
    <col min="1035" max="1035" width="10.375" style="232" customWidth="1"/>
    <col min="1036" max="1280" width="9" style="232"/>
    <col min="1281" max="1281" width="4.125" style="232" customWidth="1"/>
    <col min="1282" max="1282" width="6" style="232" customWidth="1"/>
    <col min="1283" max="1283" width="13.375" style="232" customWidth="1"/>
    <col min="1284" max="1284" width="2.875" style="232" customWidth="1"/>
    <col min="1285" max="1285" width="12.125" style="232" customWidth="1"/>
    <col min="1286" max="1286" width="2.75" style="232" customWidth="1"/>
    <col min="1287" max="1287" width="11" style="232" customWidth="1"/>
    <col min="1288" max="1288" width="13.375" style="232" customWidth="1"/>
    <col min="1289" max="1289" width="10.875" style="232" customWidth="1"/>
    <col min="1290" max="1290" width="3.625" style="232" customWidth="1"/>
    <col min="1291" max="1291" width="10.375" style="232" customWidth="1"/>
    <col min="1292" max="1536" width="9" style="232"/>
    <col min="1537" max="1537" width="4.125" style="232" customWidth="1"/>
    <col min="1538" max="1538" width="6" style="232" customWidth="1"/>
    <col min="1539" max="1539" width="13.375" style="232" customWidth="1"/>
    <col min="1540" max="1540" width="2.875" style="232" customWidth="1"/>
    <col min="1541" max="1541" width="12.125" style="232" customWidth="1"/>
    <col min="1542" max="1542" width="2.75" style="232" customWidth="1"/>
    <col min="1543" max="1543" width="11" style="232" customWidth="1"/>
    <col min="1544" max="1544" width="13.375" style="232" customWidth="1"/>
    <col min="1545" max="1545" width="10.875" style="232" customWidth="1"/>
    <col min="1546" max="1546" width="3.625" style="232" customWidth="1"/>
    <col min="1547" max="1547" width="10.375" style="232" customWidth="1"/>
    <col min="1548" max="1792" width="9" style="232"/>
    <col min="1793" max="1793" width="4.125" style="232" customWidth="1"/>
    <col min="1794" max="1794" width="6" style="232" customWidth="1"/>
    <col min="1795" max="1795" width="13.375" style="232" customWidth="1"/>
    <col min="1796" max="1796" width="2.875" style="232" customWidth="1"/>
    <col min="1797" max="1797" width="12.125" style="232" customWidth="1"/>
    <col min="1798" max="1798" width="2.75" style="232" customWidth="1"/>
    <col min="1799" max="1799" width="11" style="232" customWidth="1"/>
    <col min="1800" max="1800" width="13.375" style="232" customWidth="1"/>
    <col min="1801" max="1801" width="10.875" style="232" customWidth="1"/>
    <col min="1802" max="1802" width="3.625" style="232" customWidth="1"/>
    <col min="1803" max="1803" width="10.375" style="232" customWidth="1"/>
    <col min="1804" max="2048" width="9" style="232"/>
    <col min="2049" max="2049" width="4.125" style="232" customWidth="1"/>
    <col min="2050" max="2050" width="6" style="232" customWidth="1"/>
    <col min="2051" max="2051" width="13.375" style="232" customWidth="1"/>
    <col min="2052" max="2052" width="2.875" style="232" customWidth="1"/>
    <col min="2053" max="2053" width="12.125" style="232" customWidth="1"/>
    <col min="2054" max="2054" width="2.75" style="232" customWidth="1"/>
    <col min="2055" max="2055" width="11" style="232" customWidth="1"/>
    <col min="2056" max="2056" width="13.375" style="232" customWidth="1"/>
    <col min="2057" max="2057" width="10.875" style="232" customWidth="1"/>
    <col min="2058" max="2058" width="3.625" style="232" customWidth="1"/>
    <col min="2059" max="2059" width="10.375" style="232" customWidth="1"/>
    <col min="2060" max="2304" width="9" style="232"/>
    <col min="2305" max="2305" width="4.125" style="232" customWidth="1"/>
    <col min="2306" max="2306" width="6" style="232" customWidth="1"/>
    <col min="2307" max="2307" width="13.375" style="232" customWidth="1"/>
    <col min="2308" max="2308" width="2.875" style="232" customWidth="1"/>
    <col min="2309" max="2309" width="12.125" style="232" customWidth="1"/>
    <col min="2310" max="2310" width="2.75" style="232" customWidth="1"/>
    <col min="2311" max="2311" width="11" style="232" customWidth="1"/>
    <col min="2312" max="2312" width="13.375" style="232" customWidth="1"/>
    <col min="2313" max="2313" width="10.875" style="232" customWidth="1"/>
    <col min="2314" max="2314" width="3.625" style="232" customWidth="1"/>
    <col min="2315" max="2315" width="10.375" style="232" customWidth="1"/>
    <col min="2316" max="2560" width="9" style="232"/>
    <col min="2561" max="2561" width="4.125" style="232" customWidth="1"/>
    <col min="2562" max="2562" width="6" style="232" customWidth="1"/>
    <col min="2563" max="2563" width="13.375" style="232" customWidth="1"/>
    <col min="2564" max="2564" width="2.875" style="232" customWidth="1"/>
    <col min="2565" max="2565" width="12.125" style="232" customWidth="1"/>
    <col min="2566" max="2566" width="2.75" style="232" customWidth="1"/>
    <col min="2567" max="2567" width="11" style="232" customWidth="1"/>
    <col min="2568" max="2568" width="13.375" style="232" customWidth="1"/>
    <col min="2569" max="2569" width="10.875" style="232" customWidth="1"/>
    <col min="2570" max="2570" width="3.625" style="232" customWidth="1"/>
    <col min="2571" max="2571" width="10.375" style="232" customWidth="1"/>
    <col min="2572" max="2816" width="9" style="232"/>
    <col min="2817" max="2817" width="4.125" style="232" customWidth="1"/>
    <col min="2818" max="2818" width="6" style="232" customWidth="1"/>
    <col min="2819" max="2819" width="13.375" style="232" customWidth="1"/>
    <col min="2820" max="2820" width="2.875" style="232" customWidth="1"/>
    <col min="2821" max="2821" width="12.125" style="232" customWidth="1"/>
    <col min="2822" max="2822" width="2.75" style="232" customWidth="1"/>
    <col min="2823" max="2823" width="11" style="232" customWidth="1"/>
    <col min="2824" max="2824" width="13.375" style="232" customWidth="1"/>
    <col min="2825" max="2825" width="10.875" style="232" customWidth="1"/>
    <col min="2826" max="2826" width="3.625" style="232" customWidth="1"/>
    <col min="2827" max="2827" width="10.375" style="232" customWidth="1"/>
    <col min="2828" max="3072" width="9" style="232"/>
    <col min="3073" max="3073" width="4.125" style="232" customWidth="1"/>
    <col min="3074" max="3074" width="6" style="232" customWidth="1"/>
    <col min="3075" max="3075" width="13.375" style="232" customWidth="1"/>
    <col min="3076" max="3076" width="2.875" style="232" customWidth="1"/>
    <col min="3077" max="3077" width="12.125" style="232" customWidth="1"/>
    <col min="3078" max="3078" width="2.75" style="232" customWidth="1"/>
    <col min="3079" max="3079" width="11" style="232" customWidth="1"/>
    <col min="3080" max="3080" width="13.375" style="232" customWidth="1"/>
    <col min="3081" max="3081" width="10.875" style="232" customWidth="1"/>
    <col min="3082" max="3082" width="3.625" style="232" customWidth="1"/>
    <col min="3083" max="3083" width="10.375" style="232" customWidth="1"/>
    <col min="3084" max="3328" width="9" style="232"/>
    <col min="3329" max="3329" width="4.125" style="232" customWidth="1"/>
    <col min="3330" max="3330" width="6" style="232" customWidth="1"/>
    <col min="3331" max="3331" width="13.375" style="232" customWidth="1"/>
    <col min="3332" max="3332" width="2.875" style="232" customWidth="1"/>
    <col min="3333" max="3333" width="12.125" style="232" customWidth="1"/>
    <col min="3334" max="3334" width="2.75" style="232" customWidth="1"/>
    <col min="3335" max="3335" width="11" style="232" customWidth="1"/>
    <col min="3336" max="3336" width="13.375" style="232" customWidth="1"/>
    <col min="3337" max="3337" width="10.875" style="232" customWidth="1"/>
    <col min="3338" max="3338" width="3.625" style="232" customWidth="1"/>
    <col min="3339" max="3339" width="10.375" style="232" customWidth="1"/>
    <col min="3340" max="3584" width="9" style="232"/>
    <col min="3585" max="3585" width="4.125" style="232" customWidth="1"/>
    <col min="3586" max="3586" width="6" style="232" customWidth="1"/>
    <col min="3587" max="3587" width="13.375" style="232" customWidth="1"/>
    <col min="3588" max="3588" width="2.875" style="232" customWidth="1"/>
    <col min="3589" max="3589" width="12.125" style="232" customWidth="1"/>
    <col min="3590" max="3590" width="2.75" style="232" customWidth="1"/>
    <col min="3591" max="3591" width="11" style="232" customWidth="1"/>
    <col min="3592" max="3592" width="13.375" style="232" customWidth="1"/>
    <col min="3593" max="3593" width="10.875" style="232" customWidth="1"/>
    <col min="3594" max="3594" width="3.625" style="232" customWidth="1"/>
    <col min="3595" max="3595" width="10.375" style="232" customWidth="1"/>
    <col min="3596" max="3840" width="9" style="232"/>
    <col min="3841" max="3841" width="4.125" style="232" customWidth="1"/>
    <col min="3842" max="3842" width="6" style="232" customWidth="1"/>
    <col min="3843" max="3843" width="13.375" style="232" customWidth="1"/>
    <col min="3844" max="3844" width="2.875" style="232" customWidth="1"/>
    <col min="3845" max="3845" width="12.125" style="232" customWidth="1"/>
    <col min="3846" max="3846" width="2.75" style="232" customWidth="1"/>
    <col min="3847" max="3847" width="11" style="232" customWidth="1"/>
    <col min="3848" max="3848" width="13.375" style="232" customWidth="1"/>
    <col min="3849" max="3849" width="10.875" style="232" customWidth="1"/>
    <col min="3850" max="3850" width="3.625" style="232" customWidth="1"/>
    <col min="3851" max="3851" width="10.375" style="232" customWidth="1"/>
    <col min="3852" max="4096" width="9" style="232"/>
    <col min="4097" max="4097" width="4.125" style="232" customWidth="1"/>
    <col min="4098" max="4098" width="6" style="232" customWidth="1"/>
    <col min="4099" max="4099" width="13.375" style="232" customWidth="1"/>
    <col min="4100" max="4100" width="2.875" style="232" customWidth="1"/>
    <col min="4101" max="4101" width="12.125" style="232" customWidth="1"/>
    <col min="4102" max="4102" width="2.75" style="232" customWidth="1"/>
    <col min="4103" max="4103" width="11" style="232" customWidth="1"/>
    <col min="4104" max="4104" width="13.375" style="232" customWidth="1"/>
    <col min="4105" max="4105" width="10.875" style="232" customWidth="1"/>
    <col min="4106" max="4106" width="3.625" style="232" customWidth="1"/>
    <col min="4107" max="4107" width="10.375" style="232" customWidth="1"/>
    <col min="4108" max="4352" width="9" style="232"/>
    <col min="4353" max="4353" width="4.125" style="232" customWidth="1"/>
    <col min="4354" max="4354" width="6" style="232" customWidth="1"/>
    <col min="4355" max="4355" width="13.375" style="232" customWidth="1"/>
    <col min="4356" max="4356" width="2.875" style="232" customWidth="1"/>
    <col min="4357" max="4357" width="12.125" style="232" customWidth="1"/>
    <col min="4358" max="4358" width="2.75" style="232" customWidth="1"/>
    <col min="4359" max="4359" width="11" style="232" customWidth="1"/>
    <col min="4360" max="4360" width="13.375" style="232" customWidth="1"/>
    <col min="4361" max="4361" width="10.875" style="232" customWidth="1"/>
    <col min="4362" max="4362" width="3.625" style="232" customWidth="1"/>
    <col min="4363" max="4363" width="10.375" style="232" customWidth="1"/>
    <col min="4364" max="4608" width="9" style="232"/>
    <col min="4609" max="4609" width="4.125" style="232" customWidth="1"/>
    <col min="4610" max="4610" width="6" style="232" customWidth="1"/>
    <col min="4611" max="4611" width="13.375" style="232" customWidth="1"/>
    <col min="4612" max="4612" width="2.875" style="232" customWidth="1"/>
    <col min="4613" max="4613" width="12.125" style="232" customWidth="1"/>
    <col min="4614" max="4614" width="2.75" style="232" customWidth="1"/>
    <col min="4615" max="4615" width="11" style="232" customWidth="1"/>
    <col min="4616" max="4616" width="13.375" style="232" customWidth="1"/>
    <col min="4617" max="4617" width="10.875" style="232" customWidth="1"/>
    <col min="4618" max="4618" width="3.625" style="232" customWidth="1"/>
    <col min="4619" max="4619" width="10.375" style="232" customWidth="1"/>
    <col min="4620" max="4864" width="9" style="232"/>
    <col min="4865" max="4865" width="4.125" style="232" customWidth="1"/>
    <col min="4866" max="4866" width="6" style="232" customWidth="1"/>
    <col min="4867" max="4867" width="13.375" style="232" customWidth="1"/>
    <col min="4868" max="4868" width="2.875" style="232" customWidth="1"/>
    <col min="4869" max="4869" width="12.125" style="232" customWidth="1"/>
    <col min="4870" max="4870" width="2.75" style="232" customWidth="1"/>
    <col min="4871" max="4871" width="11" style="232" customWidth="1"/>
    <col min="4872" max="4872" width="13.375" style="232" customWidth="1"/>
    <col min="4873" max="4873" width="10.875" style="232" customWidth="1"/>
    <col min="4874" max="4874" width="3.625" style="232" customWidth="1"/>
    <col min="4875" max="4875" width="10.375" style="232" customWidth="1"/>
    <col min="4876" max="5120" width="9" style="232"/>
    <col min="5121" max="5121" width="4.125" style="232" customWidth="1"/>
    <col min="5122" max="5122" width="6" style="232" customWidth="1"/>
    <col min="5123" max="5123" width="13.375" style="232" customWidth="1"/>
    <col min="5124" max="5124" width="2.875" style="232" customWidth="1"/>
    <col min="5125" max="5125" width="12.125" style="232" customWidth="1"/>
    <col min="5126" max="5126" width="2.75" style="232" customWidth="1"/>
    <col min="5127" max="5127" width="11" style="232" customWidth="1"/>
    <col min="5128" max="5128" width="13.375" style="232" customWidth="1"/>
    <col min="5129" max="5129" width="10.875" style="232" customWidth="1"/>
    <col min="5130" max="5130" width="3.625" style="232" customWidth="1"/>
    <col min="5131" max="5131" width="10.375" style="232" customWidth="1"/>
    <col min="5132" max="5376" width="9" style="232"/>
    <col min="5377" max="5377" width="4.125" style="232" customWidth="1"/>
    <col min="5378" max="5378" width="6" style="232" customWidth="1"/>
    <col min="5379" max="5379" width="13.375" style="232" customWidth="1"/>
    <col min="5380" max="5380" width="2.875" style="232" customWidth="1"/>
    <col min="5381" max="5381" width="12.125" style="232" customWidth="1"/>
    <col min="5382" max="5382" width="2.75" style="232" customWidth="1"/>
    <col min="5383" max="5383" width="11" style="232" customWidth="1"/>
    <col min="5384" max="5384" width="13.375" style="232" customWidth="1"/>
    <col min="5385" max="5385" width="10.875" style="232" customWidth="1"/>
    <col min="5386" max="5386" width="3.625" style="232" customWidth="1"/>
    <col min="5387" max="5387" width="10.375" style="232" customWidth="1"/>
    <col min="5388" max="5632" width="9" style="232"/>
    <col min="5633" max="5633" width="4.125" style="232" customWidth="1"/>
    <col min="5634" max="5634" width="6" style="232" customWidth="1"/>
    <col min="5635" max="5635" width="13.375" style="232" customWidth="1"/>
    <col min="5636" max="5636" width="2.875" style="232" customWidth="1"/>
    <col min="5637" max="5637" width="12.125" style="232" customWidth="1"/>
    <col min="5638" max="5638" width="2.75" style="232" customWidth="1"/>
    <col min="5639" max="5639" width="11" style="232" customWidth="1"/>
    <col min="5640" max="5640" width="13.375" style="232" customWidth="1"/>
    <col min="5641" max="5641" width="10.875" style="232" customWidth="1"/>
    <col min="5642" max="5642" width="3.625" style="232" customWidth="1"/>
    <col min="5643" max="5643" width="10.375" style="232" customWidth="1"/>
    <col min="5644" max="5888" width="9" style="232"/>
    <col min="5889" max="5889" width="4.125" style="232" customWidth="1"/>
    <col min="5890" max="5890" width="6" style="232" customWidth="1"/>
    <col min="5891" max="5891" width="13.375" style="232" customWidth="1"/>
    <col min="5892" max="5892" width="2.875" style="232" customWidth="1"/>
    <col min="5893" max="5893" width="12.125" style="232" customWidth="1"/>
    <col min="5894" max="5894" width="2.75" style="232" customWidth="1"/>
    <col min="5895" max="5895" width="11" style="232" customWidth="1"/>
    <col min="5896" max="5896" width="13.375" style="232" customWidth="1"/>
    <col min="5897" max="5897" width="10.875" style="232" customWidth="1"/>
    <col min="5898" max="5898" width="3.625" style="232" customWidth="1"/>
    <col min="5899" max="5899" width="10.375" style="232" customWidth="1"/>
    <col min="5900" max="6144" width="9" style="232"/>
    <col min="6145" max="6145" width="4.125" style="232" customWidth="1"/>
    <col min="6146" max="6146" width="6" style="232" customWidth="1"/>
    <col min="6147" max="6147" width="13.375" style="232" customWidth="1"/>
    <col min="6148" max="6148" width="2.875" style="232" customWidth="1"/>
    <col min="6149" max="6149" width="12.125" style="232" customWidth="1"/>
    <col min="6150" max="6150" width="2.75" style="232" customWidth="1"/>
    <col min="6151" max="6151" width="11" style="232" customWidth="1"/>
    <col min="6152" max="6152" width="13.375" style="232" customWidth="1"/>
    <col min="6153" max="6153" width="10.875" style="232" customWidth="1"/>
    <col min="6154" max="6154" width="3.625" style="232" customWidth="1"/>
    <col min="6155" max="6155" width="10.375" style="232" customWidth="1"/>
    <col min="6156" max="6400" width="9" style="232"/>
    <col min="6401" max="6401" width="4.125" style="232" customWidth="1"/>
    <col min="6402" max="6402" width="6" style="232" customWidth="1"/>
    <col min="6403" max="6403" width="13.375" style="232" customWidth="1"/>
    <col min="6404" max="6404" width="2.875" style="232" customWidth="1"/>
    <col min="6405" max="6405" width="12.125" style="232" customWidth="1"/>
    <col min="6406" max="6406" width="2.75" style="232" customWidth="1"/>
    <col min="6407" max="6407" width="11" style="232" customWidth="1"/>
    <col min="6408" max="6408" width="13.375" style="232" customWidth="1"/>
    <col min="6409" max="6409" width="10.875" style="232" customWidth="1"/>
    <col min="6410" max="6410" width="3.625" style="232" customWidth="1"/>
    <col min="6411" max="6411" width="10.375" style="232" customWidth="1"/>
    <col min="6412" max="6656" width="9" style="232"/>
    <col min="6657" max="6657" width="4.125" style="232" customWidth="1"/>
    <col min="6658" max="6658" width="6" style="232" customWidth="1"/>
    <col min="6659" max="6659" width="13.375" style="232" customWidth="1"/>
    <col min="6660" max="6660" width="2.875" style="232" customWidth="1"/>
    <col min="6661" max="6661" width="12.125" style="232" customWidth="1"/>
    <col min="6662" max="6662" width="2.75" style="232" customWidth="1"/>
    <col min="6663" max="6663" width="11" style="232" customWidth="1"/>
    <col min="6664" max="6664" width="13.375" style="232" customWidth="1"/>
    <col min="6665" max="6665" width="10.875" style="232" customWidth="1"/>
    <col min="6666" max="6666" width="3.625" style="232" customWidth="1"/>
    <col min="6667" max="6667" width="10.375" style="232" customWidth="1"/>
    <col min="6668" max="6912" width="9" style="232"/>
    <col min="6913" max="6913" width="4.125" style="232" customWidth="1"/>
    <col min="6914" max="6914" width="6" style="232" customWidth="1"/>
    <col min="6915" max="6915" width="13.375" style="232" customWidth="1"/>
    <col min="6916" max="6916" width="2.875" style="232" customWidth="1"/>
    <col min="6917" max="6917" width="12.125" style="232" customWidth="1"/>
    <col min="6918" max="6918" width="2.75" style="232" customWidth="1"/>
    <col min="6919" max="6919" width="11" style="232" customWidth="1"/>
    <col min="6920" max="6920" width="13.375" style="232" customWidth="1"/>
    <col min="6921" max="6921" width="10.875" style="232" customWidth="1"/>
    <col min="6922" max="6922" width="3.625" style="232" customWidth="1"/>
    <col min="6923" max="6923" width="10.375" style="232" customWidth="1"/>
    <col min="6924" max="7168" width="9" style="232"/>
    <col min="7169" max="7169" width="4.125" style="232" customWidth="1"/>
    <col min="7170" max="7170" width="6" style="232" customWidth="1"/>
    <col min="7171" max="7171" width="13.375" style="232" customWidth="1"/>
    <col min="7172" max="7172" width="2.875" style="232" customWidth="1"/>
    <col min="7173" max="7173" width="12.125" style="232" customWidth="1"/>
    <col min="7174" max="7174" width="2.75" style="232" customWidth="1"/>
    <col min="7175" max="7175" width="11" style="232" customWidth="1"/>
    <col min="7176" max="7176" width="13.375" style="232" customWidth="1"/>
    <col min="7177" max="7177" width="10.875" style="232" customWidth="1"/>
    <col min="7178" max="7178" width="3.625" style="232" customWidth="1"/>
    <col min="7179" max="7179" width="10.375" style="232" customWidth="1"/>
    <col min="7180" max="7424" width="9" style="232"/>
    <col min="7425" max="7425" width="4.125" style="232" customWidth="1"/>
    <col min="7426" max="7426" width="6" style="232" customWidth="1"/>
    <col min="7427" max="7427" width="13.375" style="232" customWidth="1"/>
    <col min="7428" max="7428" width="2.875" style="232" customWidth="1"/>
    <col min="7429" max="7429" width="12.125" style="232" customWidth="1"/>
    <col min="7430" max="7430" width="2.75" style="232" customWidth="1"/>
    <col min="7431" max="7431" width="11" style="232" customWidth="1"/>
    <col min="7432" max="7432" width="13.375" style="232" customWidth="1"/>
    <col min="7433" max="7433" width="10.875" style="232" customWidth="1"/>
    <col min="7434" max="7434" width="3.625" style="232" customWidth="1"/>
    <col min="7435" max="7435" width="10.375" style="232" customWidth="1"/>
    <col min="7436" max="7680" width="9" style="232"/>
    <col min="7681" max="7681" width="4.125" style="232" customWidth="1"/>
    <col min="7682" max="7682" width="6" style="232" customWidth="1"/>
    <col min="7683" max="7683" width="13.375" style="232" customWidth="1"/>
    <col min="7684" max="7684" width="2.875" style="232" customWidth="1"/>
    <col min="7685" max="7685" width="12.125" style="232" customWidth="1"/>
    <col min="7686" max="7686" width="2.75" style="232" customWidth="1"/>
    <col min="7687" max="7687" width="11" style="232" customWidth="1"/>
    <col min="7688" max="7688" width="13.375" style="232" customWidth="1"/>
    <col min="7689" max="7689" width="10.875" style="232" customWidth="1"/>
    <col min="7690" max="7690" width="3.625" style="232" customWidth="1"/>
    <col min="7691" max="7691" width="10.375" style="232" customWidth="1"/>
    <col min="7692" max="7936" width="9" style="232"/>
    <col min="7937" max="7937" width="4.125" style="232" customWidth="1"/>
    <col min="7938" max="7938" width="6" style="232" customWidth="1"/>
    <col min="7939" max="7939" width="13.375" style="232" customWidth="1"/>
    <col min="7940" max="7940" width="2.875" style="232" customWidth="1"/>
    <col min="7941" max="7941" width="12.125" style="232" customWidth="1"/>
    <col min="7942" max="7942" width="2.75" style="232" customWidth="1"/>
    <col min="7943" max="7943" width="11" style="232" customWidth="1"/>
    <col min="7944" max="7944" width="13.375" style="232" customWidth="1"/>
    <col min="7945" max="7945" width="10.875" style="232" customWidth="1"/>
    <col min="7946" max="7946" width="3.625" style="232" customWidth="1"/>
    <col min="7947" max="7947" width="10.375" style="232" customWidth="1"/>
    <col min="7948" max="8192" width="9" style="232"/>
    <col min="8193" max="8193" width="4.125" style="232" customWidth="1"/>
    <col min="8194" max="8194" width="6" style="232" customWidth="1"/>
    <col min="8195" max="8195" width="13.375" style="232" customWidth="1"/>
    <col min="8196" max="8196" width="2.875" style="232" customWidth="1"/>
    <col min="8197" max="8197" width="12.125" style="232" customWidth="1"/>
    <col min="8198" max="8198" width="2.75" style="232" customWidth="1"/>
    <col min="8199" max="8199" width="11" style="232" customWidth="1"/>
    <col min="8200" max="8200" width="13.375" style="232" customWidth="1"/>
    <col min="8201" max="8201" width="10.875" style="232" customWidth="1"/>
    <col min="8202" max="8202" width="3.625" style="232" customWidth="1"/>
    <col min="8203" max="8203" width="10.375" style="232" customWidth="1"/>
    <col min="8204" max="8448" width="9" style="232"/>
    <col min="8449" max="8449" width="4.125" style="232" customWidth="1"/>
    <col min="8450" max="8450" width="6" style="232" customWidth="1"/>
    <col min="8451" max="8451" width="13.375" style="232" customWidth="1"/>
    <col min="8452" max="8452" width="2.875" style="232" customWidth="1"/>
    <col min="8453" max="8453" width="12.125" style="232" customWidth="1"/>
    <col min="8454" max="8454" width="2.75" style="232" customWidth="1"/>
    <col min="8455" max="8455" width="11" style="232" customWidth="1"/>
    <col min="8456" max="8456" width="13.375" style="232" customWidth="1"/>
    <col min="8457" max="8457" width="10.875" style="232" customWidth="1"/>
    <col min="8458" max="8458" width="3.625" style="232" customWidth="1"/>
    <col min="8459" max="8459" width="10.375" style="232" customWidth="1"/>
    <col min="8460" max="8704" width="9" style="232"/>
    <col min="8705" max="8705" width="4.125" style="232" customWidth="1"/>
    <col min="8706" max="8706" width="6" style="232" customWidth="1"/>
    <col min="8707" max="8707" width="13.375" style="232" customWidth="1"/>
    <col min="8708" max="8708" width="2.875" style="232" customWidth="1"/>
    <col min="8709" max="8709" width="12.125" style="232" customWidth="1"/>
    <col min="8710" max="8710" width="2.75" style="232" customWidth="1"/>
    <col min="8711" max="8711" width="11" style="232" customWidth="1"/>
    <col min="8712" max="8712" width="13.375" style="232" customWidth="1"/>
    <col min="8713" max="8713" width="10.875" style="232" customWidth="1"/>
    <col min="8714" max="8714" width="3.625" style="232" customWidth="1"/>
    <col min="8715" max="8715" width="10.375" style="232" customWidth="1"/>
    <col min="8716" max="8960" width="9" style="232"/>
    <col min="8961" max="8961" width="4.125" style="232" customWidth="1"/>
    <col min="8962" max="8962" width="6" style="232" customWidth="1"/>
    <col min="8963" max="8963" width="13.375" style="232" customWidth="1"/>
    <col min="8964" max="8964" width="2.875" style="232" customWidth="1"/>
    <col min="8965" max="8965" width="12.125" style="232" customWidth="1"/>
    <col min="8966" max="8966" width="2.75" style="232" customWidth="1"/>
    <col min="8967" max="8967" width="11" style="232" customWidth="1"/>
    <col min="8968" max="8968" width="13.375" style="232" customWidth="1"/>
    <col min="8969" max="8969" width="10.875" style="232" customWidth="1"/>
    <col min="8970" max="8970" width="3.625" style="232" customWidth="1"/>
    <col min="8971" max="8971" width="10.375" style="232" customWidth="1"/>
    <col min="8972" max="9216" width="9" style="232"/>
    <col min="9217" max="9217" width="4.125" style="232" customWidth="1"/>
    <col min="9218" max="9218" width="6" style="232" customWidth="1"/>
    <col min="9219" max="9219" width="13.375" style="232" customWidth="1"/>
    <col min="9220" max="9220" width="2.875" style="232" customWidth="1"/>
    <col min="9221" max="9221" width="12.125" style="232" customWidth="1"/>
    <col min="9222" max="9222" width="2.75" style="232" customWidth="1"/>
    <col min="9223" max="9223" width="11" style="232" customWidth="1"/>
    <col min="9224" max="9224" width="13.375" style="232" customWidth="1"/>
    <col min="9225" max="9225" width="10.875" style="232" customWidth="1"/>
    <col min="9226" max="9226" width="3.625" style="232" customWidth="1"/>
    <col min="9227" max="9227" width="10.375" style="232" customWidth="1"/>
    <col min="9228" max="9472" width="9" style="232"/>
    <col min="9473" max="9473" width="4.125" style="232" customWidth="1"/>
    <col min="9474" max="9474" width="6" style="232" customWidth="1"/>
    <col min="9475" max="9475" width="13.375" style="232" customWidth="1"/>
    <col min="9476" max="9476" width="2.875" style="232" customWidth="1"/>
    <col min="9477" max="9477" width="12.125" style="232" customWidth="1"/>
    <col min="9478" max="9478" width="2.75" style="232" customWidth="1"/>
    <col min="9479" max="9479" width="11" style="232" customWidth="1"/>
    <col min="9480" max="9480" width="13.375" style="232" customWidth="1"/>
    <col min="9481" max="9481" width="10.875" style="232" customWidth="1"/>
    <col min="9482" max="9482" width="3.625" style="232" customWidth="1"/>
    <col min="9483" max="9483" width="10.375" style="232" customWidth="1"/>
    <col min="9484" max="9728" width="9" style="232"/>
    <col min="9729" max="9729" width="4.125" style="232" customWidth="1"/>
    <col min="9730" max="9730" width="6" style="232" customWidth="1"/>
    <col min="9731" max="9731" width="13.375" style="232" customWidth="1"/>
    <col min="9732" max="9732" width="2.875" style="232" customWidth="1"/>
    <col min="9733" max="9733" width="12.125" style="232" customWidth="1"/>
    <col min="9734" max="9734" width="2.75" style="232" customWidth="1"/>
    <col min="9735" max="9735" width="11" style="232" customWidth="1"/>
    <col min="9736" max="9736" width="13.375" style="232" customWidth="1"/>
    <col min="9737" max="9737" width="10.875" style="232" customWidth="1"/>
    <col min="9738" max="9738" width="3.625" style="232" customWidth="1"/>
    <col min="9739" max="9739" width="10.375" style="232" customWidth="1"/>
    <col min="9740" max="9984" width="9" style="232"/>
    <col min="9985" max="9985" width="4.125" style="232" customWidth="1"/>
    <col min="9986" max="9986" width="6" style="232" customWidth="1"/>
    <col min="9987" max="9987" width="13.375" style="232" customWidth="1"/>
    <col min="9988" max="9988" width="2.875" style="232" customWidth="1"/>
    <col min="9989" max="9989" width="12.125" style="232" customWidth="1"/>
    <col min="9990" max="9990" width="2.75" style="232" customWidth="1"/>
    <col min="9991" max="9991" width="11" style="232" customWidth="1"/>
    <col min="9992" max="9992" width="13.375" style="232" customWidth="1"/>
    <col min="9993" max="9993" width="10.875" style="232" customWidth="1"/>
    <col min="9994" max="9994" width="3.625" style="232" customWidth="1"/>
    <col min="9995" max="9995" width="10.375" style="232" customWidth="1"/>
    <col min="9996" max="10240" width="9" style="232"/>
    <col min="10241" max="10241" width="4.125" style="232" customWidth="1"/>
    <col min="10242" max="10242" width="6" style="232" customWidth="1"/>
    <col min="10243" max="10243" width="13.375" style="232" customWidth="1"/>
    <col min="10244" max="10244" width="2.875" style="232" customWidth="1"/>
    <col min="10245" max="10245" width="12.125" style="232" customWidth="1"/>
    <col min="10246" max="10246" width="2.75" style="232" customWidth="1"/>
    <col min="10247" max="10247" width="11" style="232" customWidth="1"/>
    <col min="10248" max="10248" width="13.375" style="232" customWidth="1"/>
    <col min="10249" max="10249" width="10.875" style="232" customWidth="1"/>
    <col min="10250" max="10250" width="3.625" style="232" customWidth="1"/>
    <col min="10251" max="10251" width="10.375" style="232" customWidth="1"/>
    <col min="10252" max="10496" width="9" style="232"/>
    <col min="10497" max="10497" width="4.125" style="232" customWidth="1"/>
    <col min="10498" max="10498" width="6" style="232" customWidth="1"/>
    <col min="10499" max="10499" width="13.375" style="232" customWidth="1"/>
    <col min="10500" max="10500" width="2.875" style="232" customWidth="1"/>
    <col min="10501" max="10501" width="12.125" style="232" customWidth="1"/>
    <col min="10502" max="10502" width="2.75" style="232" customWidth="1"/>
    <col min="10503" max="10503" width="11" style="232" customWidth="1"/>
    <col min="10504" max="10504" width="13.375" style="232" customWidth="1"/>
    <col min="10505" max="10505" width="10.875" style="232" customWidth="1"/>
    <col min="10506" max="10506" width="3.625" style="232" customWidth="1"/>
    <col min="10507" max="10507" width="10.375" style="232" customWidth="1"/>
    <col min="10508" max="10752" width="9" style="232"/>
    <col min="10753" max="10753" width="4.125" style="232" customWidth="1"/>
    <col min="10754" max="10754" width="6" style="232" customWidth="1"/>
    <col min="10755" max="10755" width="13.375" style="232" customWidth="1"/>
    <col min="10756" max="10756" width="2.875" style="232" customWidth="1"/>
    <col min="10757" max="10757" width="12.125" style="232" customWidth="1"/>
    <col min="10758" max="10758" width="2.75" style="232" customWidth="1"/>
    <col min="10759" max="10759" width="11" style="232" customWidth="1"/>
    <col min="10760" max="10760" width="13.375" style="232" customWidth="1"/>
    <col min="10761" max="10761" width="10.875" style="232" customWidth="1"/>
    <col min="10762" max="10762" width="3.625" style="232" customWidth="1"/>
    <col min="10763" max="10763" width="10.375" style="232" customWidth="1"/>
    <col min="10764" max="11008" width="9" style="232"/>
    <col min="11009" max="11009" width="4.125" style="232" customWidth="1"/>
    <col min="11010" max="11010" width="6" style="232" customWidth="1"/>
    <col min="11011" max="11011" width="13.375" style="232" customWidth="1"/>
    <col min="11012" max="11012" width="2.875" style="232" customWidth="1"/>
    <col min="11013" max="11013" width="12.125" style="232" customWidth="1"/>
    <col min="11014" max="11014" width="2.75" style="232" customWidth="1"/>
    <col min="11015" max="11015" width="11" style="232" customWidth="1"/>
    <col min="11016" max="11016" width="13.375" style="232" customWidth="1"/>
    <col min="11017" max="11017" width="10.875" style="232" customWidth="1"/>
    <col min="11018" max="11018" width="3.625" style="232" customWidth="1"/>
    <col min="11019" max="11019" width="10.375" style="232" customWidth="1"/>
    <col min="11020" max="11264" width="9" style="232"/>
    <col min="11265" max="11265" width="4.125" style="232" customWidth="1"/>
    <col min="11266" max="11266" width="6" style="232" customWidth="1"/>
    <col min="11267" max="11267" width="13.375" style="232" customWidth="1"/>
    <col min="11268" max="11268" width="2.875" style="232" customWidth="1"/>
    <col min="11269" max="11269" width="12.125" style="232" customWidth="1"/>
    <col min="11270" max="11270" width="2.75" style="232" customWidth="1"/>
    <col min="11271" max="11271" width="11" style="232" customWidth="1"/>
    <col min="11272" max="11272" width="13.375" style="232" customWidth="1"/>
    <col min="11273" max="11273" width="10.875" style="232" customWidth="1"/>
    <col min="11274" max="11274" width="3.625" style="232" customWidth="1"/>
    <col min="11275" max="11275" width="10.375" style="232" customWidth="1"/>
    <col min="11276" max="11520" width="9" style="232"/>
    <col min="11521" max="11521" width="4.125" style="232" customWidth="1"/>
    <col min="11522" max="11522" width="6" style="232" customWidth="1"/>
    <col min="11523" max="11523" width="13.375" style="232" customWidth="1"/>
    <col min="11524" max="11524" width="2.875" style="232" customWidth="1"/>
    <col min="11525" max="11525" width="12.125" style="232" customWidth="1"/>
    <col min="11526" max="11526" width="2.75" style="232" customWidth="1"/>
    <col min="11527" max="11527" width="11" style="232" customWidth="1"/>
    <col min="11528" max="11528" width="13.375" style="232" customWidth="1"/>
    <col min="11529" max="11529" width="10.875" style="232" customWidth="1"/>
    <col min="11530" max="11530" width="3.625" style="232" customWidth="1"/>
    <col min="11531" max="11531" width="10.375" style="232" customWidth="1"/>
    <col min="11532" max="11776" width="9" style="232"/>
    <col min="11777" max="11777" width="4.125" style="232" customWidth="1"/>
    <col min="11778" max="11778" width="6" style="232" customWidth="1"/>
    <col min="11779" max="11779" width="13.375" style="232" customWidth="1"/>
    <col min="11780" max="11780" width="2.875" style="232" customWidth="1"/>
    <col min="11781" max="11781" width="12.125" style="232" customWidth="1"/>
    <col min="11782" max="11782" width="2.75" style="232" customWidth="1"/>
    <col min="11783" max="11783" width="11" style="232" customWidth="1"/>
    <col min="11784" max="11784" width="13.375" style="232" customWidth="1"/>
    <col min="11785" max="11785" width="10.875" style="232" customWidth="1"/>
    <col min="11786" max="11786" width="3.625" style="232" customWidth="1"/>
    <col min="11787" max="11787" width="10.375" style="232" customWidth="1"/>
    <col min="11788" max="12032" width="9" style="232"/>
    <col min="12033" max="12033" width="4.125" style="232" customWidth="1"/>
    <col min="12034" max="12034" width="6" style="232" customWidth="1"/>
    <col min="12035" max="12035" width="13.375" style="232" customWidth="1"/>
    <col min="12036" max="12036" width="2.875" style="232" customWidth="1"/>
    <col min="12037" max="12037" width="12.125" style="232" customWidth="1"/>
    <col min="12038" max="12038" width="2.75" style="232" customWidth="1"/>
    <col min="12039" max="12039" width="11" style="232" customWidth="1"/>
    <col min="12040" max="12040" width="13.375" style="232" customWidth="1"/>
    <col min="12041" max="12041" width="10.875" style="232" customWidth="1"/>
    <col min="12042" max="12042" width="3.625" style="232" customWidth="1"/>
    <col min="12043" max="12043" width="10.375" style="232" customWidth="1"/>
    <col min="12044" max="12288" width="9" style="232"/>
    <col min="12289" max="12289" width="4.125" style="232" customWidth="1"/>
    <col min="12290" max="12290" width="6" style="232" customWidth="1"/>
    <col min="12291" max="12291" width="13.375" style="232" customWidth="1"/>
    <col min="12292" max="12292" width="2.875" style="232" customWidth="1"/>
    <col min="12293" max="12293" width="12.125" style="232" customWidth="1"/>
    <col min="12294" max="12294" width="2.75" style="232" customWidth="1"/>
    <col min="12295" max="12295" width="11" style="232" customWidth="1"/>
    <col min="12296" max="12296" width="13.375" style="232" customWidth="1"/>
    <col min="12297" max="12297" width="10.875" style="232" customWidth="1"/>
    <col min="12298" max="12298" width="3.625" style="232" customWidth="1"/>
    <col min="12299" max="12299" width="10.375" style="232" customWidth="1"/>
    <col min="12300" max="12544" width="9" style="232"/>
    <col min="12545" max="12545" width="4.125" style="232" customWidth="1"/>
    <col min="12546" max="12546" width="6" style="232" customWidth="1"/>
    <col min="12547" max="12547" width="13.375" style="232" customWidth="1"/>
    <col min="12548" max="12548" width="2.875" style="232" customWidth="1"/>
    <col min="12549" max="12549" width="12.125" style="232" customWidth="1"/>
    <col min="12550" max="12550" width="2.75" style="232" customWidth="1"/>
    <col min="12551" max="12551" width="11" style="232" customWidth="1"/>
    <col min="12552" max="12552" width="13.375" style="232" customWidth="1"/>
    <col min="12553" max="12553" width="10.875" style="232" customWidth="1"/>
    <col min="12554" max="12554" width="3.625" style="232" customWidth="1"/>
    <col min="12555" max="12555" width="10.375" style="232" customWidth="1"/>
    <col min="12556" max="12800" width="9" style="232"/>
    <col min="12801" max="12801" width="4.125" style="232" customWidth="1"/>
    <col min="12802" max="12802" width="6" style="232" customWidth="1"/>
    <col min="12803" max="12803" width="13.375" style="232" customWidth="1"/>
    <col min="12804" max="12804" width="2.875" style="232" customWidth="1"/>
    <col min="12805" max="12805" width="12.125" style="232" customWidth="1"/>
    <col min="12806" max="12806" width="2.75" style="232" customWidth="1"/>
    <col min="12807" max="12807" width="11" style="232" customWidth="1"/>
    <col min="12808" max="12808" width="13.375" style="232" customWidth="1"/>
    <col min="12809" max="12809" width="10.875" style="232" customWidth="1"/>
    <col min="12810" max="12810" width="3.625" style="232" customWidth="1"/>
    <col min="12811" max="12811" width="10.375" style="232" customWidth="1"/>
    <col min="12812" max="13056" width="9" style="232"/>
    <col min="13057" max="13057" width="4.125" style="232" customWidth="1"/>
    <col min="13058" max="13058" width="6" style="232" customWidth="1"/>
    <col min="13059" max="13059" width="13.375" style="232" customWidth="1"/>
    <col min="13060" max="13060" width="2.875" style="232" customWidth="1"/>
    <col min="13061" max="13061" width="12.125" style="232" customWidth="1"/>
    <col min="13062" max="13062" width="2.75" style="232" customWidth="1"/>
    <col min="13063" max="13063" width="11" style="232" customWidth="1"/>
    <col min="13064" max="13064" width="13.375" style="232" customWidth="1"/>
    <col min="13065" max="13065" width="10.875" style="232" customWidth="1"/>
    <col min="13066" max="13066" width="3.625" style="232" customWidth="1"/>
    <col min="13067" max="13067" width="10.375" style="232" customWidth="1"/>
    <col min="13068" max="13312" width="9" style="232"/>
    <col min="13313" max="13313" width="4.125" style="232" customWidth="1"/>
    <col min="13314" max="13314" width="6" style="232" customWidth="1"/>
    <col min="13315" max="13315" width="13.375" style="232" customWidth="1"/>
    <col min="13316" max="13316" width="2.875" style="232" customWidth="1"/>
    <col min="13317" max="13317" width="12.125" style="232" customWidth="1"/>
    <col min="13318" max="13318" width="2.75" style="232" customWidth="1"/>
    <col min="13319" max="13319" width="11" style="232" customWidth="1"/>
    <col min="13320" max="13320" width="13.375" style="232" customWidth="1"/>
    <col min="13321" max="13321" width="10.875" style="232" customWidth="1"/>
    <col min="13322" max="13322" width="3.625" style="232" customWidth="1"/>
    <col min="13323" max="13323" width="10.375" style="232" customWidth="1"/>
    <col min="13324" max="13568" width="9" style="232"/>
    <col min="13569" max="13569" width="4.125" style="232" customWidth="1"/>
    <col min="13570" max="13570" width="6" style="232" customWidth="1"/>
    <col min="13571" max="13571" width="13.375" style="232" customWidth="1"/>
    <col min="13572" max="13572" width="2.875" style="232" customWidth="1"/>
    <col min="13573" max="13573" width="12.125" style="232" customWidth="1"/>
    <col min="13574" max="13574" width="2.75" style="232" customWidth="1"/>
    <col min="13575" max="13575" width="11" style="232" customWidth="1"/>
    <col min="13576" max="13576" width="13.375" style="232" customWidth="1"/>
    <col min="13577" max="13577" width="10.875" style="232" customWidth="1"/>
    <col min="13578" max="13578" width="3.625" style="232" customWidth="1"/>
    <col min="13579" max="13579" width="10.375" style="232" customWidth="1"/>
    <col min="13580" max="13824" width="9" style="232"/>
    <col min="13825" max="13825" width="4.125" style="232" customWidth="1"/>
    <col min="13826" max="13826" width="6" style="232" customWidth="1"/>
    <col min="13827" max="13827" width="13.375" style="232" customWidth="1"/>
    <col min="13828" max="13828" width="2.875" style="232" customWidth="1"/>
    <col min="13829" max="13829" width="12.125" style="232" customWidth="1"/>
    <col min="13830" max="13830" width="2.75" style="232" customWidth="1"/>
    <col min="13831" max="13831" width="11" style="232" customWidth="1"/>
    <col min="13832" max="13832" width="13.375" style="232" customWidth="1"/>
    <col min="13833" max="13833" width="10.875" style="232" customWidth="1"/>
    <col min="13834" max="13834" width="3.625" style="232" customWidth="1"/>
    <col min="13835" max="13835" width="10.375" style="232" customWidth="1"/>
    <col min="13836" max="14080" width="9" style="232"/>
    <col min="14081" max="14081" width="4.125" style="232" customWidth="1"/>
    <col min="14082" max="14082" width="6" style="232" customWidth="1"/>
    <col min="14083" max="14083" width="13.375" style="232" customWidth="1"/>
    <col min="14084" max="14084" width="2.875" style="232" customWidth="1"/>
    <col min="14085" max="14085" width="12.125" style="232" customWidth="1"/>
    <col min="14086" max="14086" width="2.75" style="232" customWidth="1"/>
    <col min="14087" max="14087" width="11" style="232" customWidth="1"/>
    <col min="14088" max="14088" width="13.375" style="232" customWidth="1"/>
    <col min="14089" max="14089" width="10.875" style="232" customWidth="1"/>
    <col min="14090" max="14090" width="3.625" style="232" customWidth="1"/>
    <col min="14091" max="14091" width="10.375" style="232" customWidth="1"/>
    <col min="14092" max="14336" width="9" style="232"/>
    <col min="14337" max="14337" width="4.125" style="232" customWidth="1"/>
    <col min="14338" max="14338" width="6" style="232" customWidth="1"/>
    <col min="14339" max="14339" width="13.375" style="232" customWidth="1"/>
    <col min="14340" max="14340" width="2.875" style="232" customWidth="1"/>
    <col min="14341" max="14341" width="12.125" style="232" customWidth="1"/>
    <col min="14342" max="14342" width="2.75" style="232" customWidth="1"/>
    <col min="14343" max="14343" width="11" style="232" customWidth="1"/>
    <col min="14344" max="14344" width="13.375" style="232" customWidth="1"/>
    <col min="14345" max="14345" width="10.875" style="232" customWidth="1"/>
    <col min="14346" max="14346" width="3.625" style="232" customWidth="1"/>
    <col min="14347" max="14347" width="10.375" style="232" customWidth="1"/>
    <col min="14348" max="14592" width="9" style="232"/>
    <col min="14593" max="14593" width="4.125" style="232" customWidth="1"/>
    <col min="14594" max="14594" width="6" style="232" customWidth="1"/>
    <col min="14595" max="14595" width="13.375" style="232" customWidth="1"/>
    <col min="14596" max="14596" width="2.875" style="232" customWidth="1"/>
    <col min="14597" max="14597" width="12.125" style="232" customWidth="1"/>
    <col min="14598" max="14598" width="2.75" style="232" customWidth="1"/>
    <col min="14599" max="14599" width="11" style="232" customWidth="1"/>
    <col min="14600" max="14600" width="13.375" style="232" customWidth="1"/>
    <col min="14601" max="14601" width="10.875" style="232" customWidth="1"/>
    <col min="14602" max="14602" width="3.625" style="232" customWidth="1"/>
    <col min="14603" max="14603" width="10.375" style="232" customWidth="1"/>
    <col min="14604" max="14848" width="9" style="232"/>
    <col min="14849" max="14849" width="4.125" style="232" customWidth="1"/>
    <col min="14850" max="14850" width="6" style="232" customWidth="1"/>
    <col min="14851" max="14851" width="13.375" style="232" customWidth="1"/>
    <col min="14852" max="14852" width="2.875" style="232" customWidth="1"/>
    <col min="14853" max="14853" width="12.125" style="232" customWidth="1"/>
    <col min="14854" max="14854" width="2.75" style="232" customWidth="1"/>
    <col min="14855" max="14855" width="11" style="232" customWidth="1"/>
    <col min="14856" max="14856" width="13.375" style="232" customWidth="1"/>
    <col min="14857" max="14857" width="10.875" style="232" customWidth="1"/>
    <col min="14858" max="14858" width="3.625" style="232" customWidth="1"/>
    <col min="14859" max="14859" width="10.375" style="232" customWidth="1"/>
    <col min="14860" max="15104" width="9" style="232"/>
    <col min="15105" max="15105" width="4.125" style="232" customWidth="1"/>
    <col min="15106" max="15106" width="6" style="232" customWidth="1"/>
    <col min="15107" max="15107" width="13.375" style="232" customWidth="1"/>
    <col min="15108" max="15108" width="2.875" style="232" customWidth="1"/>
    <col min="15109" max="15109" width="12.125" style="232" customWidth="1"/>
    <col min="15110" max="15110" width="2.75" style="232" customWidth="1"/>
    <col min="15111" max="15111" width="11" style="232" customWidth="1"/>
    <col min="15112" max="15112" width="13.375" style="232" customWidth="1"/>
    <col min="15113" max="15113" width="10.875" style="232" customWidth="1"/>
    <col min="15114" max="15114" width="3.625" style="232" customWidth="1"/>
    <col min="15115" max="15115" width="10.375" style="232" customWidth="1"/>
    <col min="15116" max="15360" width="9" style="232"/>
    <col min="15361" max="15361" width="4.125" style="232" customWidth="1"/>
    <col min="15362" max="15362" width="6" style="232" customWidth="1"/>
    <col min="15363" max="15363" width="13.375" style="232" customWidth="1"/>
    <col min="15364" max="15364" width="2.875" style="232" customWidth="1"/>
    <col min="15365" max="15365" width="12.125" style="232" customWidth="1"/>
    <col min="15366" max="15366" width="2.75" style="232" customWidth="1"/>
    <col min="15367" max="15367" width="11" style="232" customWidth="1"/>
    <col min="15368" max="15368" width="13.375" style="232" customWidth="1"/>
    <col min="15369" max="15369" width="10.875" style="232" customWidth="1"/>
    <col min="15370" max="15370" width="3.625" style="232" customWidth="1"/>
    <col min="15371" max="15371" width="10.375" style="232" customWidth="1"/>
    <col min="15372" max="15616" width="9" style="232"/>
    <col min="15617" max="15617" width="4.125" style="232" customWidth="1"/>
    <col min="15618" max="15618" width="6" style="232" customWidth="1"/>
    <col min="15619" max="15619" width="13.375" style="232" customWidth="1"/>
    <col min="15620" max="15620" width="2.875" style="232" customWidth="1"/>
    <col min="15621" max="15621" width="12.125" style="232" customWidth="1"/>
    <col min="15622" max="15622" width="2.75" style="232" customWidth="1"/>
    <col min="15623" max="15623" width="11" style="232" customWidth="1"/>
    <col min="15624" max="15624" width="13.375" style="232" customWidth="1"/>
    <col min="15625" max="15625" width="10.875" style="232" customWidth="1"/>
    <col min="15626" max="15626" width="3.625" style="232" customWidth="1"/>
    <col min="15627" max="15627" width="10.375" style="232" customWidth="1"/>
    <col min="15628" max="15872" width="9" style="232"/>
    <col min="15873" max="15873" width="4.125" style="232" customWidth="1"/>
    <col min="15874" max="15874" width="6" style="232" customWidth="1"/>
    <col min="15875" max="15875" width="13.375" style="232" customWidth="1"/>
    <col min="15876" max="15876" width="2.875" style="232" customWidth="1"/>
    <col min="15877" max="15877" width="12.125" style="232" customWidth="1"/>
    <col min="15878" max="15878" width="2.75" style="232" customWidth="1"/>
    <col min="15879" max="15879" width="11" style="232" customWidth="1"/>
    <col min="15880" max="15880" width="13.375" style="232" customWidth="1"/>
    <col min="15881" max="15881" width="10.875" style="232" customWidth="1"/>
    <col min="15882" max="15882" width="3.625" style="232" customWidth="1"/>
    <col min="15883" max="15883" width="10.375" style="232" customWidth="1"/>
    <col min="15884" max="16128" width="9" style="232"/>
    <col min="16129" max="16129" width="4.125" style="232" customWidth="1"/>
    <col min="16130" max="16130" width="6" style="232" customWidth="1"/>
    <col min="16131" max="16131" width="13.375" style="232" customWidth="1"/>
    <col min="16132" max="16132" width="2.875" style="232" customWidth="1"/>
    <col min="16133" max="16133" width="12.125" style="232" customWidth="1"/>
    <col min="16134" max="16134" width="2.75" style="232" customWidth="1"/>
    <col min="16135" max="16135" width="11" style="232" customWidth="1"/>
    <col min="16136" max="16136" width="13.375" style="232" customWidth="1"/>
    <col min="16137" max="16137" width="10.875" style="232" customWidth="1"/>
    <col min="16138" max="16138" width="3.625" style="232" customWidth="1"/>
    <col min="16139" max="16139" width="10.375" style="232" customWidth="1"/>
    <col min="16140" max="16384" width="9" style="232"/>
  </cols>
  <sheetData>
    <row r="1" spans="2:8" x14ac:dyDescent="0.25">
      <c r="B1" s="232" t="s">
        <v>109</v>
      </c>
    </row>
    <row r="2" spans="2:8" ht="19.5" x14ac:dyDescent="0.25">
      <c r="D2" s="233" t="s">
        <v>110</v>
      </c>
    </row>
    <row r="3" spans="2:8" ht="17.25" thickBot="1" x14ac:dyDescent="0.3"/>
    <row r="4" spans="2:8" x14ac:dyDescent="0.25">
      <c r="C4" s="234" t="s">
        <v>111</v>
      </c>
      <c r="D4" s="330">
        <v>2016.01</v>
      </c>
      <c r="E4" s="331"/>
      <c r="F4" s="331"/>
      <c r="G4" s="331"/>
      <c r="H4" s="332"/>
    </row>
    <row r="5" spans="2:8" ht="17.25" thickBot="1" x14ac:dyDescent="0.3">
      <c r="C5" s="235" t="s">
        <v>112</v>
      </c>
      <c r="D5" s="333" t="s">
        <v>145</v>
      </c>
      <c r="E5" s="334"/>
      <c r="F5" s="334"/>
      <c r="G5" s="334"/>
      <c r="H5" s="335"/>
    </row>
    <row r="6" spans="2:8" ht="17.25" thickBot="1" x14ac:dyDescent="0.3">
      <c r="C6" s="236"/>
      <c r="D6" s="325" t="s">
        <v>113</v>
      </c>
      <c r="E6" s="326"/>
      <c r="F6" s="325" t="s">
        <v>114</v>
      </c>
      <c r="G6" s="326"/>
      <c r="H6" s="237" t="s">
        <v>115</v>
      </c>
    </row>
    <row r="7" spans="2:8" ht="17.25" thickBot="1" x14ac:dyDescent="0.3">
      <c r="C7" s="238" t="s">
        <v>116</v>
      </c>
      <c r="D7" s="336" t="e">
        <f>'H2O2-ASSAY'!I42</f>
        <v>#DIV/0!</v>
      </c>
      <c r="E7" s="337"/>
      <c r="F7" s="336" t="s">
        <v>53</v>
      </c>
      <c r="G7" s="337"/>
      <c r="H7" s="251" t="e">
        <f>'H2O2-ASSAY'!L2</f>
        <v>#DIV/0!</v>
      </c>
    </row>
    <row r="8" spans="2:8" ht="17.25" thickBot="1" x14ac:dyDescent="0.3">
      <c r="B8" s="327" t="s">
        <v>117</v>
      </c>
      <c r="C8" s="239" t="s">
        <v>118</v>
      </c>
      <c r="D8" s="321"/>
      <c r="E8" s="322"/>
      <c r="F8" s="323"/>
      <c r="G8" s="324"/>
      <c r="H8" s="250"/>
    </row>
    <row r="9" spans="2:8" ht="17.25" thickBot="1" x14ac:dyDescent="0.3">
      <c r="B9" s="328"/>
      <c r="C9" s="240" t="s">
        <v>119</v>
      </c>
      <c r="D9" s="321"/>
      <c r="E9" s="322"/>
      <c r="F9" s="323"/>
      <c r="G9" s="324"/>
      <c r="H9" s="250"/>
    </row>
    <row r="10" spans="2:8" ht="17.25" thickBot="1" x14ac:dyDescent="0.3">
      <c r="B10" s="328"/>
      <c r="C10" s="240" t="s">
        <v>120</v>
      </c>
      <c r="D10" s="321"/>
      <c r="E10" s="322"/>
      <c r="F10" s="323"/>
      <c r="G10" s="324"/>
      <c r="H10" s="250"/>
    </row>
    <row r="11" spans="2:8" ht="17.25" thickBot="1" x14ac:dyDescent="0.3">
      <c r="B11" s="328"/>
      <c r="C11" s="240" t="s">
        <v>121</v>
      </c>
      <c r="D11" s="321"/>
      <c r="E11" s="322"/>
      <c r="F11" s="323"/>
      <c r="G11" s="324"/>
      <c r="H11" s="250"/>
    </row>
    <row r="12" spans="2:8" ht="17.25" thickBot="1" x14ac:dyDescent="0.3">
      <c r="B12" s="328"/>
      <c r="C12" s="240" t="s">
        <v>122</v>
      </c>
      <c r="D12" s="321"/>
      <c r="E12" s="322"/>
      <c r="F12" s="323"/>
      <c r="G12" s="324"/>
      <c r="H12" s="250"/>
    </row>
    <row r="13" spans="2:8" ht="17.25" thickBot="1" x14ac:dyDescent="0.3">
      <c r="B13" s="328"/>
      <c r="C13" s="240" t="s">
        <v>123</v>
      </c>
      <c r="D13" s="321"/>
      <c r="E13" s="322"/>
      <c r="F13" s="323"/>
      <c r="G13" s="324"/>
      <c r="H13" s="250"/>
    </row>
    <row r="14" spans="2:8" ht="17.25" thickBot="1" x14ac:dyDescent="0.3">
      <c r="B14" s="328"/>
      <c r="C14" s="240" t="s">
        <v>124</v>
      </c>
      <c r="D14" s="321"/>
      <c r="E14" s="322"/>
      <c r="F14" s="323"/>
      <c r="G14" s="324"/>
      <c r="H14" s="250"/>
    </row>
    <row r="15" spans="2:8" ht="17.25" thickBot="1" x14ac:dyDescent="0.3">
      <c r="B15" s="328"/>
      <c r="C15" s="240" t="s">
        <v>125</v>
      </c>
      <c r="D15" s="321"/>
      <c r="E15" s="322"/>
      <c r="F15" s="323"/>
      <c r="G15" s="324"/>
      <c r="H15" s="250"/>
    </row>
    <row r="16" spans="2:8" ht="17.25" thickBot="1" x14ac:dyDescent="0.3">
      <c r="B16" s="328"/>
      <c r="C16" s="240" t="s">
        <v>126</v>
      </c>
      <c r="D16" s="321"/>
      <c r="E16" s="322"/>
      <c r="F16" s="323"/>
      <c r="G16" s="324"/>
      <c r="H16" s="250"/>
    </row>
    <row r="17" spans="2:11" ht="17.25" thickBot="1" x14ac:dyDescent="0.3">
      <c r="B17" s="328"/>
      <c r="C17" s="240" t="s">
        <v>127</v>
      </c>
      <c r="D17" s="321"/>
      <c r="E17" s="322"/>
      <c r="F17" s="323"/>
      <c r="G17" s="324"/>
      <c r="H17" s="250"/>
    </row>
    <row r="18" spans="2:11" ht="17.25" thickBot="1" x14ac:dyDescent="0.3">
      <c r="B18" s="328"/>
      <c r="C18" s="240" t="s">
        <v>128</v>
      </c>
      <c r="D18" s="321"/>
      <c r="E18" s="322"/>
      <c r="F18" s="323"/>
      <c r="G18" s="324"/>
      <c r="H18" s="250"/>
    </row>
    <row r="19" spans="2:11" ht="17.25" thickBot="1" x14ac:dyDescent="0.3">
      <c r="B19" s="328"/>
      <c r="C19" s="240" t="s">
        <v>129</v>
      </c>
      <c r="D19" s="321"/>
      <c r="E19" s="322"/>
      <c r="F19" s="323"/>
      <c r="G19" s="324"/>
      <c r="H19" s="250"/>
    </row>
    <row r="20" spans="2:11" ht="17.25" thickBot="1" x14ac:dyDescent="0.3">
      <c r="B20" s="329"/>
      <c r="C20" s="241" t="s">
        <v>130</v>
      </c>
      <c r="D20" s="321"/>
      <c r="E20" s="322"/>
      <c r="F20" s="323"/>
      <c r="G20" s="324"/>
      <c r="H20" s="250"/>
    </row>
    <row r="21" spans="2:11" ht="17.25" thickBot="1" x14ac:dyDescent="0.3">
      <c r="C21" s="239" t="s">
        <v>131</v>
      </c>
      <c r="D21" s="325" t="s">
        <v>132</v>
      </c>
      <c r="E21" s="326"/>
      <c r="F21" s="325" t="s">
        <v>132</v>
      </c>
      <c r="G21" s="326"/>
      <c r="H21" s="242" t="s">
        <v>132</v>
      </c>
    </row>
    <row r="22" spans="2:11" ht="17.25" thickBot="1" x14ac:dyDescent="0.3">
      <c r="C22" s="243" t="s">
        <v>133</v>
      </c>
      <c r="D22" s="325" t="s">
        <v>132</v>
      </c>
      <c r="E22" s="326"/>
      <c r="F22" s="325" t="s">
        <v>132</v>
      </c>
      <c r="G22" s="326"/>
      <c r="H22" s="244" t="s">
        <v>132</v>
      </c>
    </row>
    <row r="24" spans="2:11" x14ac:dyDescent="0.25">
      <c r="C24" s="245" t="s">
        <v>134</v>
      </c>
    </row>
    <row r="25" spans="2:11" x14ac:dyDescent="0.25">
      <c r="C25" s="245" t="s">
        <v>135</v>
      </c>
    </row>
    <row r="26" spans="2:11" x14ac:dyDescent="0.25">
      <c r="C26" s="245" t="s">
        <v>136</v>
      </c>
    </row>
    <row r="27" spans="2:11" x14ac:dyDescent="0.25">
      <c r="C27" s="245" t="s">
        <v>137</v>
      </c>
    </row>
    <row r="28" spans="2:11" x14ac:dyDescent="0.25">
      <c r="C28" s="245" t="s">
        <v>138</v>
      </c>
    </row>
    <row r="29" spans="2:11" ht="27" customHeight="1" x14ac:dyDescent="0.25">
      <c r="C29" s="246" t="s">
        <v>139</v>
      </c>
      <c r="E29" s="247" t="s">
        <v>140</v>
      </c>
      <c r="G29" s="247" t="s">
        <v>141</v>
      </c>
      <c r="I29" s="247" t="s">
        <v>142</v>
      </c>
      <c r="K29" s="247" t="s">
        <v>143</v>
      </c>
    </row>
    <row r="30" spans="2:11" ht="52.5" customHeight="1" x14ac:dyDescent="0.25">
      <c r="C30" s="248"/>
      <c r="E30" s="248"/>
      <c r="G30" s="248"/>
      <c r="I30" s="248"/>
      <c r="K30" s="248"/>
    </row>
    <row r="31" spans="2:11" x14ac:dyDescent="0.25">
      <c r="I31" s="249" t="s">
        <v>144</v>
      </c>
    </row>
  </sheetData>
  <mergeCells count="37">
    <mergeCell ref="D4:H4"/>
    <mergeCell ref="D5:H5"/>
    <mergeCell ref="D6:E6"/>
    <mergeCell ref="F6:G6"/>
    <mergeCell ref="D7:E7"/>
    <mergeCell ref="F7:G7"/>
    <mergeCell ref="B8:B20"/>
    <mergeCell ref="D8:E8"/>
    <mergeCell ref="F8:G8"/>
    <mergeCell ref="D9:E9"/>
    <mergeCell ref="F9:G9"/>
    <mergeCell ref="D10:E10"/>
    <mergeCell ref="F10:G10"/>
    <mergeCell ref="D11:E11"/>
    <mergeCell ref="F11:G11"/>
    <mergeCell ref="D12:E12"/>
    <mergeCell ref="F12:G12"/>
    <mergeCell ref="D13:E13"/>
    <mergeCell ref="F13:G13"/>
    <mergeCell ref="D14:E14"/>
    <mergeCell ref="F14:G14"/>
    <mergeCell ref="D16:E16"/>
    <mergeCell ref="F16:G16"/>
    <mergeCell ref="D17:E17"/>
    <mergeCell ref="F17:G17"/>
    <mergeCell ref="D15:E15"/>
    <mergeCell ref="F15:G15"/>
    <mergeCell ref="D18:E18"/>
    <mergeCell ref="F18:G18"/>
    <mergeCell ref="D22:E22"/>
    <mergeCell ref="F22:G22"/>
    <mergeCell ref="D19:E19"/>
    <mergeCell ref="F19:G19"/>
    <mergeCell ref="D20:E20"/>
    <mergeCell ref="F20:G20"/>
    <mergeCell ref="D21:E21"/>
    <mergeCell ref="F21:G21"/>
  </mergeCells>
  <phoneticPr fontId="2" type="noConversion"/>
  <printOptions horizontalCentered="1"/>
  <pageMargins left="0.74803149606299213" right="0.74803149606299213" top="0.39370078740157483" bottom="0.59055118110236227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ASSAY RAW DATA</vt:lpstr>
      <vt:lpstr>H2O2-ASSAY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鄭淯仁</cp:lastModifiedBy>
  <cp:lastPrinted>2012-07-26T05:17:03Z</cp:lastPrinted>
  <dcterms:created xsi:type="dcterms:W3CDTF">2003-09-19T02:18:53Z</dcterms:created>
  <dcterms:modified xsi:type="dcterms:W3CDTF">2017-03-06T01:36:46Z</dcterms:modified>
</cp:coreProperties>
</file>