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GIT\www_Test _new_lot_rull\fill\formlist\"/>
    </mc:Choice>
  </mc:AlternateContent>
  <xr:revisionPtr revIDLastSave="0" documentId="13_ncr:1_{1AB308A4-93CF-4AFE-A65D-F5634086BB3E}" xr6:coauthVersionLast="47" xr6:coauthVersionMax="47" xr10:uidLastSave="{00000000-0000-0000-0000-000000000000}"/>
  <bookViews>
    <workbookView xWindow="2340" yWindow="1140" windowWidth="14145" windowHeight="15060" xr2:uid="{00000000-000D-0000-FFFF-FFFF00000000}"/>
  </bookViews>
  <sheets>
    <sheet name="NEW" sheetId="4" r:id="rId1"/>
    <sheet name="表單" sheetId="1" r:id="rId2"/>
    <sheet name="列印" sheetId="2" r:id="rId3"/>
    <sheet name="SQ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4" l="1"/>
  <c r="H14" i="4"/>
  <c r="H9" i="4"/>
  <c r="H14" i="1"/>
  <c r="H9" i="1"/>
</calcChain>
</file>

<file path=xl/sharedStrings.xml><?xml version="1.0" encoding="utf-8"?>
<sst xmlns="http://schemas.openxmlformats.org/spreadsheetml/2006/main" count="309" uniqueCount="190">
  <si>
    <t>充填管理者</t>
  </si>
  <si>
    <t>主管</t>
  </si>
  <si>
    <r>
      <rPr>
        <sz val="16"/>
        <color rgb="FF000000"/>
        <rFont val="新細明體"/>
        <family val="1"/>
        <charset val="136"/>
      </rPr>
      <t>(1～12m</t>
    </r>
    <r>
      <rPr>
        <b/>
        <vertAlign val="superscript"/>
        <sz val="16"/>
        <color rgb="FF000000"/>
        <rFont val="新細明體"/>
        <family val="1"/>
        <charset val="136"/>
      </rPr>
      <t>3</t>
    </r>
    <r>
      <rPr>
        <b/>
        <sz val="16"/>
        <color rgb="FF000000"/>
        <rFont val="新細明體"/>
        <family val="1"/>
        <charset val="136"/>
      </rPr>
      <t>)容器充填作業檢查表</t>
    </r>
  </si>
  <si>
    <t>項     目</t>
  </si>
  <si>
    <t>記    錄</t>
  </si>
  <si>
    <t>備  註  欄</t>
  </si>
  <si>
    <t>充填指示</t>
  </si>
  <si>
    <t>品名</t>
  </si>
  <si>
    <t>96%H2SO4硫酸</t>
  </si>
  <si>
    <t>*2P050-000*</t>
  </si>
  <si>
    <t>ES63Y054</t>
  </si>
  <si>
    <t>充填日期</t>
  </si>
  <si>
    <t>TS61C051</t>
  </si>
  <si>
    <t>客戶名</t>
  </si>
  <si>
    <t>台積F18-P2B</t>
  </si>
  <si>
    <t>TS61E213</t>
  </si>
  <si>
    <t>Lot No.</t>
  </si>
  <si>
    <t>S624F25L012</t>
  </si>
  <si>
    <t>TS62D241</t>
  </si>
  <si>
    <t>取樣需要瓶數</t>
  </si>
  <si>
    <t>瓶</t>
  </si>
  <si>
    <t>TS62F072</t>
  </si>
  <si>
    <t>充填量(A)</t>
  </si>
  <si>
    <t>L</t>
  </si>
  <si>
    <t>TS62F126</t>
  </si>
  <si>
    <t>重量確認</t>
  </si>
  <si>
    <t>Lorry No.</t>
  </si>
  <si>
    <t>S6L012</t>
  </si>
  <si>
    <t>*3L012*</t>
  </si>
  <si>
    <t>TS62F152</t>
  </si>
  <si>
    <t>充填前殘液量(總重-LY淨重)</t>
  </si>
  <si>
    <t>比重</t>
  </si>
  <si>
    <t>TS62F337</t>
  </si>
  <si>
    <t>KG</t>
  </si>
  <si>
    <t>TS64C063</t>
  </si>
  <si>
    <t>指示者</t>
  </si>
  <si>
    <t>林嘉瑩</t>
  </si>
  <si>
    <t>印</t>
  </si>
  <si>
    <t>TS69D172</t>
  </si>
  <si>
    <t>充填前準備</t>
  </si>
  <si>
    <t>製品桶槽液量確認(控制室)</t>
  </si>
  <si>
    <t>%</t>
  </si>
  <si>
    <r>
      <rPr>
        <sz val="11"/>
        <color rgb="FF000000"/>
        <rFont val="Calibri"/>
        <family val="2"/>
      </rPr>
      <t>M</t>
    </r>
    <r>
      <rPr>
        <vertAlign val="superscript"/>
        <sz val="12"/>
        <color rgb="FF000000"/>
        <rFont val="新細明體"/>
        <family val="1"/>
        <charset val="136"/>
      </rPr>
      <t>3</t>
    </r>
  </si>
  <si>
    <t>Coupler洗淨(氣、液接頭以UPW各洗30秒以上，再以CDA吹乾)</t>
  </si>
  <si>
    <t>Y</t>
  </si>
  <si>
    <t>Coupler/O-ring狀態確認</t>
  </si>
  <si>
    <t>Coupler接續</t>
  </si>
  <si>
    <r>
      <rPr>
        <sz val="11"/>
        <color rgb="FF000000"/>
        <rFont val="Calibri"/>
        <family val="2"/>
      </rPr>
      <t>排放容器氣壓(N</t>
    </r>
    <r>
      <rPr>
        <vertAlign val="subscript"/>
        <sz val="12"/>
        <color rgb="FF000000"/>
        <rFont val="新細明體"/>
        <family val="1"/>
        <charset val="136"/>
      </rPr>
      <t>2</t>
    </r>
    <r>
      <rPr>
        <sz val="12"/>
        <color rgb="FF000000"/>
        <rFont val="新細明體"/>
        <family val="1"/>
        <charset val="136"/>
      </rPr>
      <t>)</t>
    </r>
  </si>
  <si>
    <t>P-4122A出口壓力 X1：5Kg/cm2</t>
  </si>
  <si>
    <t>(洩壓聲停止後一分鐘)</t>
  </si>
  <si>
    <t>S-4122A出口壓力 X2：4.0Kg/cm2</t>
  </si>
  <si>
    <t>充填量設定(充填量-殘液量)</t>
  </si>
  <si>
    <t>S-4124A出口壓力 X3：3.0Kg/cm2</t>
  </si>
  <si>
    <t>充填</t>
  </si>
  <si>
    <t>流量</t>
  </si>
  <si>
    <r>
      <rPr>
        <sz val="11"/>
        <color rgb="FF000000"/>
        <rFont val="Calibri"/>
        <family val="2"/>
      </rPr>
      <t>1m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、6m</t>
    </r>
    <r>
      <rPr>
        <vertAlign val="superscript"/>
        <sz val="12"/>
        <color rgb="FF000000"/>
        <rFont val="新細明體"/>
        <family val="1"/>
        <charset val="136"/>
      </rPr>
      <t>3、</t>
    </r>
    <r>
      <rPr>
        <sz val="12"/>
        <color rgb="FF000000"/>
        <rFont val="新細明體"/>
        <family val="1"/>
        <charset val="136"/>
      </rPr>
      <t>12m</t>
    </r>
    <r>
      <rPr>
        <vertAlign val="superscript"/>
        <sz val="12"/>
        <color rgb="FF000000"/>
        <rFont val="新細明體"/>
        <family val="1"/>
        <charset val="136"/>
      </rPr>
      <t xml:space="preserve">3  </t>
    </r>
    <r>
      <rPr>
        <sz val="12"/>
        <color rgb="FF000000"/>
        <rFont val="新細明體"/>
        <family val="1"/>
        <charset val="136"/>
      </rPr>
      <t>(2.5m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/Hr)</t>
    </r>
  </si>
  <si>
    <r>
      <rPr>
        <sz val="11"/>
        <color rgb="FF000000"/>
        <rFont val="Calibri"/>
        <family val="2"/>
      </rPr>
      <t>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/Hr</t>
    </r>
  </si>
  <si>
    <t>總壓差1=X1-X2 = 1 Kg/cm2</t>
  </si>
  <si>
    <t>實際取樣瓶數</t>
  </si>
  <si>
    <t>總壓差2=X1-X3 = 2 Kg/cm2</t>
  </si>
  <si>
    <t>充填終了程序</t>
  </si>
  <si>
    <t>操作盤充填量</t>
  </si>
  <si>
    <t>互相
確認</t>
  </si>
  <si>
    <t>連絡事項</t>
  </si>
  <si>
    <t>製品桶槽液面確認</t>
  </si>
  <si>
    <r>
      <rPr>
        <sz val="11"/>
        <color rgb="FF000000"/>
        <rFont val="Calibri"/>
        <family val="2"/>
      </rPr>
      <t>氣密TEST≦ 1.9kg/cm</t>
    </r>
    <r>
      <rPr>
        <vertAlign val="superscript"/>
        <sz val="12"/>
        <color rgb="FF000000"/>
        <rFont val="新細明體"/>
        <family val="1"/>
        <charset val="136"/>
      </rPr>
      <t>2</t>
    </r>
    <r>
      <rPr>
        <sz val="12"/>
        <color rgb="FF000000"/>
        <rFont val="新細明體"/>
        <family val="1"/>
        <charset val="136"/>
      </rPr>
      <t xml:space="preserve"> 10分鐘</t>
    </r>
  </si>
  <si>
    <t>kg/cm2</t>
  </si>
  <si>
    <t>HOSE外觀檢查</t>
  </si>
  <si>
    <t>充填閥緊閉</t>
  </si>
  <si>
    <r>
      <rPr>
        <sz val="11"/>
        <color rgb="FF000000"/>
        <rFont val="Calibri"/>
        <family val="2"/>
      </rPr>
      <t>容器氣壓排放確認(0.3~0.5Kg/cm</t>
    </r>
    <r>
      <rPr>
        <vertAlign val="superscript"/>
        <sz val="12"/>
        <color rgb="FF000000"/>
        <rFont val="新細明體"/>
        <family val="1"/>
        <charset val="136"/>
      </rPr>
      <t>2</t>
    </r>
    <r>
      <rPr>
        <sz val="12"/>
        <color rgb="FF000000"/>
        <rFont val="新細明體"/>
        <family val="1"/>
        <charset val="136"/>
      </rPr>
      <t>)</t>
    </r>
  </si>
  <si>
    <t>H2O2洩壓至0Kg,且常時排壓閥打開</t>
  </si>
  <si>
    <t>容器(氣‧液)閥緊閉確認</t>
  </si>
  <si>
    <t>Coupler取出洗淨</t>
  </si>
  <si>
    <t>軟管收納</t>
  </si>
  <si>
    <t>充填擔當</t>
  </si>
  <si>
    <t>王庭為</t>
  </si>
  <si>
    <r>
      <rPr>
        <sz val="11"/>
        <color rgb="FF000000"/>
        <rFont val="Calibri"/>
        <family val="2"/>
      </rPr>
      <t>(QSELPC2002-003B</t>
    </r>
    <r>
      <rPr>
        <sz val="12"/>
        <color rgb="FFFF0000"/>
        <rFont val="新細明體"/>
        <family val="1"/>
        <charset val="136"/>
      </rPr>
      <t>7</t>
    </r>
    <r>
      <rPr>
        <sz val="12"/>
        <color rgb="FF000000"/>
        <rFont val="新細明體"/>
        <family val="1"/>
        <charset val="136"/>
      </rPr>
      <t>)</t>
    </r>
  </si>
  <si>
    <r>
      <rPr>
        <sz val="11"/>
        <color rgb="FF000000"/>
        <rFont val="Calibri"/>
        <family val="2"/>
      </rPr>
      <t>(1～12m</t>
    </r>
    <r>
      <rPr>
        <b/>
        <vertAlign val="superscript"/>
        <sz val="20"/>
        <color rgb="FF000000"/>
        <rFont val="細明體"/>
        <family val="3"/>
        <charset val="136"/>
      </rPr>
      <t>3</t>
    </r>
    <r>
      <rPr>
        <b/>
        <sz val="20"/>
        <color rgb="FF000000"/>
        <rFont val="細明體"/>
        <family val="3"/>
        <charset val="136"/>
      </rPr>
      <t>)容器充填作業檢查表</t>
    </r>
  </si>
  <si>
    <r>
      <rPr>
        <sz val="11"/>
        <color rgb="FF000000"/>
        <rFont val="Calibri"/>
        <family val="2"/>
      </rPr>
      <t>項</t>
    </r>
    <r>
      <rPr>
        <sz val="12"/>
        <color rgb="FF000000"/>
        <rFont val="Arial"/>
        <family val="2"/>
      </rPr>
      <t xml:space="preserve">     </t>
    </r>
    <r>
      <rPr>
        <sz val="12"/>
        <color rgb="FF000000"/>
        <rFont val="華康中黑體"/>
        <family val="3"/>
        <charset val="136"/>
      </rPr>
      <t>目</t>
    </r>
  </si>
  <si>
    <r>
      <rPr>
        <sz val="11"/>
        <color rgb="FF000000"/>
        <rFont val="Calibri"/>
        <family val="2"/>
      </rPr>
      <t>記</t>
    </r>
    <r>
      <rPr>
        <sz val="12"/>
        <color rgb="FF000000"/>
        <rFont val="Arial"/>
        <family val="2"/>
      </rPr>
      <t xml:space="preserve">    </t>
    </r>
    <r>
      <rPr>
        <sz val="12"/>
        <color rgb="FF000000"/>
        <rFont val="華康中黑體"/>
        <family val="3"/>
        <charset val="136"/>
      </rPr>
      <t>錄</t>
    </r>
  </si>
  <si>
    <r>
      <rPr>
        <sz val="11"/>
        <color rgb="FF000000"/>
        <rFont val="Calibri"/>
        <family val="2"/>
      </rPr>
      <t>備</t>
    </r>
    <r>
      <rPr>
        <sz val="12"/>
        <color rgb="FF000000"/>
        <rFont val="Arial"/>
        <family val="2"/>
      </rPr>
      <t xml:space="preserve">  </t>
    </r>
    <r>
      <rPr>
        <sz val="12"/>
        <color rgb="FF000000"/>
        <rFont val="華康中黑體"/>
        <family val="3"/>
        <charset val="136"/>
      </rPr>
      <t>註</t>
    </r>
    <r>
      <rPr>
        <sz val="12"/>
        <color rgb="FF000000"/>
        <rFont val="Arial"/>
        <family val="2"/>
      </rPr>
      <t xml:space="preserve">  </t>
    </r>
    <r>
      <rPr>
        <sz val="12"/>
        <color rgb="FF000000"/>
        <rFont val="華康中黑體"/>
        <family val="3"/>
        <charset val="136"/>
      </rPr>
      <t>欄</t>
    </r>
  </si>
  <si>
    <t>R1.V01</t>
  </si>
  <si>
    <t>R1.V02</t>
  </si>
  <si>
    <t>R1.V03</t>
  </si>
  <si>
    <t>R1.V04</t>
  </si>
  <si>
    <t xml:space="preserve">                       R1.V05</t>
  </si>
  <si>
    <r>
      <rPr>
        <sz val="11"/>
        <color rgb="FF000000"/>
        <rFont val="Calibri"/>
        <family val="2"/>
      </rPr>
      <t>充填量</t>
    </r>
    <r>
      <rPr>
        <sz val="11"/>
        <color rgb="FF000000"/>
        <rFont val="Arial"/>
        <family val="2"/>
      </rPr>
      <t>(A)</t>
    </r>
  </si>
  <si>
    <t xml:space="preserve">                       R1.V06</t>
  </si>
  <si>
    <t>kg</t>
  </si>
  <si>
    <t>R1.V07</t>
  </si>
  <si>
    <r>
      <rPr>
        <sz val="11"/>
        <color rgb="FF000000"/>
        <rFont val="Calibri"/>
        <family val="2"/>
      </rPr>
      <t>充填前</t>
    </r>
    <r>
      <rPr>
        <sz val="11"/>
        <color rgb="FF000000"/>
        <rFont val="Arial"/>
        <family val="2"/>
      </rPr>
      <t>Lorry</t>
    </r>
    <r>
      <rPr>
        <sz val="11"/>
        <color rgb="FF000000"/>
        <rFont val="華康中黑體"/>
        <family val="3"/>
        <charset val="136"/>
      </rPr>
      <t>總重</t>
    </r>
    <r>
      <rPr>
        <sz val="11"/>
        <color rgb="FF000000"/>
        <rFont val="Arial"/>
        <family val="2"/>
      </rPr>
      <t>(B1)</t>
    </r>
  </si>
  <si>
    <t>R1.V08</t>
  </si>
  <si>
    <t>R1.V09</t>
  </si>
  <si>
    <t>R1.V10</t>
  </si>
  <si>
    <t>R1.V11</t>
  </si>
  <si>
    <t xml:space="preserve">      R1.V12                                 </t>
  </si>
  <si>
    <r>
      <rPr>
        <sz val="11"/>
        <color rgb="FF000000"/>
        <rFont val="Calibri"/>
        <family val="2"/>
      </rPr>
      <t>製品桶槽液量確認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控制室</t>
    </r>
    <r>
      <rPr>
        <sz val="11"/>
        <color rgb="FF000000"/>
        <rFont val="Arial"/>
        <family val="2"/>
      </rPr>
      <t>)</t>
    </r>
  </si>
  <si>
    <t xml:space="preserve">                     </t>
  </si>
  <si>
    <t xml:space="preserve">     R1.V13</t>
  </si>
  <si>
    <t>M</t>
  </si>
  <si>
    <r>
      <rPr>
        <sz val="11"/>
        <color rgb="FF000000"/>
        <rFont val="Calibri"/>
        <family val="2"/>
      </rPr>
      <t>Coupler</t>
    </r>
    <r>
      <rPr>
        <sz val="11"/>
        <color rgb="FF000000"/>
        <rFont val="華康中黑體"/>
        <family val="3"/>
        <charset val="136"/>
      </rPr>
      <t>洗淨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氣、液接頭以</t>
    </r>
    <r>
      <rPr>
        <sz val="11"/>
        <color rgb="FF000000"/>
        <rFont val="Arial"/>
        <family val="2"/>
      </rPr>
      <t>UPW</t>
    </r>
    <r>
      <rPr>
        <sz val="11"/>
        <color rgb="FF000000"/>
        <rFont val="華康中黑體"/>
        <family val="3"/>
        <charset val="136"/>
      </rPr>
      <t>各洗</t>
    </r>
    <r>
      <rPr>
        <sz val="11"/>
        <color rgb="FF000000"/>
        <rFont val="Arial"/>
        <family val="2"/>
      </rPr>
      <t>30</t>
    </r>
    <r>
      <rPr>
        <sz val="11"/>
        <color rgb="FF000000"/>
        <rFont val="華康中黑體"/>
        <family val="3"/>
        <charset val="136"/>
      </rPr>
      <t>秒以上</t>
    </r>
    <r>
      <rPr>
        <sz val="11"/>
        <color rgb="FF000000"/>
        <rFont val="新細明體"/>
        <family val="1"/>
        <charset val="136"/>
      </rPr>
      <t>，</t>
    </r>
    <r>
      <rPr>
        <sz val="11"/>
        <color rgb="FF000000"/>
        <rFont val="華康中黑體"/>
        <family val="3"/>
        <charset val="136"/>
      </rPr>
      <t>再以</t>
    </r>
    <r>
      <rPr>
        <sz val="11"/>
        <color rgb="FF000000"/>
        <rFont val="Arial"/>
        <family val="2"/>
      </rPr>
      <t>CDA</t>
    </r>
    <r>
      <rPr>
        <sz val="11"/>
        <color rgb="FF000000"/>
        <rFont val="華康中黑體"/>
        <family val="3"/>
        <charset val="136"/>
      </rPr>
      <t>吹乾</t>
    </r>
    <r>
      <rPr>
        <sz val="11"/>
        <color rgb="FF000000"/>
        <rFont val="Arial"/>
        <family val="2"/>
      </rPr>
      <t>)</t>
    </r>
  </si>
  <si>
    <t>R1.V15</t>
  </si>
  <si>
    <r>
      <rPr>
        <sz val="11"/>
        <color rgb="FF000000"/>
        <rFont val="Calibri"/>
        <family val="2"/>
      </rPr>
      <t>Coupler/O-ring</t>
    </r>
    <r>
      <rPr>
        <sz val="11"/>
        <color rgb="FF000000"/>
        <rFont val="華康中黑體"/>
        <family val="3"/>
        <charset val="136"/>
      </rPr>
      <t>狀態確認</t>
    </r>
  </si>
  <si>
    <t>R1.V16</t>
  </si>
  <si>
    <r>
      <rPr>
        <sz val="11"/>
        <color rgb="FF000000"/>
        <rFont val="Calibri"/>
        <family val="2"/>
      </rPr>
      <t>Coupler</t>
    </r>
    <r>
      <rPr>
        <sz val="11"/>
        <color rgb="FF000000"/>
        <rFont val="華康中黑體"/>
        <family val="3"/>
        <charset val="136"/>
      </rPr>
      <t>接續</t>
    </r>
  </si>
  <si>
    <t>R1.V17</t>
  </si>
  <si>
    <r>
      <rPr>
        <sz val="11"/>
        <color rgb="FF000000"/>
        <rFont val="Calibri"/>
        <family val="2"/>
      </rPr>
      <t>排放容器氣壓</t>
    </r>
    <r>
      <rPr>
        <sz val="11"/>
        <color rgb="FF000000"/>
        <rFont val="Arial"/>
        <family val="2"/>
      </rPr>
      <t>(N</t>
    </r>
    <r>
      <rPr>
        <vertAlign val="subscript"/>
        <sz val="11"/>
        <color rgb="FF000000"/>
        <rFont val="Arial"/>
        <family val="2"/>
      </rPr>
      <t>2</t>
    </r>
    <r>
      <rPr>
        <sz val="11"/>
        <color rgb="FF000000"/>
        <rFont val="Arial"/>
        <family val="2"/>
      </rPr>
      <t>)</t>
    </r>
  </si>
  <si>
    <t>R1.V18</t>
  </si>
  <si>
    <r>
      <rPr>
        <sz val="11"/>
        <color rgb="FF000000"/>
        <rFont val="Calibri"/>
        <family val="2"/>
      </rPr>
      <t>(</t>
    </r>
    <r>
      <rPr>
        <sz val="11"/>
        <color rgb="FF000000"/>
        <rFont val="華康中黑體"/>
        <family val="3"/>
        <charset val="136"/>
      </rPr>
      <t>洩壓聲停止後一分鐘</t>
    </r>
    <r>
      <rPr>
        <sz val="11"/>
        <color rgb="FF000000"/>
        <rFont val="Arial"/>
        <family val="2"/>
      </rPr>
      <t>)</t>
    </r>
  </si>
  <si>
    <r>
      <rPr>
        <sz val="11"/>
        <color rgb="FF000000"/>
        <rFont val="Calibri"/>
        <family val="2"/>
      </rPr>
      <t>充填量設定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充填量</t>
    </r>
    <r>
      <rPr>
        <sz val="11"/>
        <color rgb="FF000000"/>
        <rFont val="Arial"/>
        <family val="2"/>
      </rPr>
      <t>-</t>
    </r>
    <r>
      <rPr>
        <sz val="11"/>
        <color rgb="FF000000"/>
        <rFont val="華康中黑體"/>
        <family val="3"/>
        <charset val="136"/>
      </rPr>
      <t>殘液量</t>
    </r>
    <r>
      <rPr>
        <sz val="11"/>
        <color rgb="FF000000"/>
        <rFont val="Arial"/>
        <family val="2"/>
      </rPr>
      <t>)</t>
    </r>
  </si>
  <si>
    <t>R1.V19</t>
  </si>
  <si>
    <r>
      <rPr>
        <sz val="11"/>
        <color rgb="FF000000"/>
        <rFont val="Calibri"/>
        <family val="2"/>
      </rPr>
      <t>1m</t>
    </r>
    <r>
      <rPr>
        <vertAlign val="superscript"/>
        <sz val="11"/>
        <color rgb="FF000000"/>
        <rFont val="Arial"/>
        <family val="2"/>
      </rPr>
      <t>3</t>
    </r>
    <r>
      <rPr>
        <vertAlign val="superscript"/>
        <sz val="11"/>
        <color rgb="FF000000"/>
        <rFont val="華康中黑體"/>
        <family val="3"/>
        <charset val="136"/>
      </rPr>
      <t>、</t>
    </r>
    <r>
      <rPr>
        <sz val="11"/>
        <color rgb="FF000000"/>
        <rFont val="Arial"/>
        <family val="2"/>
      </rPr>
      <t>12m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華康中黑體"/>
        <family val="3"/>
        <charset val="136"/>
      </rPr>
      <t>、</t>
    </r>
    <r>
      <rPr>
        <sz val="11"/>
        <color rgb="FF000000"/>
        <rFont val="Arial"/>
        <family val="2"/>
      </rPr>
      <t>6m</t>
    </r>
    <r>
      <rPr>
        <vertAlign val="superscript"/>
        <sz val="11"/>
        <color rgb="FF000000"/>
        <rFont val="Arial"/>
        <family val="2"/>
      </rPr>
      <t xml:space="preserve">3  </t>
    </r>
    <r>
      <rPr>
        <sz val="11"/>
        <color rgb="FF000000"/>
        <rFont val="Arial"/>
        <family val="2"/>
      </rPr>
      <t>(2.5m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/Hr)</t>
    </r>
  </si>
  <si>
    <t>R1.V20</t>
  </si>
  <si>
    <r>
      <rPr>
        <sz val="11"/>
        <color rgb="FF000000"/>
        <rFont val="Calibri"/>
        <family val="2"/>
      </rPr>
      <t>實際取樣瓶數</t>
    </r>
    <r>
      <rPr>
        <sz val="11"/>
        <color rgb="FF000000"/>
        <rFont val="Arial"/>
        <family val="2"/>
      </rPr>
      <t>:</t>
    </r>
    <r>
      <rPr>
        <sz val="10"/>
        <color rgb="FF000080"/>
        <rFont val="Arial"/>
        <family val="2"/>
      </rPr>
      <t/>
    </r>
  </si>
  <si>
    <t xml:space="preserve">                       R1.V23</t>
  </si>
  <si>
    <t>取樣前Purge</t>
  </si>
  <si>
    <r>
      <rPr>
        <sz val="11"/>
        <color rgb="FF000000"/>
        <rFont val="Calibri"/>
        <family val="2"/>
      </rPr>
      <t>比抵抗</t>
    </r>
    <r>
      <rPr>
        <sz val="11"/>
        <color rgb="FF000000"/>
        <rFont val="Arial"/>
        <family val="2"/>
      </rPr>
      <t>(IPA</t>
    </r>
    <r>
      <rPr>
        <sz val="11"/>
        <color rgb="FF000000"/>
        <rFont val="華康中黑體"/>
        <family val="3"/>
        <charset val="136"/>
      </rPr>
      <t>：</t>
    </r>
    <r>
      <rPr>
        <sz val="11"/>
        <color rgb="FF000000"/>
        <rFont val="Arial"/>
        <family val="2"/>
      </rPr>
      <t>&amp;gt;5.0G</t>
    </r>
    <r>
      <rPr>
        <sz val="11"/>
        <color rgb="FF000000"/>
        <rFont val="華康中黑體"/>
        <family val="3"/>
        <charset val="136"/>
      </rPr>
      <t>Ω</t>
    </r>
    <r>
      <rPr>
        <sz val="11"/>
        <color rgb="FF000000"/>
        <rFont val="Arial"/>
        <family val="2"/>
      </rPr>
      <t>cm)</t>
    </r>
  </si>
  <si>
    <t xml:space="preserve">                       R1.V24</t>
  </si>
  <si>
    <t>℃</t>
  </si>
  <si>
    <t>MEGA Check(基準值: 1MΩ)</t>
  </si>
  <si>
    <t>互相</t>
  </si>
  <si>
    <t xml:space="preserve">                       R1.V25</t>
  </si>
  <si>
    <t>確認</t>
  </si>
  <si>
    <t xml:space="preserve">      R1.V26     </t>
  </si>
  <si>
    <r>
      <rPr>
        <sz val="11"/>
        <color rgb="FF000000"/>
        <rFont val="Calibri"/>
        <family val="2"/>
      </rPr>
      <t>氣密</t>
    </r>
    <r>
      <rPr>
        <sz val="10.5"/>
        <color rgb="FF000000"/>
        <rFont val="Arial"/>
        <family val="2"/>
      </rPr>
      <t>TEST</t>
    </r>
    <r>
      <rPr>
        <sz val="10.5"/>
        <color rgb="FF000000"/>
        <rFont val="新細明體"/>
        <family val="1"/>
        <charset val="136"/>
      </rPr>
      <t>≦</t>
    </r>
    <r>
      <rPr>
        <sz val="10.5"/>
        <color rgb="FF000000"/>
        <rFont val="Arial"/>
        <family val="2"/>
      </rPr>
      <t xml:space="preserve"> 1.9kg/cm</t>
    </r>
    <r>
      <rPr>
        <vertAlign val="superscript"/>
        <sz val="10.5"/>
        <color rgb="FF000000"/>
        <rFont val="Arial"/>
        <family val="2"/>
      </rPr>
      <t>2</t>
    </r>
    <r>
      <rPr>
        <sz val="10.5"/>
        <color rgb="FF000000"/>
        <rFont val="Arial"/>
        <family val="2"/>
      </rPr>
      <t xml:space="preserve"> 5</t>
    </r>
    <r>
      <rPr>
        <sz val="10.5"/>
        <color rgb="FF000000"/>
        <rFont val="華康中黑體"/>
        <family val="3"/>
        <charset val="136"/>
      </rPr>
      <t>分鐘</t>
    </r>
  </si>
  <si>
    <t>R1.V28</t>
  </si>
  <si>
    <t>R1.V29</t>
  </si>
  <si>
    <r>
      <rPr>
        <sz val="11"/>
        <color rgb="FF000000"/>
        <rFont val="Calibri"/>
        <family val="2"/>
      </rPr>
      <t>容器氣壓排放確認(0.3~0.5Kg/cm</t>
    </r>
    <r>
      <rPr>
        <vertAlign val="superscript"/>
        <sz val="11"/>
        <color rgb="FF000000"/>
        <rFont val="華康中黑體"/>
        <family val="3"/>
        <charset val="136"/>
      </rPr>
      <t>2</t>
    </r>
    <r>
      <rPr>
        <sz val="11"/>
        <color rgb="FF000000"/>
        <rFont val="華康中黑體"/>
        <family val="3"/>
        <charset val="136"/>
      </rPr>
      <t>)</t>
    </r>
  </si>
  <si>
    <t>R1.V30</t>
  </si>
  <si>
    <r>
      <rPr>
        <sz val="11"/>
        <color rgb="FF000000"/>
        <rFont val="Calibri"/>
        <family val="2"/>
      </rPr>
      <t>(H2O2</t>
    </r>
    <r>
      <rPr>
        <sz val="11"/>
        <color rgb="FF000000"/>
        <rFont val="華康中黑體"/>
        <family val="3"/>
        <charset val="136"/>
      </rPr>
      <t>洩壓至</t>
    </r>
    <r>
      <rPr>
        <sz val="11"/>
        <color rgb="FF000000"/>
        <rFont val="Arial"/>
        <family val="2"/>
      </rPr>
      <t>0Kg,</t>
    </r>
    <r>
      <rPr>
        <sz val="11"/>
        <color rgb="FF000000"/>
        <rFont val="華康中黑體"/>
        <family val="3"/>
        <charset val="136"/>
      </rPr>
      <t>且常時排壓閥打開</t>
    </r>
    <r>
      <rPr>
        <sz val="11"/>
        <color rgb="FF000000"/>
        <rFont val="Arial"/>
        <family val="2"/>
      </rPr>
      <t>)</t>
    </r>
  </si>
  <si>
    <r>
      <rPr>
        <sz val="11"/>
        <color rgb="FF000000"/>
        <rFont val="Calibri"/>
        <family val="2"/>
      </rPr>
      <t>容器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氣‧液</t>
    </r>
    <r>
      <rPr>
        <sz val="11"/>
        <color rgb="FF000000"/>
        <rFont val="Arial"/>
        <family val="2"/>
      </rPr>
      <t>)</t>
    </r>
    <r>
      <rPr>
        <sz val="11"/>
        <color rgb="FF000000"/>
        <rFont val="華康中黑體"/>
        <family val="3"/>
        <charset val="136"/>
      </rPr>
      <t>閥緊閉確認</t>
    </r>
  </si>
  <si>
    <t>R1.V31</t>
  </si>
  <si>
    <r>
      <rPr>
        <sz val="11"/>
        <color rgb="FF000000"/>
        <rFont val="Calibri"/>
        <family val="2"/>
      </rPr>
      <t>Coupler</t>
    </r>
    <r>
      <rPr>
        <sz val="11"/>
        <color rgb="FF000000"/>
        <rFont val="華康中黑體"/>
        <family val="3"/>
        <charset val="136"/>
      </rPr>
      <t>取出洗淨</t>
    </r>
  </si>
  <si>
    <t>R1.V32</t>
  </si>
  <si>
    <t>R1.V33</t>
  </si>
  <si>
    <t>R1.V34</t>
  </si>
  <si>
    <t xml:space="preserve">      R1.V35                               </t>
  </si>
  <si>
    <t>(QSELPC2002-003B6)</t>
  </si>
  <si>
    <t xml:space="preserve">select  </t>
  </si>
  <si>
    <t>left( FOD.FDM_EXPECT_DATE , 4)+'/' +substring( FOD.FDM_EXPECT_DATE,5,2) + '/'+substring( FOD.FDM_EXPECT_DATE,7,2)  as   V01,</t>
  </si>
  <si>
    <t>CTD.CTD_CUST_SHORT_NAME as V02,</t>
  </si>
  <si>
    <t>FOD.FDM_QTY as V03,</t>
  </si>
  <si>
    <t>FOD.FDM_LOT_NO as V04,</t>
  </si>
  <si>
    <t>FOD.FDM_SAM_BEF_CNT +  FOD.FDM_SAM_CNT + FOD.FDM_ATTACH_CNT as V05,</t>
  </si>
  <si>
    <t>FOD.FDM_QTY</t>
  </si>
  <si>
    <t>as V06,</t>
  </si>
  <si>
    <t>LFC.LFC_W_LY_NO</t>
  </si>
  <si>
    <t>as V07,</t>
  </si>
  <si>
    <t>LFC.LFC_W_PRIOR_WEIGHT as V08,</t>
  </si>
  <si>
    <t>PDD.PDD_LITER_KG as V09,</t>
  </si>
  <si>
    <t>LFC.LFC_B_REMAIN_QTY as V10,</t>
  </si>
  <si>
    <t xml:space="preserve">   </t>
  </si>
  <si>
    <t xml:space="preserve"> LFC.LFC_B_REMAIN_QTY/isnull( PDD.PDD_LITER_KG,1) as V11,</t>
  </si>
  <si>
    <t>EMP1.EMP_NAME as V12,</t>
  </si>
  <si>
    <t>LFC.LFC_B_TROUGH_TOP as V13,</t>
  </si>
  <si>
    <t>LFC.LFC_B_CHK_COUP_CLR as V15,</t>
  </si>
  <si>
    <t>LFC.LFC_B_CHK_COUP_CLR</t>
  </si>
  <si>
    <t>as V16,</t>
  </si>
  <si>
    <t>LFC.LFC_B_CHK_COUP_LINK as V17,</t>
  </si>
  <si>
    <t>LFC.LFC_B_CHK_EXHAUST as V18,</t>
  </si>
  <si>
    <t>LFC.LFC_B_SET_FILL as  V19,</t>
  </si>
  <si>
    <t>LFC.LFC_F_FLOW as V20,</t>
  </si>
  <si>
    <t>LFC.LFC_F_SAM_COUNT as V23,</t>
  </si>
  <si>
    <t>LFC.LFC_F_RESISTANCE as V24,</t>
  </si>
  <si>
    <t>LFC.LFC_E_OPER_FILL as V25,</t>
  </si>
  <si>
    <t>LFC.LFC_E_TROUGH_TOP as V26,</t>
  </si>
  <si>
    <t>LFC.LFC_E_CHK_AIR_SEAL as V28,</t>
  </si>
  <si>
    <t>LFC.LFC_E_CHK_FILL_CLOSE as V29,</t>
  </si>
  <si>
    <t>LFC.LFC_E_CHK_EXHAUST as V30,</t>
  </si>
  <si>
    <t>LFC.LFC_E_CHK_VALVE as V31,</t>
  </si>
  <si>
    <t>LFC.LFC_E_CHK_COUP_CLR as V32,</t>
  </si>
  <si>
    <t>LFC.LFC_E_CHK_COUP as V33,</t>
  </si>
  <si>
    <t>LFC.LFC_E_CHK_PIPE_PICKUP as V34,</t>
  </si>
  <si>
    <t>PDD.PDD_PROD_NO ,</t>
  </si>
  <si>
    <t>EMP2.EMP_NAME as V35</t>
  </si>
  <si>
    <t xml:space="preserve">from LORRY_FILL_CHECK as LFC </t>
  </si>
  <si>
    <t>left outer join FILLPLAN_OUT_DECIDE as FOD on LFC.FDM_LOT_NO = FOD.FDM_LOT_NO</t>
  </si>
  <si>
    <t>left outer join CUSTOMER_DATA as CTD on FOD.CTD_CUST_NO = CTD.CTD_CUST_NO</t>
  </si>
  <si>
    <t>left outer join EMPLOYEE_DATA as EMP1 on FOD.FDM_CREATOR = EMP1.EMP_NO</t>
  </si>
  <si>
    <t xml:space="preserve">left outer join FILL_INDICATE as FID on FOD.FDM_LOT_NO = FID.FDM_LOT_NO </t>
  </si>
  <si>
    <t>left outer join EMPLOYEE_DATA as EMP2 on  FID.FID_OPERATOR = EMP2.EMP_NO</t>
  </si>
  <si>
    <t>left outer join PRODUCT_DATA as PDD on FOD.PDD_PROD_NO = PDD.PDD_PROD_NO</t>
  </si>
  <si>
    <t>where   FOD.FDM_LOT_NO = '&lt;輸入的條件&gt;'</t>
  </si>
  <si>
    <r>
      <rPr>
        <sz val="16"/>
        <color rgb="FF000000"/>
        <rFont val="新細明體"/>
        <family val="1"/>
        <charset val="136"/>
      </rPr>
      <t>(1～12m</t>
    </r>
    <r>
      <rPr>
        <b/>
        <vertAlign val="superscript"/>
        <sz val="16"/>
        <color rgb="FF000000"/>
        <rFont val="新細明體"/>
        <family val="1"/>
        <charset val="136"/>
      </rPr>
      <t>3</t>
    </r>
    <r>
      <rPr>
        <b/>
        <sz val="16"/>
        <color rgb="FF000000"/>
        <rFont val="新細明體"/>
        <family val="1"/>
        <charset val="136"/>
      </rPr>
      <t>)容器充填作業檢查表</t>
    </r>
    <phoneticPr fontId="35" type="noConversion"/>
  </si>
  <si>
    <t>品名</t>
    <phoneticPr fontId="35" type="noConversion"/>
  </si>
  <si>
    <t>充填前準備</t>
    <phoneticPr fontId="35" type="noConversion"/>
  </si>
  <si>
    <r>
      <rPr>
        <sz val="11"/>
        <color rgb="FF000000"/>
        <rFont val="Calibri"/>
        <family val="2"/>
      </rPr>
      <t>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/Hr</t>
    </r>
    <phoneticPr fontId="34" type="noConversion"/>
  </si>
  <si>
    <t>互相
確認</t>
    <phoneticPr fontId="35" type="noConversion"/>
  </si>
  <si>
    <t>H2O2洩壓至0Kg,且常時排壓閥打開</t>
    <phoneticPr fontId="35" type="noConversion"/>
  </si>
  <si>
    <r>
      <rPr>
        <sz val="11"/>
        <color rgb="FF000000"/>
        <rFont val="Calibri"/>
        <family val="2"/>
      </rPr>
      <t>(QSELPC2002-003B</t>
    </r>
    <r>
      <rPr>
        <sz val="12"/>
        <color rgb="FFFF0000"/>
        <rFont val="新細明體"/>
        <family val="1"/>
        <charset val="136"/>
      </rPr>
      <t>7</t>
    </r>
    <r>
      <rPr>
        <sz val="12"/>
        <color rgb="FF000000"/>
        <rFont val="新細明體"/>
        <family val="1"/>
        <charset val="136"/>
      </rPr>
      <t>)</t>
    </r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</si>
</sst>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_ "/>
  </numFmts>
  <fonts count="38">
    <font>
      <sz val="12"/>
      <color rgb="FF000000"/>
      <name val="新細明體"/>
    </font>
    <font>
      <sz val="12"/>
      <color rgb="FF000000"/>
      <name val="Arial"/>
      <family val="2"/>
    </font>
    <font>
      <sz val="11"/>
      <color rgb="FF000000"/>
      <name val="華康中黑體"/>
      <family val="3"/>
      <charset val="136"/>
    </font>
    <font>
      <sz val="12"/>
      <color rgb="FF0000FF"/>
      <name val="Times New Roman"/>
      <family val="1"/>
    </font>
    <font>
      <sz val="12"/>
      <color rgb="FF000000"/>
      <name val="華康中黑體"/>
      <family val="3"/>
      <charset val="136"/>
    </font>
    <font>
      <sz val="10"/>
      <color rgb="FF000000"/>
      <name val="Times New Roman"/>
      <family val="1"/>
    </font>
    <font>
      <sz val="12"/>
      <color rgb="FF000000"/>
      <name val="華康中黑體"/>
      <family val="3"/>
      <charset val="136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6"/>
      <color rgb="FF000000"/>
      <name val="新細明體"/>
      <family val="1"/>
      <charset val="136"/>
    </font>
    <font>
      <sz val="16"/>
      <color rgb="FF000000"/>
      <name val="新細明體"/>
      <family val="1"/>
      <charset val="136"/>
    </font>
    <font>
      <sz val="12"/>
      <color rgb="FF0000FF"/>
      <name val="新細明體"/>
      <family val="1"/>
      <charset val="136"/>
    </font>
    <font>
      <sz val="12"/>
      <color rgb="FF0000FF"/>
      <name val="新細明體"/>
      <family val="1"/>
      <charset val="136"/>
    </font>
    <font>
      <sz val="14"/>
      <color rgb="FF000000"/>
      <name val="華康中黑體"/>
      <family val="3"/>
      <charset val="136"/>
    </font>
    <font>
      <sz val="11"/>
      <color rgb="FF000000"/>
      <name val="Arial"/>
      <family val="2"/>
    </font>
    <font>
      <sz val="10.5"/>
      <color rgb="FF000000"/>
      <name val="華康中黑體"/>
      <family val="3"/>
      <charset val="136"/>
    </font>
    <font>
      <sz val="11"/>
      <color rgb="FF000000"/>
      <name val="新細明體"/>
      <family val="1"/>
      <charset val="136"/>
    </font>
    <font>
      <sz val="12"/>
      <color rgb="FF0000FF"/>
      <name val="華康中黑體"/>
      <family val="3"/>
      <charset val="136"/>
    </font>
    <font>
      <b/>
      <sz val="20"/>
      <color rgb="FF000000"/>
      <name val="細明體"/>
      <family val="3"/>
      <charset val="136"/>
    </font>
    <font>
      <sz val="18"/>
      <color rgb="FF000000"/>
      <name val="C39HrP48DmTt"/>
    </font>
    <font>
      <b/>
      <vertAlign val="superscript"/>
      <sz val="16"/>
      <color rgb="FF000000"/>
      <name val="新細明體"/>
      <family val="1"/>
      <charset val="136"/>
    </font>
    <font>
      <sz val="11"/>
      <color rgb="FF000000"/>
      <name val="Calibri"/>
      <family val="2"/>
    </font>
    <font>
      <vertAlign val="superscript"/>
      <sz val="12"/>
      <color rgb="FF000000"/>
      <name val="新細明體"/>
      <family val="1"/>
      <charset val="136"/>
    </font>
    <font>
      <vertAlign val="subscript"/>
      <sz val="12"/>
      <color rgb="FF000000"/>
      <name val="新細明體"/>
      <family val="1"/>
      <charset val="136"/>
    </font>
    <font>
      <sz val="12"/>
      <color rgb="FF000000"/>
      <name val="新細明體"/>
      <family val="1"/>
      <charset val="136"/>
    </font>
    <font>
      <sz val="12"/>
      <color rgb="FFFF0000"/>
      <name val="新細明體"/>
      <family val="1"/>
      <charset val="136"/>
    </font>
    <font>
      <b/>
      <vertAlign val="superscript"/>
      <sz val="20"/>
      <color rgb="FF000000"/>
      <name val="細明體"/>
      <family val="3"/>
      <charset val="136"/>
    </font>
    <font>
      <vertAlign val="subscript"/>
      <sz val="11"/>
      <color rgb="FF000000"/>
      <name val="Arial"/>
      <family val="2"/>
    </font>
    <font>
      <vertAlign val="superscript"/>
      <sz val="11"/>
      <color rgb="FF000000"/>
      <name val="Arial"/>
      <family val="2"/>
    </font>
    <font>
      <vertAlign val="superscript"/>
      <sz val="11"/>
      <color rgb="FF000000"/>
      <name val="華康中黑體"/>
      <family val="3"/>
      <charset val="136"/>
    </font>
    <font>
      <sz val="10"/>
      <color rgb="FF000080"/>
      <name val="Arial"/>
      <family val="2"/>
    </font>
    <font>
      <sz val="10.5"/>
      <color rgb="FF000000"/>
      <name val="Arial"/>
      <family val="2"/>
    </font>
    <font>
      <sz val="10.5"/>
      <color rgb="FF000000"/>
      <name val="新細明體"/>
      <family val="1"/>
      <charset val="136"/>
    </font>
    <font>
      <vertAlign val="superscript"/>
      <sz val="10.5"/>
      <color rgb="FF000000"/>
      <name val="Arial"/>
      <family val="2"/>
    </font>
    <font>
      <sz val="9"/>
      <name val="細明體"/>
      <family val="3"/>
      <charset val="136"/>
    </font>
    <font>
      <sz val="9"/>
      <name val="????"/>
      <family val="2"/>
      <charset val="136"/>
      <scheme val="minor"/>
    </font>
    <font>
      <sz val="12"/>
      <name val="新細明體"/>
      <family val="1"/>
      <charset val="136"/>
    </font>
    <font>
      <sz val="18"/>
      <name val="C39HrP48DmTt"/>
    </font>
  </fonts>
  <fills count="2">
    <fill>
      <patternFill patternType="none"/>
    </fill>
    <fill>
      <patternFill patternType="gray125"/>
    </fill>
  </fills>
  <borders count="5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4" fillId="0" borderId="0"/>
  </cellStyleXfs>
  <cellXfs count="295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7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4" fillId="0" borderId="12" xfId="0" applyFont="1" applyBorder="1" applyAlignment="1">
      <alignment horizontal="center" wrapText="1"/>
    </xf>
    <xf numFmtId="0" fontId="5" fillId="0" borderId="12" xfId="0" applyFont="1" applyBorder="1" applyAlignment="1">
      <alignment horizontal="center" wrapText="1"/>
    </xf>
    <xf numFmtId="0" fontId="5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1" fillId="0" borderId="12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  <xf numFmtId="0" fontId="1" fillId="0" borderId="12" xfId="0" applyFont="1" applyBorder="1" applyAlignment="1">
      <alignment horizontal="center" vertical="top" wrapText="1"/>
    </xf>
    <xf numFmtId="0" fontId="7" fillId="0" borderId="16" xfId="0" applyFont="1" applyBorder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8" fillId="0" borderId="16" xfId="0" applyFont="1" applyBorder="1"/>
    <xf numFmtId="0" fontId="4" fillId="0" borderId="8" xfId="0" applyFont="1" applyBorder="1" applyAlignment="1">
      <alignment horizontal="center" wrapText="1"/>
    </xf>
    <xf numFmtId="0" fontId="0" fillId="0" borderId="7" xfId="0" applyBorder="1" applyAlignment="1">
      <alignment wrapText="1"/>
    </xf>
    <xf numFmtId="0" fontId="7" fillId="0" borderId="18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76" fontId="0" fillId="0" borderId="6" xfId="0" applyNumberForma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6" xfId="0" applyBorder="1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24" fillId="0" borderId="0" xfId="1" applyAlignment="1">
      <alignment vertical="center"/>
    </xf>
    <xf numFmtId="0" fontId="24" fillId="0" borderId="6" xfId="1" applyBorder="1" applyAlignment="1">
      <alignment horizontal="center" vertical="center" wrapText="1"/>
    </xf>
    <xf numFmtId="0" fontId="24" fillId="0" borderId="17" xfId="1" applyBorder="1" applyAlignment="1">
      <alignment horizontal="center" vertical="center" wrapText="1"/>
    </xf>
    <xf numFmtId="0" fontId="24" fillId="0" borderId="6" xfId="1" applyBorder="1" applyAlignment="1">
      <alignment horizontal="center" vertical="center"/>
    </xf>
    <xf numFmtId="0" fontId="24" fillId="0" borderId="7" xfId="1" applyBorder="1" applyAlignment="1">
      <alignment horizontal="center" vertical="center" wrapText="1"/>
    </xf>
    <xf numFmtId="0" fontId="24" fillId="0" borderId="0" xfId="1" applyAlignment="1">
      <alignment horizontal="center" vertical="center"/>
    </xf>
    <xf numFmtId="176" fontId="36" fillId="0" borderId="6" xfId="1" applyNumberFormat="1" applyFont="1" applyBorder="1" applyAlignment="1">
      <alignment horizontal="center" vertical="center" wrapText="1"/>
    </xf>
    <xf numFmtId="0" fontId="24" fillId="0" borderId="47" xfId="1" applyBorder="1" applyAlignment="1">
      <alignment horizontal="center" vertical="center" wrapText="1"/>
    </xf>
    <xf numFmtId="0" fontId="36" fillId="0" borderId="49" xfId="0" applyFont="1" applyBorder="1" applyAlignment="1">
      <alignment horizontal="center" vertical="center"/>
    </xf>
    <xf numFmtId="0" fontId="24" fillId="0" borderId="46" xfId="1" applyBorder="1" applyAlignment="1">
      <alignment horizontal="center" vertical="center" wrapText="1"/>
    </xf>
    <xf numFmtId="0" fontId="24" fillId="0" borderId="19" xfId="1" applyBorder="1" applyAlignment="1">
      <alignment horizontal="center" vertical="center" wrapText="1"/>
    </xf>
    <xf numFmtId="0" fontId="24" fillId="0" borderId="19" xfId="1" applyBorder="1" applyAlignment="1">
      <alignment horizontal="center" vertical="center"/>
    </xf>
    <xf numFmtId="0" fontId="24" fillId="0" borderId="6" xfId="1" applyBorder="1" applyAlignment="1">
      <alignment horizontal="center" vertical="center" shrinkToFit="1"/>
    </xf>
    <xf numFmtId="0" fontId="24" fillId="0" borderId="0" xfId="1" applyAlignment="1">
      <alignment vertical="center" wrapText="1"/>
    </xf>
    <xf numFmtId="0" fontId="24" fillId="0" borderId="0" xfId="1" applyAlignment="1">
      <alignment horizontal="center" vertical="center" wrapText="1"/>
    </xf>
    <xf numFmtId="0" fontId="24" fillId="0" borderId="17" xfId="1" applyBorder="1" applyAlignment="1">
      <alignment horizontal="center" vertical="center"/>
    </xf>
    <xf numFmtId="0" fontId="24" fillId="0" borderId="21" xfId="1" applyBorder="1" applyAlignment="1">
      <alignment horizontal="center" vertical="center" wrapText="1"/>
    </xf>
    <xf numFmtId="0" fontId="9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24" fillId="0" borderId="6" xfId="1" applyBorder="1" applyAlignment="1">
      <alignment vertical="center"/>
    </xf>
    <xf numFmtId="0" fontId="24" fillId="0" borderId="17" xfId="1" applyBorder="1" applyAlignment="1">
      <alignment horizontal="center" vertical="center"/>
    </xf>
    <xf numFmtId="0" fontId="24" fillId="0" borderId="19" xfId="1" applyBorder="1" applyAlignment="1">
      <alignment horizontal="center" vertical="center"/>
    </xf>
    <xf numFmtId="0" fontId="24" fillId="0" borderId="6" xfId="1" applyBorder="1" applyAlignment="1">
      <alignment horizontal="center" vertical="center" wrapText="1"/>
    </xf>
    <xf numFmtId="0" fontId="24" fillId="0" borderId="17" xfId="1" applyBorder="1" applyAlignment="1">
      <alignment horizontal="center" vertical="center" wrapText="1"/>
    </xf>
    <xf numFmtId="0" fontId="24" fillId="0" borderId="17" xfId="1" applyBorder="1" applyAlignment="1">
      <alignment vertical="center"/>
    </xf>
    <xf numFmtId="0" fontId="24" fillId="0" borderId="10" xfId="1" applyBorder="1" applyAlignment="1">
      <alignment horizontal="center" vertical="center" shrinkToFit="1"/>
    </xf>
    <xf numFmtId="0" fontId="24" fillId="0" borderId="0" xfId="1" applyAlignment="1">
      <alignment horizontal="center" vertical="center" shrinkToFit="1"/>
    </xf>
    <xf numFmtId="0" fontId="24" fillId="0" borderId="1" xfId="1" applyBorder="1" applyAlignment="1">
      <alignment horizontal="center" vertical="center" shrinkToFit="1"/>
    </xf>
    <xf numFmtId="0" fontId="24" fillId="0" borderId="6" xfId="1" applyBorder="1" applyAlignment="1">
      <alignment horizontal="justify" vertical="center" wrapText="1"/>
    </xf>
    <xf numFmtId="0" fontId="24" fillId="0" borderId="7" xfId="1" applyBorder="1" applyAlignment="1">
      <alignment horizontal="center" vertical="center" shrinkToFit="1"/>
    </xf>
    <xf numFmtId="0" fontId="24" fillId="0" borderId="8" xfId="1" applyBorder="1" applyAlignment="1">
      <alignment horizontal="center" vertical="center" shrinkToFit="1"/>
    </xf>
    <xf numFmtId="0" fontId="37" fillId="0" borderId="8" xfId="1" applyFont="1" applyBorder="1" applyAlignment="1">
      <alignment horizontal="center" vertical="center" wrapText="1"/>
    </xf>
    <xf numFmtId="0" fontId="37" fillId="0" borderId="15" xfId="1" applyFont="1" applyBorder="1" applyAlignment="1">
      <alignment horizontal="center" vertical="center" wrapText="1"/>
    </xf>
    <xf numFmtId="0" fontId="24" fillId="0" borderId="6" xfId="1" applyBorder="1" applyAlignment="1">
      <alignment horizontal="center" vertical="center"/>
    </xf>
    <xf numFmtId="0" fontId="24" fillId="0" borderId="6" xfId="1" applyBorder="1" applyAlignment="1">
      <alignment horizontal="center" vertical="center" textRotation="255" wrapText="1"/>
    </xf>
    <xf numFmtId="0" fontId="24" fillId="0" borderId="21" xfId="1" applyBorder="1" applyAlignment="1">
      <alignment horizontal="center" vertical="center" shrinkToFit="1"/>
    </xf>
    <xf numFmtId="0" fontId="24" fillId="0" borderId="22" xfId="1" applyBorder="1" applyAlignment="1">
      <alignment horizontal="center" vertical="center" shrinkToFit="1"/>
    </xf>
    <xf numFmtId="0" fontId="24" fillId="0" borderId="23" xfId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24" fillId="0" borderId="7" xfId="1" applyBorder="1" applyAlignment="1">
      <alignment horizontal="center" vertical="center"/>
    </xf>
    <xf numFmtId="0" fontId="24" fillId="0" borderId="15" xfId="1" applyBorder="1" applyAlignment="1">
      <alignment horizontal="center" vertical="center"/>
    </xf>
    <xf numFmtId="0" fontId="24" fillId="0" borderId="7" xfId="1" applyBorder="1" applyAlignment="1">
      <alignment horizontal="center" vertical="center" wrapText="1"/>
    </xf>
    <xf numFmtId="0" fontId="24" fillId="0" borderId="8" xfId="1" applyBorder="1" applyAlignment="1">
      <alignment horizontal="center" vertical="center" wrapText="1"/>
    </xf>
    <xf numFmtId="0" fontId="24" fillId="0" borderId="15" xfId="1" applyBorder="1" applyAlignment="1">
      <alignment horizontal="center" vertical="center" wrapText="1"/>
    </xf>
    <xf numFmtId="0" fontId="24" fillId="0" borderId="8" xfId="1" applyBorder="1" applyAlignment="1">
      <alignment horizontal="center" vertical="center"/>
    </xf>
    <xf numFmtId="0" fontId="24" fillId="0" borderId="6" xfId="1" applyBorder="1" applyAlignment="1">
      <alignment vertical="center" wrapText="1"/>
    </xf>
    <xf numFmtId="0" fontId="24" fillId="0" borderId="6" xfId="1" applyBorder="1" applyAlignment="1">
      <alignment horizontal="right" vertical="center" wrapText="1"/>
    </xf>
    <xf numFmtId="0" fontId="24" fillId="0" borderId="46" xfId="1" applyBorder="1" applyAlignment="1">
      <alignment horizontal="center" vertical="center"/>
    </xf>
    <xf numFmtId="0" fontId="11" fillId="0" borderId="46" xfId="1" applyFont="1" applyBorder="1" applyAlignment="1">
      <alignment horizontal="center" vertical="center" wrapText="1"/>
    </xf>
    <xf numFmtId="0" fontId="24" fillId="0" borderId="7" xfId="1" applyBorder="1" applyAlignment="1">
      <alignment vertical="center" wrapText="1"/>
    </xf>
    <xf numFmtId="0" fontId="24" fillId="0" borderId="0" xfId="1" applyAlignment="1">
      <alignment horizontal="left" vertical="center" shrinkToFit="1"/>
    </xf>
    <xf numFmtId="0" fontId="24" fillId="0" borderId="1" xfId="1" applyBorder="1" applyAlignment="1">
      <alignment horizontal="left" vertical="center" shrinkToFit="1"/>
    </xf>
    <xf numFmtId="0" fontId="24" fillId="0" borderId="7" xfId="1" applyBorder="1" applyAlignment="1">
      <alignment horizontal="left" vertical="center" wrapText="1"/>
    </xf>
    <xf numFmtId="0" fontId="24" fillId="0" borderId="8" xfId="1" applyBorder="1" applyAlignment="1">
      <alignment horizontal="left" vertical="center" wrapText="1"/>
    </xf>
    <xf numFmtId="0" fontId="24" fillId="0" borderId="15" xfId="1" applyBorder="1" applyAlignment="1">
      <alignment horizontal="left" vertical="center" wrapText="1"/>
    </xf>
    <xf numFmtId="176" fontId="24" fillId="0" borderId="11" xfId="1" applyNumberFormat="1" applyBorder="1" applyAlignment="1">
      <alignment horizontal="center" vertical="center"/>
    </xf>
    <xf numFmtId="0" fontId="24" fillId="0" borderId="16" xfId="1" applyBorder="1" applyAlignment="1">
      <alignment horizontal="center" vertical="center"/>
    </xf>
    <xf numFmtId="0" fontId="24" fillId="0" borderId="0" xfId="1" applyAlignment="1">
      <alignment vertical="center" shrinkToFit="1"/>
    </xf>
    <xf numFmtId="0" fontId="24" fillId="0" borderId="1" xfId="1" applyBorder="1" applyAlignment="1">
      <alignment vertical="center" shrinkToFit="1"/>
    </xf>
    <xf numFmtId="0" fontId="24" fillId="0" borderId="6" xfId="1" applyBorder="1" applyAlignment="1">
      <alignment horizontal="left" vertical="center" wrapText="1"/>
    </xf>
    <xf numFmtId="0" fontId="24" fillId="0" borderId="24" xfId="1" applyBorder="1" applyAlignment="1">
      <alignment horizontal="center" vertical="center" textRotation="255" wrapText="1"/>
    </xf>
    <xf numFmtId="0" fontId="24" fillId="0" borderId="25" xfId="1" applyBorder="1" applyAlignment="1">
      <alignment horizontal="center" vertical="center" textRotation="255" wrapText="1"/>
    </xf>
    <xf numFmtId="0" fontId="24" fillId="0" borderId="21" xfId="1" applyBorder="1" applyAlignment="1">
      <alignment horizontal="center" vertical="center"/>
    </xf>
    <xf numFmtId="0" fontId="24" fillId="0" borderId="22" xfId="1" applyBorder="1" applyAlignment="1">
      <alignment horizontal="center" vertical="center"/>
    </xf>
    <xf numFmtId="0" fontId="24" fillId="0" borderId="48" xfId="1" applyBorder="1" applyAlignment="1">
      <alignment horizontal="center" vertical="center"/>
    </xf>
    <xf numFmtId="49" fontId="24" fillId="0" borderId="46" xfId="1" applyNumberFormat="1" applyBorder="1" applyAlignment="1">
      <alignment horizontal="center" vertical="center" wrapText="1"/>
    </xf>
    <xf numFmtId="0" fontId="24" fillId="0" borderId="46" xfId="1" applyBorder="1" applyAlignment="1">
      <alignment horizontal="center" vertical="center" wrapText="1"/>
    </xf>
    <xf numFmtId="0" fontId="24" fillId="0" borderId="6" xfId="1" applyBorder="1" applyAlignment="1">
      <alignment vertical="center" shrinkToFit="1"/>
    </xf>
    <xf numFmtId="0" fontId="24" fillId="0" borderId="6" xfId="1" applyBorder="1" applyAlignment="1">
      <alignment horizontal="center" vertical="center" shrinkToFit="1"/>
    </xf>
    <xf numFmtId="0" fontId="24" fillId="0" borderId="0" xfId="1" applyAlignment="1">
      <alignment horizontal="right" vertical="center" wrapText="1"/>
    </xf>
    <xf numFmtId="0" fontId="24" fillId="0" borderId="0" xfId="1" applyAlignment="1">
      <alignment vertical="center"/>
    </xf>
    <xf numFmtId="0" fontId="24" fillId="0" borderId="16" xfId="1" applyBorder="1" applyAlignment="1">
      <alignment horizontal="center" vertical="center" shrinkToFit="1"/>
    </xf>
    <xf numFmtId="0" fontId="24" fillId="0" borderId="16" xfId="1" applyBorder="1" applyAlignment="1">
      <alignment vertical="center" shrinkToFit="1"/>
    </xf>
    <xf numFmtId="0" fontId="24" fillId="0" borderId="2" xfId="1" applyBorder="1" applyAlignment="1">
      <alignment vertical="center" shrinkToFit="1"/>
    </xf>
    <xf numFmtId="0" fontId="24" fillId="0" borderId="7" xfId="1" applyBorder="1" applyAlignment="1">
      <alignment horizontal="center" vertical="center" textRotation="255" wrapText="1"/>
    </xf>
    <xf numFmtId="0" fontId="24" fillId="0" borderId="46" xfId="1" applyBorder="1" applyAlignment="1">
      <alignment vertical="center" wrapText="1"/>
    </xf>
    <xf numFmtId="0" fontId="24" fillId="0" borderId="50" xfId="1" applyBorder="1" applyAlignment="1">
      <alignment horizontal="center" vertical="center" wrapText="1"/>
    </xf>
    <xf numFmtId="0" fontId="24" fillId="0" borderId="16" xfId="1" applyBorder="1" applyAlignment="1">
      <alignment horizontal="center" vertical="center" wrapText="1"/>
    </xf>
    <xf numFmtId="0" fontId="24" fillId="0" borderId="51" xfId="1" applyBorder="1" applyAlignment="1">
      <alignment horizontal="center" vertical="center" shrinkToFit="1"/>
    </xf>
    <xf numFmtId="0" fontId="24" fillId="0" borderId="52" xfId="1" applyBorder="1" applyAlignment="1">
      <alignment vertical="center" shrinkToFit="1"/>
    </xf>
    <xf numFmtId="0" fontId="24" fillId="0" borderId="53" xfId="1" applyBorder="1" applyAlignment="1">
      <alignment vertical="center" shrinkToFit="1"/>
    </xf>
    <xf numFmtId="0" fontId="24" fillId="0" borderId="19" xfId="1" applyBorder="1" applyAlignment="1">
      <alignment vertical="center" wrapText="1"/>
    </xf>
    <xf numFmtId="0" fontId="24" fillId="0" borderId="19" xfId="1" applyBorder="1" applyAlignment="1">
      <alignment horizontal="center" vertical="center" wrapText="1"/>
    </xf>
    <xf numFmtId="177" fontId="11" fillId="0" borderId="7" xfId="1" applyNumberFormat="1" applyFont="1" applyBorder="1" applyAlignment="1">
      <alignment horizontal="center" vertical="center" wrapText="1"/>
    </xf>
    <xf numFmtId="177" fontId="11" fillId="0" borderId="8" xfId="1" applyNumberFormat="1" applyFont="1" applyBorder="1" applyAlignment="1">
      <alignment horizontal="center" vertical="center" wrapText="1"/>
    </xf>
    <xf numFmtId="177" fontId="11" fillId="0" borderId="15" xfId="1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0" fillId="0" borderId="23" xfId="0" applyBorder="1" applyAlignment="1">
      <alignment horizontal="center" vertical="center" shrinkToFit="1"/>
    </xf>
    <xf numFmtId="0" fontId="0" fillId="0" borderId="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49" fontId="0" fillId="0" borderId="6" xfId="0" applyNumberForma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horizontal="center" vertical="center" textRotation="255" wrapText="1"/>
    </xf>
    <xf numFmtId="0" fontId="0" fillId="0" borderId="6" xfId="0" applyBorder="1" applyAlignment="1">
      <alignment horizontal="center" vertical="center" textRotation="255" wrapText="1"/>
    </xf>
    <xf numFmtId="0" fontId="0" fillId="0" borderId="2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177" fontId="0" fillId="0" borderId="7" xfId="0" applyNumberFormat="1" applyBorder="1" applyAlignment="1">
      <alignment horizontal="center" vertical="center" wrapText="1"/>
    </xf>
    <xf numFmtId="177" fontId="0" fillId="0" borderId="8" xfId="0" applyNumberFormat="1" applyBorder="1" applyAlignment="1">
      <alignment horizontal="center" vertical="center" wrapText="1"/>
    </xf>
    <xf numFmtId="177" fontId="0" fillId="0" borderId="15" xfId="0" applyNumberFormat="1" applyBorder="1" applyAlignment="1">
      <alignment horizontal="center" vertical="center" wrapText="1"/>
    </xf>
    <xf numFmtId="0" fontId="0" fillId="0" borderId="6" xfId="0" applyBorder="1" applyAlignment="1">
      <alignment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right" vertical="center" wrapText="1"/>
    </xf>
    <xf numFmtId="0" fontId="0" fillId="0" borderId="0" xfId="0"/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justify" vertical="center" wrapText="1"/>
    </xf>
    <xf numFmtId="0" fontId="0" fillId="0" borderId="8" xfId="0" applyBorder="1" applyAlignment="1">
      <alignment horizontal="center" vertical="center" shrinkToFit="1"/>
    </xf>
    <xf numFmtId="0" fontId="19" fillId="0" borderId="8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6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horizontal="center" vertical="center" textRotation="255" wrapText="1"/>
    </xf>
    <xf numFmtId="0" fontId="0" fillId="0" borderId="25" xfId="0" applyBorder="1" applyAlignment="1">
      <alignment horizontal="center" vertical="center" textRotation="255" wrapText="1"/>
    </xf>
    <xf numFmtId="0" fontId="0" fillId="0" borderId="10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11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11" fillId="0" borderId="17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shrinkToFit="1"/>
    </xf>
    <xf numFmtId="0" fontId="0" fillId="0" borderId="1" xfId="0" applyBorder="1" applyAlignment="1">
      <alignment horizontal="left" vertical="center" shrinkToFit="1"/>
    </xf>
    <xf numFmtId="0" fontId="18" fillId="0" borderId="0" xfId="0" applyFont="1"/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14" fillId="0" borderId="7" xfId="0" applyFont="1" applyBorder="1" applyAlignment="1">
      <alignment horizontal="justify" vertical="top" wrapText="1"/>
    </xf>
    <xf numFmtId="0" fontId="14" fillId="0" borderId="8" xfId="0" applyFont="1" applyBorder="1" applyAlignment="1">
      <alignment horizontal="justify" vertical="top" wrapText="1"/>
    </xf>
    <xf numFmtId="0" fontId="14" fillId="0" borderId="15" xfId="0" applyFont="1" applyBorder="1" applyAlignment="1">
      <alignment horizontal="justify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0" fontId="7" fillId="0" borderId="18" xfId="0" applyFont="1" applyBorder="1" applyAlignment="1">
      <alignment vertical="top" wrapText="1"/>
    </xf>
    <xf numFmtId="0" fontId="0" fillId="0" borderId="5" xfId="0" applyBorder="1"/>
    <xf numFmtId="0" fontId="2" fillId="0" borderId="7" xfId="0" applyFont="1" applyBorder="1" applyAlignment="1">
      <alignment horizontal="justify" vertical="top" wrapText="1"/>
    </xf>
    <xf numFmtId="0" fontId="2" fillId="0" borderId="8" xfId="0" applyFont="1" applyBorder="1" applyAlignment="1">
      <alignment horizontal="justify" vertical="top" wrapText="1"/>
    </xf>
    <xf numFmtId="0" fontId="2" fillId="0" borderId="15" xfId="0" applyFont="1" applyBorder="1" applyAlignment="1">
      <alignment horizontal="justify" vertical="top" wrapText="1"/>
    </xf>
    <xf numFmtId="0" fontId="3" fillId="0" borderId="7" xfId="0" applyFont="1" applyBorder="1" applyAlignment="1">
      <alignment wrapText="1"/>
    </xf>
    <xf numFmtId="0" fontId="0" fillId="0" borderId="8" xfId="0" applyBorder="1" applyAlignment="1">
      <alignment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2" xfId="0" applyFont="1" applyBorder="1" applyAlignment="1">
      <alignment horizontal="center" wrapText="1"/>
    </xf>
    <xf numFmtId="0" fontId="6" fillId="0" borderId="43" xfId="0" applyFont="1" applyBorder="1" applyAlignment="1">
      <alignment horizontal="center" wrapText="1"/>
    </xf>
    <xf numFmtId="0" fontId="6" fillId="0" borderId="44" xfId="0" applyFont="1" applyBorder="1" applyAlignment="1">
      <alignment horizontal="center" wrapText="1"/>
    </xf>
    <xf numFmtId="0" fontId="6" fillId="0" borderId="45" xfId="0" applyFont="1" applyBorder="1" applyAlignment="1">
      <alignment horizontal="center" wrapText="1"/>
    </xf>
    <xf numFmtId="0" fontId="0" fillId="0" borderId="3" xfId="0" applyBorder="1"/>
    <xf numFmtId="0" fontId="0" fillId="0" borderId="4" xfId="0" applyBorder="1"/>
    <xf numFmtId="0" fontId="2" fillId="0" borderId="33" xfId="0" applyFont="1" applyBorder="1" applyAlignment="1">
      <alignment horizontal="center" vertical="center" textRotation="255" wrapText="1"/>
    </xf>
    <xf numFmtId="0" fontId="0" fillId="0" borderId="34" xfId="0" applyBorder="1" applyAlignment="1">
      <alignment horizontal="center" vertical="center" textRotation="255" wrapText="1"/>
    </xf>
    <xf numFmtId="0" fontId="0" fillId="0" borderId="35" xfId="0" applyBorder="1" applyAlignment="1">
      <alignment horizontal="center" vertical="center" textRotation="255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17" fillId="0" borderId="8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3" fillId="0" borderId="7" xfId="0" applyFont="1" applyBorder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2" fillId="0" borderId="21" xfId="0" applyFont="1" applyBorder="1" applyAlignment="1">
      <alignment wrapText="1"/>
    </xf>
    <xf numFmtId="0" fontId="2" fillId="0" borderId="22" xfId="0" applyFont="1" applyBorder="1" applyAlignment="1">
      <alignment wrapText="1"/>
    </xf>
    <xf numFmtId="0" fontId="2" fillId="0" borderId="23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7" xfId="0" applyFont="1" applyBorder="1" applyAlignment="1">
      <alignment horizontal="right" wrapText="1"/>
    </xf>
    <xf numFmtId="0" fontId="0" fillId="0" borderId="8" xfId="0" applyBorder="1" applyAlignment="1">
      <alignment horizontal="right" wrapText="1"/>
    </xf>
    <xf numFmtId="0" fontId="7" fillId="0" borderId="18" xfId="0" applyFont="1" applyBorder="1" applyAlignment="1">
      <alignment wrapText="1"/>
    </xf>
    <xf numFmtId="0" fontId="2" fillId="0" borderId="26" xfId="0" applyFont="1" applyBorder="1" applyAlignment="1">
      <alignment horizontal="justify" wrapText="1"/>
    </xf>
    <xf numFmtId="0" fontId="2" fillId="0" borderId="27" xfId="0" applyFont="1" applyBorder="1" applyAlignment="1">
      <alignment horizontal="justify" wrapText="1"/>
    </xf>
    <xf numFmtId="0" fontId="2" fillId="0" borderId="28" xfId="0" applyFont="1" applyBorder="1" applyAlignment="1">
      <alignment horizontal="justify" wrapText="1"/>
    </xf>
    <xf numFmtId="0" fontId="3" fillId="0" borderId="29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2" fillId="0" borderId="9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38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2" fillId="0" borderId="39" xfId="0" applyFont="1" applyBorder="1" applyAlignment="1">
      <alignment horizontal="center" vertical="center" textRotation="255" wrapText="1"/>
    </xf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0" fontId="14" fillId="0" borderId="15" xfId="0" applyFont="1" applyBorder="1" applyAlignment="1">
      <alignment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5" xfId="0" applyFont="1" applyBorder="1" applyAlignment="1">
      <alignment wrapText="1"/>
    </xf>
    <xf numFmtId="0" fontId="3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37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4" fillId="0" borderId="11" xfId="0" applyFont="1" applyBorder="1" applyAlignment="1">
      <alignment wrapText="1"/>
    </xf>
    <xf numFmtId="0" fontId="14" fillId="0" borderId="16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6" fillId="0" borderId="8" xfId="0" applyFon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0" xfId="0" applyAlignment="1">
      <alignment horizontal="right" wrapText="1"/>
    </xf>
    <xf numFmtId="0" fontId="13" fillId="0" borderId="30" xfId="0" applyFont="1" applyBorder="1" applyAlignment="1">
      <alignment horizontal="center" wrapText="1"/>
    </xf>
    <xf numFmtId="0" fontId="0" fillId="0" borderId="31" xfId="0" applyBorder="1"/>
    <xf numFmtId="0" fontId="0" fillId="0" borderId="32" xfId="0" applyBorder="1"/>
    <xf numFmtId="0" fontId="7" fillId="0" borderId="0" xfId="0" applyFont="1" applyAlignment="1">
      <alignment wrapText="1"/>
    </xf>
    <xf numFmtId="0" fontId="7" fillId="0" borderId="5" xfId="0" applyFont="1" applyBorder="1" applyAlignment="1">
      <alignment wrapText="1"/>
    </xf>
    <xf numFmtId="0" fontId="3" fillId="0" borderId="22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wrapText="1"/>
    </xf>
    <xf numFmtId="0" fontId="0" fillId="0" borderId="8" xfId="0" applyBorder="1"/>
    <xf numFmtId="0" fontId="0" fillId="0" borderId="12" xfId="0" applyBorder="1"/>
    <xf numFmtId="0" fontId="15" fillId="0" borderId="7" xfId="0" applyFont="1" applyBorder="1" applyAlignment="1">
      <alignment wrapText="1"/>
    </xf>
    <xf numFmtId="0" fontId="15" fillId="0" borderId="8" xfId="0" applyFont="1" applyBorder="1" applyAlignment="1">
      <alignment wrapText="1"/>
    </xf>
    <xf numFmtId="0" fontId="15" fillId="0" borderId="15" xfId="0" applyFont="1" applyBorder="1" applyAlignment="1">
      <alignment wrapText="1"/>
    </xf>
  </cellXfs>
  <cellStyles count="2">
    <cellStyle name="一般" xfId="0" builtinId="0"/>
    <cellStyle name="一般 2" xfId="1" xr:uid="{2BE93DA1-6221-4588-AFDE-55252B940925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?? ?????"/>
        <a:font script="Hang" typeface="?? ??"/>
        <a:font script="Hans" typeface="??"/>
        <a:font script="Hant" typeface="????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?? ?????"/>
        <a:font script="Hang" typeface="?? ??"/>
        <a:font script="Hans" typeface="??"/>
        <a:font script="Hant" typeface="????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73E9-839A-400C-B9A3-C4419460DA17}">
  <dimension ref="A1:L39"/>
  <sheetViews>
    <sheetView tabSelected="1" topLeftCell="A9" zoomScale="85" zoomScaleNormal="85" workbookViewId="0">
      <selection activeCell="F27" sqref="F27:H27"/>
    </sheetView>
  </sheetViews>
  <sheetFormatPr defaultRowHeight="16.5"/>
  <cols>
    <col min="1" max="1" width="4.125" style="43" customWidth="1"/>
    <col min="2" max="2" width="6.25" style="43" customWidth="1"/>
    <col min="3" max="3" width="10.125" style="43" customWidth="1"/>
    <col min="4" max="4" width="7.5" style="43" customWidth="1"/>
    <col min="5" max="5" width="7.125" style="43" customWidth="1"/>
    <col min="6" max="6" width="9.625" style="43" customWidth="1"/>
    <col min="7" max="7" width="6.875" style="43" customWidth="1"/>
    <col min="8" max="8" width="9.125" style="43" customWidth="1"/>
    <col min="9" max="9" width="7.375" style="43" customWidth="1"/>
    <col min="10" max="10" width="6.5" style="43" customWidth="1"/>
    <col min="11" max="12" width="12.375" style="43" customWidth="1"/>
    <col min="13" max="16384" width="9" style="43"/>
  </cols>
  <sheetData>
    <row r="1" spans="1:12">
      <c r="K1" s="46" t="s">
        <v>0</v>
      </c>
      <c r="L1" s="46" t="s">
        <v>1</v>
      </c>
    </row>
    <row r="2" spans="1:12" ht="42" customHeight="1">
      <c r="A2" s="60" t="s">
        <v>183</v>
      </c>
      <c r="B2" s="61"/>
      <c r="C2" s="61"/>
      <c r="D2" s="61"/>
      <c r="E2" s="61"/>
      <c r="F2" s="61"/>
      <c r="K2" s="62"/>
      <c r="L2" s="63"/>
    </row>
    <row r="3" spans="1:12" ht="10.9" customHeight="1">
      <c r="K3" s="62"/>
      <c r="L3" s="64"/>
    </row>
    <row r="4" spans="1:12" ht="10.9" customHeight="1"/>
    <row r="5" spans="1:12" ht="21.95" customHeight="1">
      <c r="A5" s="65" t="s">
        <v>3</v>
      </c>
      <c r="B5" s="65"/>
      <c r="C5" s="65"/>
      <c r="D5" s="65"/>
      <c r="E5" s="65"/>
      <c r="F5" s="65" t="s">
        <v>4</v>
      </c>
      <c r="G5" s="65"/>
      <c r="H5" s="65"/>
      <c r="I5" s="65"/>
      <c r="J5" s="66" t="s">
        <v>5</v>
      </c>
      <c r="K5" s="67"/>
      <c r="L5" s="67"/>
    </row>
    <row r="6" spans="1:12" ht="28.5" customHeight="1">
      <c r="A6" s="77" t="s">
        <v>6</v>
      </c>
      <c r="B6" s="71" t="s">
        <v>184</v>
      </c>
      <c r="C6" s="71"/>
      <c r="D6" s="71"/>
      <c r="E6" s="71"/>
      <c r="F6" s="72"/>
      <c r="G6" s="73"/>
      <c r="H6" s="74"/>
      <c r="I6" s="75"/>
      <c r="J6" s="78"/>
      <c r="K6" s="79"/>
      <c r="L6" s="80"/>
    </row>
    <row r="7" spans="1:12" ht="21.95" customHeight="1">
      <c r="A7" s="77"/>
      <c r="B7" s="71" t="s">
        <v>11</v>
      </c>
      <c r="C7" s="71"/>
      <c r="D7" s="71"/>
      <c r="E7" s="71"/>
      <c r="F7" s="76"/>
      <c r="G7" s="81"/>
      <c r="H7" s="81"/>
      <c r="I7" s="82"/>
      <c r="J7" s="68"/>
      <c r="K7" s="69"/>
      <c r="L7" s="70"/>
    </row>
    <row r="8" spans="1:12" ht="21.95" customHeight="1">
      <c r="A8" s="77"/>
      <c r="B8" s="71" t="s">
        <v>13</v>
      </c>
      <c r="C8" s="71"/>
      <c r="D8" s="71"/>
      <c r="E8" s="71"/>
      <c r="F8" s="76"/>
      <c r="G8" s="81"/>
      <c r="H8" s="81"/>
      <c r="I8" s="82"/>
      <c r="J8" s="68"/>
      <c r="K8" s="69"/>
      <c r="L8" s="70"/>
    </row>
    <row r="9" spans="1:12" ht="28.5" customHeight="1">
      <c r="A9" s="77"/>
      <c r="B9" s="71" t="s">
        <v>16</v>
      </c>
      <c r="C9" s="71"/>
      <c r="D9" s="71"/>
      <c r="E9" s="71"/>
      <c r="F9" s="72"/>
      <c r="G9" s="73"/>
      <c r="H9" s="74" t="str">
        <f>"*"&amp;"1"&amp;F9&amp;"*"</f>
        <v>*1*</v>
      </c>
      <c r="I9" s="75"/>
      <c r="J9" s="68"/>
      <c r="K9" s="69"/>
      <c r="L9" s="70"/>
    </row>
    <row r="10" spans="1:12" ht="21.95" customHeight="1">
      <c r="A10" s="77"/>
      <c r="B10" s="71" t="s">
        <v>19</v>
      </c>
      <c r="C10" s="71"/>
      <c r="D10" s="71"/>
      <c r="E10" s="71"/>
      <c r="F10" s="76"/>
      <c r="G10" s="65"/>
      <c r="H10" s="65"/>
      <c r="I10" s="47" t="s">
        <v>20</v>
      </c>
      <c r="J10" s="68"/>
      <c r="K10" s="69"/>
      <c r="L10" s="70"/>
    </row>
    <row r="11" spans="1:12" ht="21.95" customHeight="1">
      <c r="A11" s="77"/>
      <c r="B11" s="71" t="s">
        <v>22</v>
      </c>
      <c r="C11" s="71"/>
      <c r="D11" s="71"/>
      <c r="E11" s="71"/>
      <c r="F11" s="76"/>
      <c r="G11" s="81"/>
      <c r="H11" s="81"/>
      <c r="I11" s="47" t="s">
        <v>23</v>
      </c>
      <c r="J11" s="68"/>
      <c r="K11" s="69"/>
      <c r="L11" s="70"/>
    </row>
    <row r="12" spans="1:12" ht="28.5" customHeight="1">
      <c r="A12" s="77" t="s">
        <v>25</v>
      </c>
      <c r="B12" s="71" t="s">
        <v>26</v>
      </c>
      <c r="C12" s="71"/>
      <c r="D12" s="71"/>
      <c r="E12" s="71"/>
      <c r="F12" s="72"/>
      <c r="G12" s="73"/>
      <c r="H12" s="74"/>
      <c r="I12" s="75"/>
      <c r="J12" s="68"/>
      <c r="K12" s="69"/>
      <c r="L12" s="70"/>
    </row>
    <row r="13" spans="1:12" ht="21.95" customHeight="1">
      <c r="A13" s="77"/>
      <c r="B13" s="89" t="s">
        <v>30</v>
      </c>
      <c r="C13" s="89"/>
      <c r="D13" s="89"/>
      <c r="E13" s="89"/>
      <c r="F13" s="65" t="s">
        <v>31</v>
      </c>
      <c r="G13" s="90"/>
      <c r="H13" s="83"/>
      <c r="I13" s="84"/>
      <c r="J13" s="68"/>
      <c r="K13" s="69"/>
      <c r="L13" s="70"/>
    </row>
    <row r="14" spans="1:12" ht="21.95" customHeight="1">
      <c r="A14" s="77"/>
      <c r="B14" s="89"/>
      <c r="C14" s="89"/>
      <c r="D14" s="89"/>
      <c r="E14" s="89"/>
      <c r="F14" s="48"/>
      <c r="G14" s="44" t="s">
        <v>33</v>
      </c>
      <c r="H14" s="49" t="e">
        <f>F14/H13</f>
        <v>#DIV/0!</v>
      </c>
      <c r="I14" s="47" t="s">
        <v>23</v>
      </c>
      <c r="J14" s="68"/>
      <c r="K14" s="69"/>
      <c r="L14" s="70"/>
    </row>
    <row r="15" spans="1:12" ht="27" customHeight="1">
      <c r="A15" s="85" t="s">
        <v>35</v>
      </c>
      <c r="B15" s="86"/>
      <c r="C15" s="87"/>
      <c r="D15" s="83"/>
      <c r="E15" s="88"/>
      <c r="F15" s="88"/>
      <c r="G15" s="88"/>
      <c r="H15" s="84"/>
      <c r="I15" s="47" t="s">
        <v>37</v>
      </c>
      <c r="J15" s="68"/>
      <c r="K15" s="69"/>
      <c r="L15" s="70"/>
    </row>
    <row r="16" spans="1:12" ht="21.95" customHeight="1">
      <c r="A16" s="77" t="s">
        <v>185</v>
      </c>
      <c r="B16" s="96" t="s">
        <v>40</v>
      </c>
      <c r="C16" s="97"/>
      <c r="D16" s="97"/>
      <c r="E16" s="98"/>
      <c r="F16" s="58"/>
      <c r="G16" s="58" t="s">
        <v>41</v>
      </c>
      <c r="H16" s="58"/>
      <c r="I16" s="59" t="s">
        <v>42</v>
      </c>
      <c r="J16" s="68"/>
      <c r="K16" s="69"/>
      <c r="L16" s="70"/>
    </row>
    <row r="17" spans="1:12" ht="35.25" customHeight="1">
      <c r="A17" s="77"/>
      <c r="B17" s="89" t="s">
        <v>43</v>
      </c>
      <c r="C17" s="89"/>
      <c r="D17" s="65"/>
      <c r="E17" s="93"/>
      <c r="F17" s="91" t="s">
        <v>44</v>
      </c>
      <c r="G17" s="92"/>
      <c r="H17" s="92"/>
      <c r="I17" s="92"/>
      <c r="J17" s="69"/>
      <c r="K17" s="69"/>
      <c r="L17" s="70"/>
    </row>
    <row r="18" spans="1:12" ht="21.95" customHeight="1">
      <c r="A18" s="77"/>
      <c r="B18" s="89" t="s">
        <v>45</v>
      </c>
      <c r="C18" s="89"/>
      <c r="D18" s="65"/>
      <c r="E18" s="93"/>
      <c r="F18" s="91" t="s">
        <v>44</v>
      </c>
      <c r="G18" s="92"/>
      <c r="H18" s="92"/>
      <c r="I18" s="92"/>
      <c r="J18" s="69"/>
      <c r="K18" s="69"/>
      <c r="L18" s="70"/>
    </row>
    <row r="19" spans="1:12" ht="21.95" customHeight="1">
      <c r="A19" s="77"/>
      <c r="B19" s="89" t="s">
        <v>46</v>
      </c>
      <c r="C19" s="89"/>
      <c r="D19" s="65"/>
      <c r="E19" s="93"/>
      <c r="F19" s="91" t="s">
        <v>44</v>
      </c>
      <c r="G19" s="92"/>
      <c r="H19" s="92"/>
      <c r="I19" s="92"/>
      <c r="J19" s="69"/>
      <c r="K19" s="69"/>
      <c r="L19" s="70"/>
    </row>
    <row r="20" spans="1:12" ht="21" customHeight="1">
      <c r="A20" s="77"/>
      <c r="B20" s="89" t="s">
        <v>47</v>
      </c>
      <c r="C20" s="89"/>
      <c r="D20" s="65"/>
      <c r="E20" s="93"/>
      <c r="F20" s="91" t="s">
        <v>44</v>
      </c>
      <c r="G20" s="92"/>
      <c r="H20" s="92"/>
      <c r="I20" s="92"/>
      <c r="J20" s="94"/>
      <c r="K20" s="94"/>
      <c r="L20" s="95"/>
    </row>
    <row r="21" spans="1:12" ht="21" customHeight="1">
      <c r="A21" s="77"/>
      <c r="B21" s="89" t="s">
        <v>49</v>
      </c>
      <c r="C21" s="89"/>
      <c r="D21" s="65"/>
      <c r="E21" s="93"/>
      <c r="F21" s="91" t="s">
        <v>44</v>
      </c>
      <c r="G21" s="92"/>
      <c r="H21" s="92"/>
      <c r="I21" s="92"/>
      <c r="J21" s="94"/>
      <c r="K21" s="94"/>
      <c r="L21" s="95"/>
    </row>
    <row r="22" spans="1:12" ht="21" customHeight="1">
      <c r="A22" s="77"/>
      <c r="B22" s="89" t="s">
        <v>51</v>
      </c>
      <c r="C22" s="89"/>
      <c r="D22" s="65"/>
      <c r="E22" s="89"/>
      <c r="F22" s="99" t="e">
        <f>F11-H14</f>
        <v>#DIV/0!</v>
      </c>
      <c r="G22" s="100"/>
      <c r="H22" s="100"/>
      <c r="I22" s="50" t="s">
        <v>23</v>
      </c>
      <c r="J22" s="94"/>
      <c r="K22" s="94"/>
      <c r="L22" s="95"/>
    </row>
    <row r="23" spans="1:12" ht="21" customHeight="1">
      <c r="A23" s="104" t="s">
        <v>53</v>
      </c>
      <c r="B23" s="45" t="s">
        <v>54</v>
      </c>
      <c r="C23" s="78" t="s">
        <v>55</v>
      </c>
      <c r="D23" s="79"/>
      <c r="E23" s="80"/>
      <c r="F23" s="106"/>
      <c r="G23" s="107"/>
      <c r="H23" s="108"/>
      <c r="I23" s="51" t="s">
        <v>186</v>
      </c>
      <c r="J23" s="94"/>
      <c r="K23" s="94"/>
      <c r="L23" s="95"/>
    </row>
    <row r="24" spans="1:12" ht="21.95" customHeight="1">
      <c r="A24" s="105"/>
      <c r="B24" s="109" t="s">
        <v>58</v>
      </c>
      <c r="C24" s="109"/>
      <c r="D24" s="109"/>
      <c r="E24" s="109"/>
      <c r="F24" s="91"/>
      <c r="G24" s="110"/>
      <c r="H24" s="110"/>
      <c r="I24" s="52" t="s">
        <v>20</v>
      </c>
      <c r="J24" s="94"/>
      <c r="K24" s="94"/>
      <c r="L24" s="95"/>
    </row>
    <row r="25" spans="1:12" ht="21.95" customHeight="1">
      <c r="A25" s="118" t="s">
        <v>60</v>
      </c>
      <c r="B25" s="119" t="s">
        <v>61</v>
      </c>
      <c r="C25" s="119"/>
      <c r="D25" s="110"/>
      <c r="E25" s="120" t="s">
        <v>187</v>
      </c>
      <c r="F25" s="91"/>
      <c r="G25" s="110"/>
      <c r="H25" s="110"/>
      <c r="I25" s="52" t="s">
        <v>23</v>
      </c>
      <c r="J25" s="122" t="s">
        <v>63</v>
      </c>
      <c r="K25" s="123"/>
      <c r="L25" s="124"/>
    </row>
    <row r="26" spans="1:12" ht="21.95" customHeight="1">
      <c r="A26" s="77"/>
      <c r="B26" s="125" t="s">
        <v>64</v>
      </c>
      <c r="C26" s="125"/>
      <c r="D26" s="126"/>
      <c r="E26" s="121"/>
      <c r="F26" s="54"/>
      <c r="G26" s="53" t="s">
        <v>41</v>
      </c>
      <c r="H26" s="48"/>
      <c r="I26" s="53" t="s">
        <v>23</v>
      </c>
      <c r="J26" s="101"/>
      <c r="K26" s="101"/>
      <c r="L26" s="102"/>
    </row>
    <row r="27" spans="1:12" ht="21.95" customHeight="1">
      <c r="A27" s="77"/>
      <c r="B27" s="89" t="s">
        <v>65</v>
      </c>
      <c r="C27" s="89"/>
      <c r="D27" s="65"/>
      <c r="E27" s="89"/>
      <c r="F27" s="127">
        <v>1.9</v>
      </c>
      <c r="G27" s="128"/>
      <c r="H27" s="129"/>
      <c r="I27" s="55" t="s">
        <v>66</v>
      </c>
      <c r="J27" s="101"/>
      <c r="K27" s="101"/>
      <c r="L27" s="102"/>
    </row>
    <row r="28" spans="1:12" ht="21.95" customHeight="1">
      <c r="A28" s="77"/>
      <c r="B28" s="103" t="s">
        <v>67</v>
      </c>
      <c r="C28" s="103"/>
      <c r="D28" s="65"/>
      <c r="E28" s="103"/>
      <c r="F28" s="76" t="s">
        <v>44</v>
      </c>
      <c r="G28" s="81"/>
      <c r="H28" s="81"/>
      <c r="I28" s="81"/>
      <c r="J28" s="69"/>
      <c r="K28" s="69"/>
      <c r="L28" s="70"/>
    </row>
    <row r="29" spans="1:12" ht="21.95" customHeight="1">
      <c r="A29" s="77"/>
      <c r="B29" s="89" t="s">
        <v>68</v>
      </c>
      <c r="C29" s="89"/>
      <c r="D29" s="65"/>
      <c r="E29" s="89"/>
      <c r="F29" s="76" t="s">
        <v>44</v>
      </c>
      <c r="G29" s="81"/>
      <c r="H29" s="81"/>
      <c r="I29" s="81"/>
      <c r="J29" s="101"/>
      <c r="K29" s="101"/>
      <c r="L29" s="102"/>
    </row>
    <row r="30" spans="1:12" ht="21.95" customHeight="1">
      <c r="A30" s="77"/>
      <c r="B30" s="111" t="s">
        <v>69</v>
      </c>
      <c r="C30" s="111"/>
      <c r="D30" s="112"/>
      <c r="E30" s="111"/>
      <c r="F30" s="76" t="s">
        <v>44</v>
      </c>
      <c r="G30" s="81"/>
      <c r="H30" s="81"/>
      <c r="I30" s="81"/>
      <c r="J30" s="101"/>
      <c r="K30" s="101"/>
      <c r="L30" s="102"/>
    </row>
    <row r="31" spans="1:12" ht="21.95" customHeight="1">
      <c r="A31" s="77"/>
      <c r="B31" s="111" t="s">
        <v>188</v>
      </c>
      <c r="C31" s="111"/>
      <c r="D31" s="112"/>
      <c r="E31" s="111"/>
      <c r="F31" s="81"/>
      <c r="G31" s="81"/>
      <c r="H31" s="81"/>
      <c r="I31" s="81"/>
      <c r="J31" s="101"/>
      <c r="K31" s="101"/>
      <c r="L31" s="102"/>
    </row>
    <row r="32" spans="1:12" ht="21.95" customHeight="1">
      <c r="A32" s="77"/>
      <c r="B32" s="89" t="s">
        <v>71</v>
      </c>
      <c r="C32" s="89"/>
      <c r="D32" s="65"/>
      <c r="E32" s="89"/>
      <c r="F32" s="76" t="s">
        <v>44</v>
      </c>
      <c r="G32" s="81"/>
      <c r="H32" s="81"/>
      <c r="I32" s="81"/>
      <c r="J32" s="101"/>
      <c r="K32" s="101"/>
      <c r="L32" s="102"/>
    </row>
    <row r="33" spans="1:12" ht="21.95" customHeight="1">
      <c r="A33" s="77"/>
      <c r="B33" s="89" t="s">
        <v>72</v>
      </c>
      <c r="C33" s="89"/>
      <c r="D33" s="65"/>
      <c r="E33" s="89"/>
      <c r="F33" s="76" t="s">
        <v>44</v>
      </c>
      <c r="G33" s="81"/>
      <c r="H33" s="81"/>
      <c r="I33" s="81"/>
      <c r="J33" s="101"/>
      <c r="K33" s="101"/>
      <c r="L33" s="102"/>
    </row>
    <row r="34" spans="1:12" ht="21.95" customHeight="1">
      <c r="A34" s="77"/>
      <c r="B34" s="89" t="s">
        <v>45</v>
      </c>
      <c r="C34" s="89"/>
      <c r="D34" s="65"/>
      <c r="E34" s="89"/>
      <c r="F34" s="76" t="s">
        <v>44</v>
      </c>
      <c r="G34" s="81"/>
      <c r="H34" s="81"/>
      <c r="I34" s="81"/>
      <c r="J34" s="101"/>
      <c r="K34" s="101"/>
      <c r="L34" s="102"/>
    </row>
    <row r="35" spans="1:12" ht="21.95" customHeight="1">
      <c r="A35" s="77"/>
      <c r="B35" s="89" t="s">
        <v>73</v>
      </c>
      <c r="C35" s="89"/>
      <c r="D35" s="65"/>
      <c r="E35" s="89"/>
      <c r="F35" s="76" t="s">
        <v>44</v>
      </c>
      <c r="G35" s="81"/>
      <c r="H35" s="81"/>
      <c r="I35" s="81"/>
      <c r="J35" s="101"/>
      <c r="K35" s="101"/>
      <c r="L35" s="102"/>
    </row>
    <row r="36" spans="1:12" ht="27" customHeight="1">
      <c r="A36" s="85" t="s">
        <v>74</v>
      </c>
      <c r="B36" s="86"/>
      <c r="C36" s="87"/>
      <c r="D36" s="76"/>
      <c r="E36" s="81"/>
      <c r="F36" s="81"/>
      <c r="G36" s="81"/>
      <c r="H36" s="81"/>
      <c r="I36" s="44" t="s">
        <v>37</v>
      </c>
      <c r="J36" s="115"/>
      <c r="K36" s="116"/>
      <c r="L36" s="117"/>
    </row>
    <row r="37" spans="1:12" ht="16.5" customHeight="1">
      <c r="B37" s="56"/>
      <c r="C37" s="56"/>
      <c r="D37" s="56"/>
      <c r="E37" s="56"/>
      <c r="F37" s="56"/>
      <c r="G37" s="56"/>
      <c r="H37" s="56"/>
      <c r="I37" s="57"/>
      <c r="J37" s="113" t="s">
        <v>189</v>
      </c>
      <c r="K37" s="114"/>
      <c r="L37" s="114"/>
    </row>
    <row r="39" spans="1:12" ht="18" customHeight="1"/>
  </sheetData>
  <sheetProtection formatCells="0" formatColumns="0" formatRows="0" insertColumns="0" insertRows="0" insertHyperlinks="0" deleteColumns="0" deleteRows="0" sort="0" autoFilter="0" pivotTables="0"/>
  <mergeCells count="104">
    <mergeCell ref="J37:L37"/>
    <mergeCell ref="B35:E35"/>
    <mergeCell ref="F35:I35"/>
    <mergeCell ref="J35:L35"/>
    <mergeCell ref="A36:C36"/>
    <mergeCell ref="D36:H36"/>
    <mergeCell ref="J36:L36"/>
    <mergeCell ref="B33:E33"/>
    <mergeCell ref="F33:I33"/>
    <mergeCell ref="J33:L33"/>
    <mergeCell ref="B34:E34"/>
    <mergeCell ref="F34:I34"/>
    <mergeCell ref="J34:L34"/>
    <mergeCell ref="A25:A35"/>
    <mergeCell ref="B25:D25"/>
    <mergeCell ref="E25:E26"/>
    <mergeCell ref="F25:H25"/>
    <mergeCell ref="J25:L25"/>
    <mergeCell ref="B26:D26"/>
    <mergeCell ref="J26:L26"/>
    <mergeCell ref="B27:E27"/>
    <mergeCell ref="F27:H27"/>
    <mergeCell ref="J27:L27"/>
    <mergeCell ref="B32:E32"/>
    <mergeCell ref="F32:I32"/>
    <mergeCell ref="J32:L32"/>
    <mergeCell ref="B28:E28"/>
    <mergeCell ref="F28:I28"/>
    <mergeCell ref="J28:L28"/>
    <mergeCell ref="B29:E29"/>
    <mergeCell ref="F29:I29"/>
    <mergeCell ref="J29:L29"/>
    <mergeCell ref="A23:A24"/>
    <mergeCell ref="C23:E23"/>
    <mergeCell ref="F23:H23"/>
    <mergeCell ref="J23:L23"/>
    <mergeCell ref="B24:E24"/>
    <mergeCell ref="F24:H24"/>
    <mergeCell ref="J24:L24"/>
    <mergeCell ref="B30:E30"/>
    <mergeCell ref="F30:I31"/>
    <mergeCell ref="J30:L30"/>
    <mergeCell ref="B31:E31"/>
    <mergeCell ref="J31:L31"/>
    <mergeCell ref="F19:I19"/>
    <mergeCell ref="J19:L19"/>
    <mergeCell ref="B20:E20"/>
    <mergeCell ref="F20:I21"/>
    <mergeCell ref="J20:L20"/>
    <mergeCell ref="B21:E21"/>
    <mergeCell ref="J21:L21"/>
    <mergeCell ref="A16:A22"/>
    <mergeCell ref="B16:E16"/>
    <mergeCell ref="J16:L16"/>
    <mergeCell ref="B17:E17"/>
    <mergeCell ref="F17:I17"/>
    <mergeCell ref="J17:L17"/>
    <mergeCell ref="B18:E18"/>
    <mergeCell ref="F18:I18"/>
    <mergeCell ref="J18:L18"/>
    <mergeCell ref="B19:E19"/>
    <mergeCell ref="B22:E22"/>
    <mergeCell ref="F22:H22"/>
    <mergeCell ref="J22:L22"/>
    <mergeCell ref="H13:I13"/>
    <mergeCell ref="J13:L13"/>
    <mergeCell ref="J14:L14"/>
    <mergeCell ref="A15:C15"/>
    <mergeCell ref="D15:H15"/>
    <mergeCell ref="J15:L15"/>
    <mergeCell ref="B11:E11"/>
    <mergeCell ref="F11:H11"/>
    <mergeCell ref="J11:L11"/>
    <mergeCell ref="A12:A14"/>
    <mergeCell ref="B12:E12"/>
    <mergeCell ref="F12:G12"/>
    <mergeCell ref="H12:I12"/>
    <mergeCell ref="J12:L12"/>
    <mergeCell ref="B13:E14"/>
    <mergeCell ref="F13:G13"/>
    <mergeCell ref="B10:E10"/>
    <mergeCell ref="F10:H10"/>
    <mergeCell ref="J10:L10"/>
    <mergeCell ref="A6:A11"/>
    <mergeCell ref="B6:E6"/>
    <mergeCell ref="F6:G6"/>
    <mergeCell ref="H6:I6"/>
    <mergeCell ref="J6:L6"/>
    <mergeCell ref="B7:E7"/>
    <mergeCell ref="F7:I7"/>
    <mergeCell ref="J7:L7"/>
    <mergeCell ref="B8:E8"/>
    <mergeCell ref="F8:I8"/>
    <mergeCell ref="A2:F2"/>
    <mergeCell ref="K2:K3"/>
    <mergeCell ref="L2:L3"/>
    <mergeCell ref="A5:E5"/>
    <mergeCell ref="F5:I5"/>
    <mergeCell ref="J5:L5"/>
    <mergeCell ref="J8:L8"/>
    <mergeCell ref="B9:E9"/>
    <mergeCell ref="F9:G9"/>
    <mergeCell ref="H9:I9"/>
    <mergeCell ref="J9:L9"/>
  </mergeCells>
  <phoneticPr fontId="34" type="noConversion"/>
  <printOptions horizontalCentered="1" verticalCentered="1"/>
  <pageMargins left="0.19685039370078741" right="0.19685039370078741" top="0.31496062992125984" bottom="0.31496062992125984" header="0.51181102362204722" footer="0.31496062992125984"/>
  <pageSetup paperSize="9" fitToWidth="0" fitToHeight="0" orientation="portrait" r:id="rId1"/>
  <headerFooter scaleWithDoc="0" alignWithMargins="0">
    <oddFooter>&amp;L&amp;D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opLeftCell="A3" zoomScale="85" zoomScaleNormal="85" workbookViewId="0">
      <selection activeCell="H9" sqref="H9:I9"/>
    </sheetView>
  </sheetViews>
  <sheetFormatPr defaultRowHeight="16.5"/>
  <cols>
    <col min="2" max="2" width="8.625" customWidth="1"/>
    <col min="6" max="6" width="11.875" customWidth="1"/>
    <col min="7" max="7" width="5.625" customWidth="1"/>
    <col min="8" max="8" width="14.75" customWidth="1"/>
    <col min="9" max="9" width="8" customWidth="1"/>
    <col min="10" max="12" width="12.375" customWidth="1"/>
  </cols>
  <sheetData>
    <row r="1" spans="1:12">
      <c r="A1" s="33"/>
      <c r="B1" s="33"/>
      <c r="C1" s="33"/>
      <c r="D1" s="33"/>
      <c r="E1" s="33"/>
      <c r="F1" s="33"/>
      <c r="G1" s="33"/>
      <c r="H1" s="33"/>
      <c r="I1" s="33"/>
      <c r="J1" s="33"/>
      <c r="K1" s="8" t="s">
        <v>0</v>
      </c>
      <c r="L1" s="8" t="s">
        <v>1</v>
      </c>
    </row>
    <row r="2" spans="1:12" ht="24" customHeight="1">
      <c r="A2" s="190" t="s">
        <v>2</v>
      </c>
      <c r="B2" s="191"/>
      <c r="C2" s="191"/>
      <c r="D2" s="191"/>
      <c r="E2" s="191"/>
      <c r="F2" s="191"/>
      <c r="G2" s="33"/>
      <c r="H2" s="33"/>
      <c r="I2" s="33"/>
      <c r="J2" s="33"/>
      <c r="K2" s="194"/>
      <c r="L2" s="192"/>
    </row>
    <row r="3" spans="1:12" ht="10.9" customHeight="1">
      <c r="A3" s="33"/>
      <c r="B3" s="33"/>
      <c r="C3" s="33"/>
      <c r="D3" s="33"/>
      <c r="E3" s="33"/>
      <c r="F3" s="33"/>
      <c r="G3" s="33"/>
      <c r="H3" s="33"/>
      <c r="I3" s="33"/>
      <c r="J3" s="33"/>
      <c r="K3" s="194"/>
      <c r="L3" s="193"/>
    </row>
    <row r="4" spans="1:12" ht="10.9" customHeight="1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</row>
    <row r="5" spans="1:12">
      <c r="A5" s="137" t="s">
        <v>3</v>
      </c>
      <c r="B5" s="137"/>
      <c r="C5" s="137"/>
      <c r="D5" s="137"/>
      <c r="E5" s="137"/>
      <c r="F5" s="137" t="s">
        <v>4</v>
      </c>
      <c r="G5" s="137"/>
      <c r="H5" s="137"/>
      <c r="I5" s="137"/>
      <c r="J5" s="195" t="s">
        <v>5</v>
      </c>
      <c r="K5" s="196"/>
      <c r="L5" s="196"/>
    </row>
    <row r="6" spans="1:12" ht="24.75" customHeight="1">
      <c r="A6" s="146" t="s">
        <v>6</v>
      </c>
      <c r="B6" s="160" t="s">
        <v>7</v>
      </c>
      <c r="C6" s="160"/>
      <c r="D6" s="160"/>
      <c r="E6" s="160"/>
      <c r="F6" s="133" t="s">
        <v>8</v>
      </c>
      <c r="G6" s="161"/>
      <c r="H6" s="189" t="s">
        <v>9</v>
      </c>
      <c r="I6" s="163"/>
      <c r="J6" s="130" t="s">
        <v>10</v>
      </c>
      <c r="K6" s="131"/>
      <c r="L6" s="132"/>
    </row>
    <row r="7" spans="1:12">
      <c r="A7" s="146"/>
      <c r="B7" s="160" t="s">
        <v>11</v>
      </c>
      <c r="C7" s="160"/>
      <c r="D7" s="160"/>
      <c r="E7" s="160"/>
      <c r="F7" s="133">
        <v>20240625</v>
      </c>
      <c r="G7" s="139"/>
      <c r="H7" s="139"/>
      <c r="I7" s="180"/>
      <c r="J7" s="177" t="s">
        <v>12</v>
      </c>
      <c r="K7" s="178"/>
      <c r="L7" s="179"/>
    </row>
    <row r="8" spans="1:12">
      <c r="A8" s="146"/>
      <c r="B8" s="160" t="s">
        <v>13</v>
      </c>
      <c r="C8" s="160"/>
      <c r="D8" s="160"/>
      <c r="E8" s="160"/>
      <c r="F8" s="133" t="s">
        <v>14</v>
      </c>
      <c r="G8" s="139"/>
      <c r="H8" s="139"/>
      <c r="I8" s="180"/>
      <c r="J8" s="177" t="s">
        <v>15</v>
      </c>
      <c r="K8" s="178"/>
      <c r="L8" s="179"/>
    </row>
    <row r="9" spans="1:12" ht="24.75" customHeight="1">
      <c r="A9" s="146"/>
      <c r="B9" s="160" t="s">
        <v>16</v>
      </c>
      <c r="C9" s="160"/>
      <c r="D9" s="160"/>
      <c r="E9" s="160"/>
      <c r="F9" s="133" t="s">
        <v>17</v>
      </c>
      <c r="G9" s="161"/>
      <c r="H9" s="162" t="str">
        <f>"*"&amp;"1"&amp;F9&amp;"*"</f>
        <v>*1S624F25L012*</v>
      </c>
      <c r="I9" s="163"/>
      <c r="J9" s="177" t="s">
        <v>18</v>
      </c>
      <c r="K9" s="178"/>
      <c r="L9" s="179"/>
    </row>
    <row r="10" spans="1:12" ht="17.25" customHeight="1">
      <c r="A10" s="146"/>
      <c r="B10" s="160" t="s">
        <v>19</v>
      </c>
      <c r="C10" s="160"/>
      <c r="D10" s="160"/>
      <c r="E10" s="160"/>
      <c r="F10" s="133">
        <v>4</v>
      </c>
      <c r="G10" s="137"/>
      <c r="H10" s="137"/>
      <c r="I10" s="35" t="s">
        <v>20</v>
      </c>
      <c r="J10" s="177" t="s">
        <v>21</v>
      </c>
      <c r="K10" s="178"/>
      <c r="L10" s="179"/>
    </row>
    <row r="11" spans="1:12">
      <c r="A11" s="146"/>
      <c r="B11" s="160" t="s">
        <v>22</v>
      </c>
      <c r="C11" s="160"/>
      <c r="D11" s="160"/>
      <c r="E11" s="160"/>
      <c r="F11" s="133">
        <v>10972</v>
      </c>
      <c r="G11" s="139"/>
      <c r="H11" s="139"/>
      <c r="I11" s="35" t="s">
        <v>23</v>
      </c>
      <c r="J11" s="177" t="s">
        <v>24</v>
      </c>
      <c r="K11" s="178"/>
      <c r="L11" s="179"/>
    </row>
    <row r="12" spans="1:12" ht="24" customHeight="1">
      <c r="A12" s="146" t="s">
        <v>25</v>
      </c>
      <c r="B12" s="160" t="s">
        <v>26</v>
      </c>
      <c r="C12" s="160"/>
      <c r="D12" s="160"/>
      <c r="E12" s="160"/>
      <c r="F12" s="133" t="s">
        <v>27</v>
      </c>
      <c r="G12" s="161"/>
      <c r="H12" s="164" t="s">
        <v>28</v>
      </c>
      <c r="I12" s="163"/>
      <c r="J12" s="177" t="s">
        <v>29</v>
      </c>
      <c r="K12" s="178"/>
      <c r="L12" s="179"/>
    </row>
    <row r="13" spans="1:12" ht="16.899999999999999" customHeight="1">
      <c r="A13" s="146"/>
      <c r="B13" s="144" t="s">
        <v>30</v>
      </c>
      <c r="C13" s="144"/>
      <c r="D13" s="144"/>
      <c r="E13" s="144"/>
      <c r="F13" s="137" t="s">
        <v>31</v>
      </c>
      <c r="G13" s="157"/>
      <c r="H13" s="158">
        <v>1.841</v>
      </c>
      <c r="I13" s="159"/>
      <c r="J13" s="177" t="s">
        <v>32</v>
      </c>
      <c r="K13" s="178"/>
      <c r="L13" s="179"/>
    </row>
    <row r="14" spans="1:12" ht="16.899999999999999" customHeight="1">
      <c r="A14" s="146"/>
      <c r="B14" s="144"/>
      <c r="C14" s="144"/>
      <c r="D14" s="144"/>
      <c r="E14" s="144"/>
      <c r="F14" s="32">
        <v>210</v>
      </c>
      <c r="G14" s="34" t="s">
        <v>33</v>
      </c>
      <c r="H14" s="36">
        <f>F14/H13</f>
        <v>114.06844106463879</v>
      </c>
      <c r="I14" s="35" t="s">
        <v>23</v>
      </c>
      <c r="J14" s="177" t="s">
        <v>34</v>
      </c>
      <c r="K14" s="178"/>
      <c r="L14" s="179"/>
    </row>
    <row r="15" spans="1:12">
      <c r="A15" s="140" t="s">
        <v>35</v>
      </c>
      <c r="B15" s="141"/>
      <c r="C15" s="142"/>
      <c r="D15" s="136" t="s">
        <v>36</v>
      </c>
      <c r="E15" s="186"/>
      <c r="F15" s="187"/>
      <c r="G15" s="186"/>
      <c r="H15" s="188"/>
      <c r="I15" s="35" t="s">
        <v>37</v>
      </c>
      <c r="J15" s="177" t="s">
        <v>38</v>
      </c>
      <c r="K15" s="178"/>
      <c r="L15" s="179"/>
    </row>
    <row r="16" spans="1:12" ht="19.5" customHeight="1">
      <c r="A16" s="146" t="s">
        <v>39</v>
      </c>
      <c r="B16" s="181" t="s">
        <v>40</v>
      </c>
      <c r="C16" s="182"/>
      <c r="D16" s="137"/>
      <c r="E16" s="183"/>
      <c r="F16" s="32">
        <v>22.1</v>
      </c>
      <c r="G16" s="8" t="s">
        <v>41</v>
      </c>
      <c r="H16" s="8">
        <v>13.1</v>
      </c>
      <c r="I16" s="35" t="s">
        <v>42</v>
      </c>
      <c r="J16" s="177"/>
      <c r="K16" s="178"/>
      <c r="L16" s="179"/>
    </row>
    <row r="17" spans="1:12" ht="18.75" hidden="1" customHeight="1">
      <c r="A17" s="146"/>
      <c r="B17" s="144" t="s">
        <v>43</v>
      </c>
      <c r="C17" s="144"/>
      <c r="D17" s="137"/>
      <c r="E17" s="144"/>
      <c r="F17" s="136" t="s">
        <v>44</v>
      </c>
      <c r="G17" s="184"/>
      <c r="H17" s="184"/>
      <c r="I17" s="185"/>
      <c r="J17" s="177"/>
      <c r="K17" s="178"/>
      <c r="L17" s="179"/>
    </row>
    <row r="18" spans="1:12" ht="24" customHeight="1">
      <c r="A18" s="146"/>
      <c r="B18" s="144" t="s">
        <v>45</v>
      </c>
      <c r="C18" s="144"/>
      <c r="D18" s="137"/>
      <c r="E18" s="165"/>
      <c r="F18" s="133" t="s">
        <v>44</v>
      </c>
      <c r="G18" s="139"/>
      <c r="H18" s="136"/>
      <c r="I18" s="139"/>
      <c r="J18" s="178"/>
      <c r="K18" s="178"/>
      <c r="L18" s="179"/>
    </row>
    <row r="19" spans="1:12" ht="32.25" customHeight="1">
      <c r="A19" s="146"/>
      <c r="B19" s="144" t="s">
        <v>46</v>
      </c>
      <c r="C19" s="144"/>
      <c r="D19" s="137"/>
      <c r="E19" s="165"/>
      <c r="F19" s="136" t="s">
        <v>44</v>
      </c>
      <c r="G19" s="139"/>
      <c r="H19" s="139"/>
      <c r="I19" s="139"/>
      <c r="J19" s="178"/>
      <c r="K19" s="178"/>
      <c r="L19" s="179"/>
    </row>
    <row r="20" spans="1:12">
      <c r="A20" s="146"/>
      <c r="B20" s="144" t="s">
        <v>47</v>
      </c>
      <c r="C20" s="144"/>
      <c r="D20" s="137"/>
      <c r="E20" s="165"/>
      <c r="F20" s="133" t="s">
        <v>44</v>
      </c>
      <c r="G20" s="139"/>
      <c r="H20" s="139"/>
      <c r="I20" s="139"/>
      <c r="J20" s="198" t="s">
        <v>48</v>
      </c>
      <c r="K20" s="199"/>
      <c r="L20" s="200"/>
    </row>
    <row r="21" spans="1:12">
      <c r="A21" s="146"/>
      <c r="B21" s="144" t="s">
        <v>49</v>
      </c>
      <c r="C21" s="144"/>
      <c r="D21" s="137"/>
      <c r="E21" s="165"/>
      <c r="F21" s="133" t="s">
        <v>44</v>
      </c>
      <c r="G21" s="139"/>
      <c r="H21" s="139"/>
      <c r="I21" s="139"/>
      <c r="J21" s="198" t="s">
        <v>50</v>
      </c>
      <c r="K21" s="199"/>
      <c r="L21" s="200"/>
    </row>
    <row r="22" spans="1:12" ht="18.75" customHeight="1">
      <c r="A22" s="146"/>
      <c r="B22" s="144" t="s">
        <v>51</v>
      </c>
      <c r="C22" s="144"/>
      <c r="D22" s="137"/>
      <c r="E22" s="144"/>
      <c r="F22" s="133">
        <v>10690</v>
      </c>
      <c r="G22" s="166"/>
      <c r="H22" s="166"/>
      <c r="I22" s="38" t="s">
        <v>23</v>
      </c>
      <c r="J22" s="198" t="s">
        <v>52</v>
      </c>
      <c r="K22" s="199"/>
      <c r="L22" s="200"/>
    </row>
    <row r="23" spans="1:12" ht="19.5" customHeight="1">
      <c r="A23" s="175" t="s">
        <v>53</v>
      </c>
      <c r="B23" s="37" t="s">
        <v>54</v>
      </c>
      <c r="C23" s="130" t="s">
        <v>55</v>
      </c>
      <c r="D23" s="131"/>
      <c r="E23" s="132"/>
      <c r="F23" s="133">
        <v>4.2</v>
      </c>
      <c r="G23" s="134"/>
      <c r="H23" s="135"/>
      <c r="I23" s="39" t="s">
        <v>56</v>
      </c>
      <c r="J23" s="198" t="s">
        <v>57</v>
      </c>
      <c r="K23" s="199"/>
      <c r="L23" s="200"/>
    </row>
    <row r="24" spans="1:12">
      <c r="A24" s="176"/>
      <c r="B24" s="138" t="s">
        <v>58</v>
      </c>
      <c r="C24" s="138"/>
      <c r="D24" s="138"/>
      <c r="E24" s="138"/>
      <c r="F24" s="136">
        <v>0</v>
      </c>
      <c r="G24" s="137"/>
      <c r="H24" s="137"/>
      <c r="I24" s="34" t="s">
        <v>20</v>
      </c>
      <c r="J24" s="198" t="s">
        <v>59</v>
      </c>
      <c r="K24" s="199"/>
      <c r="L24" s="200"/>
    </row>
    <row r="25" spans="1:12" ht="17.25" customHeight="1">
      <c r="A25" s="145" t="s">
        <v>60</v>
      </c>
      <c r="B25" s="144" t="s">
        <v>61</v>
      </c>
      <c r="C25" s="144"/>
      <c r="D25" s="137"/>
      <c r="E25" s="147" t="s">
        <v>62</v>
      </c>
      <c r="F25" s="133">
        <v>10690</v>
      </c>
      <c r="G25" s="137"/>
      <c r="H25" s="137"/>
      <c r="I25" s="34" t="s">
        <v>23</v>
      </c>
      <c r="J25" s="137" t="s">
        <v>63</v>
      </c>
      <c r="K25" s="194"/>
      <c r="L25" s="194"/>
    </row>
    <row r="26" spans="1:12" ht="18" customHeight="1">
      <c r="A26" s="146"/>
      <c r="B26" s="149" t="s">
        <v>64</v>
      </c>
      <c r="C26" s="149"/>
      <c r="D26" s="150"/>
      <c r="E26" s="148"/>
      <c r="F26" s="8">
        <v>32.700000000000003</v>
      </c>
      <c r="G26" s="38" t="s">
        <v>41</v>
      </c>
      <c r="H26" s="32">
        <v>21.9</v>
      </c>
      <c r="I26" s="38" t="s">
        <v>23</v>
      </c>
      <c r="J26" s="171"/>
      <c r="K26" s="168"/>
      <c r="L26" s="169"/>
    </row>
    <row r="27" spans="1:12" ht="18" customHeight="1">
      <c r="A27" s="146"/>
      <c r="B27" s="144" t="s">
        <v>65</v>
      </c>
      <c r="C27" s="144"/>
      <c r="D27" s="137"/>
      <c r="E27" s="144"/>
      <c r="F27" s="151">
        <v>1.9</v>
      </c>
      <c r="G27" s="152"/>
      <c r="H27" s="153"/>
      <c r="I27" s="41" t="s">
        <v>66</v>
      </c>
      <c r="J27" s="171"/>
      <c r="K27" s="168"/>
      <c r="L27" s="169"/>
    </row>
    <row r="28" spans="1:12" ht="18" customHeight="1">
      <c r="A28" s="146"/>
      <c r="B28" s="156" t="s">
        <v>67</v>
      </c>
      <c r="C28" s="156"/>
      <c r="D28" s="137"/>
      <c r="E28" s="156"/>
      <c r="F28" s="133" t="s">
        <v>44</v>
      </c>
      <c r="G28" s="139"/>
      <c r="H28" s="139"/>
      <c r="I28" s="139"/>
      <c r="J28" s="171"/>
      <c r="K28" s="171"/>
      <c r="L28" s="197"/>
    </row>
    <row r="29" spans="1:12" ht="18" customHeight="1">
      <c r="A29" s="146"/>
      <c r="B29" s="144" t="s">
        <v>68</v>
      </c>
      <c r="C29" s="144"/>
      <c r="D29" s="137"/>
      <c r="E29" s="144"/>
      <c r="F29" s="133" t="s">
        <v>44</v>
      </c>
      <c r="G29" s="139"/>
      <c r="H29" s="139"/>
      <c r="I29" s="139"/>
      <c r="J29" s="171"/>
      <c r="K29" s="167"/>
      <c r="L29" s="172"/>
    </row>
    <row r="30" spans="1:12" ht="18.75" customHeight="1">
      <c r="A30" s="146"/>
      <c r="B30" s="154" t="s">
        <v>69</v>
      </c>
      <c r="C30" s="154"/>
      <c r="D30" s="155"/>
      <c r="E30" s="154"/>
      <c r="F30" s="133" t="s">
        <v>44</v>
      </c>
      <c r="G30" s="139"/>
      <c r="H30" s="139"/>
      <c r="I30" s="139"/>
      <c r="J30" s="167"/>
      <c r="K30" s="168"/>
      <c r="L30" s="169"/>
    </row>
    <row r="31" spans="1:12" ht="16.5" customHeight="1">
      <c r="A31" s="146"/>
      <c r="B31" s="154" t="s">
        <v>70</v>
      </c>
      <c r="C31" s="154"/>
      <c r="D31" s="155"/>
      <c r="E31" s="154"/>
      <c r="F31" s="139"/>
      <c r="G31" s="139"/>
      <c r="H31" s="139"/>
      <c r="I31" s="139"/>
      <c r="J31" s="167"/>
      <c r="K31" s="168"/>
      <c r="L31" s="169"/>
    </row>
    <row r="32" spans="1:12" ht="18" customHeight="1">
      <c r="A32" s="146"/>
      <c r="B32" s="144" t="s">
        <v>71</v>
      </c>
      <c r="C32" s="144"/>
      <c r="D32" s="137"/>
      <c r="E32" s="144"/>
      <c r="F32" s="133" t="s">
        <v>44</v>
      </c>
      <c r="G32" s="139"/>
      <c r="H32" s="139"/>
      <c r="I32" s="139"/>
      <c r="J32" s="167"/>
      <c r="K32" s="168"/>
      <c r="L32" s="169"/>
    </row>
    <row r="33" spans="1:12">
      <c r="A33" s="146"/>
      <c r="B33" s="144" t="s">
        <v>72</v>
      </c>
      <c r="C33" s="144"/>
      <c r="D33" s="137"/>
      <c r="E33" s="144"/>
      <c r="F33" s="133" t="s">
        <v>44</v>
      </c>
      <c r="G33" s="139"/>
      <c r="H33" s="139"/>
      <c r="I33" s="139"/>
      <c r="J33" s="167"/>
      <c r="K33" s="168"/>
      <c r="L33" s="169"/>
    </row>
    <row r="34" spans="1:12">
      <c r="A34" s="146"/>
      <c r="B34" s="144" t="s">
        <v>45</v>
      </c>
      <c r="C34" s="144"/>
      <c r="D34" s="137"/>
      <c r="E34" s="144"/>
      <c r="F34" s="133" t="s">
        <v>44</v>
      </c>
      <c r="G34" s="139"/>
      <c r="H34" s="139"/>
      <c r="I34" s="139"/>
      <c r="J34" s="167"/>
      <c r="K34" s="168"/>
      <c r="L34" s="169"/>
    </row>
    <row r="35" spans="1:12">
      <c r="A35" s="146"/>
      <c r="B35" s="144" t="s">
        <v>73</v>
      </c>
      <c r="C35" s="144"/>
      <c r="D35" s="137"/>
      <c r="E35" s="144"/>
      <c r="F35" s="133" t="s">
        <v>44</v>
      </c>
      <c r="G35" s="139"/>
      <c r="H35" s="139"/>
      <c r="I35" s="139"/>
      <c r="J35" s="167"/>
      <c r="K35" s="168"/>
      <c r="L35" s="169"/>
    </row>
    <row r="36" spans="1:12">
      <c r="A36" s="140" t="s">
        <v>74</v>
      </c>
      <c r="B36" s="141"/>
      <c r="C36" s="142"/>
      <c r="D36" s="133" t="s">
        <v>75</v>
      </c>
      <c r="E36" s="139"/>
      <c r="F36" s="143"/>
      <c r="G36" s="139"/>
      <c r="H36" s="139"/>
      <c r="I36" s="34" t="s">
        <v>37</v>
      </c>
      <c r="J36" s="148"/>
      <c r="K36" s="173"/>
      <c r="L36" s="174"/>
    </row>
    <row r="37" spans="1:12" ht="16.5" customHeight="1">
      <c r="A37" s="33"/>
      <c r="B37" s="40"/>
      <c r="C37" s="40"/>
      <c r="D37" s="42"/>
      <c r="E37" s="40"/>
      <c r="G37" s="40"/>
      <c r="H37" s="40"/>
      <c r="I37" s="42"/>
      <c r="J37" s="170" t="s">
        <v>76</v>
      </c>
      <c r="K37" s="168"/>
      <c r="L37" s="168"/>
    </row>
    <row r="38" spans="1:12">
      <c r="D38" s="32"/>
    </row>
    <row r="39" spans="1:12" ht="18" customHeight="1">
      <c r="D39" s="32"/>
    </row>
    <row r="40" spans="1:12">
      <c r="D40" s="32"/>
    </row>
    <row r="41" spans="1:12" ht="16.5" customHeight="1"/>
  </sheetData>
  <sheetProtection formatCells="0" formatColumns="0" formatRows="0" insertColumns="0" insertRows="0" insertHyperlinks="0" deleteColumns="0" deleteRows="0" sort="0" autoFilter="0" pivotTables="0"/>
  <mergeCells count="104">
    <mergeCell ref="J17:L17"/>
    <mergeCell ref="J18:L18"/>
    <mergeCell ref="J19:L19"/>
    <mergeCell ref="J25:L25"/>
    <mergeCell ref="J26:L26"/>
    <mergeCell ref="J27:L27"/>
    <mergeCell ref="J28:L28"/>
    <mergeCell ref="J20:L20"/>
    <mergeCell ref="J21:L21"/>
    <mergeCell ref="J22:L22"/>
    <mergeCell ref="J23:L23"/>
    <mergeCell ref="J24:L24"/>
    <mergeCell ref="J16:L16"/>
    <mergeCell ref="J11:L11"/>
    <mergeCell ref="H6:I6"/>
    <mergeCell ref="J12:L12"/>
    <mergeCell ref="J13:L13"/>
    <mergeCell ref="J14:L14"/>
    <mergeCell ref="A2:F2"/>
    <mergeCell ref="L2:L3"/>
    <mergeCell ref="A5:E5"/>
    <mergeCell ref="F5:I5"/>
    <mergeCell ref="K2:K3"/>
    <mergeCell ref="J5:L5"/>
    <mergeCell ref="J15:L15"/>
    <mergeCell ref="J6:L6"/>
    <mergeCell ref="J7:L7"/>
    <mergeCell ref="J8:L8"/>
    <mergeCell ref="J9:L9"/>
    <mergeCell ref="J10:L10"/>
    <mergeCell ref="A6:A11"/>
    <mergeCell ref="B7:E7"/>
    <mergeCell ref="F7:I7"/>
    <mergeCell ref="B6:E6"/>
    <mergeCell ref="B9:E9"/>
    <mergeCell ref="B10:E10"/>
    <mergeCell ref="F10:H10"/>
    <mergeCell ref="B11:E11"/>
    <mergeCell ref="B8:E8"/>
    <mergeCell ref="F8:I8"/>
    <mergeCell ref="J34:L34"/>
    <mergeCell ref="J35:L35"/>
    <mergeCell ref="J37:L37"/>
    <mergeCell ref="J29:L29"/>
    <mergeCell ref="J30:L30"/>
    <mergeCell ref="J31:L31"/>
    <mergeCell ref="J33:L33"/>
    <mergeCell ref="J36:L36"/>
    <mergeCell ref="J32:L32"/>
    <mergeCell ref="F6:G6"/>
    <mergeCell ref="F9:G9"/>
    <mergeCell ref="H9:I9"/>
    <mergeCell ref="F12:G12"/>
    <mergeCell ref="H12:I12"/>
    <mergeCell ref="F11:H11"/>
    <mergeCell ref="B21:E21"/>
    <mergeCell ref="B22:E22"/>
    <mergeCell ref="B19:E19"/>
    <mergeCell ref="B20:E20"/>
    <mergeCell ref="F19:I19"/>
    <mergeCell ref="F20:I21"/>
    <mergeCell ref="F22:H22"/>
    <mergeCell ref="B16:E16"/>
    <mergeCell ref="B17:E17"/>
    <mergeCell ref="F17:I17"/>
    <mergeCell ref="B18:E18"/>
    <mergeCell ref="F18:I18"/>
    <mergeCell ref="A15:C15"/>
    <mergeCell ref="D15:H15"/>
    <mergeCell ref="B30:E30"/>
    <mergeCell ref="F30:I31"/>
    <mergeCell ref="B34:E34"/>
    <mergeCell ref="B33:E33"/>
    <mergeCell ref="A16:A22"/>
    <mergeCell ref="A12:A14"/>
    <mergeCell ref="B13:E14"/>
    <mergeCell ref="F13:G13"/>
    <mergeCell ref="H13:I13"/>
    <mergeCell ref="B12:E12"/>
    <mergeCell ref="A23:A24"/>
    <mergeCell ref="C23:E23"/>
    <mergeCell ref="F23:H23"/>
    <mergeCell ref="F24:H24"/>
    <mergeCell ref="B24:E24"/>
    <mergeCell ref="F34:I34"/>
    <mergeCell ref="F35:I35"/>
    <mergeCell ref="A36:C36"/>
    <mergeCell ref="D36:H36"/>
    <mergeCell ref="B35:E35"/>
    <mergeCell ref="A25:A35"/>
    <mergeCell ref="B25:D25"/>
    <mergeCell ref="E25:E26"/>
    <mergeCell ref="F25:H25"/>
    <mergeCell ref="B26:D26"/>
    <mergeCell ref="B27:E27"/>
    <mergeCell ref="F27:H27"/>
    <mergeCell ref="B32:E32"/>
    <mergeCell ref="F32:I32"/>
    <mergeCell ref="F33:I33"/>
    <mergeCell ref="B31:E31"/>
    <mergeCell ref="B28:E28"/>
    <mergeCell ref="F28:I28"/>
    <mergeCell ref="B29:E29"/>
    <mergeCell ref="F29:I29"/>
  </mergeCells>
  <phoneticPr fontId="34" type="noConversion"/>
  <printOptions horizontalCentered="1" verticalCentered="1"/>
  <pageMargins left="0.39370078740157483" right="0.39370078740157483" top="0.39370078740157483" bottom="0.39370078740157483" header="0.51181102362204722" footer="0.51181102362204722"/>
  <pageSetup paperSize="9" scale="79" fitToWidth="0" fitToHeight="0" orientation="landscape"/>
  <headerFooter alignWithMargins="0">
    <oddHeader>&amp;L&amp;D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workbookViewId="0"/>
  </sheetViews>
  <sheetFormatPr defaultRowHeight="16.5"/>
  <cols>
    <col min="2" max="2" width="8.625" customWidth="1"/>
    <col min="6" max="6" width="11.875" customWidth="1"/>
    <col min="7" max="7" width="5.625" customWidth="1"/>
    <col min="8" max="8" width="11.75" customWidth="1"/>
    <col min="9" max="9" width="10.625" customWidth="1"/>
    <col min="10" max="12" width="12.375" customWidth="1"/>
  </cols>
  <sheetData>
    <row r="1" spans="1:12">
      <c r="J1" s="32"/>
      <c r="K1" s="8" t="s">
        <v>0</v>
      </c>
      <c r="L1" s="8" t="s">
        <v>1</v>
      </c>
    </row>
    <row r="2" spans="1:12" ht="31.5" customHeight="1">
      <c r="A2" s="201" t="s">
        <v>77</v>
      </c>
      <c r="B2" s="158"/>
      <c r="C2" s="158"/>
      <c r="D2" s="158"/>
      <c r="E2" s="158"/>
      <c r="F2" s="158"/>
      <c r="J2" s="158"/>
      <c r="K2" s="143"/>
      <c r="L2" s="202"/>
    </row>
    <row r="3" spans="1:12">
      <c r="J3" s="158"/>
      <c r="K3" s="143"/>
      <c r="L3" s="203"/>
    </row>
    <row r="4" spans="1:12" ht="17.25" customHeight="1"/>
    <row r="5" spans="1:12" ht="17.25" customHeight="1">
      <c r="A5" s="217" t="s">
        <v>78</v>
      </c>
      <c r="B5" s="218"/>
      <c r="C5" s="218"/>
      <c r="D5" s="218"/>
      <c r="E5" s="219"/>
      <c r="F5" s="220" t="s">
        <v>79</v>
      </c>
      <c r="G5" s="218"/>
      <c r="H5" s="218"/>
      <c r="I5" s="221"/>
      <c r="J5" s="222" t="s">
        <v>80</v>
      </c>
      <c r="K5" s="223"/>
      <c r="L5" s="224"/>
    </row>
    <row r="6" spans="1:12">
      <c r="A6" s="225" t="s">
        <v>6</v>
      </c>
      <c r="B6" s="212" t="s">
        <v>7</v>
      </c>
      <c r="C6" s="213"/>
      <c r="D6" s="213"/>
      <c r="E6" s="214"/>
      <c r="F6" s="207" t="s">
        <v>81</v>
      </c>
      <c r="G6" s="208"/>
      <c r="H6" s="208"/>
      <c r="I6" s="209"/>
      <c r="J6" s="210"/>
      <c r="K6" s="158"/>
      <c r="L6" s="211"/>
    </row>
    <row r="7" spans="1:12">
      <c r="A7" s="226"/>
      <c r="B7" s="212" t="s">
        <v>11</v>
      </c>
      <c r="C7" s="213"/>
      <c r="D7" s="213"/>
      <c r="E7" s="214"/>
      <c r="F7" s="207" t="s">
        <v>82</v>
      </c>
      <c r="G7" s="208"/>
      <c r="H7" s="208"/>
      <c r="I7" s="209"/>
      <c r="J7" s="210"/>
      <c r="K7" s="158"/>
      <c r="L7" s="211"/>
    </row>
    <row r="8" spans="1:12">
      <c r="A8" s="226"/>
      <c r="B8" s="212" t="s">
        <v>13</v>
      </c>
      <c r="C8" s="213"/>
      <c r="D8" s="213"/>
      <c r="E8" s="214"/>
      <c r="F8" s="207" t="s">
        <v>83</v>
      </c>
      <c r="G8" s="208"/>
      <c r="H8" s="208"/>
      <c r="I8" s="209"/>
      <c r="J8" s="210"/>
      <c r="K8" s="158"/>
      <c r="L8" s="211"/>
    </row>
    <row r="9" spans="1:12">
      <c r="A9" s="226"/>
      <c r="B9" s="204" t="s">
        <v>16</v>
      </c>
      <c r="C9" s="205"/>
      <c r="D9" s="205"/>
      <c r="E9" s="206"/>
      <c r="F9" s="207" t="s">
        <v>84</v>
      </c>
      <c r="G9" s="208"/>
      <c r="H9" s="208"/>
      <c r="I9" s="209"/>
      <c r="J9" s="210"/>
      <c r="K9" s="158"/>
      <c r="L9" s="211"/>
    </row>
    <row r="10" spans="1:12" ht="17.25" customHeight="1">
      <c r="A10" s="226"/>
      <c r="B10" s="212" t="s">
        <v>19</v>
      </c>
      <c r="C10" s="213"/>
      <c r="D10" s="213"/>
      <c r="E10" s="214"/>
      <c r="F10" s="215" t="s">
        <v>85</v>
      </c>
      <c r="G10" s="216"/>
      <c r="H10" s="216"/>
      <c r="I10" s="17" t="s">
        <v>20</v>
      </c>
      <c r="J10" s="210"/>
      <c r="K10" s="158"/>
      <c r="L10" s="211"/>
    </row>
    <row r="11" spans="1:12">
      <c r="A11" s="227"/>
      <c r="B11" s="212" t="s">
        <v>86</v>
      </c>
      <c r="C11" s="213"/>
      <c r="D11" s="213"/>
      <c r="E11" s="214"/>
      <c r="F11" s="233" t="s">
        <v>87</v>
      </c>
      <c r="G11" s="234"/>
      <c r="H11" s="234"/>
      <c r="I11" s="24" t="s">
        <v>88</v>
      </c>
      <c r="J11" s="210"/>
      <c r="K11" s="158"/>
      <c r="L11" s="211"/>
    </row>
    <row r="12" spans="1:12">
      <c r="A12" s="225" t="s">
        <v>25</v>
      </c>
      <c r="B12" s="204" t="s">
        <v>26</v>
      </c>
      <c r="C12" s="205"/>
      <c r="D12" s="205"/>
      <c r="E12" s="206"/>
      <c r="F12" s="207" t="s">
        <v>89</v>
      </c>
      <c r="G12" s="208"/>
      <c r="H12" s="208"/>
      <c r="I12" s="209"/>
      <c r="J12" s="210"/>
      <c r="K12" s="158"/>
      <c r="L12" s="211"/>
    </row>
    <row r="13" spans="1:12" ht="18.75" hidden="1" customHeight="1">
      <c r="A13" s="226"/>
      <c r="B13" s="228" t="s">
        <v>90</v>
      </c>
      <c r="C13" s="229"/>
      <c r="D13" s="229"/>
      <c r="E13" s="230"/>
      <c r="F13" s="207" t="s">
        <v>91</v>
      </c>
      <c r="G13" s="231"/>
      <c r="H13" s="231"/>
      <c r="I13" s="232"/>
      <c r="J13" s="210"/>
      <c r="K13" s="158"/>
      <c r="L13" s="211"/>
    </row>
    <row r="14" spans="1:12">
      <c r="A14" s="226"/>
      <c r="B14" s="235" t="s">
        <v>30</v>
      </c>
      <c r="C14" s="236"/>
      <c r="D14" s="236"/>
      <c r="E14" s="237"/>
      <c r="F14" s="241" t="s">
        <v>31</v>
      </c>
      <c r="G14" s="242"/>
      <c r="H14" s="11" t="s">
        <v>92</v>
      </c>
      <c r="J14" s="243"/>
      <c r="K14" s="158"/>
      <c r="L14" s="211"/>
    </row>
    <row r="15" spans="1:12">
      <c r="A15" s="227"/>
      <c r="B15" s="238"/>
      <c r="C15" s="239"/>
      <c r="D15" s="239"/>
      <c r="E15" s="240"/>
      <c r="F15" s="9" t="s">
        <v>93</v>
      </c>
      <c r="G15" s="23" t="s">
        <v>33</v>
      </c>
      <c r="H15" s="10" t="s">
        <v>94</v>
      </c>
      <c r="I15" s="22" t="s">
        <v>23</v>
      </c>
      <c r="J15" s="243"/>
      <c r="K15" s="158"/>
      <c r="L15" s="211"/>
    </row>
    <row r="16" spans="1:12" ht="17.25" customHeight="1">
      <c r="A16" s="244" t="s">
        <v>35</v>
      </c>
      <c r="B16" s="245"/>
      <c r="C16" s="246"/>
      <c r="D16" s="247" t="s">
        <v>95</v>
      </c>
      <c r="E16" s="248"/>
      <c r="F16" s="248"/>
      <c r="G16" s="248"/>
      <c r="H16" s="248"/>
      <c r="I16" s="20" t="s">
        <v>37</v>
      </c>
      <c r="J16" s="210"/>
      <c r="K16" s="158"/>
      <c r="L16" s="211"/>
    </row>
    <row r="17" spans="1:12" ht="17.25" customHeight="1">
      <c r="A17" s="255" t="s">
        <v>39</v>
      </c>
      <c r="B17" s="249" t="s">
        <v>96</v>
      </c>
      <c r="C17" s="250"/>
      <c r="D17" s="250"/>
      <c r="E17" s="251"/>
      <c r="F17" s="13" t="s">
        <v>97</v>
      </c>
      <c r="G17" s="5"/>
      <c r="H17" s="5"/>
      <c r="I17" s="6"/>
      <c r="J17" s="210"/>
      <c r="K17" s="158"/>
      <c r="L17" s="211"/>
    </row>
    <row r="18" spans="1:12" ht="4.5" customHeight="1">
      <c r="A18" s="226"/>
      <c r="B18" s="252"/>
      <c r="C18" s="253"/>
      <c r="D18" s="253"/>
      <c r="E18" s="254"/>
      <c r="F18" s="14"/>
      <c r="I18" s="7"/>
      <c r="J18" s="210"/>
      <c r="K18" s="158"/>
      <c r="L18" s="211"/>
    </row>
    <row r="19" spans="1:12">
      <c r="A19" s="226"/>
      <c r="B19" s="238"/>
      <c r="C19" s="239"/>
      <c r="D19" s="239"/>
      <c r="E19" s="240"/>
      <c r="F19" s="15" t="s">
        <v>98</v>
      </c>
      <c r="G19" s="25" t="s">
        <v>41</v>
      </c>
      <c r="H19" s="28"/>
      <c r="I19" s="19" t="s">
        <v>99</v>
      </c>
      <c r="J19" s="210"/>
      <c r="K19" s="158"/>
      <c r="L19" s="211"/>
    </row>
    <row r="20" spans="1:12" ht="32.25" customHeight="1">
      <c r="A20" s="226"/>
      <c r="B20" s="256" t="s">
        <v>100</v>
      </c>
      <c r="C20" s="257"/>
      <c r="D20" s="257"/>
      <c r="E20" s="258"/>
      <c r="F20" s="259" t="s">
        <v>101</v>
      </c>
      <c r="G20" s="260"/>
      <c r="H20" s="260"/>
      <c r="I20" s="261"/>
      <c r="J20" s="210"/>
      <c r="K20" s="158"/>
      <c r="L20" s="211"/>
    </row>
    <row r="21" spans="1:12">
      <c r="A21" s="226"/>
      <c r="B21" s="256" t="s">
        <v>102</v>
      </c>
      <c r="C21" s="257"/>
      <c r="D21" s="257"/>
      <c r="E21" s="258"/>
      <c r="F21" s="259" t="s">
        <v>103</v>
      </c>
      <c r="G21" s="262"/>
      <c r="H21" s="262"/>
      <c r="I21" s="263"/>
      <c r="J21" s="243"/>
      <c r="K21" s="158"/>
      <c r="L21" s="211"/>
    </row>
    <row r="22" spans="1:12">
      <c r="A22" s="226"/>
      <c r="B22" s="256" t="s">
        <v>104</v>
      </c>
      <c r="C22" s="257"/>
      <c r="D22" s="257"/>
      <c r="E22" s="258"/>
      <c r="F22" s="259" t="s">
        <v>105</v>
      </c>
      <c r="G22" s="260"/>
      <c r="H22" s="260"/>
      <c r="I22" s="261"/>
      <c r="J22" s="243"/>
      <c r="K22" s="158"/>
      <c r="L22" s="211"/>
    </row>
    <row r="23" spans="1:12" ht="18.75" customHeight="1">
      <c r="A23" s="226"/>
      <c r="B23" s="235" t="s">
        <v>106</v>
      </c>
      <c r="C23" s="236"/>
      <c r="D23" s="236"/>
      <c r="E23" s="237"/>
      <c r="F23" s="267" t="s">
        <v>107</v>
      </c>
      <c r="G23" s="268"/>
      <c r="H23" s="268"/>
      <c r="I23" s="269"/>
      <c r="J23" s="243"/>
      <c r="K23" s="158"/>
      <c r="L23" s="211"/>
    </row>
    <row r="24" spans="1:12">
      <c r="A24" s="226"/>
      <c r="B24" s="273" t="s">
        <v>108</v>
      </c>
      <c r="C24" s="274"/>
      <c r="D24" s="274"/>
      <c r="E24" s="275"/>
      <c r="F24" s="270"/>
      <c r="G24" s="271"/>
      <c r="H24" s="271"/>
      <c r="I24" s="272"/>
      <c r="J24" s="243"/>
      <c r="K24" s="158"/>
      <c r="L24" s="211"/>
    </row>
    <row r="25" spans="1:12">
      <c r="A25" s="227"/>
      <c r="B25" s="264" t="s">
        <v>109</v>
      </c>
      <c r="C25" s="265"/>
      <c r="D25" s="265"/>
      <c r="E25" s="266"/>
      <c r="F25" s="259" t="s">
        <v>110</v>
      </c>
      <c r="G25" s="260"/>
      <c r="H25" s="260"/>
      <c r="I25" s="261"/>
      <c r="J25" s="243"/>
      <c r="K25" s="158"/>
      <c r="L25" s="211"/>
    </row>
    <row r="26" spans="1:12" ht="17.25" customHeight="1">
      <c r="A26" s="225" t="s">
        <v>53</v>
      </c>
      <c r="B26" s="27" t="s">
        <v>54</v>
      </c>
      <c r="C26" s="256" t="s">
        <v>111</v>
      </c>
      <c r="D26" s="257"/>
      <c r="E26" s="258"/>
      <c r="F26" s="259" t="s">
        <v>112</v>
      </c>
      <c r="G26" s="260"/>
      <c r="H26" s="260"/>
      <c r="I26" s="261"/>
      <c r="J26" s="243"/>
      <c r="K26" s="158"/>
      <c r="L26" s="211"/>
    </row>
    <row r="27" spans="1:12" ht="18" customHeight="1">
      <c r="A27" s="226"/>
      <c r="B27" s="264" t="s">
        <v>113</v>
      </c>
      <c r="C27" s="276"/>
      <c r="D27" s="216"/>
      <c r="E27" s="277"/>
      <c r="F27" s="12" t="s">
        <v>114</v>
      </c>
      <c r="G27" s="29" t="s">
        <v>20</v>
      </c>
      <c r="H27" s="30" t="s">
        <v>115</v>
      </c>
      <c r="I27" s="17"/>
      <c r="J27" s="243"/>
      <c r="K27" s="158"/>
      <c r="L27" s="211"/>
    </row>
    <row r="28" spans="1:12" ht="18" customHeight="1">
      <c r="A28" s="226"/>
      <c r="B28" s="264" t="s">
        <v>116</v>
      </c>
      <c r="C28" s="265"/>
      <c r="D28" s="265"/>
      <c r="E28" s="266"/>
      <c r="F28" s="215" t="s">
        <v>117</v>
      </c>
      <c r="G28" s="216"/>
      <c r="H28" s="216"/>
      <c r="I28" s="21" t="s">
        <v>118</v>
      </c>
      <c r="J28" s="31"/>
      <c r="L28" s="7"/>
    </row>
    <row r="29" spans="1:12" ht="18" customHeight="1">
      <c r="A29" s="227"/>
      <c r="B29" s="264" t="s">
        <v>119</v>
      </c>
      <c r="C29" s="265"/>
      <c r="D29" s="265"/>
      <c r="E29" s="266"/>
      <c r="F29" s="259">
        <v>1</v>
      </c>
      <c r="G29" s="260"/>
      <c r="H29" s="260"/>
      <c r="I29" s="261"/>
      <c r="J29" s="243"/>
      <c r="K29" s="158"/>
      <c r="L29" s="211"/>
    </row>
    <row r="30" spans="1:12" ht="18" customHeight="1">
      <c r="A30" s="225" t="s">
        <v>60</v>
      </c>
      <c r="B30" s="264" t="s">
        <v>61</v>
      </c>
      <c r="C30" s="265"/>
      <c r="D30" s="266"/>
      <c r="E30" s="3" t="s">
        <v>120</v>
      </c>
      <c r="F30" s="215" t="s">
        <v>121</v>
      </c>
      <c r="G30" s="216"/>
      <c r="H30" s="216"/>
      <c r="I30" s="18" t="s">
        <v>23</v>
      </c>
      <c r="J30" s="289" t="s">
        <v>63</v>
      </c>
      <c r="K30" s="290"/>
      <c r="L30" s="291"/>
    </row>
    <row r="31" spans="1:12" ht="18.75" customHeight="1">
      <c r="A31" s="226"/>
      <c r="B31" s="264" t="s">
        <v>64</v>
      </c>
      <c r="C31" s="265"/>
      <c r="D31" s="266"/>
      <c r="E31" s="4" t="s">
        <v>122</v>
      </c>
      <c r="F31" s="12" t="s">
        <v>123</v>
      </c>
      <c r="G31" s="26" t="s">
        <v>41</v>
      </c>
      <c r="H31" s="16"/>
      <c r="I31" s="18" t="s">
        <v>23</v>
      </c>
      <c r="J31" s="243"/>
      <c r="K31" s="158"/>
      <c r="L31" s="211"/>
    </row>
    <row r="32" spans="1:12" ht="16.5" customHeight="1">
      <c r="A32" s="226"/>
      <c r="B32" s="292" t="s">
        <v>124</v>
      </c>
      <c r="C32" s="293"/>
      <c r="D32" s="293"/>
      <c r="E32" s="294"/>
      <c r="F32" s="259" t="s">
        <v>125</v>
      </c>
      <c r="G32" s="260"/>
      <c r="H32" s="260"/>
      <c r="I32" s="261"/>
      <c r="J32" s="243"/>
      <c r="K32" s="158"/>
      <c r="L32" s="211"/>
    </row>
    <row r="33" spans="1:12" ht="18" customHeight="1">
      <c r="A33" s="226"/>
      <c r="B33" s="264" t="s">
        <v>68</v>
      </c>
      <c r="C33" s="265"/>
      <c r="D33" s="265"/>
      <c r="E33" s="266"/>
      <c r="F33" s="259" t="s">
        <v>126</v>
      </c>
      <c r="G33" s="260"/>
      <c r="H33" s="260"/>
      <c r="I33" s="261"/>
      <c r="J33" s="243"/>
      <c r="K33" s="282"/>
      <c r="L33" s="283"/>
    </row>
    <row r="34" spans="1:12">
      <c r="A34" s="226"/>
      <c r="B34" s="235" t="s">
        <v>127</v>
      </c>
      <c r="C34" s="236"/>
      <c r="D34" s="236"/>
      <c r="E34" s="237"/>
      <c r="F34" s="267" t="s">
        <v>128</v>
      </c>
      <c r="G34" s="284"/>
      <c r="H34" s="284"/>
      <c r="I34" s="285"/>
      <c r="J34" s="243"/>
      <c r="K34" s="158"/>
      <c r="L34" s="211"/>
    </row>
    <row r="35" spans="1:12" ht="16.5" customHeight="1">
      <c r="A35" s="226"/>
      <c r="B35" s="273" t="s">
        <v>129</v>
      </c>
      <c r="C35" s="274"/>
      <c r="D35" s="274"/>
      <c r="E35" s="275"/>
      <c r="F35" s="286"/>
      <c r="G35" s="287"/>
      <c r="H35" s="287"/>
      <c r="I35" s="288"/>
      <c r="J35" s="243"/>
      <c r="K35" s="158"/>
      <c r="L35" s="211"/>
    </row>
    <row r="36" spans="1:12">
      <c r="A36" s="226"/>
      <c r="B36" s="264" t="s">
        <v>130</v>
      </c>
      <c r="C36" s="265"/>
      <c r="D36" s="265"/>
      <c r="E36" s="266"/>
      <c r="F36" s="259" t="s">
        <v>131</v>
      </c>
      <c r="G36" s="260"/>
      <c r="H36" s="260"/>
      <c r="I36" s="261"/>
      <c r="J36" s="243"/>
      <c r="K36" s="158"/>
      <c r="L36" s="211"/>
    </row>
    <row r="37" spans="1:12">
      <c r="A37" s="226"/>
      <c r="B37" s="256" t="s">
        <v>132</v>
      </c>
      <c r="C37" s="257"/>
      <c r="D37" s="257"/>
      <c r="E37" s="258"/>
      <c r="F37" s="259" t="s">
        <v>133</v>
      </c>
      <c r="G37" s="260"/>
      <c r="H37" s="260"/>
      <c r="I37" s="261"/>
      <c r="J37" s="243"/>
      <c r="K37" s="158"/>
      <c r="L37" s="211"/>
    </row>
    <row r="38" spans="1:12" ht="16.5" customHeight="1">
      <c r="A38" s="226"/>
      <c r="B38" s="256" t="s">
        <v>102</v>
      </c>
      <c r="C38" s="257"/>
      <c r="D38" s="257"/>
      <c r="E38" s="258"/>
      <c r="F38" s="259" t="s">
        <v>134</v>
      </c>
      <c r="G38" s="262"/>
      <c r="H38" s="262"/>
      <c r="I38" s="263"/>
      <c r="J38" s="243"/>
      <c r="K38" s="158"/>
      <c r="L38" s="211"/>
    </row>
    <row r="39" spans="1:12">
      <c r="A39" s="227"/>
      <c r="B39" s="264" t="s">
        <v>73</v>
      </c>
      <c r="C39" s="265"/>
      <c r="D39" s="265"/>
      <c r="E39" s="266"/>
      <c r="F39" s="259" t="s">
        <v>135</v>
      </c>
      <c r="G39" s="260"/>
      <c r="H39" s="260"/>
      <c r="I39" s="261"/>
      <c r="J39" s="243"/>
      <c r="K39" s="158"/>
      <c r="L39" s="211"/>
    </row>
    <row r="40" spans="1:12" ht="18" customHeight="1">
      <c r="A40" s="244" t="s">
        <v>74</v>
      </c>
      <c r="B40" s="245"/>
      <c r="C40" s="246"/>
      <c r="D40" s="247" t="s">
        <v>136</v>
      </c>
      <c r="E40" s="248"/>
      <c r="F40" s="248"/>
      <c r="G40" s="248"/>
      <c r="H40" s="248"/>
      <c r="I40" s="20" t="s">
        <v>37</v>
      </c>
      <c r="J40" s="279"/>
      <c r="K40" s="280"/>
      <c r="L40" s="281"/>
    </row>
    <row r="41" spans="1:12" ht="17.25" customHeight="1">
      <c r="A41" s="1"/>
      <c r="B41" s="1"/>
      <c r="C41" s="1"/>
      <c r="D41" s="1"/>
      <c r="E41" s="1"/>
      <c r="F41" s="1"/>
      <c r="G41" s="1"/>
      <c r="H41" s="1"/>
      <c r="I41" s="1"/>
      <c r="J41" s="278" t="s">
        <v>137</v>
      </c>
      <c r="K41" s="158"/>
      <c r="L41" s="158"/>
    </row>
    <row r="42" spans="1:12">
      <c r="A42" s="2"/>
    </row>
  </sheetData>
  <sheetProtection formatCells="0" formatColumns="0" formatRows="0" insertColumns="0" insertRows="0" insertHyperlinks="0" deleteColumns="0" deleteRows="0" sort="0" autoFilter="0" pivotTables="0"/>
  <mergeCells count="106">
    <mergeCell ref="J31:L31"/>
    <mergeCell ref="B32:E32"/>
    <mergeCell ref="F32:I32"/>
    <mergeCell ref="B36:E36"/>
    <mergeCell ref="F36:I36"/>
    <mergeCell ref="J36:L36"/>
    <mergeCell ref="B37:E37"/>
    <mergeCell ref="F37:I37"/>
    <mergeCell ref="J37:L37"/>
    <mergeCell ref="J41:L41"/>
    <mergeCell ref="B39:E39"/>
    <mergeCell ref="F39:I39"/>
    <mergeCell ref="J39:L39"/>
    <mergeCell ref="A40:C40"/>
    <mergeCell ref="D40:H40"/>
    <mergeCell ref="J40:L40"/>
    <mergeCell ref="J32:L32"/>
    <mergeCell ref="B33:E33"/>
    <mergeCell ref="F33:I33"/>
    <mergeCell ref="J33:L33"/>
    <mergeCell ref="B34:E34"/>
    <mergeCell ref="F34:I35"/>
    <mergeCell ref="J34:L34"/>
    <mergeCell ref="B35:E35"/>
    <mergeCell ref="J35:L35"/>
    <mergeCell ref="B38:E38"/>
    <mergeCell ref="F38:I38"/>
    <mergeCell ref="J38:L38"/>
    <mergeCell ref="A30:A39"/>
    <mergeCell ref="B30:D30"/>
    <mergeCell ref="F30:H30"/>
    <mergeCell ref="J30:L30"/>
    <mergeCell ref="B31:D31"/>
    <mergeCell ref="J24:L24"/>
    <mergeCell ref="A26:A29"/>
    <mergeCell ref="C26:E26"/>
    <mergeCell ref="F26:I26"/>
    <mergeCell ref="J26:L26"/>
    <mergeCell ref="B27:E27"/>
    <mergeCell ref="J27:L27"/>
    <mergeCell ref="B29:E29"/>
    <mergeCell ref="J29:L29"/>
    <mergeCell ref="B28:E28"/>
    <mergeCell ref="F28:H28"/>
    <mergeCell ref="F29:I29"/>
    <mergeCell ref="A16:C16"/>
    <mergeCell ref="D16:H16"/>
    <mergeCell ref="J16:L16"/>
    <mergeCell ref="B17:E19"/>
    <mergeCell ref="J17:L17"/>
    <mergeCell ref="J18:L18"/>
    <mergeCell ref="J19:L19"/>
    <mergeCell ref="A17:A25"/>
    <mergeCell ref="B22:E22"/>
    <mergeCell ref="F22:I22"/>
    <mergeCell ref="B20:E20"/>
    <mergeCell ref="F20:I20"/>
    <mergeCell ref="J20:L20"/>
    <mergeCell ref="B21:E21"/>
    <mergeCell ref="F21:I21"/>
    <mergeCell ref="J21:L21"/>
    <mergeCell ref="B25:E25"/>
    <mergeCell ref="F25:I25"/>
    <mergeCell ref="J25:L25"/>
    <mergeCell ref="J22:L22"/>
    <mergeCell ref="B23:E23"/>
    <mergeCell ref="F23:I24"/>
    <mergeCell ref="J23:L23"/>
    <mergeCell ref="B24:E24"/>
    <mergeCell ref="A12:A15"/>
    <mergeCell ref="B12:E12"/>
    <mergeCell ref="F12:I12"/>
    <mergeCell ref="J12:L12"/>
    <mergeCell ref="B13:E13"/>
    <mergeCell ref="F13:I13"/>
    <mergeCell ref="J13:L13"/>
    <mergeCell ref="B11:E11"/>
    <mergeCell ref="F11:H11"/>
    <mergeCell ref="J11:L11"/>
    <mergeCell ref="B14:E15"/>
    <mergeCell ref="F14:G14"/>
    <mergeCell ref="J14:L14"/>
    <mergeCell ref="J15:L15"/>
    <mergeCell ref="A6:A11"/>
    <mergeCell ref="B6:E6"/>
    <mergeCell ref="F6:I6"/>
    <mergeCell ref="J6:L6"/>
    <mergeCell ref="B7:E7"/>
    <mergeCell ref="F7:I7"/>
    <mergeCell ref="J7:L7"/>
    <mergeCell ref="B8:E8"/>
    <mergeCell ref="F8:I8"/>
    <mergeCell ref="J8:L8"/>
    <mergeCell ref="A2:F2"/>
    <mergeCell ref="J2:J3"/>
    <mergeCell ref="K2:K3"/>
    <mergeCell ref="L2:L3"/>
    <mergeCell ref="B9:E9"/>
    <mergeCell ref="F9:I9"/>
    <mergeCell ref="J9:L9"/>
    <mergeCell ref="B10:E10"/>
    <mergeCell ref="F10:H10"/>
    <mergeCell ref="J10:L10"/>
    <mergeCell ref="A5:E5"/>
    <mergeCell ref="F5:I5"/>
    <mergeCell ref="J5:L5"/>
  </mergeCells>
  <phoneticPr fontId="34" type="noConversion"/>
  <pageMargins left="0.75" right="0.75" top="1" bottom="1" header="0.5" footer="0.5"/>
  <pageSetup paperSize="9" scale="72" fitToWidth="0" fitToHeight="0" orientation="landscape"/>
  <headerFooter alignWithMargins="0">
    <oddHeader>&amp;L&amp;D &amp;T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0"/>
  <sheetViews>
    <sheetView workbookViewId="0"/>
  </sheetViews>
  <sheetFormatPr defaultRowHeight="16.5"/>
  <cols>
    <col min="1" max="1" width="9.125" customWidth="1"/>
  </cols>
  <sheetData>
    <row r="1" spans="2:4">
      <c r="B1" t="s">
        <v>138</v>
      </c>
      <c r="C1" t="s">
        <v>139</v>
      </c>
    </row>
    <row r="2" spans="2:4">
      <c r="C2" t="s">
        <v>140</v>
      </c>
    </row>
    <row r="3" spans="2:4">
      <c r="C3" t="s">
        <v>141</v>
      </c>
    </row>
    <row r="4" spans="2:4">
      <c r="C4" t="s">
        <v>142</v>
      </c>
    </row>
    <row r="5" spans="2:4">
      <c r="C5" t="s">
        <v>143</v>
      </c>
    </row>
    <row r="6" spans="2:4">
      <c r="C6" t="s">
        <v>144</v>
      </c>
      <c r="D6" t="s">
        <v>145</v>
      </c>
    </row>
    <row r="7" spans="2:4">
      <c r="C7" t="s">
        <v>146</v>
      </c>
      <c r="D7" t="s">
        <v>147</v>
      </c>
    </row>
    <row r="8" spans="2:4">
      <c r="C8" t="s">
        <v>148</v>
      </c>
    </row>
    <row r="9" spans="2:4">
      <c r="C9" t="s">
        <v>149</v>
      </c>
    </row>
    <row r="10" spans="2:4">
      <c r="C10" t="s">
        <v>150</v>
      </c>
    </row>
    <row r="11" spans="2:4">
      <c r="B11" t="s">
        <v>151</v>
      </c>
      <c r="C11" t="s">
        <v>152</v>
      </c>
    </row>
    <row r="12" spans="2:4">
      <c r="C12" t="s">
        <v>153</v>
      </c>
    </row>
    <row r="13" spans="2:4">
      <c r="C13" t="s">
        <v>154</v>
      </c>
    </row>
    <row r="14" spans="2:4">
      <c r="C14" t="s">
        <v>155</v>
      </c>
    </row>
    <row r="15" spans="2:4">
      <c r="C15" t="s">
        <v>156</v>
      </c>
      <c r="D15" t="s">
        <v>157</v>
      </c>
    </row>
    <row r="16" spans="2:4">
      <c r="C16" t="s">
        <v>158</v>
      </c>
    </row>
    <row r="17" spans="3:3">
      <c r="C17" t="s">
        <v>159</v>
      </c>
    </row>
    <row r="18" spans="3:3">
      <c r="C18" t="s">
        <v>160</v>
      </c>
    </row>
    <row r="19" spans="3:3">
      <c r="C19" t="s">
        <v>161</v>
      </c>
    </row>
    <row r="20" spans="3:3">
      <c r="C20" t="s">
        <v>162</v>
      </c>
    </row>
    <row r="21" spans="3:3">
      <c r="C21" t="s">
        <v>163</v>
      </c>
    </row>
    <row r="22" spans="3:3">
      <c r="C22" t="s">
        <v>164</v>
      </c>
    </row>
    <row r="23" spans="3:3">
      <c r="C23" t="s">
        <v>165</v>
      </c>
    </row>
    <row r="24" spans="3:3">
      <c r="C24" t="s">
        <v>166</v>
      </c>
    </row>
    <row r="25" spans="3:3">
      <c r="C25" t="s">
        <v>167</v>
      </c>
    </row>
    <row r="26" spans="3:3">
      <c r="C26" t="s">
        <v>168</v>
      </c>
    </row>
    <row r="27" spans="3:3">
      <c r="C27" t="s">
        <v>169</v>
      </c>
    </row>
    <row r="28" spans="3:3">
      <c r="C28" t="s">
        <v>170</v>
      </c>
    </row>
    <row r="29" spans="3:3">
      <c r="C29" t="s">
        <v>171</v>
      </c>
    </row>
    <row r="30" spans="3:3">
      <c r="C30" t="s">
        <v>172</v>
      </c>
    </row>
    <row r="31" spans="3:3">
      <c r="C31" t="s">
        <v>173</v>
      </c>
    </row>
    <row r="32" spans="3:3">
      <c r="C32" t="s">
        <v>174</v>
      </c>
    </row>
    <row r="33" spans="2:2">
      <c r="B33" t="s">
        <v>175</v>
      </c>
    </row>
    <row r="34" spans="2:2">
      <c r="B34" t="s">
        <v>176</v>
      </c>
    </row>
    <row r="35" spans="2:2">
      <c r="B35" t="s">
        <v>177</v>
      </c>
    </row>
    <row r="36" spans="2:2">
      <c r="B36" t="s">
        <v>178</v>
      </c>
    </row>
    <row r="37" spans="2:2">
      <c r="B37" t="s">
        <v>179</v>
      </c>
    </row>
    <row r="38" spans="2:2">
      <c r="B38" t="s">
        <v>180</v>
      </c>
    </row>
    <row r="39" spans="2:2">
      <c r="B39" t="s">
        <v>181</v>
      </c>
    </row>
    <row r="40" spans="2:2">
      <c r="B40" t="s">
        <v>182</v>
      </c>
    </row>
  </sheetData>
  <sheetProtection formatCells="0" formatColumns="0" formatRows="0" insertColumns="0" insertRows="0" insertHyperlinks="0" deleteColumns="0" deleteRows="0" sort="0" autoFilter="0" pivotTables="0"/>
  <phoneticPr fontId="34" type="noConversion"/>
  <pageMargins left="0.75" right="0.75" top="1" bottom="1" header="0.5" footer="0.5"/>
  <pageSetup paperSize="9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表單</vt:lpstr>
      <vt:lpstr>列印</vt:lpstr>
      <vt:lpstr>SQL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tsai hungchang/0061268/蔡　宏昌</cp:lastModifiedBy>
  <cp:lastPrinted>2024-10-16T03:28:12Z</cp:lastPrinted>
  <dcterms:created xsi:type="dcterms:W3CDTF">2024-10-16T03:18:45Z</dcterms:created>
  <dcterms:modified xsi:type="dcterms:W3CDTF">2024-10-24T08:21:50Z</dcterms:modified>
  <cp:category/>
</cp:coreProperties>
</file>