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www_Test\FormList\PrintAnalyze\RR\H2SO4\"/>
    </mc:Choice>
  </mc:AlternateContent>
  <xr:revisionPtr revIDLastSave="0" documentId="13_ncr:1_{C772D0B7-B7A1-46BB-A2B9-84CC79413792}" xr6:coauthVersionLast="44" xr6:coauthVersionMax="44" xr10:uidLastSave="{00000000-0000-0000-0000-000000000000}"/>
  <bookViews>
    <workbookView xWindow="-120" yWindow="-120" windowWidth="29040" windowHeight="15840" firstSheet="1" activeTab="15" xr2:uid="{00000000-000D-0000-FFFF-FFFF00000000}"/>
  </bookViews>
  <sheets>
    <sheet name="METAL (2)" sheetId="1" r:id="rId1"/>
    <sheet name="METAL RAW DATA" sheetId="2" r:id="rId2"/>
    <sheet name="Na" sheetId="3" r:id="rId3"/>
    <sheet name="Mg" sheetId="4" r:id="rId4"/>
    <sheet name="K" sheetId="5" r:id="rId5"/>
    <sheet name="AL" sheetId="6" r:id="rId6"/>
    <sheet name="Ca" sheetId="7" r:id="rId7"/>
    <sheet name="Cr" sheetId="8" r:id="rId8"/>
    <sheet name="Mn" sheetId="9" r:id="rId9"/>
    <sheet name="Fe" sheetId="10" r:id="rId10"/>
    <sheet name="Ni" sheetId="11" r:id="rId11"/>
    <sheet name="Co" sheetId="12" r:id="rId12"/>
    <sheet name="Cu" sheetId="13" r:id="rId13"/>
    <sheet name="Zn" sheetId="14" r:id="rId14"/>
    <sheet name="Pb" sheetId="15" r:id="rId15"/>
    <sheet name="Sheet1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" i="15" l="1"/>
  <c r="M3" i="14"/>
  <c r="M3" i="13"/>
  <c r="M3" i="12"/>
  <c r="M3" i="11"/>
  <c r="M3" i="10"/>
  <c r="M3" i="9"/>
  <c r="M3" i="8"/>
  <c r="M3" i="7"/>
  <c r="M3" i="6"/>
  <c r="M3" i="5"/>
  <c r="M3" i="4"/>
  <c r="M3" i="3"/>
  <c r="D5" i="16" l="1"/>
  <c r="D4" i="16"/>
  <c r="O57" i="15" l="1"/>
  <c r="F46" i="15"/>
  <c r="F32" i="15"/>
  <c r="O23" i="15"/>
  <c r="M11" i="15"/>
  <c r="L11" i="15"/>
  <c r="K11" i="15"/>
  <c r="J11" i="15"/>
  <c r="I11" i="15"/>
  <c r="H11" i="15"/>
  <c r="G11" i="15"/>
  <c r="F11" i="15"/>
  <c r="E11" i="15"/>
  <c r="D11" i="15"/>
  <c r="M10" i="15"/>
  <c r="L10" i="15"/>
  <c r="K10" i="15"/>
  <c r="J10" i="15"/>
  <c r="I10" i="15"/>
  <c r="H10" i="15"/>
  <c r="G10" i="15"/>
  <c r="F10" i="15"/>
  <c r="E10" i="15"/>
  <c r="D10" i="15"/>
  <c r="M7" i="15"/>
  <c r="L7" i="15"/>
  <c r="K7" i="15"/>
  <c r="J7" i="15"/>
  <c r="I7" i="15"/>
  <c r="H7" i="15"/>
  <c r="G7" i="15"/>
  <c r="F7" i="15"/>
  <c r="E7" i="15"/>
  <c r="D7" i="15"/>
  <c r="M6" i="15"/>
  <c r="L6" i="15"/>
  <c r="K6" i="15"/>
  <c r="J6" i="15"/>
  <c r="I6" i="15"/>
  <c r="H6" i="15"/>
  <c r="G6" i="15"/>
  <c r="F6" i="15"/>
  <c r="E6" i="15"/>
  <c r="D6" i="15"/>
  <c r="G4" i="15"/>
  <c r="E23" i="15" s="1"/>
  <c r="G3" i="15"/>
  <c r="C3" i="15"/>
  <c r="F1" i="15"/>
  <c r="O57" i="14"/>
  <c r="F46" i="14"/>
  <c r="F32" i="14"/>
  <c r="O23" i="14"/>
  <c r="E23" i="14"/>
  <c r="M11" i="14"/>
  <c r="L11" i="14"/>
  <c r="K11" i="14"/>
  <c r="J11" i="14"/>
  <c r="I11" i="14"/>
  <c r="H11" i="14"/>
  <c r="G11" i="14"/>
  <c r="G13" i="14" s="1"/>
  <c r="F11" i="14"/>
  <c r="F13" i="14" s="1"/>
  <c r="E11" i="14"/>
  <c r="D11" i="14"/>
  <c r="M10" i="14"/>
  <c r="L10" i="14"/>
  <c r="K10" i="14"/>
  <c r="J10" i="14"/>
  <c r="I10" i="14"/>
  <c r="H10" i="14"/>
  <c r="G10" i="14"/>
  <c r="F10" i="14"/>
  <c r="E10" i="14"/>
  <c r="D10" i="14"/>
  <c r="M7" i="14"/>
  <c r="L7" i="14"/>
  <c r="K7" i="14"/>
  <c r="J7" i="14"/>
  <c r="J8" i="14" s="1"/>
  <c r="I7" i="14"/>
  <c r="H7" i="14"/>
  <c r="G7" i="14"/>
  <c r="F7" i="14"/>
  <c r="E7" i="14"/>
  <c r="D7" i="14"/>
  <c r="M6" i="14"/>
  <c r="L6" i="14"/>
  <c r="K6" i="14"/>
  <c r="J6" i="14"/>
  <c r="I6" i="14"/>
  <c r="H6" i="14"/>
  <c r="G6" i="14"/>
  <c r="F6" i="14"/>
  <c r="E6" i="14"/>
  <c r="D6" i="14"/>
  <c r="G4" i="14"/>
  <c r="G3" i="14"/>
  <c r="C3" i="14"/>
  <c r="F1" i="14"/>
  <c r="O57" i="13"/>
  <c r="F46" i="13"/>
  <c r="F32" i="13"/>
  <c r="O23" i="13"/>
  <c r="M11" i="13"/>
  <c r="L11" i="13"/>
  <c r="K11" i="13"/>
  <c r="J11" i="13"/>
  <c r="I11" i="13"/>
  <c r="H11" i="13"/>
  <c r="G11" i="13"/>
  <c r="F11" i="13"/>
  <c r="E11" i="13"/>
  <c r="D11" i="13"/>
  <c r="M10" i="13"/>
  <c r="L10" i="13"/>
  <c r="K10" i="13"/>
  <c r="J10" i="13"/>
  <c r="I10" i="13"/>
  <c r="I12" i="13" s="1"/>
  <c r="H10" i="13"/>
  <c r="G10" i="13"/>
  <c r="F10" i="13"/>
  <c r="E10" i="13"/>
  <c r="D10" i="13"/>
  <c r="M7" i="13"/>
  <c r="L7" i="13"/>
  <c r="K7" i="13"/>
  <c r="J7" i="13"/>
  <c r="I7" i="13"/>
  <c r="H7" i="13"/>
  <c r="G7" i="13"/>
  <c r="F7" i="13"/>
  <c r="F9" i="13" s="1"/>
  <c r="E7" i="13"/>
  <c r="D7" i="13"/>
  <c r="M6" i="13"/>
  <c r="L6" i="13"/>
  <c r="K6" i="13"/>
  <c r="J6" i="13"/>
  <c r="I6" i="13"/>
  <c r="H6" i="13"/>
  <c r="G6" i="13"/>
  <c r="F6" i="13"/>
  <c r="E6" i="13"/>
  <c r="D6" i="13"/>
  <c r="G4" i="13"/>
  <c r="E23" i="13" s="1"/>
  <c r="G3" i="13"/>
  <c r="C3" i="13"/>
  <c r="F1" i="13"/>
  <c r="O57" i="12"/>
  <c r="F46" i="12"/>
  <c r="F32" i="12"/>
  <c r="O23" i="12"/>
  <c r="M11" i="12"/>
  <c r="L11" i="12"/>
  <c r="K11" i="12"/>
  <c r="J11" i="12"/>
  <c r="I11" i="12"/>
  <c r="H11" i="12"/>
  <c r="G11" i="12"/>
  <c r="F11" i="12"/>
  <c r="E11" i="12"/>
  <c r="D11" i="12"/>
  <c r="M10" i="12"/>
  <c r="L10" i="12"/>
  <c r="K10" i="12"/>
  <c r="J10" i="12"/>
  <c r="J13" i="12" s="1"/>
  <c r="I10" i="12"/>
  <c r="H10" i="12"/>
  <c r="G10" i="12"/>
  <c r="F10" i="12"/>
  <c r="E10" i="12"/>
  <c r="D10" i="12"/>
  <c r="M7" i="12"/>
  <c r="L7" i="12"/>
  <c r="K7" i="12"/>
  <c r="J7" i="12"/>
  <c r="I7" i="12"/>
  <c r="H7" i="12"/>
  <c r="G7" i="12"/>
  <c r="F7" i="12"/>
  <c r="E7" i="12"/>
  <c r="D7" i="12"/>
  <c r="M6" i="12"/>
  <c r="L6" i="12"/>
  <c r="K6" i="12"/>
  <c r="J6" i="12"/>
  <c r="J9" i="12" s="1"/>
  <c r="I6" i="12"/>
  <c r="H6" i="12"/>
  <c r="G6" i="12"/>
  <c r="F6" i="12"/>
  <c r="E6" i="12"/>
  <c r="D6" i="12"/>
  <c r="G4" i="12"/>
  <c r="E23" i="12" s="1"/>
  <c r="G3" i="12"/>
  <c r="C3" i="12"/>
  <c r="F1" i="12"/>
  <c r="O57" i="11"/>
  <c r="F46" i="11"/>
  <c r="F32" i="11"/>
  <c r="O23" i="11"/>
  <c r="M11" i="11"/>
  <c r="M13" i="11" s="1"/>
  <c r="L11" i="11"/>
  <c r="L12" i="11" s="1"/>
  <c r="K11" i="11"/>
  <c r="J11" i="11"/>
  <c r="I11" i="11"/>
  <c r="H11" i="11"/>
  <c r="G11" i="11"/>
  <c r="F11" i="11"/>
  <c r="E11" i="11"/>
  <c r="D11" i="11"/>
  <c r="M10" i="11"/>
  <c r="L10" i="11"/>
  <c r="K10" i="11"/>
  <c r="J10" i="11"/>
  <c r="I10" i="11"/>
  <c r="H10" i="11"/>
  <c r="H12" i="11" s="1"/>
  <c r="G10" i="11"/>
  <c r="F10" i="11"/>
  <c r="E10" i="11"/>
  <c r="D10" i="11"/>
  <c r="M7" i="11"/>
  <c r="L7" i="11"/>
  <c r="K7" i="11"/>
  <c r="J7" i="11"/>
  <c r="I7" i="11"/>
  <c r="H7" i="11"/>
  <c r="G7" i="11"/>
  <c r="F7" i="11"/>
  <c r="E7" i="11"/>
  <c r="D7" i="11"/>
  <c r="M6" i="11"/>
  <c r="L6" i="11"/>
  <c r="K6" i="11"/>
  <c r="J6" i="11"/>
  <c r="I6" i="11"/>
  <c r="H6" i="11"/>
  <c r="G6" i="11"/>
  <c r="F6" i="11"/>
  <c r="E6" i="11"/>
  <c r="D6" i="11"/>
  <c r="G4" i="11"/>
  <c r="E23" i="11" s="1"/>
  <c r="G3" i="11"/>
  <c r="C3" i="11"/>
  <c r="F1" i="11"/>
  <c r="O57" i="10"/>
  <c r="F46" i="10"/>
  <c r="F32" i="10"/>
  <c r="O23" i="10"/>
  <c r="M11" i="10"/>
  <c r="L11" i="10"/>
  <c r="K11" i="10"/>
  <c r="J11" i="10"/>
  <c r="I11" i="10"/>
  <c r="H11" i="10"/>
  <c r="G11" i="10"/>
  <c r="F11" i="10"/>
  <c r="E11" i="10"/>
  <c r="E12" i="10" s="1"/>
  <c r="D11" i="10"/>
  <c r="M10" i="10"/>
  <c r="L10" i="10"/>
  <c r="K10" i="10"/>
  <c r="J10" i="10"/>
  <c r="I10" i="10"/>
  <c r="H10" i="10"/>
  <c r="G10" i="10"/>
  <c r="F10" i="10"/>
  <c r="E10" i="10"/>
  <c r="D10" i="10"/>
  <c r="J8" i="10"/>
  <c r="M7" i="10"/>
  <c r="L7" i="10"/>
  <c r="K7" i="10"/>
  <c r="J7" i="10"/>
  <c r="I7" i="10"/>
  <c r="H7" i="10"/>
  <c r="G7" i="10"/>
  <c r="F7" i="10"/>
  <c r="F9" i="10" s="1"/>
  <c r="E7" i="10"/>
  <c r="D7" i="10"/>
  <c r="M6" i="10"/>
  <c r="L6" i="10"/>
  <c r="K6" i="10"/>
  <c r="J6" i="10"/>
  <c r="I6" i="10"/>
  <c r="H6" i="10"/>
  <c r="G6" i="10"/>
  <c r="F6" i="10"/>
  <c r="E6" i="10"/>
  <c r="D6" i="10"/>
  <c r="G4" i="10"/>
  <c r="E23" i="10" s="1"/>
  <c r="G3" i="10"/>
  <c r="C3" i="10"/>
  <c r="F1" i="10"/>
  <c r="O57" i="9"/>
  <c r="F46" i="9"/>
  <c r="F32" i="9"/>
  <c r="O23" i="9"/>
  <c r="M11" i="9"/>
  <c r="L11" i="9"/>
  <c r="L12" i="9" s="1"/>
  <c r="K11" i="9"/>
  <c r="J11" i="9"/>
  <c r="I11" i="9"/>
  <c r="H11" i="9"/>
  <c r="G11" i="9"/>
  <c r="F11" i="9"/>
  <c r="E11" i="9"/>
  <c r="D11" i="9"/>
  <c r="M10" i="9"/>
  <c r="M13" i="9" s="1"/>
  <c r="L10" i="9"/>
  <c r="K10" i="9"/>
  <c r="J10" i="9"/>
  <c r="I10" i="9"/>
  <c r="I13" i="9" s="1"/>
  <c r="H10" i="9"/>
  <c r="G10" i="9"/>
  <c r="F10" i="9"/>
  <c r="E10" i="9"/>
  <c r="D10" i="9"/>
  <c r="M7" i="9"/>
  <c r="L7" i="9"/>
  <c r="K7" i="9"/>
  <c r="J7" i="9"/>
  <c r="I7" i="9"/>
  <c r="H7" i="9"/>
  <c r="H8" i="9" s="1"/>
  <c r="G7" i="9"/>
  <c r="F7" i="9"/>
  <c r="E7" i="9"/>
  <c r="D7" i="9"/>
  <c r="M6" i="9"/>
  <c r="L6" i="9"/>
  <c r="K6" i="9"/>
  <c r="J6" i="9"/>
  <c r="I6" i="9"/>
  <c r="H6" i="9"/>
  <c r="G6" i="9"/>
  <c r="F6" i="9"/>
  <c r="E6" i="9"/>
  <c r="E9" i="9" s="1"/>
  <c r="D6" i="9"/>
  <c r="G4" i="9"/>
  <c r="E23" i="9" s="1"/>
  <c r="G3" i="9"/>
  <c r="C3" i="9"/>
  <c r="F1" i="9"/>
  <c r="O57" i="8"/>
  <c r="F46" i="8"/>
  <c r="F32" i="8"/>
  <c r="O23" i="8"/>
  <c r="M11" i="8"/>
  <c r="L11" i="8"/>
  <c r="K11" i="8"/>
  <c r="J11" i="8"/>
  <c r="I11" i="8"/>
  <c r="H11" i="8"/>
  <c r="H13" i="8" s="1"/>
  <c r="G11" i="8"/>
  <c r="F11" i="8"/>
  <c r="E11" i="8"/>
  <c r="D11" i="8"/>
  <c r="M10" i="8"/>
  <c r="L10" i="8"/>
  <c r="K10" i="8"/>
  <c r="J10" i="8"/>
  <c r="I10" i="8"/>
  <c r="H10" i="8"/>
  <c r="G10" i="8"/>
  <c r="F10" i="8"/>
  <c r="F13" i="8" s="1"/>
  <c r="E10" i="8"/>
  <c r="D10" i="8"/>
  <c r="M7" i="8"/>
  <c r="L7" i="8"/>
  <c r="K7" i="8"/>
  <c r="J7" i="8"/>
  <c r="I7" i="8"/>
  <c r="H7" i="8"/>
  <c r="G7" i="8"/>
  <c r="F7" i="8"/>
  <c r="E7" i="8"/>
  <c r="D7" i="8"/>
  <c r="M6" i="8"/>
  <c r="L6" i="8"/>
  <c r="K6" i="8"/>
  <c r="J6" i="8"/>
  <c r="I6" i="8"/>
  <c r="H6" i="8"/>
  <c r="G6" i="8"/>
  <c r="F6" i="8"/>
  <c r="E6" i="8"/>
  <c r="D6" i="8"/>
  <c r="G4" i="8"/>
  <c r="E23" i="8" s="1"/>
  <c r="G3" i="8"/>
  <c r="C3" i="8"/>
  <c r="F1" i="8"/>
  <c r="O57" i="7"/>
  <c r="F46" i="7"/>
  <c r="F32" i="7"/>
  <c r="O23" i="7"/>
  <c r="M11" i="7"/>
  <c r="L11" i="7"/>
  <c r="K11" i="7"/>
  <c r="J11" i="7"/>
  <c r="I11" i="7"/>
  <c r="H11" i="7"/>
  <c r="G11" i="7"/>
  <c r="F11" i="7"/>
  <c r="E11" i="7"/>
  <c r="D11" i="7"/>
  <c r="O11" i="7" s="1"/>
  <c r="M10" i="7"/>
  <c r="L10" i="7"/>
  <c r="K10" i="7"/>
  <c r="J10" i="7"/>
  <c r="I10" i="7"/>
  <c r="H10" i="7"/>
  <c r="G10" i="7"/>
  <c r="G13" i="7" s="1"/>
  <c r="F10" i="7"/>
  <c r="F13" i="7" s="1"/>
  <c r="E10" i="7"/>
  <c r="D10" i="7"/>
  <c r="M7" i="7"/>
  <c r="L7" i="7"/>
  <c r="K7" i="7"/>
  <c r="J7" i="7"/>
  <c r="I7" i="7"/>
  <c r="H7" i="7"/>
  <c r="G7" i="7"/>
  <c r="F7" i="7"/>
  <c r="E7" i="7"/>
  <c r="E8" i="7" s="1"/>
  <c r="D7" i="7"/>
  <c r="M6" i="7"/>
  <c r="L6" i="7"/>
  <c r="K6" i="7"/>
  <c r="J6" i="7"/>
  <c r="I6" i="7"/>
  <c r="H6" i="7"/>
  <c r="G6" i="7"/>
  <c r="F6" i="7"/>
  <c r="E6" i="7"/>
  <c r="D6" i="7"/>
  <c r="G4" i="7"/>
  <c r="E23" i="7" s="1"/>
  <c r="G3" i="7"/>
  <c r="C3" i="7"/>
  <c r="F1" i="7"/>
  <c r="O57" i="6"/>
  <c r="F46" i="6"/>
  <c r="F32" i="6"/>
  <c r="O23" i="6"/>
  <c r="M11" i="6"/>
  <c r="L11" i="6"/>
  <c r="K11" i="6"/>
  <c r="J11" i="6"/>
  <c r="I11" i="6"/>
  <c r="H11" i="6"/>
  <c r="G11" i="6"/>
  <c r="F11" i="6"/>
  <c r="E11" i="6"/>
  <c r="D11" i="6"/>
  <c r="M10" i="6"/>
  <c r="L10" i="6"/>
  <c r="L12" i="6" s="1"/>
  <c r="K10" i="6"/>
  <c r="K13" i="6" s="1"/>
  <c r="J10" i="6"/>
  <c r="I10" i="6"/>
  <c r="H10" i="6"/>
  <c r="G10" i="6"/>
  <c r="F10" i="6"/>
  <c r="E10" i="6"/>
  <c r="D10" i="6"/>
  <c r="M7" i="6"/>
  <c r="L7" i="6"/>
  <c r="K7" i="6"/>
  <c r="J7" i="6"/>
  <c r="I7" i="6"/>
  <c r="H7" i="6"/>
  <c r="G7" i="6"/>
  <c r="F7" i="6"/>
  <c r="E7" i="6"/>
  <c r="D7" i="6"/>
  <c r="M6" i="6"/>
  <c r="L6" i="6"/>
  <c r="L8" i="6" s="1"/>
  <c r="K6" i="6"/>
  <c r="J6" i="6"/>
  <c r="I6" i="6"/>
  <c r="H6" i="6"/>
  <c r="H8" i="6" s="1"/>
  <c r="G6" i="6"/>
  <c r="F6" i="6"/>
  <c r="E6" i="6"/>
  <c r="D6" i="6"/>
  <c r="G4" i="6"/>
  <c r="E23" i="6" s="1"/>
  <c r="G3" i="6"/>
  <c r="C3" i="6"/>
  <c r="F1" i="6"/>
  <c r="O57" i="5"/>
  <c r="F46" i="5"/>
  <c r="F32" i="5"/>
  <c r="O23" i="5"/>
  <c r="M11" i="5"/>
  <c r="L11" i="5"/>
  <c r="K11" i="5"/>
  <c r="J11" i="5"/>
  <c r="I11" i="5"/>
  <c r="H11" i="5"/>
  <c r="G11" i="5"/>
  <c r="F11" i="5"/>
  <c r="F12" i="5" s="1"/>
  <c r="E11" i="5"/>
  <c r="D11" i="5"/>
  <c r="M10" i="5"/>
  <c r="L10" i="5"/>
  <c r="L12" i="5" s="1"/>
  <c r="K10" i="5"/>
  <c r="J10" i="5"/>
  <c r="I10" i="5"/>
  <c r="H10" i="5"/>
  <c r="H12" i="5" s="1"/>
  <c r="G10" i="5"/>
  <c r="F10" i="5"/>
  <c r="E10" i="5"/>
  <c r="D10" i="5"/>
  <c r="D12" i="5" s="1"/>
  <c r="M7" i="5"/>
  <c r="L7" i="5"/>
  <c r="K7" i="5"/>
  <c r="J7" i="5"/>
  <c r="I7" i="5"/>
  <c r="H7" i="5"/>
  <c r="G7" i="5"/>
  <c r="F7" i="5"/>
  <c r="E7" i="5"/>
  <c r="D7" i="5"/>
  <c r="M6" i="5"/>
  <c r="L6" i="5"/>
  <c r="K6" i="5"/>
  <c r="K9" i="5" s="1"/>
  <c r="J6" i="5"/>
  <c r="I6" i="5"/>
  <c r="H6" i="5"/>
  <c r="G6" i="5"/>
  <c r="F6" i="5"/>
  <c r="E6" i="5"/>
  <c r="D6" i="5"/>
  <c r="G4" i="5"/>
  <c r="E23" i="5" s="1"/>
  <c r="G3" i="5"/>
  <c r="C3" i="5"/>
  <c r="F1" i="5"/>
  <c r="O57" i="4"/>
  <c r="F46" i="4"/>
  <c r="F32" i="4"/>
  <c r="O23" i="4"/>
  <c r="M11" i="4"/>
  <c r="L11" i="4"/>
  <c r="K11" i="4"/>
  <c r="J11" i="4"/>
  <c r="I11" i="4"/>
  <c r="H11" i="4"/>
  <c r="G11" i="4"/>
  <c r="F11" i="4"/>
  <c r="E11" i="4"/>
  <c r="D11" i="4"/>
  <c r="M10" i="4"/>
  <c r="M12" i="4" s="1"/>
  <c r="L10" i="4"/>
  <c r="K10" i="4"/>
  <c r="J10" i="4"/>
  <c r="J13" i="4" s="1"/>
  <c r="I10" i="4"/>
  <c r="H10" i="4"/>
  <c r="G10" i="4"/>
  <c r="F10" i="4"/>
  <c r="F13" i="4" s="1"/>
  <c r="E10" i="4"/>
  <c r="D10" i="4"/>
  <c r="M7" i="4"/>
  <c r="L7" i="4"/>
  <c r="K7" i="4"/>
  <c r="J7" i="4"/>
  <c r="I7" i="4"/>
  <c r="H7" i="4"/>
  <c r="G7" i="4"/>
  <c r="F7" i="4"/>
  <c r="E7" i="4"/>
  <c r="D7" i="4"/>
  <c r="M6" i="4"/>
  <c r="L6" i="4"/>
  <c r="K6" i="4"/>
  <c r="J6" i="4"/>
  <c r="J8" i="4" s="1"/>
  <c r="I6" i="4"/>
  <c r="H6" i="4"/>
  <c r="G6" i="4"/>
  <c r="F6" i="4"/>
  <c r="E6" i="4"/>
  <c r="D6" i="4"/>
  <c r="G4" i="4"/>
  <c r="E23" i="4" s="1"/>
  <c r="G3" i="4"/>
  <c r="C3" i="4"/>
  <c r="F1" i="4"/>
  <c r="O57" i="3"/>
  <c r="F46" i="3"/>
  <c r="F32" i="3"/>
  <c r="O23" i="3"/>
  <c r="O20" i="3"/>
  <c r="M11" i="3"/>
  <c r="M13" i="3" s="1"/>
  <c r="L11" i="3"/>
  <c r="K11" i="3"/>
  <c r="J11" i="3"/>
  <c r="I11" i="3"/>
  <c r="I13" i="3" s="1"/>
  <c r="H11" i="3"/>
  <c r="G11" i="3"/>
  <c r="F11" i="3"/>
  <c r="E11" i="3"/>
  <c r="D11" i="3"/>
  <c r="M10" i="3"/>
  <c r="L10" i="3"/>
  <c r="K10" i="3"/>
  <c r="K13" i="3" s="1"/>
  <c r="J10" i="3"/>
  <c r="I10" i="3"/>
  <c r="H10" i="3"/>
  <c r="G10" i="3"/>
  <c r="F10" i="3"/>
  <c r="E10" i="3"/>
  <c r="D10" i="3"/>
  <c r="D13" i="3" s="1"/>
  <c r="M7" i="3"/>
  <c r="L7" i="3"/>
  <c r="K7" i="3"/>
  <c r="J7" i="3"/>
  <c r="I7" i="3"/>
  <c r="H7" i="3"/>
  <c r="G7" i="3"/>
  <c r="F7" i="3"/>
  <c r="E7" i="3"/>
  <c r="D7" i="3"/>
  <c r="M6" i="3"/>
  <c r="L6" i="3"/>
  <c r="L8" i="3" s="1"/>
  <c r="K6" i="3"/>
  <c r="J6" i="3"/>
  <c r="I6" i="3"/>
  <c r="H6" i="3"/>
  <c r="G6" i="3"/>
  <c r="F6" i="3"/>
  <c r="E6" i="3"/>
  <c r="D6" i="3"/>
  <c r="G4" i="3"/>
  <c r="E23" i="3" s="1"/>
  <c r="G3" i="3"/>
  <c r="C3" i="3"/>
  <c r="F1" i="3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E4" i="1"/>
  <c r="E3" i="1"/>
  <c r="E2" i="1"/>
  <c r="L13" i="6" l="1"/>
  <c r="E12" i="3"/>
  <c r="I12" i="3"/>
  <c r="M12" i="3"/>
  <c r="G8" i="4"/>
  <c r="K8" i="4"/>
  <c r="I8" i="4"/>
  <c r="G12" i="4"/>
  <c r="G15" i="4" s="1"/>
  <c r="E12" i="4"/>
  <c r="D8" i="7"/>
  <c r="L8" i="7"/>
  <c r="D8" i="8"/>
  <c r="D15" i="8" s="1"/>
  <c r="L8" i="8"/>
  <c r="L9" i="8"/>
  <c r="G13" i="9"/>
  <c r="J9" i="10"/>
  <c r="M12" i="10"/>
  <c r="E12" i="12"/>
  <c r="M12" i="12"/>
  <c r="J8" i="13"/>
  <c r="H8" i="13"/>
  <c r="F12" i="13"/>
  <c r="J13" i="13"/>
  <c r="H12" i="13"/>
  <c r="H15" i="13" s="1"/>
  <c r="F9" i="14"/>
  <c r="J13" i="14"/>
  <c r="L8" i="15"/>
  <c r="F8" i="15"/>
  <c r="F15" i="15" s="1"/>
  <c r="H12" i="15"/>
  <c r="L13" i="15"/>
  <c r="J12" i="15"/>
  <c r="F13" i="6"/>
  <c r="J13" i="6"/>
  <c r="I12" i="7"/>
  <c r="D12" i="8"/>
  <c r="H12" i="8"/>
  <c r="L12" i="8"/>
  <c r="I12" i="9"/>
  <c r="J13" i="10"/>
  <c r="E8" i="11"/>
  <c r="M8" i="11"/>
  <c r="F9" i="12"/>
  <c r="H12" i="12"/>
  <c r="E8" i="13"/>
  <c r="G8" i="14"/>
  <c r="E8" i="14"/>
  <c r="M8" i="14"/>
  <c r="F8" i="10"/>
  <c r="L13" i="3"/>
  <c r="H13" i="4"/>
  <c r="K8" i="5"/>
  <c r="E9" i="7"/>
  <c r="L8" i="9"/>
  <c r="L12" i="13"/>
  <c r="F8" i="14"/>
  <c r="G9" i="14"/>
  <c r="J8" i="15"/>
  <c r="O7" i="4"/>
  <c r="G12" i="5"/>
  <c r="O11" i="5"/>
  <c r="L15" i="8"/>
  <c r="M9" i="11"/>
  <c r="J9" i="14"/>
  <c r="F12" i="15"/>
  <c r="J13" i="7"/>
  <c r="E8" i="9"/>
  <c r="K13" i="9"/>
  <c r="I8" i="11"/>
  <c r="E8" i="12"/>
  <c r="E15" i="12" s="1"/>
  <c r="D9" i="3"/>
  <c r="L9" i="3"/>
  <c r="G13" i="3"/>
  <c r="K12" i="4"/>
  <c r="K15" i="4" s="1"/>
  <c r="D9" i="6"/>
  <c r="L9" i="6"/>
  <c r="H8" i="7"/>
  <c r="K13" i="7"/>
  <c r="D13" i="8"/>
  <c r="D13" i="9"/>
  <c r="L13" i="9"/>
  <c r="F8" i="13"/>
  <c r="F15" i="13" s="1"/>
  <c r="L8" i="13"/>
  <c r="I13" i="13"/>
  <c r="K8" i="14"/>
  <c r="I8" i="14"/>
  <c r="G9" i="15"/>
  <c r="E9" i="3"/>
  <c r="M8" i="3"/>
  <c r="D13" i="4"/>
  <c r="L13" i="4"/>
  <c r="J12" i="4"/>
  <c r="J15" i="4" s="1"/>
  <c r="H13" i="6"/>
  <c r="H12" i="6"/>
  <c r="H15" i="6" s="1"/>
  <c r="I8" i="7"/>
  <c r="J13" i="8"/>
  <c r="M12" i="9"/>
  <c r="D12" i="12"/>
  <c r="L12" i="12"/>
  <c r="J12" i="13"/>
  <c r="J15" i="13" s="1"/>
  <c r="F12" i="14"/>
  <c r="F15" i="14" s="1"/>
  <c r="G8" i="15"/>
  <c r="J9" i="4"/>
  <c r="K13" i="5"/>
  <c r="K12" i="6"/>
  <c r="K15" i="6" s="1"/>
  <c r="H8" i="8"/>
  <c r="L13" i="8"/>
  <c r="I12" i="10"/>
  <c r="D9" i="11"/>
  <c r="L12" i="15"/>
  <c r="M15" i="3"/>
  <c r="E8" i="3"/>
  <c r="D12" i="3"/>
  <c r="H9" i="11"/>
  <c r="H8" i="11"/>
  <c r="H15" i="11" s="1"/>
  <c r="D8" i="11"/>
  <c r="F9" i="4"/>
  <c r="F8" i="4"/>
  <c r="H9" i="3"/>
  <c r="H8" i="3"/>
  <c r="D8" i="3"/>
  <c r="M9" i="3"/>
  <c r="I12" i="4"/>
  <c r="I15" i="4" s="1"/>
  <c r="G9" i="6"/>
  <c r="G8" i="6"/>
  <c r="K9" i="6"/>
  <c r="K8" i="6"/>
  <c r="G13" i="8"/>
  <c r="G12" i="8"/>
  <c r="K13" i="8"/>
  <c r="K12" i="8"/>
  <c r="E13" i="11"/>
  <c r="I9" i="13"/>
  <c r="L9" i="15"/>
  <c r="G13" i="15"/>
  <c r="G12" i="15"/>
  <c r="K13" i="15"/>
  <c r="K12" i="15"/>
  <c r="I9" i="3"/>
  <c r="I8" i="3"/>
  <c r="I15" i="3" s="1"/>
  <c r="H13" i="3"/>
  <c r="H12" i="3"/>
  <c r="L9" i="11"/>
  <c r="L8" i="11"/>
  <c r="F9" i="5"/>
  <c r="F8" i="5"/>
  <c r="F15" i="5" s="1"/>
  <c r="J9" i="5"/>
  <c r="J8" i="5"/>
  <c r="K12" i="5"/>
  <c r="K15" i="5" s="1"/>
  <c r="L15" i="6"/>
  <c r="M8" i="7"/>
  <c r="M9" i="7"/>
  <c r="I9" i="7"/>
  <c r="I9" i="9"/>
  <c r="I8" i="9"/>
  <c r="I15" i="9" s="1"/>
  <c r="M9" i="9"/>
  <c r="M8" i="9"/>
  <c r="M15" i="9" s="1"/>
  <c r="E13" i="13"/>
  <c r="E12" i="13"/>
  <c r="E15" i="13" s="1"/>
  <c r="M13" i="13"/>
  <c r="M12" i="13"/>
  <c r="L12" i="3"/>
  <c r="L15" i="3" s="1"/>
  <c r="G9" i="5"/>
  <c r="G8" i="5"/>
  <c r="O7" i="5"/>
  <c r="G13" i="5"/>
  <c r="D12" i="7"/>
  <c r="D15" i="7" s="1"/>
  <c r="H12" i="7"/>
  <c r="G9" i="8"/>
  <c r="G8" i="8"/>
  <c r="K9" i="8"/>
  <c r="K8" i="8"/>
  <c r="E9" i="10"/>
  <c r="E8" i="10"/>
  <c r="E15" i="10" s="1"/>
  <c r="I9" i="10"/>
  <c r="I8" i="10"/>
  <c r="M9" i="10"/>
  <c r="M8" i="10"/>
  <c r="M15" i="10" s="1"/>
  <c r="E9" i="13"/>
  <c r="D8" i="15"/>
  <c r="D9" i="15"/>
  <c r="H8" i="15"/>
  <c r="H15" i="15" s="1"/>
  <c r="H9" i="15"/>
  <c r="O7" i="6"/>
  <c r="D8" i="6"/>
  <c r="O7" i="8"/>
  <c r="L15" i="13"/>
  <c r="G9" i="3"/>
  <c r="K9" i="3"/>
  <c r="F12" i="3"/>
  <c r="J12" i="3"/>
  <c r="O11" i="3"/>
  <c r="E13" i="3"/>
  <c r="E9" i="4"/>
  <c r="I9" i="4"/>
  <c r="M9" i="4"/>
  <c r="O11" i="4"/>
  <c r="E9" i="5"/>
  <c r="I9" i="5"/>
  <c r="M9" i="5"/>
  <c r="E13" i="5"/>
  <c r="I13" i="5"/>
  <c r="M13" i="5"/>
  <c r="F9" i="6"/>
  <c r="J9" i="6"/>
  <c r="D13" i="6"/>
  <c r="O11" i="6"/>
  <c r="D12" i="6"/>
  <c r="D15" i="6" s="1"/>
  <c r="H9" i="8"/>
  <c r="D9" i="9"/>
  <c r="H9" i="9"/>
  <c r="L9" i="9"/>
  <c r="D8" i="9"/>
  <c r="E13" i="9"/>
  <c r="E12" i="9"/>
  <c r="E15" i="9" s="1"/>
  <c r="G9" i="11"/>
  <c r="K9" i="11"/>
  <c r="I9" i="11"/>
  <c r="F12" i="12"/>
  <c r="J12" i="12"/>
  <c r="H13" i="12"/>
  <c r="L13" i="12"/>
  <c r="F13" i="12"/>
  <c r="J12" i="14"/>
  <c r="J15" i="14" s="1"/>
  <c r="K9" i="15"/>
  <c r="K8" i="15"/>
  <c r="K15" i="15" s="1"/>
  <c r="H13" i="15"/>
  <c r="H9" i="6"/>
  <c r="D12" i="15"/>
  <c r="D13" i="15"/>
  <c r="L15" i="15"/>
  <c r="F8" i="3"/>
  <c r="J8" i="3"/>
  <c r="O7" i="3"/>
  <c r="D9" i="4"/>
  <c r="H9" i="4"/>
  <c r="L9" i="4"/>
  <c r="E8" i="4"/>
  <c r="E15" i="4" s="1"/>
  <c r="M8" i="4"/>
  <c r="M15" i="4" s="1"/>
  <c r="E13" i="4"/>
  <c r="I13" i="4"/>
  <c r="M13" i="4"/>
  <c r="F12" i="4"/>
  <c r="F15" i="4" s="1"/>
  <c r="G13" i="6"/>
  <c r="G12" i="6"/>
  <c r="G9" i="7"/>
  <c r="K9" i="7"/>
  <c r="D9" i="8"/>
  <c r="H13" i="9"/>
  <c r="H12" i="9"/>
  <c r="D12" i="9"/>
  <c r="F12" i="10"/>
  <c r="F13" i="10"/>
  <c r="J12" i="10"/>
  <c r="J15" i="10" s="1"/>
  <c r="O11" i="10"/>
  <c r="E9" i="11"/>
  <c r="E12" i="11"/>
  <c r="E15" i="11" s="1"/>
  <c r="I12" i="11"/>
  <c r="I13" i="11"/>
  <c r="M12" i="11"/>
  <c r="M15" i="11" s="1"/>
  <c r="E9" i="12"/>
  <c r="I9" i="12"/>
  <c r="M9" i="12"/>
  <c r="M8" i="12"/>
  <c r="M15" i="12" s="1"/>
  <c r="I8" i="12"/>
  <c r="M9" i="13"/>
  <c r="M8" i="13"/>
  <c r="I8" i="13"/>
  <c r="I15" i="13" s="1"/>
  <c r="F13" i="13"/>
  <c r="K9" i="14"/>
  <c r="G12" i="14"/>
  <c r="G15" i="14" s="1"/>
  <c r="K12" i="14"/>
  <c r="K15" i="14" s="1"/>
  <c r="E12" i="14"/>
  <c r="E15" i="14" s="1"/>
  <c r="I12" i="14"/>
  <c r="M12" i="14"/>
  <c r="M15" i="14" s="1"/>
  <c r="K13" i="14"/>
  <c r="F9" i="15"/>
  <c r="J9" i="15"/>
  <c r="D8" i="5"/>
  <c r="D15" i="5" s="1"/>
  <c r="H8" i="5"/>
  <c r="H15" i="5" s="1"/>
  <c r="L8" i="5"/>
  <c r="L15" i="5" s="1"/>
  <c r="F13" i="5"/>
  <c r="J13" i="5"/>
  <c r="J12" i="5"/>
  <c r="E8" i="6"/>
  <c r="I8" i="6"/>
  <c r="M8" i="6"/>
  <c r="E12" i="6"/>
  <c r="I12" i="6"/>
  <c r="I15" i="6" s="1"/>
  <c r="M12" i="6"/>
  <c r="F8" i="7"/>
  <c r="J8" i="7"/>
  <c r="D9" i="7"/>
  <c r="H9" i="7"/>
  <c r="L9" i="7"/>
  <c r="E13" i="7"/>
  <c r="I13" i="7"/>
  <c r="E12" i="7"/>
  <c r="O11" i="8"/>
  <c r="O11" i="9"/>
  <c r="O7" i="10"/>
  <c r="E13" i="10"/>
  <c r="I13" i="10"/>
  <c r="M13" i="10"/>
  <c r="O7" i="11"/>
  <c r="D13" i="11"/>
  <c r="H13" i="11"/>
  <c r="L13" i="11"/>
  <c r="D12" i="11"/>
  <c r="F8" i="12"/>
  <c r="J8" i="12"/>
  <c r="H9" i="12"/>
  <c r="L9" i="12"/>
  <c r="E13" i="12"/>
  <c r="I13" i="12"/>
  <c r="M13" i="12"/>
  <c r="I12" i="12"/>
  <c r="D9" i="13"/>
  <c r="H9" i="13"/>
  <c r="L9" i="13"/>
  <c r="D8" i="13"/>
  <c r="O7" i="14"/>
  <c r="F13" i="15"/>
  <c r="J13" i="15"/>
  <c r="M15" i="6"/>
  <c r="O6" i="3"/>
  <c r="O8" i="3" s="1"/>
  <c r="O10" i="3"/>
  <c r="J8" i="9"/>
  <c r="J9" i="9"/>
  <c r="G8" i="3"/>
  <c r="K8" i="3"/>
  <c r="G12" i="3"/>
  <c r="K12" i="3"/>
  <c r="D15" i="3"/>
  <c r="O6" i="4"/>
  <c r="O8" i="4" s="1"/>
  <c r="D8" i="4"/>
  <c r="H8" i="4"/>
  <c r="L8" i="4"/>
  <c r="O10" i="4"/>
  <c r="D12" i="4"/>
  <c r="H12" i="4"/>
  <c r="L12" i="4"/>
  <c r="L15" i="4" s="1"/>
  <c r="E8" i="5"/>
  <c r="I8" i="5"/>
  <c r="M8" i="5"/>
  <c r="E12" i="5"/>
  <c r="I12" i="5"/>
  <c r="M12" i="5"/>
  <c r="F8" i="6"/>
  <c r="J8" i="6"/>
  <c r="F12" i="6"/>
  <c r="J12" i="6"/>
  <c r="O7" i="7"/>
  <c r="G8" i="7"/>
  <c r="K8" i="7"/>
  <c r="M13" i="7"/>
  <c r="M12" i="7"/>
  <c r="G12" i="7"/>
  <c r="G15" i="7" s="1"/>
  <c r="K12" i="7"/>
  <c r="K15" i="7" s="1"/>
  <c r="F9" i="8"/>
  <c r="J9" i="8"/>
  <c r="H15" i="9"/>
  <c r="I15" i="10"/>
  <c r="O11" i="13"/>
  <c r="D12" i="13"/>
  <c r="O10" i="7"/>
  <c r="I12" i="8"/>
  <c r="I13" i="8"/>
  <c r="F8" i="9"/>
  <c r="F9" i="9"/>
  <c r="F9" i="3"/>
  <c r="J9" i="3"/>
  <c r="F13" i="3"/>
  <c r="J13" i="3"/>
  <c r="G9" i="4"/>
  <c r="K9" i="4"/>
  <c r="G13" i="4"/>
  <c r="K13" i="4"/>
  <c r="D9" i="5"/>
  <c r="H9" i="5"/>
  <c r="L9" i="5"/>
  <c r="D13" i="5"/>
  <c r="H13" i="5"/>
  <c r="L13" i="5"/>
  <c r="O6" i="6"/>
  <c r="O8" i="6" s="1"/>
  <c r="E9" i="6"/>
  <c r="I9" i="6"/>
  <c r="M9" i="6"/>
  <c r="O10" i="6"/>
  <c r="E13" i="6"/>
  <c r="I13" i="6"/>
  <c r="M13" i="6"/>
  <c r="F9" i="7"/>
  <c r="J9" i="7"/>
  <c r="E15" i="7"/>
  <c r="I15" i="7"/>
  <c r="G9" i="9"/>
  <c r="K9" i="9"/>
  <c r="O7" i="9"/>
  <c r="D15" i="9"/>
  <c r="L15" i="9"/>
  <c r="G8" i="10"/>
  <c r="G9" i="10"/>
  <c r="K8" i="10"/>
  <c r="K9" i="10"/>
  <c r="G12" i="10"/>
  <c r="G15" i="10" s="1"/>
  <c r="G13" i="10"/>
  <c r="K12" i="10"/>
  <c r="K15" i="10" s="1"/>
  <c r="K13" i="10"/>
  <c r="O6" i="7"/>
  <c r="E12" i="8"/>
  <c r="E13" i="8"/>
  <c r="O10" i="8"/>
  <c r="M12" i="8"/>
  <c r="M13" i="8"/>
  <c r="O6" i="9"/>
  <c r="O6" i="5"/>
  <c r="O8" i="5" s="1"/>
  <c r="O10" i="5"/>
  <c r="D13" i="7"/>
  <c r="H13" i="7"/>
  <c r="L12" i="7"/>
  <c r="L15" i="7" s="1"/>
  <c r="L13" i="7"/>
  <c r="F12" i="7"/>
  <c r="F15" i="7" s="1"/>
  <c r="J12" i="7"/>
  <c r="E8" i="8"/>
  <c r="E9" i="8"/>
  <c r="I8" i="8"/>
  <c r="I9" i="8"/>
  <c r="M8" i="8"/>
  <c r="M9" i="8"/>
  <c r="F12" i="9"/>
  <c r="F13" i="9"/>
  <c r="J12" i="9"/>
  <c r="J13" i="9"/>
  <c r="O10" i="9"/>
  <c r="D9" i="10"/>
  <c r="H9" i="10"/>
  <c r="L9" i="10"/>
  <c r="D13" i="10"/>
  <c r="H13" i="10"/>
  <c r="L13" i="10"/>
  <c r="D9" i="12"/>
  <c r="O7" i="12"/>
  <c r="F8" i="8"/>
  <c r="J8" i="8"/>
  <c r="F12" i="8"/>
  <c r="J12" i="8"/>
  <c r="G8" i="9"/>
  <c r="K8" i="9"/>
  <c r="G12" i="9"/>
  <c r="K12" i="9"/>
  <c r="O6" i="10"/>
  <c r="D8" i="10"/>
  <c r="H8" i="10"/>
  <c r="L8" i="10"/>
  <c r="O10" i="10"/>
  <c r="D12" i="10"/>
  <c r="H12" i="10"/>
  <c r="H15" i="10" s="1"/>
  <c r="L12" i="10"/>
  <c r="G12" i="12"/>
  <c r="G13" i="12"/>
  <c r="K12" i="12"/>
  <c r="K13" i="12"/>
  <c r="O6" i="8"/>
  <c r="F12" i="11"/>
  <c r="F13" i="11"/>
  <c r="J12" i="11"/>
  <c r="J13" i="11"/>
  <c r="O10" i="11"/>
  <c r="G8" i="12"/>
  <c r="G9" i="12"/>
  <c r="K8" i="12"/>
  <c r="K9" i="12"/>
  <c r="G12" i="13"/>
  <c r="G13" i="13"/>
  <c r="K12" i="13"/>
  <c r="K13" i="13"/>
  <c r="F8" i="11"/>
  <c r="F9" i="11"/>
  <c r="J8" i="11"/>
  <c r="J9" i="11"/>
  <c r="O6" i="11"/>
  <c r="G13" i="11"/>
  <c r="K13" i="11"/>
  <c r="O11" i="11"/>
  <c r="L15" i="11"/>
  <c r="D8" i="12"/>
  <c r="D15" i="12" s="1"/>
  <c r="H8" i="12"/>
  <c r="H15" i="12" s="1"/>
  <c r="L8" i="12"/>
  <c r="L15" i="12" s="1"/>
  <c r="D13" i="12"/>
  <c r="O11" i="12"/>
  <c r="G8" i="11"/>
  <c r="K8" i="11"/>
  <c r="G12" i="11"/>
  <c r="K12" i="11"/>
  <c r="O6" i="12"/>
  <c r="O10" i="12"/>
  <c r="G8" i="13"/>
  <c r="G9" i="13"/>
  <c r="K8" i="13"/>
  <c r="K9" i="13"/>
  <c r="O7" i="13"/>
  <c r="O10" i="13"/>
  <c r="E9" i="14"/>
  <c r="I9" i="14"/>
  <c r="M9" i="14"/>
  <c r="O11" i="14"/>
  <c r="E8" i="15"/>
  <c r="E9" i="15"/>
  <c r="I8" i="15"/>
  <c r="I9" i="15"/>
  <c r="M8" i="15"/>
  <c r="M9" i="15"/>
  <c r="E12" i="15"/>
  <c r="E13" i="15"/>
  <c r="I12" i="15"/>
  <c r="I13" i="15"/>
  <c r="M12" i="15"/>
  <c r="M13" i="15"/>
  <c r="G15" i="15"/>
  <c r="D13" i="13"/>
  <c r="H13" i="13"/>
  <c r="L13" i="13"/>
  <c r="D12" i="14"/>
  <c r="O10" i="14"/>
  <c r="D13" i="14"/>
  <c r="H12" i="14"/>
  <c r="H13" i="14"/>
  <c r="L12" i="14"/>
  <c r="L13" i="14"/>
  <c r="O6" i="13"/>
  <c r="J9" i="13"/>
  <c r="D8" i="14"/>
  <c r="O6" i="14"/>
  <c r="O8" i="14" s="1"/>
  <c r="D9" i="14"/>
  <c r="H8" i="14"/>
  <c r="H9" i="14"/>
  <c r="L8" i="14"/>
  <c r="L9" i="14"/>
  <c r="E13" i="14"/>
  <c r="I13" i="14"/>
  <c r="M13" i="14"/>
  <c r="O7" i="15"/>
  <c r="J15" i="15"/>
  <c r="O11" i="15"/>
  <c r="O6" i="15"/>
  <c r="O10" i="15"/>
  <c r="E15" i="6" l="1"/>
  <c r="F15" i="10"/>
  <c r="H15" i="8"/>
  <c r="O9" i="6"/>
  <c r="O9" i="3"/>
  <c r="J15" i="9"/>
  <c r="H15" i="14"/>
  <c r="O8" i="12"/>
  <c r="O8" i="10"/>
  <c r="O8" i="9"/>
  <c r="O13" i="8"/>
  <c r="O16" i="8" s="1"/>
  <c r="M15" i="7"/>
  <c r="K15" i="3"/>
  <c r="K15" i="8"/>
  <c r="G15" i="5"/>
  <c r="E15" i="3"/>
  <c r="O8" i="11"/>
  <c r="O13" i="11"/>
  <c r="L15" i="10"/>
  <c r="O12" i="8"/>
  <c r="O14" i="8" s="1"/>
  <c r="H15" i="4"/>
  <c r="J15" i="3"/>
  <c r="O9" i="9"/>
  <c r="I15" i="12"/>
  <c r="D15" i="11"/>
  <c r="G15" i="6"/>
  <c r="D15" i="15"/>
  <c r="H15" i="7"/>
  <c r="G15" i="8"/>
  <c r="E15" i="5"/>
  <c r="J15" i="5"/>
  <c r="O8" i="13"/>
  <c r="O17" i="13" s="1"/>
  <c r="H27" i="13" s="1"/>
  <c r="D57" i="13" s="1"/>
  <c r="O13" i="6"/>
  <c r="O9" i="4"/>
  <c r="I15" i="14"/>
  <c r="I15" i="11"/>
  <c r="F15" i="12"/>
  <c r="H15" i="3"/>
  <c r="O13" i="9"/>
  <c r="O16" i="9" s="1"/>
  <c r="F27" i="9" s="1"/>
  <c r="D32" i="9" s="1"/>
  <c r="D33" i="9" s="1"/>
  <c r="O9" i="14"/>
  <c r="O9" i="15"/>
  <c r="O9" i="11"/>
  <c r="O16" i="11" s="1"/>
  <c r="O8" i="8"/>
  <c r="O17" i="8" s="1"/>
  <c r="H27" i="8" s="1"/>
  <c r="D57" i="8" s="1"/>
  <c r="O13" i="7"/>
  <c r="M15" i="13"/>
  <c r="O13" i="15"/>
  <c r="O16" i="15" s="1"/>
  <c r="M15" i="15"/>
  <c r="E15" i="15"/>
  <c r="O9" i="13"/>
  <c r="K15" i="11"/>
  <c r="F15" i="11"/>
  <c r="J15" i="7"/>
  <c r="O8" i="7"/>
  <c r="O12" i="9"/>
  <c r="O17" i="9" s="1"/>
  <c r="H27" i="9" s="1"/>
  <c r="D57" i="9" s="1"/>
  <c r="F57" i="9" s="1"/>
  <c r="O9" i="7"/>
  <c r="O13" i="4"/>
  <c r="O16" i="4" s="1"/>
  <c r="O13" i="3"/>
  <c r="O16" i="3" s="1"/>
  <c r="F27" i="3" s="1"/>
  <c r="D32" i="3" s="1"/>
  <c r="D33" i="3" s="1"/>
  <c r="O9" i="8"/>
  <c r="J15" i="12"/>
  <c r="F15" i="3"/>
  <c r="O20" i="4"/>
  <c r="F27" i="4"/>
  <c r="D32" i="4" s="1"/>
  <c r="D33" i="4" s="1"/>
  <c r="O19" i="4"/>
  <c r="G15" i="12"/>
  <c r="L15" i="14"/>
  <c r="O13" i="13"/>
  <c r="O16" i="13" s="1"/>
  <c r="G15" i="11"/>
  <c r="K15" i="12"/>
  <c r="K15" i="9"/>
  <c r="J15" i="8"/>
  <c r="O9" i="10"/>
  <c r="E15" i="8"/>
  <c r="O9" i="5"/>
  <c r="D15" i="13"/>
  <c r="O12" i="13"/>
  <c r="O14" i="13" s="1"/>
  <c r="J15" i="6"/>
  <c r="M15" i="5"/>
  <c r="D15" i="4"/>
  <c r="O15" i="4" s="1"/>
  <c r="K27" i="4" s="1"/>
  <c r="D46" i="4" s="1"/>
  <c r="D47" i="4" s="1"/>
  <c r="O12" i="4"/>
  <c r="O14" i="4" s="1"/>
  <c r="G15" i="3"/>
  <c r="O15" i="3" s="1"/>
  <c r="K27" i="3" s="1"/>
  <c r="D46" i="3" s="1"/>
  <c r="D47" i="3" s="1"/>
  <c r="O8" i="15"/>
  <c r="O12" i="15"/>
  <c r="O14" i="15" s="1"/>
  <c r="D15" i="14"/>
  <c r="O12" i="14"/>
  <c r="O14" i="14" s="1"/>
  <c r="I15" i="15"/>
  <c r="O13" i="12"/>
  <c r="O17" i="11"/>
  <c r="H27" i="11" s="1"/>
  <c r="D57" i="11" s="1"/>
  <c r="G15" i="13"/>
  <c r="J15" i="11"/>
  <c r="G15" i="9"/>
  <c r="F15" i="8"/>
  <c r="O9" i="12"/>
  <c r="O13" i="10"/>
  <c r="F15" i="9"/>
  <c r="M15" i="8"/>
  <c r="O12" i="12"/>
  <c r="O14" i="12" s="1"/>
  <c r="O13" i="5"/>
  <c r="O16" i="5" s="1"/>
  <c r="I15" i="8"/>
  <c r="F15" i="6"/>
  <c r="I15" i="5"/>
  <c r="O12" i="7"/>
  <c r="O14" i="7" s="1"/>
  <c r="O12" i="3"/>
  <c r="O14" i="3" s="1"/>
  <c r="D15" i="10"/>
  <c r="O15" i="10" s="1"/>
  <c r="K27" i="10" s="1"/>
  <c r="D46" i="10" s="1"/>
  <c r="D47" i="10" s="1"/>
  <c r="O12" i="10"/>
  <c r="O14" i="10" s="1"/>
  <c r="O13" i="14"/>
  <c r="K15" i="13"/>
  <c r="O12" i="11"/>
  <c r="O14" i="11" s="1"/>
  <c r="O12" i="6"/>
  <c r="O14" i="6" s="1"/>
  <c r="O12" i="5"/>
  <c r="O14" i="5" s="1"/>
  <c r="O16" i="12" l="1"/>
  <c r="O19" i="9"/>
  <c r="O15" i="14"/>
  <c r="K27" i="14" s="1"/>
  <c r="D46" i="14" s="1"/>
  <c r="D47" i="14" s="1"/>
  <c r="O17" i="14"/>
  <c r="H27" i="14" s="1"/>
  <c r="D57" i="14" s="1"/>
  <c r="F57" i="14" s="1"/>
  <c r="O17" i="3"/>
  <c r="H27" i="3" s="1"/>
  <c r="D57" i="3" s="1"/>
  <c r="O16" i="10"/>
  <c r="O19" i="10" s="1"/>
  <c r="O15" i="11"/>
  <c r="K27" i="11" s="1"/>
  <c r="D46" i="11" s="1"/>
  <c r="D47" i="11" s="1"/>
  <c r="O19" i="3"/>
  <c r="O16" i="6"/>
  <c r="O20" i="9"/>
  <c r="O15" i="7"/>
  <c r="K27" i="7" s="1"/>
  <c r="D46" i="7" s="1"/>
  <c r="D47" i="7" s="1"/>
  <c r="O16" i="7"/>
  <c r="O19" i="7" s="1"/>
  <c r="O17" i="5"/>
  <c r="H27" i="5" s="1"/>
  <c r="D57" i="5" s="1"/>
  <c r="O14" i="9"/>
  <c r="O15" i="12"/>
  <c r="K27" i="12" s="1"/>
  <c r="D46" i="12" s="1"/>
  <c r="D47" i="12" s="1"/>
  <c r="H65" i="12" s="1"/>
  <c r="O15" i="5"/>
  <c r="K27" i="5" s="1"/>
  <c r="D46" i="5" s="1"/>
  <c r="D47" i="5" s="1"/>
  <c r="H65" i="5" s="1"/>
  <c r="O16" i="14"/>
  <c r="F27" i="14" s="1"/>
  <c r="D32" i="14" s="1"/>
  <c r="D33" i="14" s="1"/>
  <c r="O15" i="9"/>
  <c r="K27" i="9" s="1"/>
  <c r="D46" i="9" s="1"/>
  <c r="D47" i="9" s="1"/>
  <c r="H65" i="9" s="1"/>
  <c r="O17" i="4"/>
  <c r="H27" i="4" s="1"/>
  <c r="D57" i="4" s="1"/>
  <c r="O15" i="13"/>
  <c r="K27" i="13" s="1"/>
  <c r="D46" i="13" s="1"/>
  <c r="D47" i="13" s="1"/>
  <c r="H65" i="13" s="1"/>
  <c r="O17" i="12"/>
  <c r="H27" i="12" s="1"/>
  <c r="D57" i="12" s="1"/>
  <c r="O15" i="15"/>
  <c r="K27" i="15" s="1"/>
  <c r="D46" i="15" s="1"/>
  <c r="D47" i="15" s="1"/>
  <c r="H65" i="15" s="1"/>
  <c r="O17" i="7"/>
  <c r="H27" i="7" s="1"/>
  <c r="D57" i="7" s="1"/>
  <c r="F57" i="7" s="1"/>
  <c r="K65" i="3"/>
  <c r="H65" i="3"/>
  <c r="K65" i="9"/>
  <c r="K65" i="11"/>
  <c r="H65" i="11"/>
  <c r="K65" i="15"/>
  <c r="H65" i="14"/>
  <c r="K65" i="14"/>
  <c r="O15" i="8"/>
  <c r="K27" i="8" s="1"/>
  <c r="D46" i="8" s="1"/>
  <c r="D47" i="8" s="1"/>
  <c r="F27" i="13"/>
  <c r="D32" i="13" s="1"/>
  <c r="D33" i="13" s="1"/>
  <c r="O19" i="13"/>
  <c r="O20" i="13"/>
  <c r="O20" i="11"/>
  <c r="O19" i="11"/>
  <c r="F27" i="11"/>
  <c r="D32" i="11" s="1"/>
  <c r="D33" i="11" s="1"/>
  <c r="F57" i="13"/>
  <c r="K65" i="10"/>
  <c r="H65" i="10"/>
  <c r="F57" i="5"/>
  <c r="F61" i="9"/>
  <c r="H57" i="9"/>
  <c r="K57" i="9" s="1"/>
  <c r="D61" i="9"/>
  <c r="O20" i="15"/>
  <c r="F27" i="15"/>
  <c r="D32" i="15" s="1"/>
  <c r="D33" i="15" s="1"/>
  <c r="O19" i="15"/>
  <c r="F57" i="3"/>
  <c r="O17" i="10"/>
  <c r="H27" i="10" s="1"/>
  <c r="D57" i="10" s="1"/>
  <c r="O15" i="6"/>
  <c r="K27" i="6" s="1"/>
  <c r="D46" i="6" s="1"/>
  <c r="D47" i="6" s="1"/>
  <c r="O20" i="10"/>
  <c r="F27" i="10"/>
  <c r="D32" i="10" s="1"/>
  <c r="D33" i="10" s="1"/>
  <c r="O17" i="15"/>
  <c r="H27" i="15" s="1"/>
  <c r="D57" i="15" s="1"/>
  <c r="K65" i="4"/>
  <c r="H65" i="4"/>
  <c r="F57" i="8"/>
  <c r="F27" i="7"/>
  <c r="D32" i="7" s="1"/>
  <c r="D33" i="7" s="1"/>
  <c r="O20" i="7"/>
  <c r="D61" i="3"/>
  <c r="F61" i="3"/>
  <c r="H57" i="3"/>
  <c r="K57" i="3" s="1"/>
  <c r="H65" i="7"/>
  <c r="K65" i="7"/>
  <c r="O17" i="6"/>
  <c r="H27" i="6" s="1"/>
  <c r="D57" i="6" s="1"/>
  <c r="F57" i="4"/>
  <c r="F57" i="11"/>
  <c r="F27" i="12"/>
  <c r="D32" i="12" s="1"/>
  <c r="D33" i="12" s="1"/>
  <c r="O19" i="12"/>
  <c r="O20" i="12"/>
  <c r="O20" i="8"/>
  <c r="F27" i="8"/>
  <c r="D32" i="8" s="1"/>
  <c r="D33" i="8" s="1"/>
  <c r="O19" i="8"/>
  <c r="F27" i="5"/>
  <c r="D32" i="5" s="1"/>
  <c r="D33" i="5" s="1"/>
  <c r="O19" i="5"/>
  <c r="O20" i="5"/>
  <c r="F57" i="12"/>
  <c r="H57" i="4"/>
  <c r="K57" i="4" s="1"/>
  <c r="F61" i="4"/>
  <c r="D61" i="4"/>
  <c r="K65" i="12"/>
  <c r="K65" i="13" l="1"/>
  <c r="F27" i="6"/>
  <c r="D32" i="6" s="1"/>
  <c r="D33" i="6" s="1"/>
  <c r="O19" i="6"/>
  <c r="O20" i="6"/>
  <c r="O20" i="14"/>
  <c r="D58" i="3"/>
  <c r="D59" i="3" s="1"/>
  <c r="E37" i="3" s="1"/>
  <c r="K65" i="5"/>
  <c r="O19" i="14"/>
  <c r="H57" i="12"/>
  <c r="D61" i="12"/>
  <c r="F61" i="12"/>
  <c r="D58" i="4"/>
  <c r="D61" i="7"/>
  <c r="H57" i="7"/>
  <c r="K57" i="7" s="1"/>
  <c r="F61" i="7"/>
  <c r="F61" i="11"/>
  <c r="H57" i="11"/>
  <c r="D61" i="11"/>
  <c r="D61" i="5"/>
  <c r="H57" i="5"/>
  <c r="K57" i="5" s="1"/>
  <c r="F61" i="5"/>
  <c r="F57" i="6"/>
  <c r="F61" i="10"/>
  <c r="D61" i="10"/>
  <c r="H57" i="10"/>
  <c r="K57" i="10" s="1"/>
  <c r="H57" i="13"/>
  <c r="K57" i="13" s="1"/>
  <c r="D61" i="13"/>
  <c r="F61" i="13"/>
  <c r="F57" i="10"/>
  <c r="F61" i="15"/>
  <c r="D61" i="15"/>
  <c r="H57" i="15"/>
  <c r="K57" i="15" s="1"/>
  <c r="K65" i="8"/>
  <c r="H65" i="8"/>
  <c r="F61" i="8"/>
  <c r="D61" i="8"/>
  <c r="H57" i="8"/>
  <c r="D61" i="14"/>
  <c r="H57" i="14"/>
  <c r="K57" i="14" s="1"/>
  <c r="F61" i="14"/>
  <c r="F57" i="15"/>
  <c r="D58" i="15" s="1"/>
  <c r="K65" i="6"/>
  <c r="H65" i="6"/>
  <c r="D58" i="9"/>
  <c r="F61" i="6" l="1"/>
  <c r="H57" i="6"/>
  <c r="K57" i="6" s="1"/>
  <c r="D61" i="6"/>
  <c r="H61" i="3"/>
  <c r="K61" i="3"/>
  <c r="D62" i="3" s="1"/>
  <c r="D63" i="3" s="1"/>
  <c r="H8" i="16" s="1"/>
  <c r="D59" i="15"/>
  <c r="E37" i="15" s="1"/>
  <c r="D59" i="9"/>
  <c r="E37" i="9" s="1"/>
  <c r="D59" i="4"/>
  <c r="E37" i="4" s="1"/>
  <c r="K57" i="8"/>
  <c r="D58" i="8" s="1"/>
  <c r="K57" i="11"/>
  <c r="D58" i="11" s="1"/>
  <c r="D58" i="14"/>
  <c r="D58" i="10"/>
  <c r="D58" i="7"/>
  <c r="D58" i="5"/>
  <c r="E43" i="3"/>
  <c r="F65" i="3"/>
  <c r="K57" i="12"/>
  <c r="D58" i="12" s="1"/>
  <c r="D58" i="13"/>
  <c r="D65" i="3" l="1"/>
  <c r="D58" i="6"/>
  <c r="D59" i="6" s="1"/>
  <c r="E37" i="6" s="1"/>
  <c r="K61" i="6" s="1"/>
  <c r="D62" i="6" s="1"/>
  <c r="D63" i="6" s="1"/>
  <c r="K61" i="9"/>
  <c r="D62" i="9" s="1"/>
  <c r="D63" i="9" s="1"/>
  <c r="H61" i="9"/>
  <c r="K61" i="4"/>
  <c r="D62" i="4" s="1"/>
  <c r="D63" i="4" s="1"/>
  <c r="H61" i="4"/>
  <c r="H61" i="15"/>
  <c r="K61" i="15"/>
  <c r="D62" i="15" s="1"/>
  <c r="D63" i="15" s="1"/>
  <c r="H20" i="16" s="1"/>
  <c r="D59" i="8"/>
  <c r="E37" i="8" s="1"/>
  <c r="D59" i="13"/>
  <c r="E37" i="13" s="1"/>
  <c r="D59" i="12"/>
  <c r="E37" i="12" s="1"/>
  <c r="D59" i="14"/>
  <c r="E37" i="14" s="1"/>
  <c r="D59" i="5"/>
  <c r="E37" i="5" s="1"/>
  <c r="D59" i="10"/>
  <c r="E37" i="10" s="1"/>
  <c r="D59" i="11"/>
  <c r="E37" i="11" s="1"/>
  <c r="D59" i="7"/>
  <c r="E37" i="7" s="1"/>
  <c r="D66" i="3"/>
  <c r="D67" i="3" s="1"/>
  <c r="D51" i="3" s="1"/>
  <c r="I42" i="3" s="1"/>
  <c r="D65" i="9"/>
  <c r="F65" i="9"/>
  <c r="H14" i="16"/>
  <c r="D65" i="4"/>
  <c r="H9" i="16"/>
  <c r="I43" i="3"/>
  <c r="D8" i="16" s="1"/>
  <c r="F8" i="16" s="1"/>
  <c r="H10" i="16" l="1"/>
  <c r="D65" i="6"/>
  <c r="D66" i="6" s="1"/>
  <c r="D67" i="6" s="1"/>
  <c r="D51" i="6" s="1"/>
  <c r="I32" i="6" s="1"/>
  <c r="F65" i="6"/>
  <c r="E43" i="6"/>
  <c r="I43" i="6" s="1"/>
  <c r="D10" i="16" s="1"/>
  <c r="H61" i="6"/>
  <c r="E43" i="4"/>
  <c r="E43" i="9"/>
  <c r="I32" i="3"/>
  <c r="F65" i="15"/>
  <c r="E43" i="15"/>
  <c r="I46" i="3"/>
  <c r="F65" i="4"/>
  <c r="D66" i="4" s="1"/>
  <c r="D67" i="4" s="1"/>
  <c r="D51" i="4" s="1"/>
  <c r="D65" i="15"/>
  <c r="H61" i="5"/>
  <c r="K61" i="5"/>
  <c r="D62" i="5" s="1"/>
  <c r="D63" i="5" s="1"/>
  <c r="K61" i="8"/>
  <c r="D62" i="8" s="1"/>
  <c r="D63" i="8" s="1"/>
  <c r="H13" i="16" s="1"/>
  <c r="H61" i="8"/>
  <c r="H61" i="7"/>
  <c r="K61" i="7"/>
  <c r="D62" i="7" s="1"/>
  <c r="D63" i="7" s="1"/>
  <c r="K61" i="14"/>
  <c r="D62" i="14" s="1"/>
  <c r="D63" i="14" s="1"/>
  <c r="H19" i="16" s="1"/>
  <c r="H61" i="14"/>
  <c r="K61" i="11"/>
  <c r="D62" i="11" s="1"/>
  <c r="D63" i="11" s="1"/>
  <c r="H16" i="16" s="1"/>
  <c r="H61" i="11"/>
  <c r="H61" i="12"/>
  <c r="K61" i="12"/>
  <c r="D62" i="12" s="1"/>
  <c r="D63" i="12" s="1"/>
  <c r="K61" i="10"/>
  <c r="D62" i="10" s="1"/>
  <c r="D63" i="10" s="1"/>
  <c r="H61" i="10"/>
  <c r="K61" i="13"/>
  <c r="D62" i="13" s="1"/>
  <c r="D63" i="13" s="1"/>
  <c r="H18" i="16" s="1"/>
  <c r="H61" i="13"/>
  <c r="D66" i="15"/>
  <c r="D67" i="15" s="1"/>
  <c r="D51" i="15" s="1"/>
  <c r="I32" i="15" s="1"/>
  <c r="D66" i="9"/>
  <c r="D67" i="9" s="1"/>
  <c r="D51" i="9" s="1"/>
  <c r="I32" i="9" s="1"/>
  <c r="I36" i="3"/>
  <c r="I46" i="6"/>
  <c r="I36" i="6"/>
  <c r="D65" i="10"/>
  <c r="F65" i="10"/>
  <c r="H15" i="16"/>
  <c r="F65" i="7"/>
  <c r="E43" i="7"/>
  <c r="H12" i="16"/>
  <c r="I43" i="4"/>
  <c r="D9" i="16" s="1"/>
  <c r="F9" i="16" s="1"/>
  <c r="F65" i="8"/>
  <c r="I43" i="9"/>
  <c r="D14" i="16" s="1"/>
  <c r="F14" i="16" s="1"/>
  <c r="I43" i="15"/>
  <c r="D20" i="16" s="1"/>
  <c r="F20" i="16" s="1"/>
  <c r="F65" i="5"/>
  <c r="E43" i="5"/>
  <c r="D65" i="5"/>
  <c r="H11" i="16"/>
  <c r="I42" i="6"/>
  <c r="I46" i="9"/>
  <c r="E43" i="8" l="1"/>
  <c r="D65" i="8"/>
  <c r="F65" i="13"/>
  <c r="D65" i="7"/>
  <c r="D66" i="7" s="1"/>
  <c r="D67" i="7" s="1"/>
  <c r="D51" i="7" s="1"/>
  <c r="I36" i="7" s="1"/>
  <c r="E43" i="10"/>
  <c r="I32" i="4"/>
  <c r="I46" i="4"/>
  <c r="I42" i="4"/>
  <c r="I36" i="4"/>
  <c r="I36" i="15"/>
  <c r="F65" i="11"/>
  <c r="E43" i="11"/>
  <c r="I43" i="11" s="1"/>
  <c r="D16" i="16" s="1"/>
  <c r="F16" i="16" s="1"/>
  <c r="D65" i="14"/>
  <c r="D65" i="12"/>
  <c r="H17" i="16"/>
  <c r="E43" i="14"/>
  <c r="E43" i="13"/>
  <c r="I46" i="15"/>
  <c r="D65" i="11"/>
  <c r="D66" i="11" s="1"/>
  <c r="D67" i="11" s="1"/>
  <c r="D51" i="11" s="1"/>
  <c r="I42" i="15"/>
  <c r="F65" i="14"/>
  <c r="D65" i="13"/>
  <c r="D66" i="13" s="1"/>
  <c r="D67" i="13" s="1"/>
  <c r="D51" i="13" s="1"/>
  <c r="I32" i="13" s="1"/>
  <c r="F65" i="12"/>
  <c r="E43" i="12"/>
  <c r="I43" i="12" s="1"/>
  <c r="D17" i="16" s="1"/>
  <c r="F17" i="16" s="1"/>
  <c r="I36" i="9"/>
  <c r="I42" i="9"/>
  <c r="I43" i="13"/>
  <c r="D18" i="16" s="1"/>
  <c r="F18" i="16" s="1"/>
  <c r="D66" i="10"/>
  <c r="D67" i="10" s="1"/>
  <c r="D51" i="10" s="1"/>
  <c r="I42" i="10" s="1"/>
  <c r="D66" i="5"/>
  <c r="D67" i="5" s="1"/>
  <c r="D51" i="5" s="1"/>
  <c r="I42" i="5" s="1"/>
  <c r="I43" i="14"/>
  <c r="D19" i="16" s="1"/>
  <c r="F19" i="16" s="1"/>
  <c r="I43" i="8"/>
  <c r="D13" i="16" s="1"/>
  <c r="F13" i="16" s="1"/>
  <c r="I43" i="5"/>
  <c r="D66" i="8"/>
  <c r="D67" i="8" s="1"/>
  <c r="D51" i="8" s="1"/>
  <c r="I42" i="8" s="1"/>
  <c r="D66" i="12"/>
  <c r="D67" i="12" s="1"/>
  <c r="D51" i="12" s="1"/>
  <c r="I43" i="7"/>
  <c r="D12" i="16" s="1"/>
  <c r="F12" i="16" s="1"/>
  <c r="I32" i="7"/>
  <c r="I43" i="10"/>
  <c r="D15" i="16" s="1"/>
  <c r="F15" i="16" s="1"/>
  <c r="I46" i="7" l="1"/>
  <c r="I42" i="7"/>
  <c r="F10" i="16"/>
  <c r="D11" i="16"/>
  <c r="F11" i="16" s="1"/>
  <c r="D66" i="14"/>
  <c r="D67" i="14" s="1"/>
  <c r="D51" i="14" s="1"/>
  <c r="I32" i="14" s="1"/>
  <c r="I46" i="14"/>
  <c r="I42" i="14"/>
  <c r="I36" i="13"/>
  <c r="I46" i="13"/>
  <c r="I42" i="13"/>
  <c r="I36" i="14"/>
  <c r="I46" i="12"/>
  <c r="I32" i="12"/>
  <c r="I36" i="12"/>
  <c r="I46" i="11"/>
  <c r="I32" i="11"/>
  <c r="I36" i="11"/>
  <c r="I42" i="12"/>
  <c r="I42" i="11"/>
  <c r="I32" i="8"/>
  <c r="I46" i="8"/>
  <c r="I36" i="8"/>
  <c r="I46" i="10"/>
  <c r="I32" i="10"/>
  <c r="I36" i="10"/>
  <c r="I46" i="5"/>
  <c r="I32" i="5"/>
  <c r="I36" i="5"/>
</calcChain>
</file>

<file path=xl/sharedStrings.xml><?xml version="1.0" encoding="utf-8"?>
<sst xmlns="http://schemas.openxmlformats.org/spreadsheetml/2006/main" count="1896" uniqueCount="134">
  <si>
    <t>DATE</t>
  </si>
  <si>
    <t>A</t>
  </si>
  <si>
    <t>B</t>
  </si>
  <si>
    <t>技師別</t>
  </si>
  <si>
    <t>N1 ~ N2</t>
  </si>
  <si>
    <t>N1</t>
  </si>
  <si>
    <t>N2</t>
  </si>
  <si>
    <t>Na</t>
  </si>
  <si>
    <t>Mg</t>
  </si>
  <si>
    <t>Al</t>
  </si>
  <si>
    <t>K</t>
  </si>
  <si>
    <t>Ca</t>
  </si>
  <si>
    <t>Cr</t>
  </si>
  <si>
    <t>Mn</t>
  </si>
  <si>
    <t>Fe</t>
  </si>
  <si>
    <t>Ni</t>
  </si>
  <si>
    <t>Co</t>
  </si>
  <si>
    <t>Cu</t>
  </si>
  <si>
    <t>Zn</t>
  </si>
  <si>
    <t>Pb</t>
  </si>
  <si>
    <t>H2SO4</t>
  </si>
  <si>
    <r>
      <rPr>
        <sz val="11"/>
        <color rgb="FF000000"/>
        <rFont val="Calibri"/>
        <family val="2"/>
      </rPr>
      <t xml:space="preserve">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R-R</t>
    </r>
    <r>
      <rPr>
        <sz val="12"/>
        <color rgb="FF000000"/>
        <rFont val="細明體"/>
        <family val="3"/>
        <charset val="136"/>
      </rPr>
      <t>測試</t>
    </r>
  </si>
  <si>
    <t>ITEM</t>
  </si>
  <si>
    <t>NDC=</t>
  </si>
  <si>
    <r>
      <rPr>
        <sz val="11"/>
        <color rgb="FF000000"/>
        <rFont val="Calibri"/>
        <family val="2"/>
      </rPr>
      <t>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細明體"/>
        <family val="3"/>
        <charset val="136"/>
      </rPr>
      <t>器</t>
    </r>
  </si>
  <si>
    <t>AVE</t>
  </si>
  <si>
    <t xml:space="preserve">A </t>
  </si>
  <si>
    <t>Xa</t>
  </si>
  <si>
    <t>RANGE</t>
  </si>
  <si>
    <t>Ra</t>
  </si>
  <si>
    <t>Xb</t>
  </si>
  <si>
    <t>Rb</t>
  </si>
  <si>
    <t>PART</t>
  </si>
  <si>
    <t>X</t>
  </si>
  <si>
    <t>Xp</t>
  </si>
  <si>
    <t>Rp</t>
  </si>
  <si>
    <t>R=(Ra+Rb)/2</t>
  </si>
  <si>
    <t>R</t>
  </si>
  <si>
    <t>Max X-MaxB=X diff</t>
  </si>
  <si>
    <t>X diff</t>
  </si>
  <si>
    <t>R*D4=UCLR</t>
  </si>
  <si>
    <t>R*D3=LCLR</t>
  </si>
  <si>
    <t>Gage Repeatability and Reproducibility Report</t>
  </si>
  <si>
    <t>Gage Nane</t>
  </si>
  <si>
    <t>ASSAY R&amp;R</t>
  </si>
  <si>
    <t>Date:</t>
  </si>
  <si>
    <t>Part No.and Name</t>
  </si>
  <si>
    <t>Gage No</t>
  </si>
  <si>
    <t xml:space="preserve"> </t>
  </si>
  <si>
    <t>performed by</t>
  </si>
  <si>
    <t>Characteristics:</t>
  </si>
  <si>
    <t>Gage Type:</t>
  </si>
  <si>
    <t>METAL</t>
  </si>
  <si>
    <t>Specification:</t>
  </si>
  <si>
    <t>R=</t>
  </si>
  <si>
    <t>x diff=</t>
  </si>
  <si>
    <t>Rp=</t>
  </si>
  <si>
    <t>From date sheet:</t>
  </si>
  <si>
    <t>%Total Variation(TV)</t>
  </si>
  <si>
    <t>n=</t>
  </si>
  <si>
    <t>test=</t>
  </si>
  <si>
    <t>Measurement Unit Analysis</t>
  </si>
  <si>
    <t>Repeatability-Equipment Variation(EV)</t>
  </si>
  <si>
    <t>EV      =</t>
  </si>
  <si>
    <t>R × K1</t>
  </si>
  <si>
    <t>Trials</t>
  </si>
  <si>
    <t>K1</t>
  </si>
  <si>
    <t>%EV=100(EV/TV)</t>
  </si>
  <si>
    <t>*</t>
  </si>
  <si>
    <t>%</t>
  </si>
  <si>
    <t>=</t>
  </si>
  <si>
    <r>
      <rPr>
        <sz val="11"/>
        <color rgb="FF000000"/>
        <rFont val="Calibri"/>
        <family val="2"/>
      </rPr>
      <t>重複性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細明體"/>
        <family val="3"/>
        <charset val="136"/>
      </rPr>
      <t>設備變異</t>
    </r>
  </si>
  <si>
    <t>Reproducibity-Appraiser Variation(AV)</t>
  </si>
  <si>
    <t>AV=</t>
  </si>
  <si>
    <r>
      <rPr>
        <sz val="11"/>
        <color rgb="FF000000"/>
        <rFont val="Calibri"/>
        <family val="2"/>
      </rPr>
      <t>√【（</t>
    </r>
    <r>
      <rPr>
        <sz val="12"/>
        <color rgb="FF000000"/>
        <rFont val="Times New Roman"/>
        <family val="1"/>
      </rPr>
      <t>X</t>
    </r>
    <r>
      <rPr>
        <vertAlign val="subscript"/>
        <sz val="12"/>
        <color rgb="FF000000"/>
        <rFont val="Times New Roman"/>
        <family val="1"/>
      </rPr>
      <t>diff</t>
    </r>
    <r>
      <rPr>
        <sz val="12"/>
        <color rgb="FF000000"/>
        <rFont val="Times New Roman"/>
        <family val="1"/>
      </rPr>
      <t xml:space="preserve"> X K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新細明體"/>
        <family val="1"/>
        <charset val="136"/>
      </rPr>
      <t>）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新細明體"/>
        <family val="1"/>
        <charset val="136"/>
      </rPr>
      <t>（</t>
    </r>
    <r>
      <rPr>
        <sz val="10"/>
        <color rgb="FF000000"/>
        <rFont val="Times New Roman"/>
        <family val="1"/>
      </rPr>
      <t>EV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/nr</t>
    </r>
    <r>
      <rPr>
        <sz val="10"/>
        <color rgb="FF000000"/>
        <rFont val="新細明體"/>
        <family val="1"/>
        <charset val="136"/>
      </rPr>
      <t>）</t>
    </r>
    <r>
      <rPr>
        <sz val="12"/>
        <color rgb="FF000000"/>
        <rFont val="新細明體"/>
        <family val="1"/>
        <charset val="136"/>
      </rPr>
      <t>】</t>
    </r>
  </si>
  <si>
    <t>%AV=100(AV/TV)</t>
  </si>
  <si>
    <t>Appraisers</t>
  </si>
  <si>
    <t>n=number of parts</t>
  </si>
  <si>
    <t>k2</t>
  </si>
  <si>
    <t>r=number of trials</t>
  </si>
  <si>
    <r>
      <rPr>
        <sz val="11"/>
        <color rgb="FF000000"/>
        <rFont val="Calibri"/>
        <family val="2"/>
      </rPr>
      <t>再現性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新細明體"/>
        <family val="1"/>
        <charset val="136"/>
      </rPr>
      <t>評價者變異</t>
    </r>
  </si>
  <si>
    <t>Repeatability&amp; Reproducibility(R&amp;R)</t>
  </si>
  <si>
    <t>R&amp;R=</t>
  </si>
  <si>
    <r>
      <rPr>
        <sz val="11"/>
        <color rgb="FF000000"/>
        <rFont val="Calibri"/>
        <family val="2"/>
      </rPr>
      <t>√</t>
    </r>
    <r>
      <rPr>
        <sz val="12"/>
        <color rgb="FF000000"/>
        <rFont val="Times New Roman"/>
        <family val="1"/>
      </rPr>
      <t>(EV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+AV</t>
    </r>
    <r>
      <rPr>
        <vertAlign val="superscript"/>
        <sz val="12"/>
        <color rgb="FF000000"/>
        <rFont val="Times New Roman"/>
        <family val="1"/>
      </rPr>
      <t>2</t>
    </r>
  </si>
  <si>
    <t>%R&amp;R=100(R&amp;R/TV)</t>
  </si>
  <si>
    <t>重複性及再現性</t>
  </si>
  <si>
    <t>Part</t>
  </si>
  <si>
    <t>k3</t>
  </si>
  <si>
    <t>Part Variation(PV)</t>
  </si>
  <si>
    <r>
      <rPr>
        <sz val="11"/>
        <color rgb="FF000000"/>
        <rFont val="Calibri"/>
        <family val="2"/>
      </rPr>
      <t>Rp*K</t>
    </r>
    <r>
      <rPr>
        <vertAlign val="subscript"/>
        <sz val="12"/>
        <color rgb="FF000000"/>
        <rFont val="Times New Roman"/>
        <family val="1"/>
      </rPr>
      <t>3</t>
    </r>
  </si>
  <si>
    <t>%PV=100(PV/TV)</t>
  </si>
  <si>
    <t>PV=</t>
  </si>
  <si>
    <t>零件變異</t>
  </si>
  <si>
    <t>TV=</t>
  </si>
  <si>
    <t>總變異</t>
  </si>
  <si>
    <t>√</t>
  </si>
  <si>
    <t>-</t>
  </si>
  <si>
    <t>/</t>
  </si>
  <si>
    <t>+</t>
  </si>
  <si>
    <t>OR</t>
  </si>
  <si>
    <t>(SPEC )</t>
  </si>
  <si>
    <t>R&amp;R TEST RESULT:</t>
  </si>
  <si>
    <t>PASS</t>
  </si>
  <si>
    <t>NO</t>
  </si>
  <si>
    <r>
      <rPr>
        <sz val="11"/>
        <color rgb="FF000000"/>
        <rFont val="Calibri"/>
        <family val="2"/>
      </rPr>
      <t>30%</t>
    </r>
    <r>
      <rPr>
        <sz val="12"/>
        <color rgb="FF000000"/>
        <rFont val="Times New Roman"/>
        <family val="1"/>
      </rPr>
      <t>以下為合</t>
    </r>
  </si>
  <si>
    <r>
      <rPr>
        <sz val="11"/>
        <color rgb="FF000000"/>
        <rFont val="Calibri"/>
        <family val="2"/>
      </rPr>
      <t>超出基準值之處置</t>
    </r>
    <r>
      <rPr>
        <sz val="12"/>
        <color rgb="FF000000"/>
        <rFont val="Times New Roman"/>
        <family val="1"/>
      </rPr>
      <t>:</t>
    </r>
  </si>
  <si>
    <t>儀 器</t>
  </si>
  <si>
    <t>附件2</t>
  </si>
  <si>
    <t>測試日期</t>
  </si>
  <si>
    <t>測試項目</t>
  </si>
  <si>
    <t>判定</t>
  </si>
  <si>
    <t>NDC</t>
  </si>
  <si>
    <t>Assay</t>
  </si>
  <si>
    <t>Metal</t>
  </si>
  <si>
    <t>Particle 0.5um</t>
  </si>
  <si>
    <t>Particle 0.2um</t>
  </si>
  <si>
    <t>判定基準:</t>
  </si>
  <si>
    <t>&lt;10%= 良好</t>
  </si>
  <si>
    <t>10%~30%=中等</t>
  </si>
  <si>
    <t>&gt;30%=不合格</t>
  </si>
  <si>
    <t xml:space="preserve">值須&gt;5以上,當NDC數據≧5時,量具研究才是有效的結果. </t>
  </si>
  <si>
    <t>分析高專(主任)</t>
  </si>
  <si>
    <t>分析課</t>
  </si>
  <si>
    <r>
      <rPr>
        <sz val="11"/>
        <color rgb="FF000000"/>
        <rFont val="Calibri"/>
        <family val="2"/>
      </rPr>
      <t>品</t>
    </r>
    <r>
      <rPr>
        <sz val="12"/>
        <color rgb="FFFF0000"/>
        <rFont val="新細明體"/>
        <family val="1"/>
        <charset val="136"/>
      </rPr>
      <t>管</t>
    </r>
    <r>
      <rPr>
        <sz val="12"/>
        <color rgb="FF000000"/>
        <rFont val="新細明體"/>
        <family val="1"/>
        <charset val="136"/>
      </rPr>
      <t>課</t>
    </r>
  </si>
  <si>
    <t>物流課</t>
  </si>
  <si>
    <t>部門長</t>
  </si>
  <si>
    <t>(TLEQA920010102A4)</t>
  </si>
  <si>
    <r>
      <rPr>
        <sz val="11"/>
        <color rgb="FF000000"/>
        <rFont val="Calibri"/>
        <family val="2"/>
      </rPr>
      <t xml:space="preserve">  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</t>
    </r>
    <r>
      <rPr>
        <sz val="12"/>
        <color rgb="FF000000"/>
        <rFont val="細明體"/>
        <family val="3"/>
        <charset val="136"/>
      </rPr>
      <t>＆</t>
    </r>
    <r>
      <rPr>
        <sz val="12"/>
        <color rgb="FF000000"/>
        <rFont val="Times New Roman"/>
        <family val="1"/>
      </rPr>
      <t>R</t>
    </r>
    <r>
      <rPr>
        <sz val="12"/>
        <color rgb="FF000000"/>
        <rFont val="細明體"/>
        <family val="3"/>
        <charset val="136"/>
      </rPr>
      <t>測試</t>
    </r>
    <phoneticPr fontId="30" type="noConversion"/>
  </si>
  <si>
    <t>R＆R 測試報告表</t>
    <phoneticPr fontId="30" type="noConversion"/>
  </si>
  <si>
    <t>R＆R</t>
    <phoneticPr fontId="30" type="noConversion"/>
  </si>
  <si>
    <r>
      <rPr>
        <sz val="11"/>
        <color rgb="FF000000"/>
        <rFont val="Calibri"/>
        <family val="2"/>
      </rPr>
      <t>R</t>
    </r>
    <r>
      <rPr>
        <sz val="11"/>
        <color rgb="FF000000"/>
        <rFont val="細明體"/>
        <family val="3"/>
        <charset val="136"/>
      </rPr>
      <t>＆</t>
    </r>
    <r>
      <rPr>
        <sz val="11"/>
        <color rgb="FF000000"/>
        <rFont val="Calibri"/>
        <family val="2"/>
      </rPr>
      <t>R</t>
    </r>
    <r>
      <rPr>
        <sz val="12"/>
        <color rgb="FF000000"/>
        <rFont val="細明體"/>
        <family val="3"/>
        <charset val="136"/>
      </rPr>
      <t>判斷基準</t>
    </r>
    <phoneticPr fontId="30" type="noConversion"/>
  </si>
  <si>
    <r>
      <rPr>
        <sz val="11"/>
        <color rgb="FF000000"/>
        <rFont val="Calibri"/>
        <family val="2"/>
      </rPr>
      <t>R</t>
    </r>
    <r>
      <rPr>
        <sz val="11"/>
        <color rgb="FF000000"/>
        <rFont val="細明體"/>
        <family val="3"/>
        <charset val="136"/>
      </rPr>
      <t>＆</t>
    </r>
    <r>
      <rPr>
        <sz val="11"/>
        <color rgb="FF000000"/>
        <rFont val="Calibri"/>
        <family val="2"/>
      </rPr>
      <t>R</t>
    </r>
    <r>
      <rPr>
        <sz val="12"/>
        <color rgb="FF000000"/>
        <rFont val="細明體"/>
        <family val="3"/>
        <charset val="136"/>
      </rPr>
      <t>判斷基準</t>
    </r>
    <phoneticPr fontId="30" type="noConversion"/>
  </si>
  <si>
    <r>
      <rPr>
        <sz val="11"/>
        <color rgb="FF000000"/>
        <rFont val="細明體"/>
        <family val="3"/>
        <charset val="136"/>
      </rPr>
      <t>√</t>
    </r>
    <r>
      <rPr>
        <sz val="12"/>
        <color rgb="FF000000"/>
        <rFont val="Times New Roman"/>
        <family val="1"/>
      </rPr>
      <t>(R</t>
    </r>
    <r>
      <rPr>
        <sz val="12"/>
        <color rgb="FF000000"/>
        <rFont val="細明體"/>
        <family val="3"/>
        <charset val="136"/>
      </rPr>
      <t>＆</t>
    </r>
    <r>
      <rPr>
        <sz val="12"/>
        <color rgb="FF000000"/>
        <rFont val="Times New Roman"/>
        <family val="1"/>
      </rPr>
      <t>R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+PV</t>
    </r>
    <r>
      <rPr>
        <vertAlign val="superscript"/>
        <sz val="12"/>
        <color rgb="FF000000"/>
        <rFont val="Times New Roman"/>
        <family val="1"/>
      </rPr>
      <t>2</t>
    </r>
    <phoneticPr fontId="30" type="noConversion"/>
  </si>
  <si>
    <r>
      <rPr>
        <sz val="11"/>
        <color rgb="FF000000"/>
        <rFont val="細明體"/>
        <family val="3"/>
        <charset val="136"/>
      </rPr>
      <t>√</t>
    </r>
    <r>
      <rPr>
        <sz val="12"/>
        <color rgb="FF000000"/>
        <rFont val="Times New Roman"/>
        <family val="1"/>
      </rPr>
      <t>(R</t>
    </r>
    <r>
      <rPr>
        <sz val="12"/>
        <color rgb="FF000000"/>
        <rFont val="細明體"/>
        <family val="3"/>
        <charset val="136"/>
      </rPr>
      <t>＆</t>
    </r>
    <r>
      <rPr>
        <sz val="12"/>
        <color rgb="FF000000"/>
        <rFont val="Times New Roman"/>
        <family val="1"/>
      </rPr>
      <t>R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+PV</t>
    </r>
    <r>
      <rPr>
        <vertAlign val="superscript"/>
        <sz val="12"/>
        <color rgb="FF000000"/>
        <rFont val="Times New Roman"/>
        <family val="1"/>
      </rPr>
      <t>2</t>
    </r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</si>
</sst>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"/>
    <numFmt numFmtId="177" formatCode="0.0000000000000000000_ "/>
    <numFmt numFmtId="178" formatCode="m&quot;月&quot;d&quot;日&quot;"/>
    <numFmt numFmtId="179" formatCode="0.000_ "/>
    <numFmt numFmtId="180" formatCode="0.00_ "/>
    <numFmt numFmtId="181" formatCode="0.000000_ "/>
    <numFmt numFmtId="182" formatCode="0.00000_ "/>
    <numFmt numFmtId="183" formatCode="0.000"/>
    <numFmt numFmtId="184" formatCode="0.0000_ "/>
    <numFmt numFmtId="185" formatCode="0.000000"/>
    <numFmt numFmtId="186" formatCode="0.0_);[Red]\(0.0\)"/>
  </numFmts>
  <fonts count="34">
    <font>
      <sz val="12"/>
      <color rgb="FF000000"/>
      <name val="新細明體"/>
    </font>
    <font>
      <sz val="12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sz val="12"/>
      <color rgb="FFFF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FF0000"/>
      <name val="新細明體"/>
      <family val="1"/>
      <charset val="136"/>
    </font>
    <font>
      <sz val="12"/>
      <color rgb="FF0000FF"/>
      <name val="Times New Roman"/>
      <family val="1"/>
    </font>
    <font>
      <sz val="12"/>
      <color rgb="FF000000"/>
      <name val="細明體"/>
      <family val="3"/>
      <charset val="136"/>
    </font>
    <font>
      <sz val="14"/>
      <color rgb="FFFF0000"/>
      <name val="新細明體"/>
      <family val="1"/>
      <charset val="136"/>
    </font>
    <font>
      <sz val="12"/>
      <color rgb="FF333333"/>
      <name val="Times New Roman"/>
      <family val="1"/>
    </font>
    <font>
      <sz val="12"/>
      <color rgb="FF333333"/>
      <name val="細明體"/>
      <family val="3"/>
      <charset val="136"/>
    </font>
    <font>
      <sz val="12"/>
      <color rgb="FF333333"/>
      <name val="新細明體"/>
      <family val="1"/>
      <charset val="136"/>
    </font>
    <font>
      <sz val="12"/>
      <color rgb="FF000000"/>
      <name val="Times New Roman"/>
      <family val="1"/>
    </font>
    <font>
      <sz val="14"/>
      <color rgb="FFFF0000"/>
      <name val="Times New Roman"/>
      <family val="1"/>
    </font>
    <font>
      <u/>
      <sz val="14"/>
      <color rgb="FFFF0000"/>
      <name val="新細明體"/>
      <family val="1"/>
      <charset val="136"/>
    </font>
    <font>
      <sz val="18"/>
      <color rgb="FF000000"/>
      <name val="新細明體"/>
      <family val="1"/>
      <charset val="136"/>
    </font>
    <font>
      <sz val="12"/>
      <color rgb="FF000000"/>
      <name val="ｷsｲﾓｩ愰 "/>
      <family val="3"/>
      <charset val="136"/>
    </font>
    <font>
      <sz val="10"/>
      <color rgb="FF000000"/>
      <name val="Arial"/>
      <family val="2"/>
    </font>
    <font>
      <sz val="12"/>
      <color rgb="FF0000FF"/>
      <name val="新細明體"/>
      <family val="1"/>
      <charset val="136"/>
    </font>
    <font>
      <sz val="16"/>
      <color rgb="FFFF0000"/>
      <name val="新細明體"/>
      <family val="1"/>
      <charset val="136"/>
    </font>
    <font>
      <b/>
      <u/>
      <sz val="14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1"/>
      <color rgb="FF000000"/>
      <name val="Times New Roman"/>
      <family val="1"/>
    </font>
    <font>
      <u/>
      <sz val="12"/>
      <color rgb="FF000000"/>
      <name val="新細明體"/>
      <family val="1"/>
      <charset val="136"/>
    </font>
    <font>
      <sz val="11"/>
      <color rgb="FF000000"/>
      <name val="Calibri"/>
      <family val="2"/>
    </font>
    <font>
      <vertAlign val="subscript"/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9"/>
      <name val="細明體"/>
      <family val="3"/>
      <charset val="136"/>
    </font>
    <font>
      <sz val="11"/>
      <color rgb="FF000000"/>
      <name val="細明體"/>
      <family val="3"/>
      <charset val="136"/>
    </font>
    <font>
      <sz val="12"/>
      <color theme="0"/>
      <name val="ｷsｲﾓｩ愰 "/>
      <family val="3"/>
      <charset val="136"/>
    </font>
    <font>
      <sz val="12"/>
      <color theme="0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4" xfId="0" applyFont="1" applyBorder="1"/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0" fontId="3" fillId="0" borderId="18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1" fillId="0" borderId="18" xfId="0" applyFont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0" fontId="6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left"/>
    </xf>
    <xf numFmtId="0" fontId="1" fillId="0" borderId="0" xfId="0" applyFont="1"/>
    <xf numFmtId="0" fontId="6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0" borderId="1" xfId="0" applyFont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4" xfId="0" applyBorder="1"/>
    <xf numFmtId="0" fontId="1" fillId="0" borderId="25" xfId="0" applyFont="1" applyBorder="1"/>
    <xf numFmtId="0" fontId="0" fillId="0" borderId="2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1" fillId="0" borderId="21" xfId="0" applyFont="1" applyBorder="1"/>
    <xf numFmtId="0" fontId="1" fillId="0" borderId="5" xfId="0" applyFont="1" applyBorder="1"/>
    <xf numFmtId="0" fontId="0" fillId="0" borderId="26" xfId="0" applyBorder="1"/>
    <xf numFmtId="0" fontId="1" fillId="0" borderId="27" xfId="0" applyFont="1" applyBorder="1"/>
    <xf numFmtId="0" fontId="0" fillId="0" borderId="27" xfId="0" applyBorder="1"/>
    <xf numFmtId="0" fontId="1" fillId="0" borderId="28" xfId="0" applyFont="1" applyBorder="1"/>
    <xf numFmtId="0" fontId="1" fillId="0" borderId="29" xfId="0" applyFont="1" applyBorder="1"/>
    <xf numFmtId="0" fontId="1" fillId="0" borderId="3" xfId="0" applyFont="1" applyBorder="1"/>
    <xf numFmtId="0" fontId="3" fillId="0" borderId="3" xfId="0" applyFont="1" applyBorder="1"/>
    <xf numFmtId="0" fontId="1" fillId="0" borderId="21" xfId="0" applyFont="1" applyBorder="1" applyAlignment="1">
      <alignment horizontal="left"/>
    </xf>
    <xf numFmtId="0" fontId="1" fillId="2" borderId="29" xfId="0" applyFont="1" applyFill="1" applyBorder="1"/>
    <xf numFmtId="0" fontId="1" fillId="2" borderId="3" xfId="0" applyFont="1" applyFill="1" applyBorder="1"/>
    <xf numFmtId="0" fontId="0" fillId="0" borderId="30" xfId="0" applyBorder="1"/>
    <xf numFmtId="0" fontId="7" fillId="0" borderId="0" xfId="0" applyFont="1"/>
    <xf numFmtId="0" fontId="0" fillId="0" borderId="7" xfId="0" applyBorder="1"/>
    <xf numFmtId="0" fontId="3" fillId="0" borderId="1" xfId="0" applyFont="1" applyBorder="1"/>
    <xf numFmtId="0" fontId="7" fillId="0" borderId="7" xfId="0" applyFont="1" applyBorder="1"/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1" xfId="0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1" fillId="0" borderId="1" xfId="0" applyFont="1" applyBorder="1"/>
    <xf numFmtId="0" fontId="0" fillId="0" borderId="34" xfId="0" applyBorder="1" applyAlignment="1">
      <alignment horizontal="center"/>
    </xf>
    <xf numFmtId="0" fontId="0" fillId="0" borderId="21" xfId="0" applyBorder="1"/>
    <xf numFmtId="0" fontId="12" fillId="0" borderId="5" xfId="0" applyFont="1" applyBorder="1"/>
    <xf numFmtId="0" fontId="0" fillId="0" borderId="2" xfId="0" applyBorder="1" applyAlignment="1">
      <alignment horizontal="left"/>
    </xf>
    <xf numFmtId="0" fontId="0" fillId="0" borderId="29" xfId="0" applyBorder="1"/>
    <xf numFmtId="0" fontId="0" fillId="0" borderId="3" xfId="0" applyBorder="1"/>
    <xf numFmtId="0" fontId="0" fillId="0" borderId="35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3" fillId="0" borderId="18" xfId="0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0" fillId="0" borderId="36" xfId="0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7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5" fillId="0" borderId="0" xfId="0" applyFont="1" applyAlignment="1">
      <alignment horizontal="center"/>
    </xf>
    <xf numFmtId="176" fontId="3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0" xfId="0"/>
    <xf numFmtId="0" fontId="8" fillId="0" borderId="1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0" fontId="5" fillId="0" borderId="16" xfId="0" applyNumberFormat="1" applyFont="1" applyBorder="1"/>
    <xf numFmtId="10" fontId="5" fillId="0" borderId="10" xfId="0" applyNumberFormat="1" applyFont="1" applyBorder="1"/>
    <xf numFmtId="0" fontId="1" fillId="0" borderId="11" xfId="0" applyFont="1" applyBorder="1"/>
    <xf numFmtId="0" fontId="3" fillId="0" borderId="38" xfId="0" applyFont="1" applyBorder="1" applyAlignment="1">
      <alignment horizontal="center"/>
    </xf>
    <xf numFmtId="0" fontId="1" fillId="0" borderId="0" xfId="0" applyFont="1"/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177" fontId="16" fillId="0" borderId="0" xfId="0" applyNumberFormat="1" applyFont="1" applyAlignment="1">
      <alignment horizontal="center"/>
    </xf>
    <xf numFmtId="0" fontId="16" fillId="3" borderId="11" xfId="0" applyFont="1" applyFill="1" applyBorder="1" applyAlignment="1">
      <alignment horizontal="center"/>
    </xf>
    <xf numFmtId="178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78" fontId="1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9" fontId="18" fillId="0" borderId="6" xfId="0" applyNumberFormat="1" applyFont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1" fillId="2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10" fontId="3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41" xfId="0" applyFont="1" applyBorder="1" applyAlignment="1">
      <alignment horizontal="center"/>
    </xf>
    <xf numFmtId="179" fontId="18" fillId="0" borderId="42" xfId="0" applyNumberFormat="1" applyFont="1" applyBorder="1" applyAlignment="1">
      <alignment horizontal="center"/>
    </xf>
    <xf numFmtId="179" fontId="18" fillId="0" borderId="25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179" fontId="17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79" fontId="9" fillId="0" borderId="1" xfId="0" applyNumberFormat="1" applyFont="1" applyBorder="1" applyAlignment="1">
      <alignment horizontal="center"/>
    </xf>
    <xf numFmtId="179" fontId="5" fillId="0" borderId="5" xfId="0" applyNumberFormat="1" applyFont="1" applyBorder="1" applyAlignment="1">
      <alignment horizontal="center"/>
    </xf>
    <xf numFmtId="179" fontId="9" fillId="0" borderId="3" xfId="0" applyNumberFormat="1" applyFont="1" applyBorder="1" applyAlignment="1">
      <alignment horizontal="center"/>
    </xf>
    <xf numFmtId="179" fontId="9" fillId="0" borderId="2" xfId="0" applyNumberFormat="1" applyFont="1" applyBorder="1" applyAlignment="1">
      <alignment horizontal="center"/>
    </xf>
    <xf numFmtId="179" fontId="11" fillId="0" borderId="1" xfId="0" applyNumberFormat="1" applyFont="1" applyBorder="1" applyAlignment="1">
      <alignment horizontal="center"/>
    </xf>
    <xf numFmtId="179" fontId="11" fillId="0" borderId="25" xfId="0" applyNumberFormat="1" applyFont="1" applyBorder="1" applyAlignment="1">
      <alignment horizontal="center"/>
    </xf>
    <xf numFmtId="179" fontId="5" fillId="0" borderId="26" xfId="0" applyNumberFormat="1" applyFont="1" applyBorder="1" applyAlignment="1">
      <alignment horizontal="center"/>
    </xf>
    <xf numFmtId="179" fontId="11" fillId="0" borderId="28" xfId="0" applyNumberFormat="1" applyFont="1" applyBorder="1" applyAlignment="1">
      <alignment horizontal="center"/>
    </xf>
    <xf numFmtId="179" fontId="0" fillId="0" borderId="25" xfId="0" applyNumberFormat="1" applyBorder="1" applyAlignment="1">
      <alignment horizontal="center"/>
    </xf>
    <xf numFmtId="179" fontId="0" fillId="0" borderId="26" xfId="0" applyNumberFormat="1" applyBorder="1"/>
    <xf numFmtId="179" fontId="5" fillId="0" borderId="25" xfId="0" applyNumberFormat="1" applyFont="1" applyBorder="1" applyAlignment="1">
      <alignment horizontal="center"/>
    </xf>
    <xf numFmtId="179" fontId="11" fillId="0" borderId="41" xfId="0" applyNumberFormat="1" applyFont="1" applyBorder="1" applyAlignment="1">
      <alignment horizontal="center"/>
    </xf>
    <xf numFmtId="179" fontId="0" fillId="0" borderId="37" xfId="0" applyNumberFormat="1" applyBorder="1"/>
    <xf numFmtId="0" fontId="16" fillId="2" borderId="11" xfId="0" applyFont="1" applyFill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1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15" xfId="0" applyFont="1" applyBorder="1" applyAlignment="1">
      <alignment horizontal="left"/>
    </xf>
    <xf numFmtId="0" fontId="13" fillId="0" borderId="16" xfId="0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9" fontId="5" fillId="0" borderId="0" xfId="0" applyNumberFormat="1" applyFont="1" applyAlignment="1">
      <alignment horizontal="center"/>
    </xf>
    <xf numFmtId="179" fontId="0" fillId="0" borderId="26" xfId="0" applyNumberFormat="1" applyBorder="1" applyAlignment="1">
      <alignment horizontal="center"/>
    </xf>
    <xf numFmtId="179" fontId="0" fillId="0" borderId="46" xfId="0" applyNumberFormat="1" applyBorder="1" applyAlignment="1">
      <alignment horizontal="center"/>
    </xf>
    <xf numFmtId="180" fontId="5" fillId="0" borderId="0" xfId="0" applyNumberFormat="1" applyFont="1"/>
    <xf numFmtId="0" fontId="19" fillId="0" borderId="0" xfId="0" applyFont="1"/>
    <xf numFmtId="180" fontId="19" fillId="0" borderId="0" xfId="0" applyNumberFormat="1" applyFont="1"/>
    <xf numFmtId="179" fontId="0" fillId="0" borderId="37" xfId="0" applyNumberFormat="1" applyBorder="1" applyAlignment="1">
      <alignment horizontal="center"/>
    </xf>
    <xf numFmtId="181" fontId="11" fillId="0" borderId="28" xfId="0" applyNumberFormat="1" applyFont="1" applyBorder="1" applyAlignment="1">
      <alignment horizontal="center"/>
    </xf>
    <xf numFmtId="182" fontId="11" fillId="0" borderId="25" xfId="0" applyNumberFormat="1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" fillId="0" borderId="41" xfId="0" applyFont="1" applyBorder="1"/>
    <xf numFmtId="0" fontId="0" fillId="0" borderId="48" xfId="0" applyBorder="1"/>
    <xf numFmtId="183" fontId="17" fillId="0" borderId="1" xfId="0" applyNumberFormat="1" applyFont="1" applyBorder="1" applyAlignment="1">
      <alignment horizontal="center"/>
    </xf>
    <xf numFmtId="179" fontId="13" fillId="0" borderId="37" xfId="0" applyNumberFormat="1" applyFont="1" applyBorder="1" applyAlignment="1">
      <alignment horizontal="center"/>
    </xf>
    <xf numFmtId="184" fontId="9" fillId="0" borderId="3" xfId="0" applyNumberFormat="1" applyFont="1" applyBorder="1" applyAlignment="1">
      <alignment horizontal="center"/>
    </xf>
    <xf numFmtId="184" fontId="11" fillId="0" borderId="1" xfId="0" applyNumberFormat="1" applyFont="1" applyBorder="1" applyAlignment="1">
      <alignment horizontal="center"/>
    </xf>
    <xf numFmtId="179" fontId="8" fillId="0" borderId="37" xfId="0" applyNumberFormat="1" applyFont="1" applyBorder="1" applyAlignment="1">
      <alignment horizontal="center"/>
    </xf>
    <xf numFmtId="182" fontId="13" fillId="0" borderId="37" xfId="0" applyNumberFormat="1" applyFont="1" applyBorder="1" applyAlignment="1">
      <alignment horizontal="center"/>
    </xf>
    <xf numFmtId="2" fontId="13" fillId="0" borderId="18" xfId="0" applyNumberFormat="1" applyFont="1" applyBorder="1" applyAlignment="1">
      <alignment horizontal="center"/>
    </xf>
    <xf numFmtId="176" fontId="13" fillId="0" borderId="18" xfId="0" applyNumberFormat="1" applyFont="1" applyBorder="1" applyAlignment="1">
      <alignment horizontal="center"/>
    </xf>
    <xf numFmtId="185" fontId="0" fillId="0" borderId="7" xfId="0" applyNumberFormat="1" applyBorder="1" applyAlignment="1">
      <alignment horizontal="center"/>
    </xf>
    <xf numFmtId="2" fontId="13" fillId="0" borderId="38" xfId="0" applyNumberFormat="1" applyFont="1" applyBorder="1" applyAlignment="1">
      <alignment horizontal="center"/>
    </xf>
    <xf numFmtId="176" fontId="13" fillId="0" borderId="38" xfId="0" applyNumberFormat="1" applyFont="1" applyBorder="1" applyAlignment="1">
      <alignment horizontal="center"/>
    </xf>
    <xf numFmtId="2" fontId="13" fillId="2" borderId="18" xfId="0" applyNumberFormat="1" applyFont="1" applyFill="1" applyBorder="1" applyAlignment="1">
      <alignment horizontal="center"/>
    </xf>
    <xf numFmtId="176" fontId="13" fillId="2" borderId="18" xfId="0" applyNumberFormat="1" applyFont="1" applyFill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1" fillId="0" borderId="18" xfId="0" applyNumberFormat="1" applyFont="1" applyBorder="1" applyAlignment="1">
      <alignment horizontal="left"/>
    </xf>
    <xf numFmtId="176" fontId="0" fillId="0" borderId="18" xfId="0" applyNumberFormat="1" applyBorder="1" applyAlignment="1">
      <alignment horizontal="center"/>
    </xf>
    <xf numFmtId="176" fontId="1" fillId="0" borderId="18" xfId="0" applyNumberFormat="1" applyFont="1" applyBorder="1" applyAlignment="1">
      <alignment horizontal="left"/>
    </xf>
    <xf numFmtId="176" fontId="8" fillId="0" borderId="18" xfId="0" applyNumberFormat="1" applyFont="1" applyBorder="1" applyAlignment="1">
      <alignment horizontal="center"/>
    </xf>
    <xf numFmtId="176" fontId="3" fillId="0" borderId="12" xfId="0" applyNumberFormat="1" applyFont="1" applyBorder="1" applyAlignment="1">
      <alignment horizontal="center"/>
    </xf>
    <xf numFmtId="176" fontId="0" fillId="0" borderId="31" xfId="0" applyNumberFormat="1" applyBorder="1" applyAlignment="1">
      <alignment horizontal="center"/>
    </xf>
    <xf numFmtId="176" fontId="3" fillId="0" borderId="18" xfId="0" applyNumberFormat="1" applyFont="1" applyBorder="1" applyAlignment="1">
      <alignment horizontal="center"/>
    </xf>
    <xf numFmtId="176" fontId="1" fillId="0" borderId="12" xfId="0" applyNumberFormat="1" applyFont="1" applyBorder="1" applyAlignment="1">
      <alignment horizontal="left"/>
    </xf>
    <xf numFmtId="176" fontId="1" fillId="0" borderId="36" xfId="0" applyNumberFormat="1" applyFont="1" applyBorder="1" applyAlignment="1">
      <alignment horizontal="left"/>
    </xf>
    <xf numFmtId="176" fontId="0" fillId="0" borderId="36" xfId="0" applyNumberFormat="1" applyBorder="1" applyAlignment="1">
      <alignment horizontal="center"/>
    </xf>
    <xf numFmtId="176" fontId="1" fillId="0" borderId="17" xfId="0" applyNumberFormat="1" applyFont="1" applyBorder="1" applyAlignment="1">
      <alignment horizontal="left"/>
    </xf>
    <xf numFmtId="176" fontId="5" fillId="0" borderId="18" xfId="0" applyNumberFormat="1" applyFont="1" applyBorder="1" applyAlignment="1">
      <alignment horizontal="center"/>
    </xf>
    <xf numFmtId="179" fontId="9" fillId="4" borderId="1" xfId="0" applyNumberFormat="1" applyFont="1" applyFill="1" applyBorder="1" applyAlignment="1">
      <alignment horizontal="center"/>
    </xf>
    <xf numFmtId="179" fontId="9" fillId="4" borderId="3" xfId="0" applyNumberFormat="1" applyFont="1" applyFill="1" applyBorder="1" applyAlignment="1">
      <alignment horizontal="center"/>
    </xf>
    <xf numFmtId="179" fontId="9" fillId="4" borderId="2" xfId="0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183" fontId="17" fillId="4" borderId="1" xfId="0" applyNumberFormat="1" applyFont="1" applyFill="1" applyBorder="1" applyAlignment="1">
      <alignment horizontal="center"/>
    </xf>
    <xf numFmtId="0" fontId="0" fillId="0" borderId="0" xfId="0"/>
    <xf numFmtId="0" fontId="20" fillId="0" borderId="0" xfId="0" applyFont="1"/>
    <xf numFmtId="0" fontId="0" fillId="0" borderId="2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2" fillId="0" borderId="0" xfId="0" applyFont="1"/>
    <xf numFmtId="0" fontId="26" fillId="0" borderId="6" xfId="0" applyFont="1" applyBorder="1"/>
    <xf numFmtId="178" fontId="32" fillId="0" borderId="0" xfId="0" applyNumberFormat="1" applyFont="1" applyAlignment="1">
      <alignment horizontal="center"/>
    </xf>
    <xf numFmtId="0" fontId="3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55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56" xfId="0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6" xfId="0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7" fillId="2" borderId="53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50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1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86" fontId="0" fillId="4" borderId="50" xfId="0" applyNumberFormat="1" applyFill="1" applyBorder="1" applyAlignment="1">
      <alignment horizontal="center" vertical="center"/>
    </xf>
    <xf numFmtId="186" fontId="0" fillId="4" borderId="51" xfId="0" applyNumberForma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</cellXfs>
  <cellStyles count="1">
    <cellStyle name="一般" xfId="0" builtinId="0"/>
  </cellStyles>
  <dxfs count="1040"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P37"/>
  <sheetViews>
    <sheetView workbookViewId="0">
      <pane xSplit="10" topLeftCell="K1" activePane="topRight" state="frozen"/>
      <selection pane="topRight" activeCell="B3" sqref="B3:C3"/>
    </sheetView>
  </sheetViews>
  <sheetFormatPr defaultRowHeight="16.5"/>
  <cols>
    <col min="1" max="1" width="5.125" customWidth="1"/>
    <col min="2" max="2" width="8.625" customWidth="1"/>
    <col min="3" max="3" width="12.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33" width="12.5" customWidth="1"/>
    <col min="34" max="35" width="12.125" customWidth="1"/>
    <col min="36" max="37" width="14.75" customWidth="1"/>
    <col min="38" max="40" width="12.5" customWidth="1"/>
    <col min="41" max="41" width="11" customWidth="1"/>
    <col min="42" max="42" width="9.75" customWidth="1"/>
    <col min="43" max="156" width="6.625" customWidth="1"/>
    <col min="157" max="157" width="9" customWidth="1"/>
  </cols>
  <sheetData>
    <row r="2" spans="2:42">
      <c r="D2" s="161" t="s">
        <v>0</v>
      </c>
      <c r="E2" s="159">
        <f>'METAL RAW DATA'!E2</f>
        <v>0</v>
      </c>
    </row>
    <row r="3" spans="2:42" ht="16.5" customHeight="1">
      <c r="B3" s="252" t="s">
        <v>127</v>
      </c>
      <c r="C3" s="252"/>
      <c r="D3" s="137" t="s">
        <v>1</v>
      </c>
      <c r="E3" s="144">
        <f>'METAL RAW DATA'!E3</f>
        <v>0</v>
      </c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  <c r="S3" s="136"/>
    </row>
    <row r="4" spans="2:42" ht="16.5" customHeight="1">
      <c r="C4" s="141"/>
      <c r="D4" s="143" t="s">
        <v>2</v>
      </c>
      <c r="E4" s="144">
        <f>'METAL RAW DATA'!E4</f>
        <v>0</v>
      </c>
      <c r="F4" s="142"/>
      <c r="G4" s="142"/>
      <c r="H4" s="142"/>
      <c r="I4" s="142"/>
      <c r="J4" s="142"/>
      <c r="K4" s="142"/>
      <c r="L4" s="142"/>
      <c r="M4" s="141"/>
      <c r="N4" s="141"/>
      <c r="O4" s="142"/>
      <c r="P4" s="142"/>
      <c r="Q4" s="142"/>
      <c r="R4" s="142"/>
      <c r="S4" s="142"/>
      <c r="T4" s="142"/>
      <c r="U4" s="142"/>
      <c r="V4" s="142"/>
      <c r="W4" s="141"/>
      <c r="X4" s="141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</row>
    <row r="5" spans="2:42">
      <c r="C5" s="143"/>
      <c r="D5" s="143"/>
      <c r="E5" s="161"/>
      <c r="F5" s="161"/>
      <c r="G5" s="161"/>
      <c r="H5" s="161"/>
      <c r="I5" s="161"/>
      <c r="J5" s="161"/>
      <c r="K5" s="161"/>
      <c r="L5" s="161"/>
      <c r="M5" s="143"/>
      <c r="N5" s="143"/>
      <c r="O5" s="161"/>
      <c r="P5" s="161"/>
      <c r="Q5" s="161"/>
      <c r="R5" s="161"/>
      <c r="S5" s="161"/>
      <c r="T5" s="161"/>
      <c r="U5" s="161"/>
      <c r="V5" s="161"/>
      <c r="W5" s="143"/>
      <c r="X5" s="143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</row>
    <row r="6" spans="2:42" ht="16.5" customHeight="1">
      <c r="B6" s="145" t="s">
        <v>3</v>
      </c>
      <c r="C6" s="140" t="s">
        <v>1</v>
      </c>
      <c r="D6" s="140" t="s">
        <v>1</v>
      </c>
      <c r="E6" s="140" t="s">
        <v>1</v>
      </c>
      <c r="F6" s="140" t="s">
        <v>1</v>
      </c>
      <c r="G6" s="140" t="s">
        <v>1</v>
      </c>
      <c r="H6" s="140" t="s">
        <v>1</v>
      </c>
      <c r="I6" s="140" t="s">
        <v>1</v>
      </c>
      <c r="J6" s="140" t="s">
        <v>1</v>
      </c>
      <c r="K6" s="140" t="s">
        <v>1</v>
      </c>
      <c r="L6" s="140" t="s">
        <v>1</v>
      </c>
      <c r="M6" s="175" t="s">
        <v>1</v>
      </c>
      <c r="N6" s="175" t="s">
        <v>1</v>
      </c>
      <c r="O6" s="175" t="s">
        <v>1</v>
      </c>
      <c r="P6" s="175" t="s">
        <v>1</v>
      </c>
      <c r="Q6" s="175" t="s">
        <v>1</v>
      </c>
      <c r="R6" s="175" t="s">
        <v>1</v>
      </c>
      <c r="S6" s="175" t="s">
        <v>1</v>
      </c>
      <c r="T6" s="175" t="s">
        <v>1</v>
      </c>
      <c r="U6" s="175" t="s">
        <v>1</v>
      </c>
      <c r="V6" s="177" t="s">
        <v>1</v>
      </c>
    </row>
    <row r="7" spans="2:42">
      <c r="B7" s="146" t="s">
        <v>4</v>
      </c>
      <c r="C7" s="137" t="s">
        <v>5</v>
      </c>
      <c r="D7" s="137" t="s">
        <v>5</v>
      </c>
      <c r="E7" s="137" t="s">
        <v>5</v>
      </c>
      <c r="F7" s="137" t="s">
        <v>5</v>
      </c>
      <c r="G7" s="137" t="s">
        <v>5</v>
      </c>
      <c r="H7" s="137" t="s">
        <v>5</v>
      </c>
      <c r="I7" s="137" t="s">
        <v>5</v>
      </c>
      <c r="J7" s="137" t="s">
        <v>5</v>
      </c>
      <c r="K7" s="137" t="s">
        <v>5</v>
      </c>
      <c r="L7" s="137" t="s">
        <v>5</v>
      </c>
      <c r="M7" s="137" t="s">
        <v>6</v>
      </c>
      <c r="N7" s="137" t="s">
        <v>6</v>
      </c>
      <c r="O7" s="137" t="s">
        <v>6</v>
      </c>
      <c r="P7" s="137" t="s">
        <v>6</v>
      </c>
      <c r="Q7" s="137" t="s">
        <v>6</v>
      </c>
      <c r="R7" s="137" t="s">
        <v>6</v>
      </c>
      <c r="S7" s="137" t="s">
        <v>6</v>
      </c>
      <c r="T7" s="137" t="s">
        <v>6</v>
      </c>
      <c r="U7" s="137" t="s">
        <v>6</v>
      </c>
      <c r="V7" s="178" t="s">
        <v>6</v>
      </c>
    </row>
    <row r="8" spans="2:42" ht="20.100000000000001" customHeight="1">
      <c r="B8" s="138" t="s">
        <v>7</v>
      </c>
      <c r="C8" s="227">
        <f>'METAL RAW DATA'!C8</f>
        <v>0</v>
      </c>
      <c r="D8" s="227">
        <f>'METAL RAW DATA'!D8</f>
        <v>0</v>
      </c>
      <c r="E8" s="227">
        <f>'METAL RAW DATA'!E8</f>
        <v>0</v>
      </c>
      <c r="F8" s="227">
        <f>'METAL RAW DATA'!F8</f>
        <v>0</v>
      </c>
      <c r="G8" s="227">
        <f>'METAL RAW DATA'!G8</f>
        <v>0</v>
      </c>
      <c r="H8" s="227">
        <f>'METAL RAW DATA'!H8</f>
        <v>0</v>
      </c>
      <c r="I8" s="227">
        <f>'METAL RAW DATA'!I8</f>
        <v>0</v>
      </c>
      <c r="J8" s="227">
        <f>'METAL RAW DATA'!J8</f>
        <v>0</v>
      </c>
      <c r="K8" s="227">
        <f>'METAL RAW DATA'!K8</f>
        <v>0</v>
      </c>
      <c r="L8" s="227">
        <f>'METAL RAW DATA'!L8</f>
        <v>0</v>
      </c>
      <c r="M8" s="227">
        <f>'METAL RAW DATA'!M8</f>
        <v>0</v>
      </c>
      <c r="N8" s="227">
        <f>'METAL RAW DATA'!N8</f>
        <v>0</v>
      </c>
      <c r="O8" s="227">
        <f>'METAL RAW DATA'!O8</f>
        <v>0</v>
      </c>
      <c r="P8" s="227">
        <f>'METAL RAW DATA'!P8</f>
        <v>0</v>
      </c>
      <c r="Q8" s="227">
        <f>'METAL RAW DATA'!Q8</f>
        <v>0</v>
      </c>
      <c r="R8" s="227">
        <f>'METAL RAW DATA'!R8</f>
        <v>0</v>
      </c>
      <c r="S8" s="227">
        <f>'METAL RAW DATA'!S8</f>
        <v>0</v>
      </c>
      <c r="T8" s="227">
        <f>'METAL RAW DATA'!T8</f>
        <v>0</v>
      </c>
      <c r="U8" s="227">
        <f>'METAL RAW DATA'!U8</f>
        <v>0</v>
      </c>
      <c r="V8" s="227">
        <f>'METAL RAW DATA'!V8</f>
        <v>0</v>
      </c>
    </row>
    <row r="9" spans="2:42" ht="20.100000000000001" customHeight="1">
      <c r="B9" s="138" t="s">
        <v>8</v>
      </c>
      <c r="C9" s="138">
        <f>'METAL RAW DATA'!C9</f>
        <v>0</v>
      </c>
      <c r="D9" s="138">
        <f>'METAL RAW DATA'!D9</f>
        <v>0</v>
      </c>
      <c r="E9" s="138">
        <f>'METAL RAW DATA'!E9</f>
        <v>0</v>
      </c>
      <c r="F9" s="138">
        <f>'METAL RAW DATA'!F9</f>
        <v>0</v>
      </c>
      <c r="G9" s="138">
        <f>'METAL RAW DATA'!G9</f>
        <v>0</v>
      </c>
      <c r="H9" s="138">
        <f>'METAL RAW DATA'!H9</f>
        <v>0</v>
      </c>
      <c r="I9" s="138">
        <f>'METAL RAW DATA'!I9</f>
        <v>0</v>
      </c>
      <c r="J9" s="138">
        <f>'METAL RAW DATA'!J9</f>
        <v>0</v>
      </c>
      <c r="K9" s="138">
        <f>'METAL RAW DATA'!K9</f>
        <v>0</v>
      </c>
      <c r="L9" s="138">
        <f>'METAL RAW DATA'!L9</f>
        <v>0</v>
      </c>
      <c r="M9" s="138">
        <f>'METAL RAW DATA'!M9</f>
        <v>0</v>
      </c>
      <c r="N9" s="138">
        <f>'METAL RAW DATA'!N9</f>
        <v>0</v>
      </c>
      <c r="O9" s="138">
        <f>'METAL RAW DATA'!O9</f>
        <v>0</v>
      </c>
      <c r="P9" s="138">
        <f>'METAL RAW DATA'!P9</f>
        <v>0</v>
      </c>
      <c r="Q9" s="138">
        <f>'METAL RAW DATA'!Q9</f>
        <v>0</v>
      </c>
      <c r="R9" s="138">
        <f>'METAL RAW DATA'!R9</f>
        <v>0</v>
      </c>
      <c r="S9" s="138">
        <f>'METAL RAW DATA'!S9</f>
        <v>0</v>
      </c>
      <c r="T9" s="138">
        <f>'METAL RAW DATA'!T9</f>
        <v>0</v>
      </c>
      <c r="U9" s="138">
        <f>'METAL RAW DATA'!U9</f>
        <v>0</v>
      </c>
      <c r="V9" s="138">
        <f>'METAL RAW DATA'!V9</f>
        <v>0</v>
      </c>
    </row>
    <row r="10" spans="2:42" ht="20.100000000000001" customHeight="1">
      <c r="B10" s="138" t="s">
        <v>9</v>
      </c>
      <c r="C10" s="138">
        <f>'METAL RAW DATA'!C10</f>
        <v>0</v>
      </c>
      <c r="D10" s="138">
        <f>'METAL RAW DATA'!D10</f>
        <v>0</v>
      </c>
      <c r="E10" s="138">
        <f>'METAL RAW DATA'!E10</f>
        <v>0</v>
      </c>
      <c r="F10" s="138">
        <f>'METAL RAW DATA'!F10</f>
        <v>0</v>
      </c>
      <c r="G10" s="138">
        <f>'METAL RAW DATA'!G10</f>
        <v>0</v>
      </c>
      <c r="H10" s="138">
        <f>'METAL RAW DATA'!H10</f>
        <v>0</v>
      </c>
      <c r="I10" s="138">
        <f>'METAL RAW DATA'!I10</f>
        <v>0</v>
      </c>
      <c r="J10" s="138">
        <f>'METAL RAW DATA'!J10</f>
        <v>0</v>
      </c>
      <c r="K10" s="138">
        <f>'METAL RAW DATA'!K10</f>
        <v>0</v>
      </c>
      <c r="L10" s="138">
        <f>'METAL RAW DATA'!L10</f>
        <v>0</v>
      </c>
      <c r="M10" s="138">
        <f>'METAL RAW DATA'!M10</f>
        <v>0</v>
      </c>
      <c r="N10" s="138">
        <f>'METAL RAW DATA'!N10</f>
        <v>0</v>
      </c>
      <c r="O10" s="138">
        <f>'METAL RAW DATA'!O10</f>
        <v>0</v>
      </c>
      <c r="P10" s="138">
        <f>'METAL RAW DATA'!P10</f>
        <v>0</v>
      </c>
      <c r="Q10" s="138">
        <f>'METAL RAW DATA'!Q10</f>
        <v>0</v>
      </c>
      <c r="R10" s="138">
        <f>'METAL RAW DATA'!R10</f>
        <v>0</v>
      </c>
      <c r="S10" s="138">
        <f>'METAL RAW DATA'!S10</f>
        <v>0</v>
      </c>
      <c r="T10" s="138">
        <f>'METAL RAW DATA'!T10</f>
        <v>0</v>
      </c>
      <c r="U10" s="138">
        <f>'METAL RAW DATA'!U10</f>
        <v>0</v>
      </c>
      <c r="V10" s="198">
        <f>'METAL RAW DATA'!V10</f>
        <v>0</v>
      </c>
    </row>
    <row r="11" spans="2:42" ht="20.100000000000001" customHeight="1">
      <c r="B11" s="138" t="s">
        <v>10</v>
      </c>
      <c r="C11" s="138">
        <f>'METAL RAW DATA'!C11</f>
        <v>0</v>
      </c>
      <c r="D11" s="138">
        <f>'METAL RAW DATA'!D11</f>
        <v>0</v>
      </c>
      <c r="E11" s="138">
        <f>'METAL RAW DATA'!E11</f>
        <v>0</v>
      </c>
      <c r="F11" s="138">
        <f>'METAL RAW DATA'!F11</f>
        <v>0</v>
      </c>
      <c r="G11" s="138">
        <f>'METAL RAW DATA'!G11</f>
        <v>0</v>
      </c>
      <c r="H11" s="138">
        <f>'METAL RAW DATA'!H11</f>
        <v>0</v>
      </c>
      <c r="I11" s="138">
        <f>'METAL RAW DATA'!I11</f>
        <v>0</v>
      </c>
      <c r="J11" s="138">
        <f>'METAL RAW DATA'!J11</f>
        <v>0</v>
      </c>
      <c r="K11" s="138">
        <f>'METAL RAW DATA'!K11</f>
        <v>0</v>
      </c>
      <c r="L11" s="138">
        <f>'METAL RAW DATA'!L11</f>
        <v>0</v>
      </c>
      <c r="M11" s="138">
        <f>'METAL RAW DATA'!M11</f>
        <v>0</v>
      </c>
      <c r="N11" s="138">
        <f>'METAL RAW DATA'!N11</f>
        <v>0</v>
      </c>
      <c r="O11" s="138">
        <f>'METAL RAW DATA'!O11</f>
        <v>0</v>
      </c>
      <c r="P11" s="138">
        <f>'METAL RAW DATA'!P11</f>
        <v>0</v>
      </c>
      <c r="Q11" s="138">
        <f>'METAL RAW DATA'!Q11</f>
        <v>0</v>
      </c>
      <c r="R11" s="138">
        <f>'METAL RAW DATA'!R11</f>
        <v>0</v>
      </c>
      <c r="S11" s="138">
        <f>'METAL RAW DATA'!S11</f>
        <v>0</v>
      </c>
      <c r="T11" s="138">
        <f>'METAL RAW DATA'!T11</f>
        <v>0</v>
      </c>
      <c r="U11" s="138">
        <f>'METAL RAW DATA'!U11</f>
        <v>0</v>
      </c>
      <c r="V11" s="138">
        <f>'METAL RAW DATA'!V11</f>
        <v>0</v>
      </c>
    </row>
    <row r="12" spans="2:42" ht="20.100000000000001" customHeight="1">
      <c r="B12" s="138" t="s">
        <v>11</v>
      </c>
      <c r="C12" s="138">
        <f>'METAL RAW DATA'!C12</f>
        <v>0</v>
      </c>
      <c r="D12" s="138">
        <f>'METAL RAW DATA'!D12</f>
        <v>0</v>
      </c>
      <c r="E12" s="138">
        <f>'METAL RAW DATA'!E12</f>
        <v>0</v>
      </c>
      <c r="F12" s="138">
        <f>'METAL RAW DATA'!F12</f>
        <v>0</v>
      </c>
      <c r="G12" s="138">
        <f>'METAL RAW DATA'!G12</f>
        <v>0</v>
      </c>
      <c r="H12" s="138">
        <f>'METAL RAW DATA'!H12</f>
        <v>0</v>
      </c>
      <c r="I12" s="138">
        <f>'METAL RAW DATA'!I12</f>
        <v>0</v>
      </c>
      <c r="J12" s="138">
        <f>'METAL RAW DATA'!J12</f>
        <v>0</v>
      </c>
      <c r="K12" s="138">
        <f>'METAL RAW DATA'!K12</f>
        <v>0</v>
      </c>
      <c r="L12" s="138">
        <f>'METAL RAW DATA'!L12</f>
        <v>0</v>
      </c>
      <c r="M12" s="138">
        <f>'METAL RAW DATA'!M12</f>
        <v>0</v>
      </c>
      <c r="N12" s="138">
        <f>'METAL RAW DATA'!N12</f>
        <v>0</v>
      </c>
      <c r="O12" s="138">
        <f>'METAL RAW DATA'!O12</f>
        <v>0</v>
      </c>
      <c r="P12" s="138">
        <f>'METAL RAW DATA'!P12</f>
        <v>0</v>
      </c>
      <c r="Q12" s="138">
        <f>'METAL RAW DATA'!Q12</f>
        <v>0</v>
      </c>
      <c r="R12" s="138">
        <f>'METAL RAW DATA'!R12</f>
        <v>0</v>
      </c>
      <c r="S12" s="138">
        <f>'METAL RAW DATA'!S12</f>
        <v>0</v>
      </c>
      <c r="T12" s="138">
        <f>'METAL RAW DATA'!T12</f>
        <v>0</v>
      </c>
      <c r="U12" s="138">
        <f>'METAL RAW DATA'!U12</f>
        <v>0</v>
      </c>
      <c r="V12" s="138">
        <f>'METAL RAW DATA'!V12</f>
        <v>0</v>
      </c>
    </row>
    <row r="13" spans="2:42" ht="20.100000000000001" customHeight="1">
      <c r="B13" s="138" t="s">
        <v>12</v>
      </c>
      <c r="C13" s="138">
        <f>'METAL RAW DATA'!C13</f>
        <v>0</v>
      </c>
      <c r="D13" s="138">
        <f>'METAL RAW DATA'!D13</f>
        <v>0</v>
      </c>
      <c r="E13" s="138">
        <f>'METAL RAW DATA'!E13</f>
        <v>0</v>
      </c>
      <c r="F13" s="138">
        <f>'METAL RAW DATA'!F13</f>
        <v>0</v>
      </c>
      <c r="G13" s="138">
        <f>'METAL RAW DATA'!G13</f>
        <v>0</v>
      </c>
      <c r="H13" s="138">
        <f>'METAL RAW DATA'!H13</f>
        <v>0</v>
      </c>
      <c r="I13" s="138">
        <f>'METAL RAW DATA'!I13</f>
        <v>0</v>
      </c>
      <c r="J13" s="138">
        <f>'METAL RAW DATA'!J13</f>
        <v>0</v>
      </c>
      <c r="K13" s="138">
        <f>'METAL RAW DATA'!K13</f>
        <v>0</v>
      </c>
      <c r="L13" s="198">
        <f>'METAL RAW DATA'!L13</f>
        <v>0</v>
      </c>
      <c r="M13" s="138">
        <f>'METAL RAW DATA'!M13</f>
        <v>0</v>
      </c>
      <c r="N13" s="138">
        <f>'METAL RAW DATA'!N13</f>
        <v>0</v>
      </c>
      <c r="O13" s="138">
        <f>'METAL RAW DATA'!O13</f>
        <v>0</v>
      </c>
      <c r="P13" s="138">
        <f>'METAL RAW DATA'!P13</f>
        <v>0</v>
      </c>
      <c r="Q13" s="138">
        <f>'METAL RAW DATA'!Q13</f>
        <v>0</v>
      </c>
      <c r="R13" s="138">
        <f>'METAL RAW DATA'!R13</f>
        <v>0</v>
      </c>
      <c r="S13" s="138">
        <f>'METAL RAW DATA'!S13</f>
        <v>0</v>
      </c>
      <c r="T13" s="138">
        <f>'METAL RAW DATA'!T13</f>
        <v>0</v>
      </c>
      <c r="U13" s="138">
        <f>'METAL RAW DATA'!U13</f>
        <v>0</v>
      </c>
      <c r="V13" s="138">
        <f>'METAL RAW DATA'!V13</f>
        <v>0</v>
      </c>
    </row>
    <row r="14" spans="2:42" ht="20.100000000000001" customHeight="1">
      <c r="B14" s="138" t="s">
        <v>13</v>
      </c>
      <c r="C14" s="138">
        <f>'METAL RAW DATA'!C14</f>
        <v>0</v>
      </c>
      <c r="D14" s="138">
        <f>'METAL RAW DATA'!D14</f>
        <v>0</v>
      </c>
      <c r="E14" s="138">
        <f>'METAL RAW DATA'!E14</f>
        <v>0</v>
      </c>
      <c r="F14" s="138">
        <f>'METAL RAW DATA'!F14</f>
        <v>0</v>
      </c>
      <c r="G14" s="138">
        <f>'METAL RAW DATA'!G14</f>
        <v>0</v>
      </c>
      <c r="H14" s="138">
        <f>'METAL RAW DATA'!H14</f>
        <v>0</v>
      </c>
      <c r="I14" s="138">
        <f>'METAL RAW DATA'!I14</f>
        <v>0</v>
      </c>
      <c r="J14" s="138">
        <f>'METAL RAW DATA'!J14</f>
        <v>0</v>
      </c>
      <c r="K14" s="138">
        <f>'METAL RAW DATA'!K14</f>
        <v>0</v>
      </c>
      <c r="L14" s="198">
        <f>'METAL RAW DATA'!L14</f>
        <v>0</v>
      </c>
      <c r="M14" s="138">
        <f>'METAL RAW DATA'!M14</f>
        <v>0</v>
      </c>
      <c r="N14" s="138">
        <f>'METAL RAW DATA'!N14</f>
        <v>0</v>
      </c>
      <c r="O14" s="138">
        <f>'METAL RAW DATA'!O14</f>
        <v>0</v>
      </c>
      <c r="P14" s="138">
        <f>'METAL RAW DATA'!P14</f>
        <v>0</v>
      </c>
      <c r="Q14" s="138">
        <f>'METAL RAW DATA'!Q14</f>
        <v>0</v>
      </c>
      <c r="R14" s="138">
        <f>'METAL RAW DATA'!R14</f>
        <v>0</v>
      </c>
      <c r="S14" s="138">
        <f>'METAL RAW DATA'!S14</f>
        <v>0</v>
      </c>
      <c r="T14" s="138">
        <f>'METAL RAW DATA'!T14</f>
        <v>0</v>
      </c>
      <c r="U14" s="138">
        <f>'METAL RAW DATA'!U14</f>
        <v>0</v>
      </c>
      <c r="V14" s="198">
        <f>'METAL RAW DATA'!V14</f>
        <v>0</v>
      </c>
    </row>
    <row r="15" spans="2:42" ht="20.100000000000001" customHeight="1">
      <c r="B15" s="138" t="s">
        <v>14</v>
      </c>
      <c r="C15" s="138">
        <f>'METAL RAW DATA'!C15</f>
        <v>0</v>
      </c>
      <c r="D15" s="138">
        <f>'METAL RAW DATA'!D15</f>
        <v>0</v>
      </c>
      <c r="E15" s="138">
        <f>'METAL RAW DATA'!E15</f>
        <v>0</v>
      </c>
      <c r="F15" s="198">
        <f>'METAL RAW DATA'!F15</f>
        <v>0</v>
      </c>
      <c r="G15" s="138">
        <f>'METAL RAW DATA'!G15</f>
        <v>0</v>
      </c>
      <c r="H15" s="138">
        <f>'METAL RAW DATA'!H15</f>
        <v>0</v>
      </c>
      <c r="I15" s="138">
        <f>'METAL RAW DATA'!I15</f>
        <v>0</v>
      </c>
      <c r="J15" s="138">
        <f>'METAL RAW DATA'!J15</f>
        <v>0</v>
      </c>
      <c r="K15" s="138">
        <f>'METAL RAW DATA'!K15</f>
        <v>0</v>
      </c>
      <c r="L15" s="198">
        <f>'METAL RAW DATA'!L15</f>
        <v>0</v>
      </c>
      <c r="M15" s="138">
        <f>'METAL RAW DATA'!M15</f>
        <v>0</v>
      </c>
      <c r="N15" s="138">
        <f>'METAL RAW DATA'!N15</f>
        <v>0</v>
      </c>
      <c r="O15" s="138">
        <f>'METAL RAW DATA'!O15</f>
        <v>0</v>
      </c>
      <c r="P15" s="138">
        <f>'METAL RAW DATA'!P15</f>
        <v>0</v>
      </c>
      <c r="Q15" s="138">
        <f>'METAL RAW DATA'!Q15</f>
        <v>0</v>
      </c>
      <c r="R15" s="138">
        <f>'METAL RAW DATA'!R15</f>
        <v>0</v>
      </c>
      <c r="S15" s="138">
        <f>'METAL RAW DATA'!S15</f>
        <v>0</v>
      </c>
      <c r="T15" s="138">
        <f>'METAL RAW DATA'!T15</f>
        <v>0</v>
      </c>
      <c r="U15" s="138">
        <f>'METAL RAW DATA'!U15</f>
        <v>0</v>
      </c>
      <c r="V15" s="198">
        <f>'METAL RAW DATA'!V15</f>
        <v>0</v>
      </c>
    </row>
    <row r="16" spans="2:42" ht="20.100000000000001" customHeight="1">
      <c r="B16" s="138" t="s">
        <v>15</v>
      </c>
      <c r="C16" s="138">
        <f>'METAL RAW DATA'!C16</f>
        <v>0</v>
      </c>
      <c r="D16" s="138">
        <f>'METAL RAW DATA'!D16</f>
        <v>0</v>
      </c>
      <c r="E16" s="138">
        <f>'METAL RAW DATA'!E16</f>
        <v>0</v>
      </c>
      <c r="F16" s="138">
        <f>'METAL RAW DATA'!F16</f>
        <v>0</v>
      </c>
      <c r="G16" s="138">
        <f>'METAL RAW DATA'!G16</f>
        <v>0</v>
      </c>
      <c r="H16" s="138">
        <f>'METAL RAW DATA'!H16</f>
        <v>0</v>
      </c>
      <c r="I16" s="138">
        <f>'METAL RAW DATA'!I16</f>
        <v>0</v>
      </c>
      <c r="J16" s="138">
        <f>'METAL RAW DATA'!J16</f>
        <v>0</v>
      </c>
      <c r="K16" s="138">
        <f>'METAL RAW DATA'!K16</f>
        <v>0</v>
      </c>
      <c r="L16" s="198">
        <f>'METAL RAW DATA'!L16</f>
        <v>0</v>
      </c>
      <c r="M16" s="138">
        <f>'METAL RAW DATA'!M16</f>
        <v>0</v>
      </c>
      <c r="N16" s="138">
        <f>'METAL RAW DATA'!N16</f>
        <v>0</v>
      </c>
      <c r="O16" s="138">
        <f>'METAL RAW DATA'!O16</f>
        <v>0</v>
      </c>
      <c r="P16" s="138">
        <f>'METAL RAW DATA'!P16</f>
        <v>0</v>
      </c>
      <c r="Q16" s="138">
        <f>'METAL RAW DATA'!Q16</f>
        <v>0</v>
      </c>
      <c r="R16" s="138">
        <f>'METAL RAW DATA'!R16</f>
        <v>0</v>
      </c>
      <c r="S16" s="138">
        <f>'METAL RAW DATA'!S16</f>
        <v>0</v>
      </c>
      <c r="T16" s="138">
        <f>'METAL RAW DATA'!T16</f>
        <v>0</v>
      </c>
      <c r="U16" s="138">
        <f>'METAL RAW DATA'!U16</f>
        <v>0</v>
      </c>
      <c r="V16" s="198">
        <f>'METAL RAW DATA'!V16</f>
        <v>0</v>
      </c>
    </row>
    <row r="17" spans="2:22" ht="20.100000000000001" customHeight="1">
      <c r="B17" s="138" t="s">
        <v>16</v>
      </c>
      <c r="C17" s="138">
        <f>'METAL RAW DATA'!C17</f>
        <v>0</v>
      </c>
      <c r="D17" s="138">
        <f>'METAL RAW DATA'!D17</f>
        <v>0</v>
      </c>
      <c r="E17" s="138">
        <f>'METAL RAW DATA'!E17</f>
        <v>0</v>
      </c>
      <c r="F17" s="138">
        <f>'METAL RAW DATA'!F17</f>
        <v>0</v>
      </c>
      <c r="G17" s="138">
        <f>'METAL RAW DATA'!G17</f>
        <v>0</v>
      </c>
      <c r="H17" s="138">
        <f>'METAL RAW DATA'!H17</f>
        <v>0</v>
      </c>
      <c r="I17" s="138">
        <f>'METAL RAW DATA'!I17</f>
        <v>0</v>
      </c>
      <c r="J17" s="138">
        <f>'METAL RAW DATA'!J17</f>
        <v>0</v>
      </c>
      <c r="K17" s="138">
        <f>'METAL RAW DATA'!K17</f>
        <v>0</v>
      </c>
      <c r="L17" s="138">
        <f>'METAL RAW DATA'!L17</f>
        <v>0</v>
      </c>
      <c r="M17" s="138">
        <f>'METAL RAW DATA'!M17</f>
        <v>0</v>
      </c>
      <c r="N17" s="138">
        <f>'METAL RAW DATA'!N17</f>
        <v>0</v>
      </c>
      <c r="O17" s="138">
        <f>'METAL RAW DATA'!O17</f>
        <v>0</v>
      </c>
      <c r="P17" s="138">
        <f>'METAL RAW DATA'!P17</f>
        <v>0</v>
      </c>
      <c r="Q17" s="138">
        <f>'METAL RAW DATA'!Q17</f>
        <v>0</v>
      </c>
      <c r="R17" s="138">
        <f>'METAL RAW DATA'!R17</f>
        <v>0</v>
      </c>
      <c r="S17" s="138">
        <f>'METAL RAW DATA'!S17</f>
        <v>0</v>
      </c>
      <c r="T17" s="138">
        <f>'METAL RAW DATA'!T17</f>
        <v>0</v>
      </c>
      <c r="U17" s="138">
        <f>'METAL RAW DATA'!U17</f>
        <v>0</v>
      </c>
      <c r="V17" s="138">
        <f>'METAL RAW DATA'!V17</f>
        <v>0</v>
      </c>
    </row>
    <row r="18" spans="2:22" ht="20.100000000000001" customHeight="1">
      <c r="B18" s="138" t="s">
        <v>17</v>
      </c>
      <c r="C18" s="138">
        <f>'METAL RAW DATA'!C18</f>
        <v>0</v>
      </c>
      <c r="D18" s="138">
        <f>'METAL RAW DATA'!D18</f>
        <v>0</v>
      </c>
      <c r="E18" s="138">
        <f>'METAL RAW DATA'!E18</f>
        <v>0</v>
      </c>
      <c r="F18" s="138">
        <f>'METAL RAW DATA'!F18</f>
        <v>0</v>
      </c>
      <c r="G18" s="138">
        <f>'METAL RAW DATA'!G18</f>
        <v>0</v>
      </c>
      <c r="H18" s="138">
        <f>'METAL RAW DATA'!H18</f>
        <v>0</v>
      </c>
      <c r="I18" s="138">
        <f>'METAL RAW DATA'!I18</f>
        <v>0</v>
      </c>
      <c r="J18" s="138">
        <f>'METAL RAW DATA'!J18</f>
        <v>0</v>
      </c>
      <c r="K18" s="138">
        <f>'METAL RAW DATA'!K18</f>
        <v>0</v>
      </c>
      <c r="L18" s="198">
        <f>'METAL RAW DATA'!L18</f>
        <v>0</v>
      </c>
      <c r="M18" s="138">
        <f>'METAL RAW DATA'!M18</f>
        <v>0</v>
      </c>
      <c r="N18" s="138">
        <f>'METAL RAW DATA'!N18</f>
        <v>0</v>
      </c>
      <c r="O18" s="138">
        <f>'METAL RAW DATA'!O18</f>
        <v>0</v>
      </c>
      <c r="P18" s="138">
        <f>'METAL RAW DATA'!P18</f>
        <v>0</v>
      </c>
      <c r="Q18" s="138">
        <f>'METAL RAW DATA'!Q18</f>
        <v>0</v>
      </c>
      <c r="R18" s="138">
        <f>'METAL RAW DATA'!R18</f>
        <v>0</v>
      </c>
      <c r="S18" s="138">
        <f>'METAL RAW DATA'!S18</f>
        <v>0</v>
      </c>
      <c r="T18" s="138">
        <f>'METAL RAW DATA'!T18</f>
        <v>0</v>
      </c>
      <c r="U18" s="138">
        <f>'METAL RAW DATA'!U18</f>
        <v>0</v>
      </c>
      <c r="V18" s="138">
        <f>'METAL RAW DATA'!V18</f>
        <v>0</v>
      </c>
    </row>
    <row r="19" spans="2:22" ht="20.100000000000001" customHeight="1">
      <c r="B19" s="138" t="s">
        <v>18</v>
      </c>
      <c r="C19" s="138">
        <f>'METAL RAW DATA'!C19</f>
        <v>0</v>
      </c>
      <c r="D19" s="138">
        <f>'METAL RAW DATA'!D19</f>
        <v>0</v>
      </c>
      <c r="E19" s="138">
        <f>'METAL RAW DATA'!E19</f>
        <v>0</v>
      </c>
      <c r="F19" s="138">
        <f>'METAL RAW DATA'!F19</f>
        <v>0</v>
      </c>
      <c r="G19" s="138">
        <f>'METAL RAW DATA'!G19</f>
        <v>0</v>
      </c>
      <c r="H19" s="138">
        <f>'METAL RAW DATA'!H19</f>
        <v>0</v>
      </c>
      <c r="I19" s="138">
        <f>'METAL RAW DATA'!I19</f>
        <v>0</v>
      </c>
      <c r="J19" s="138">
        <f>'METAL RAW DATA'!J19</f>
        <v>0</v>
      </c>
      <c r="K19" s="138">
        <f>'METAL RAW DATA'!K19</f>
        <v>0</v>
      </c>
      <c r="L19" s="138">
        <f>'METAL RAW DATA'!L19</f>
        <v>0</v>
      </c>
      <c r="M19" s="138">
        <f>'METAL RAW DATA'!M19</f>
        <v>0</v>
      </c>
      <c r="N19" s="138">
        <f>'METAL RAW DATA'!N19</f>
        <v>0</v>
      </c>
      <c r="O19" s="138">
        <f>'METAL RAW DATA'!O19</f>
        <v>0</v>
      </c>
      <c r="P19" s="138">
        <f>'METAL RAW DATA'!P19</f>
        <v>0</v>
      </c>
      <c r="Q19" s="138">
        <f>'METAL RAW DATA'!Q19</f>
        <v>0</v>
      </c>
      <c r="R19" s="138">
        <f>'METAL RAW DATA'!R19</f>
        <v>0</v>
      </c>
      <c r="S19" s="138">
        <f>'METAL RAW DATA'!S19</f>
        <v>0</v>
      </c>
      <c r="T19" s="138">
        <f>'METAL RAW DATA'!T19</f>
        <v>0</v>
      </c>
      <c r="U19" s="138">
        <f>'METAL RAW DATA'!U19</f>
        <v>0</v>
      </c>
      <c r="V19" s="138">
        <f>'METAL RAW DATA'!V19</f>
        <v>0</v>
      </c>
    </row>
    <row r="20" spans="2:22" ht="20.100000000000001" customHeight="1">
      <c r="B20" s="138" t="s">
        <v>19</v>
      </c>
      <c r="C20" s="138">
        <f>'METAL RAW DATA'!C20</f>
        <v>0</v>
      </c>
      <c r="D20" s="138">
        <f>'METAL RAW DATA'!D20</f>
        <v>0</v>
      </c>
      <c r="E20" s="138">
        <f>'METAL RAW DATA'!E20</f>
        <v>0</v>
      </c>
      <c r="F20" s="138">
        <f>'METAL RAW DATA'!F20</f>
        <v>0</v>
      </c>
      <c r="G20" s="138">
        <f>'METAL RAW DATA'!G20</f>
        <v>0</v>
      </c>
      <c r="H20" s="138">
        <f>'METAL RAW DATA'!H20</f>
        <v>0</v>
      </c>
      <c r="I20" s="138">
        <f>'METAL RAW DATA'!I20</f>
        <v>0</v>
      </c>
      <c r="J20" s="138">
        <f>'METAL RAW DATA'!J20</f>
        <v>0</v>
      </c>
      <c r="K20" s="138">
        <f>'METAL RAW DATA'!K20</f>
        <v>0</v>
      </c>
      <c r="L20" s="138">
        <f>'METAL RAW DATA'!L20</f>
        <v>0</v>
      </c>
      <c r="M20" s="138">
        <f>'METAL RAW DATA'!M20</f>
        <v>0</v>
      </c>
      <c r="N20" s="138">
        <f>'METAL RAW DATA'!N20</f>
        <v>0</v>
      </c>
      <c r="O20" s="138">
        <f>'METAL RAW DATA'!O20</f>
        <v>0</v>
      </c>
      <c r="P20" s="138">
        <f>'METAL RAW DATA'!P20</f>
        <v>0</v>
      </c>
      <c r="Q20" s="138">
        <f>'METAL RAW DATA'!Q20</f>
        <v>0</v>
      </c>
      <c r="R20" s="138">
        <f>'METAL RAW DATA'!R20</f>
        <v>0</v>
      </c>
      <c r="S20" s="138">
        <f>'METAL RAW DATA'!S20</f>
        <v>0</v>
      </c>
      <c r="T20" s="138">
        <f>'METAL RAW DATA'!T20</f>
        <v>0</v>
      </c>
      <c r="U20" s="138">
        <f>'METAL RAW DATA'!U20</f>
        <v>0</v>
      </c>
      <c r="V20" s="138">
        <f>'METAL RAW DATA'!V20</f>
        <v>0</v>
      </c>
    </row>
    <row r="22" spans="2:22">
      <c r="C22" s="139"/>
      <c r="D22" s="139"/>
      <c r="E22" s="139"/>
      <c r="F22" s="139"/>
      <c r="G22" s="139"/>
    </row>
    <row r="23" spans="2:22" ht="19.5" customHeight="1">
      <c r="B23" s="145" t="s">
        <v>3</v>
      </c>
      <c r="C23" s="140" t="s">
        <v>2</v>
      </c>
      <c r="D23" s="140" t="s">
        <v>2</v>
      </c>
      <c r="E23" s="140" t="s">
        <v>2</v>
      </c>
      <c r="F23" s="140" t="s">
        <v>2</v>
      </c>
      <c r="G23" s="140" t="s">
        <v>2</v>
      </c>
      <c r="H23" s="140" t="s">
        <v>2</v>
      </c>
      <c r="I23" s="140" t="s">
        <v>2</v>
      </c>
      <c r="J23" s="140" t="s">
        <v>2</v>
      </c>
      <c r="K23" s="140" t="s">
        <v>2</v>
      </c>
      <c r="L23" s="140" t="s">
        <v>2</v>
      </c>
      <c r="M23" s="175" t="s">
        <v>2</v>
      </c>
      <c r="N23" s="175" t="s">
        <v>2</v>
      </c>
      <c r="O23" s="175" t="s">
        <v>2</v>
      </c>
      <c r="P23" s="175" t="s">
        <v>2</v>
      </c>
      <c r="Q23" s="175" t="s">
        <v>2</v>
      </c>
      <c r="R23" s="175" t="s">
        <v>2</v>
      </c>
      <c r="S23" s="175" t="s">
        <v>2</v>
      </c>
      <c r="T23" s="175" t="s">
        <v>2</v>
      </c>
      <c r="U23" s="175" t="s">
        <v>2</v>
      </c>
      <c r="V23" s="177" t="s">
        <v>2</v>
      </c>
    </row>
    <row r="24" spans="2:22" ht="19.5" customHeight="1">
      <c r="B24" s="146" t="s">
        <v>4</v>
      </c>
      <c r="C24" s="137" t="s">
        <v>5</v>
      </c>
      <c r="D24" s="137" t="s">
        <v>5</v>
      </c>
      <c r="E24" s="137" t="s">
        <v>5</v>
      </c>
      <c r="F24" s="137" t="s">
        <v>5</v>
      </c>
      <c r="G24" s="137" t="s">
        <v>5</v>
      </c>
      <c r="H24" s="137" t="s">
        <v>5</v>
      </c>
      <c r="I24" s="137" t="s">
        <v>5</v>
      </c>
      <c r="J24" s="137" t="s">
        <v>5</v>
      </c>
      <c r="K24" s="137" t="s">
        <v>5</v>
      </c>
      <c r="L24" s="137" t="s">
        <v>5</v>
      </c>
      <c r="M24" s="137" t="s">
        <v>6</v>
      </c>
      <c r="N24" s="137" t="s">
        <v>6</v>
      </c>
      <c r="O24" s="137" t="s">
        <v>6</v>
      </c>
      <c r="P24" s="137" t="s">
        <v>6</v>
      </c>
      <c r="Q24" s="137" t="s">
        <v>6</v>
      </c>
      <c r="R24" s="137" t="s">
        <v>6</v>
      </c>
      <c r="S24" s="137" t="s">
        <v>6</v>
      </c>
      <c r="T24" s="137" t="s">
        <v>6</v>
      </c>
      <c r="U24" s="137" t="s">
        <v>6</v>
      </c>
      <c r="V24" s="178" t="s">
        <v>6</v>
      </c>
    </row>
    <row r="25" spans="2:22" ht="19.5" customHeight="1">
      <c r="B25" s="138" t="s">
        <v>7</v>
      </c>
      <c r="C25" s="227">
        <f>'METAL RAW DATA'!W8</f>
        <v>0</v>
      </c>
      <c r="D25" s="227">
        <f>'METAL RAW DATA'!X8</f>
        <v>0</v>
      </c>
      <c r="E25" s="227">
        <f>'METAL RAW DATA'!Y8</f>
        <v>0</v>
      </c>
      <c r="F25" s="227">
        <f>'METAL RAW DATA'!Z8</f>
        <v>0</v>
      </c>
      <c r="G25" s="227">
        <f>'METAL RAW DATA'!AA8</f>
        <v>0</v>
      </c>
      <c r="H25" s="227">
        <f>'METAL RAW DATA'!AB8</f>
        <v>0</v>
      </c>
      <c r="I25" s="227">
        <f>'METAL RAW DATA'!AC8</f>
        <v>0</v>
      </c>
      <c r="J25" s="227">
        <f>'METAL RAW DATA'!AD8</f>
        <v>0</v>
      </c>
      <c r="K25" s="227">
        <f>'METAL RAW DATA'!AE8</f>
        <v>0</v>
      </c>
      <c r="L25" s="228">
        <f>'METAL RAW DATA'!AF8</f>
        <v>0</v>
      </c>
      <c r="M25" s="227">
        <f>'METAL RAW DATA'!AG8</f>
        <v>0</v>
      </c>
      <c r="N25" s="227">
        <f>'METAL RAW DATA'!AH8</f>
        <v>0</v>
      </c>
      <c r="O25" s="227">
        <f>'METAL RAW DATA'!AI8</f>
        <v>0</v>
      </c>
      <c r="P25" s="227">
        <f>'METAL RAW DATA'!AJ8</f>
        <v>0</v>
      </c>
      <c r="Q25" s="227">
        <f>'METAL RAW DATA'!AK8</f>
        <v>0</v>
      </c>
      <c r="R25" s="227">
        <f>'METAL RAW DATA'!AL8</f>
        <v>0</v>
      </c>
      <c r="S25" s="227">
        <f>'METAL RAW DATA'!AM8</f>
        <v>0</v>
      </c>
      <c r="T25" s="227">
        <f>'METAL RAW DATA'!AN8</f>
        <v>0</v>
      </c>
      <c r="U25" s="227">
        <f>'METAL RAW DATA'!AO8</f>
        <v>0</v>
      </c>
      <c r="V25" s="227">
        <f>'METAL RAW DATA'!AP8</f>
        <v>0</v>
      </c>
    </row>
    <row r="26" spans="2:22" ht="19.5" customHeight="1">
      <c r="B26" s="138" t="s">
        <v>8</v>
      </c>
      <c r="C26" s="138">
        <f>'METAL RAW DATA'!W9</f>
        <v>0</v>
      </c>
      <c r="D26" s="138">
        <f>'METAL RAW DATA'!X9</f>
        <v>0</v>
      </c>
      <c r="E26" s="138">
        <f>'METAL RAW DATA'!Y9</f>
        <v>0</v>
      </c>
      <c r="F26" s="138">
        <f>'METAL RAW DATA'!Z9</f>
        <v>0</v>
      </c>
      <c r="G26" s="138">
        <f>'METAL RAW DATA'!AA9</f>
        <v>0</v>
      </c>
      <c r="H26" s="138">
        <f>'METAL RAW DATA'!AB9</f>
        <v>0</v>
      </c>
      <c r="I26" s="138">
        <f>'METAL RAW DATA'!AC9</f>
        <v>0</v>
      </c>
      <c r="J26" s="138">
        <f>'METAL RAW DATA'!AD9</f>
        <v>0</v>
      </c>
      <c r="K26" s="138">
        <f>'METAL RAW DATA'!AE9</f>
        <v>0</v>
      </c>
      <c r="L26" s="138">
        <f>'METAL RAW DATA'!AF9</f>
        <v>0</v>
      </c>
      <c r="M26" s="138">
        <f>'METAL RAW DATA'!AG9</f>
        <v>0</v>
      </c>
      <c r="N26" s="138">
        <f>'METAL RAW DATA'!AH9</f>
        <v>0</v>
      </c>
      <c r="O26" s="138">
        <f>'METAL RAW DATA'!AI9</f>
        <v>0</v>
      </c>
      <c r="P26" s="138">
        <f>'METAL RAW DATA'!AJ9</f>
        <v>0</v>
      </c>
      <c r="Q26" s="138">
        <f>'METAL RAW DATA'!AK9</f>
        <v>0</v>
      </c>
      <c r="R26" s="138">
        <f>'METAL RAW DATA'!AL9</f>
        <v>0</v>
      </c>
      <c r="S26" s="138">
        <f>'METAL RAW DATA'!AM9</f>
        <v>0</v>
      </c>
      <c r="T26" s="138">
        <f>'METAL RAW DATA'!AN9</f>
        <v>0</v>
      </c>
      <c r="U26" s="138">
        <f>'METAL RAW DATA'!AO9</f>
        <v>0</v>
      </c>
      <c r="V26" s="198">
        <f>'METAL RAW DATA'!AP9</f>
        <v>0</v>
      </c>
    </row>
    <row r="27" spans="2:22" ht="19.5" customHeight="1">
      <c r="B27" s="138" t="s">
        <v>9</v>
      </c>
      <c r="C27" s="138">
        <f>'METAL RAW DATA'!W10</f>
        <v>0</v>
      </c>
      <c r="D27" s="138">
        <f>'METAL RAW DATA'!X10</f>
        <v>0</v>
      </c>
      <c r="E27" s="138">
        <f>'METAL RAW DATA'!Y10</f>
        <v>0</v>
      </c>
      <c r="F27" s="138">
        <f>'METAL RAW DATA'!Z10</f>
        <v>0</v>
      </c>
      <c r="G27" s="138">
        <f>'METAL RAW DATA'!AA10</f>
        <v>0</v>
      </c>
      <c r="H27" s="138">
        <f>'METAL RAW DATA'!AB10</f>
        <v>0</v>
      </c>
      <c r="I27" s="138">
        <f>'METAL RAW DATA'!AC10</f>
        <v>0</v>
      </c>
      <c r="J27" s="138">
        <f>'METAL RAW DATA'!AD10</f>
        <v>0</v>
      </c>
      <c r="K27" s="138">
        <f>'METAL RAW DATA'!AE10</f>
        <v>0</v>
      </c>
      <c r="L27" s="198">
        <f>'METAL RAW DATA'!AF10</f>
        <v>0</v>
      </c>
      <c r="M27" s="138">
        <f>'METAL RAW DATA'!AG10</f>
        <v>0</v>
      </c>
      <c r="N27" s="138">
        <f>'METAL RAW DATA'!AH10</f>
        <v>0</v>
      </c>
      <c r="O27" s="138">
        <f>'METAL RAW DATA'!AI10</f>
        <v>0</v>
      </c>
      <c r="P27" s="138">
        <f>'METAL RAW DATA'!AJ10</f>
        <v>0</v>
      </c>
      <c r="Q27" s="138">
        <f>'METAL RAW DATA'!AK10</f>
        <v>0</v>
      </c>
      <c r="R27" s="138">
        <f>'METAL RAW DATA'!AL10</f>
        <v>0</v>
      </c>
      <c r="S27" s="138">
        <f>'METAL RAW DATA'!AM10</f>
        <v>0</v>
      </c>
      <c r="T27" s="138">
        <f>'METAL RAW DATA'!AN10</f>
        <v>0</v>
      </c>
      <c r="U27" s="138">
        <f>'METAL RAW DATA'!AO10</f>
        <v>0</v>
      </c>
      <c r="V27" s="138">
        <f>'METAL RAW DATA'!AP10</f>
        <v>0</v>
      </c>
    </row>
    <row r="28" spans="2:22" ht="19.5" customHeight="1">
      <c r="B28" s="138" t="s">
        <v>10</v>
      </c>
      <c r="C28" s="138">
        <f>'METAL RAW DATA'!W11</f>
        <v>0</v>
      </c>
      <c r="D28" s="138">
        <f>'METAL RAW DATA'!X11</f>
        <v>0</v>
      </c>
      <c r="E28" s="138">
        <f>'METAL RAW DATA'!Y11</f>
        <v>0</v>
      </c>
      <c r="F28" s="138">
        <f>'METAL RAW DATA'!Z11</f>
        <v>0</v>
      </c>
      <c r="G28" s="138">
        <f>'METAL RAW DATA'!AA11</f>
        <v>0</v>
      </c>
      <c r="H28" s="138">
        <f>'METAL RAW DATA'!AB11</f>
        <v>0</v>
      </c>
      <c r="I28" s="138">
        <f>'METAL RAW DATA'!AC11</f>
        <v>0</v>
      </c>
      <c r="J28" s="138">
        <f>'METAL RAW DATA'!AD11</f>
        <v>0</v>
      </c>
      <c r="K28" s="138">
        <f>'METAL RAW DATA'!AE11</f>
        <v>0</v>
      </c>
      <c r="L28" s="198">
        <f>'METAL RAW DATA'!AF11</f>
        <v>0</v>
      </c>
      <c r="M28" s="138">
        <f>'METAL RAW DATA'!AG11</f>
        <v>0</v>
      </c>
      <c r="N28" s="138">
        <f>'METAL RAW DATA'!AH11</f>
        <v>0</v>
      </c>
      <c r="O28" s="138">
        <f>'METAL RAW DATA'!AI11</f>
        <v>0</v>
      </c>
      <c r="P28" s="138">
        <f>'METAL RAW DATA'!AJ11</f>
        <v>0</v>
      </c>
      <c r="Q28" s="138">
        <f>'METAL RAW DATA'!AK11</f>
        <v>0</v>
      </c>
      <c r="R28" s="138">
        <f>'METAL RAW DATA'!AL11</f>
        <v>0</v>
      </c>
      <c r="S28" s="138">
        <f>'METAL RAW DATA'!AM11</f>
        <v>0</v>
      </c>
      <c r="T28" s="138">
        <f>'METAL RAW DATA'!AN11</f>
        <v>0</v>
      </c>
      <c r="U28" s="138">
        <f>'METAL RAW DATA'!AO11</f>
        <v>0</v>
      </c>
      <c r="V28" s="138">
        <f>'METAL RAW DATA'!AP11</f>
        <v>0</v>
      </c>
    </row>
    <row r="29" spans="2:22" ht="19.5" customHeight="1">
      <c r="B29" s="138" t="s">
        <v>11</v>
      </c>
      <c r="C29" s="138">
        <f>'METAL RAW DATA'!W12</f>
        <v>0</v>
      </c>
      <c r="D29" s="138">
        <f>'METAL RAW DATA'!X12</f>
        <v>0</v>
      </c>
      <c r="E29" s="138">
        <f>'METAL RAW DATA'!Y12</f>
        <v>0</v>
      </c>
      <c r="F29" s="138">
        <f>'METAL RAW DATA'!Z12</f>
        <v>0</v>
      </c>
      <c r="G29" s="138">
        <f>'METAL RAW DATA'!AA12</f>
        <v>0</v>
      </c>
      <c r="H29" s="138">
        <f>'METAL RAW DATA'!AB12</f>
        <v>0</v>
      </c>
      <c r="I29" s="138">
        <f>'METAL RAW DATA'!AC12</f>
        <v>0</v>
      </c>
      <c r="J29" s="138">
        <f>'METAL RAW DATA'!AD12</f>
        <v>0</v>
      </c>
      <c r="K29" s="138">
        <f>'METAL RAW DATA'!AE12</f>
        <v>0</v>
      </c>
      <c r="L29" s="138">
        <f>'METAL RAW DATA'!AF12</f>
        <v>0</v>
      </c>
      <c r="M29" s="138">
        <f>'METAL RAW DATA'!AG12</f>
        <v>0</v>
      </c>
      <c r="N29" s="138">
        <f>'METAL RAW DATA'!AH12</f>
        <v>0</v>
      </c>
      <c r="O29" s="138">
        <f>'METAL RAW DATA'!AI12</f>
        <v>0</v>
      </c>
      <c r="P29" s="138">
        <f>'METAL RAW DATA'!AJ12</f>
        <v>0</v>
      </c>
      <c r="Q29" s="138">
        <f>'METAL RAW DATA'!AK12</f>
        <v>0</v>
      </c>
      <c r="R29" s="138">
        <f>'METAL RAW DATA'!AL12</f>
        <v>0</v>
      </c>
      <c r="S29" s="138">
        <f>'METAL RAW DATA'!AM12</f>
        <v>0</v>
      </c>
      <c r="T29" s="138">
        <f>'METAL RAW DATA'!AN12</f>
        <v>0</v>
      </c>
      <c r="U29" s="138">
        <f>'METAL RAW DATA'!AO12</f>
        <v>0</v>
      </c>
      <c r="V29" s="138">
        <f>'METAL RAW DATA'!AP12</f>
        <v>0</v>
      </c>
    </row>
    <row r="30" spans="2:22" ht="19.5" customHeight="1">
      <c r="B30" s="138" t="s">
        <v>12</v>
      </c>
      <c r="C30" s="138">
        <f>'METAL RAW DATA'!W13</f>
        <v>0</v>
      </c>
      <c r="D30" s="138">
        <f>'METAL RAW DATA'!X13</f>
        <v>0</v>
      </c>
      <c r="E30" s="138">
        <f>'METAL RAW DATA'!Y13</f>
        <v>0</v>
      </c>
      <c r="F30" s="138">
        <f>'METAL RAW DATA'!Z13</f>
        <v>0</v>
      </c>
      <c r="G30" s="138">
        <f>'METAL RAW DATA'!AA13</f>
        <v>0</v>
      </c>
      <c r="H30" s="138">
        <f>'METAL RAW DATA'!AB13</f>
        <v>0</v>
      </c>
      <c r="I30" s="138">
        <f>'METAL RAW DATA'!AC13</f>
        <v>0</v>
      </c>
      <c r="J30" s="138">
        <f>'METAL RAW DATA'!AD13</f>
        <v>0</v>
      </c>
      <c r="K30" s="138">
        <f>'METAL RAW DATA'!AE13</f>
        <v>0</v>
      </c>
      <c r="L30" s="138">
        <f>'METAL RAW DATA'!AF13</f>
        <v>0</v>
      </c>
      <c r="M30" s="138">
        <f>'METAL RAW DATA'!AG13</f>
        <v>0</v>
      </c>
      <c r="N30" s="138">
        <f>'METAL RAW DATA'!AH13</f>
        <v>0</v>
      </c>
      <c r="O30" s="138">
        <f>'METAL RAW DATA'!AI13</f>
        <v>0</v>
      </c>
      <c r="P30" s="138">
        <f>'METAL RAW DATA'!AJ13</f>
        <v>0</v>
      </c>
      <c r="Q30" s="138">
        <f>'METAL RAW DATA'!AK13</f>
        <v>0</v>
      </c>
      <c r="R30" s="138">
        <f>'METAL RAW DATA'!AL13</f>
        <v>0</v>
      </c>
      <c r="S30" s="138">
        <f>'METAL RAW DATA'!AM13</f>
        <v>0</v>
      </c>
      <c r="T30" s="138">
        <f>'METAL RAW DATA'!AN13</f>
        <v>0</v>
      </c>
      <c r="U30" s="138">
        <f>'METAL RAW DATA'!AO13</f>
        <v>0</v>
      </c>
      <c r="V30" s="138">
        <f>'METAL RAW DATA'!AP13</f>
        <v>0</v>
      </c>
    </row>
    <row r="31" spans="2:22" ht="19.5" customHeight="1">
      <c r="B31" s="138" t="s">
        <v>13</v>
      </c>
      <c r="C31" s="138">
        <f>'METAL RAW DATA'!W14</f>
        <v>0</v>
      </c>
      <c r="D31" s="138">
        <f>'METAL RAW DATA'!X14</f>
        <v>0</v>
      </c>
      <c r="E31" s="138">
        <f>'METAL RAW DATA'!Y14</f>
        <v>0</v>
      </c>
      <c r="F31" s="138">
        <f>'METAL RAW DATA'!Z14</f>
        <v>0</v>
      </c>
      <c r="G31" s="138">
        <f>'METAL RAW DATA'!AA14</f>
        <v>0</v>
      </c>
      <c r="H31" s="138">
        <f>'METAL RAW DATA'!AB14</f>
        <v>0</v>
      </c>
      <c r="I31" s="138">
        <f>'METAL RAW DATA'!AC14</f>
        <v>0</v>
      </c>
      <c r="J31" s="138">
        <f>'METAL RAW DATA'!AD14</f>
        <v>0</v>
      </c>
      <c r="K31" s="138">
        <f>'METAL RAW DATA'!AE14</f>
        <v>0</v>
      </c>
      <c r="L31" s="138">
        <f>'METAL RAW DATA'!AF14</f>
        <v>0</v>
      </c>
      <c r="M31" s="138">
        <f>'METAL RAW DATA'!AG14</f>
        <v>0</v>
      </c>
      <c r="N31" s="138">
        <f>'METAL RAW DATA'!AH14</f>
        <v>0</v>
      </c>
      <c r="O31" s="138">
        <f>'METAL RAW DATA'!AI14</f>
        <v>0</v>
      </c>
      <c r="P31" s="138">
        <f>'METAL RAW DATA'!AJ14</f>
        <v>0</v>
      </c>
      <c r="Q31" s="138">
        <f>'METAL RAW DATA'!AK14</f>
        <v>0</v>
      </c>
      <c r="R31" s="138">
        <f>'METAL RAW DATA'!AL14</f>
        <v>0</v>
      </c>
      <c r="S31" s="138">
        <f>'METAL RAW DATA'!AM14</f>
        <v>0</v>
      </c>
      <c r="T31" s="138">
        <f>'METAL RAW DATA'!AN14</f>
        <v>0</v>
      </c>
      <c r="U31" s="138">
        <f>'METAL RAW DATA'!AO14</f>
        <v>0</v>
      </c>
      <c r="V31" s="138">
        <f>'METAL RAW DATA'!AP14</f>
        <v>0</v>
      </c>
    </row>
    <row r="32" spans="2:22" ht="19.5" customHeight="1">
      <c r="B32" s="138" t="s">
        <v>14</v>
      </c>
      <c r="C32" s="138">
        <f>'METAL RAW DATA'!W15</f>
        <v>0</v>
      </c>
      <c r="D32" s="138">
        <f>'METAL RAW DATA'!X15</f>
        <v>0</v>
      </c>
      <c r="E32" s="138">
        <f>'METAL RAW DATA'!Y15</f>
        <v>0</v>
      </c>
      <c r="F32" s="138">
        <f>'METAL RAW DATA'!Z15</f>
        <v>0</v>
      </c>
      <c r="G32" s="138">
        <f>'METAL RAW DATA'!AA15</f>
        <v>0</v>
      </c>
      <c r="H32" s="138">
        <f>'METAL RAW DATA'!AB15</f>
        <v>0</v>
      </c>
      <c r="I32" s="138">
        <f>'METAL RAW DATA'!AC15</f>
        <v>0</v>
      </c>
      <c r="J32" s="138">
        <f>'METAL RAW DATA'!AD15</f>
        <v>0</v>
      </c>
      <c r="K32" s="138">
        <f>'METAL RAW DATA'!AE15</f>
        <v>0</v>
      </c>
      <c r="L32" s="198">
        <f>'METAL RAW DATA'!AF15</f>
        <v>0</v>
      </c>
      <c r="M32" s="138">
        <f>'METAL RAW DATA'!AG15</f>
        <v>0</v>
      </c>
      <c r="N32" s="138">
        <f>'METAL RAW DATA'!AH15</f>
        <v>0</v>
      </c>
      <c r="O32" s="138">
        <f>'METAL RAW DATA'!AI15</f>
        <v>0</v>
      </c>
      <c r="P32" s="138">
        <f>'METAL RAW DATA'!AJ15</f>
        <v>0</v>
      </c>
      <c r="Q32" s="138">
        <f>'METAL RAW DATA'!AK15</f>
        <v>0</v>
      </c>
      <c r="R32" s="138">
        <f>'METAL RAW DATA'!AL15</f>
        <v>0</v>
      </c>
      <c r="S32" s="138">
        <f>'METAL RAW DATA'!AM15</f>
        <v>0</v>
      </c>
      <c r="T32" s="138">
        <f>'METAL RAW DATA'!AN15</f>
        <v>0</v>
      </c>
      <c r="U32" s="138">
        <f>'METAL RAW DATA'!AO15</f>
        <v>0</v>
      </c>
      <c r="V32" s="198">
        <f>'METAL RAW DATA'!AP15</f>
        <v>0</v>
      </c>
    </row>
    <row r="33" spans="2:22" ht="19.5" customHeight="1">
      <c r="B33" s="138" t="s">
        <v>15</v>
      </c>
      <c r="C33" s="138">
        <f>'METAL RAW DATA'!W16</f>
        <v>0</v>
      </c>
      <c r="D33" s="138">
        <f>'METAL RAW DATA'!X16</f>
        <v>0</v>
      </c>
      <c r="E33" s="138">
        <f>'METAL RAW DATA'!Y16</f>
        <v>0</v>
      </c>
      <c r="F33" s="138">
        <f>'METAL RAW DATA'!Z16</f>
        <v>0</v>
      </c>
      <c r="G33" s="138">
        <f>'METAL RAW DATA'!AA16</f>
        <v>0</v>
      </c>
      <c r="H33" s="138">
        <f>'METAL RAW DATA'!AB16</f>
        <v>0</v>
      </c>
      <c r="I33" s="138">
        <f>'METAL RAW DATA'!AC16</f>
        <v>0</v>
      </c>
      <c r="J33" s="138">
        <f>'METAL RAW DATA'!AD16</f>
        <v>0</v>
      </c>
      <c r="K33" s="138">
        <f>'METAL RAW DATA'!AE16</f>
        <v>0</v>
      </c>
      <c r="L33" s="138">
        <f>'METAL RAW DATA'!AF16</f>
        <v>0</v>
      </c>
      <c r="M33" s="138">
        <f>'METAL RAW DATA'!AG16</f>
        <v>0</v>
      </c>
      <c r="N33" s="138">
        <f>'METAL RAW DATA'!AH16</f>
        <v>0</v>
      </c>
      <c r="O33" s="138">
        <f>'METAL RAW DATA'!AI16</f>
        <v>0</v>
      </c>
      <c r="P33" s="138">
        <f>'METAL RAW DATA'!AJ16</f>
        <v>0</v>
      </c>
      <c r="Q33" s="138">
        <f>'METAL RAW DATA'!AK16</f>
        <v>0</v>
      </c>
      <c r="R33" s="138">
        <f>'METAL RAW DATA'!AL16</f>
        <v>0</v>
      </c>
      <c r="S33" s="138">
        <f>'METAL RAW DATA'!AM16</f>
        <v>0</v>
      </c>
      <c r="T33" s="138">
        <f>'METAL RAW DATA'!AN16</f>
        <v>0</v>
      </c>
      <c r="U33" s="138">
        <f>'METAL RAW DATA'!AO16</f>
        <v>0</v>
      </c>
      <c r="V33" s="138">
        <f>'METAL RAW DATA'!AP16</f>
        <v>0</v>
      </c>
    </row>
    <row r="34" spans="2:22" ht="19.5" customHeight="1">
      <c r="B34" s="138" t="s">
        <v>16</v>
      </c>
      <c r="C34" s="138">
        <f>'METAL RAW DATA'!W17</f>
        <v>0</v>
      </c>
      <c r="D34" s="138">
        <f>'METAL RAW DATA'!X17</f>
        <v>0</v>
      </c>
      <c r="E34" s="138">
        <f>'METAL RAW DATA'!Y17</f>
        <v>0</v>
      </c>
      <c r="F34" s="138">
        <f>'METAL RAW DATA'!Z17</f>
        <v>0</v>
      </c>
      <c r="G34" s="138">
        <f>'METAL RAW DATA'!AA17</f>
        <v>0</v>
      </c>
      <c r="H34" s="138">
        <f>'METAL RAW DATA'!AB17</f>
        <v>0</v>
      </c>
      <c r="I34" s="138">
        <f>'METAL RAW DATA'!AC17</f>
        <v>0</v>
      </c>
      <c r="J34" s="138">
        <f>'METAL RAW DATA'!AD17</f>
        <v>0</v>
      </c>
      <c r="K34" s="138">
        <f>'METAL RAW DATA'!AE17</f>
        <v>0</v>
      </c>
      <c r="L34" s="138">
        <f>'METAL RAW DATA'!AF17</f>
        <v>0</v>
      </c>
      <c r="M34" s="138">
        <f>'METAL RAW DATA'!AG17</f>
        <v>0</v>
      </c>
      <c r="N34" s="138">
        <f>'METAL RAW DATA'!AH17</f>
        <v>0</v>
      </c>
      <c r="O34" s="138">
        <f>'METAL RAW DATA'!AI17</f>
        <v>0</v>
      </c>
      <c r="P34" s="138">
        <f>'METAL RAW DATA'!AJ17</f>
        <v>0</v>
      </c>
      <c r="Q34" s="138">
        <f>'METAL RAW DATA'!AK17</f>
        <v>0</v>
      </c>
      <c r="R34" s="138">
        <f>'METAL RAW DATA'!AL17</f>
        <v>0</v>
      </c>
      <c r="S34" s="138">
        <f>'METAL RAW DATA'!AM17</f>
        <v>0</v>
      </c>
      <c r="T34" s="138">
        <f>'METAL RAW DATA'!AN17</f>
        <v>0</v>
      </c>
      <c r="U34" s="138">
        <f>'METAL RAW DATA'!AO17</f>
        <v>0</v>
      </c>
      <c r="V34" s="198">
        <f>'METAL RAW DATA'!AP17</f>
        <v>0</v>
      </c>
    </row>
    <row r="35" spans="2:22" ht="19.5" customHeight="1">
      <c r="B35" s="138" t="s">
        <v>17</v>
      </c>
      <c r="C35" s="138">
        <f>'METAL RAW DATA'!W18</f>
        <v>0</v>
      </c>
      <c r="D35" s="138">
        <f>'METAL RAW DATA'!X18</f>
        <v>0</v>
      </c>
      <c r="E35" s="138">
        <f>'METAL RAW DATA'!Y18</f>
        <v>0</v>
      </c>
      <c r="F35" s="138">
        <f>'METAL RAW DATA'!Z18</f>
        <v>0</v>
      </c>
      <c r="G35" s="138">
        <f>'METAL RAW DATA'!AA18</f>
        <v>0</v>
      </c>
      <c r="H35" s="138">
        <f>'METAL RAW DATA'!AB18</f>
        <v>0</v>
      </c>
      <c r="I35" s="138">
        <f>'METAL RAW DATA'!AC18</f>
        <v>0</v>
      </c>
      <c r="J35" s="138">
        <f>'METAL RAW DATA'!AD18</f>
        <v>0</v>
      </c>
      <c r="K35" s="138">
        <f>'METAL RAW DATA'!AE18</f>
        <v>0</v>
      </c>
      <c r="L35" s="198">
        <f>'METAL RAW DATA'!AF18</f>
        <v>0</v>
      </c>
      <c r="M35" s="138">
        <f>'METAL RAW DATA'!AG18</f>
        <v>0</v>
      </c>
      <c r="N35" s="138">
        <f>'METAL RAW DATA'!AH18</f>
        <v>0</v>
      </c>
      <c r="O35" s="138">
        <f>'METAL RAW DATA'!AI18</f>
        <v>0</v>
      </c>
      <c r="P35" s="138">
        <f>'METAL RAW DATA'!AJ18</f>
        <v>0</v>
      </c>
      <c r="Q35" s="138">
        <f>'METAL RAW DATA'!AK18</f>
        <v>0</v>
      </c>
      <c r="R35" s="138">
        <f>'METAL RAW DATA'!AL18</f>
        <v>0</v>
      </c>
      <c r="S35" s="138">
        <f>'METAL RAW DATA'!AM18</f>
        <v>0</v>
      </c>
      <c r="T35" s="138">
        <f>'METAL RAW DATA'!AN18</f>
        <v>0</v>
      </c>
      <c r="U35" s="138">
        <f>'METAL RAW DATA'!AO18</f>
        <v>0</v>
      </c>
      <c r="V35" s="138">
        <f>'METAL RAW DATA'!AP18</f>
        <v>0</v>
      </c>
    </row>
    <row r="36" spans="2:22" ht="19.5" customHeight="1">
      <c r="B36" s="138" t="s">
        <v>18</v>
      </c>
      <c r="C36" s="138">
        <f>'METAL RAW DATA'!W19</f>
        <v>0</v>
      </c>
      <c r="D36" s="138">
        <f>'METAL RAW DATA'!X19</f>
        <v>0</v>
      </c>
      <c r="E36" s="138">
        <f>'METAL RAW DATA'!Y19</f>
        <v>0</v>
      </c>
      <c r="F36" s="138">
        <f>'METAL RAW DATA'!Z19</f>
        <v>0</v>
      </c>
      <c r="G36" s="138">
        <f>'METAL RAW DATA'!AA19</f>
        <v>0</v>
      </c>
      <c r="H36" s="138">
        <f>'METAL RAW DATA'!AB19</f>
        <v>0</v>
      </c>
      <c r="I36" s="138">
        <f>'METAL RAW DATA'!AC19</f>
        <v>0</v>
      </c>
      <c r="J36" s="138">
        <f>'METAL RAW DATA'!AD19</f>
        <v>0</v>
      </c>
      <c r="K36" s="138">
        <f>'METAL RAW DATA'!AE19</f>
        <v>0</v>
      </c>
      <c r="L36" s="138">
        <f>'METAL RAW DATA'!AF19</f>
        <v>0</v>
      </c>
      <c r="M36" s="138">
        <f>'METAL RAW DATA'!AG19</f>
        <v>0</v>
      </c>
      <c r="N36" s="138">
        <f>'METAL RAW DATA'!AH19</f>
        <v>0</v>
      </c>
      <c r="O36" s="138">
        <f>'METAL RAW DATA'!AI19</f>
        <v>0</v>
      </c>
      <c r="P36" s="138">
        <f>'METAL RAW DATA'!AJ19</f>
        <v>0</v>
      </c>
      <c r="Q36" s="138">
        <f>'METAL RAW DATA'!AK19</f>
        <v>0</v>
      </c>
      <c r="R36" s="138">
        <f>'METAL RAW DATA'!AL19</f>
        <v>0</v>
      </c>
      <c r="S36" s="138">
        <f>'METAL RAW DATA'!AM19</f>
        <v>0</v>
      </c>
      <c r="T36" s="138">
        <f>'METAL RAW DATA'!AN19</f>
        <v>0</v>
      </c>
      <c r="U36" s="138">
        <f>'METAL RAW DATA'!AO19</f>
        <v>0</v>
      </c>
      <c r="V36" s="198">
        <f>'METAL RAW DATA'!AP19</f>
        <v>0</v>
      </c>
    </row>
    <row r="37" spans="2:22" ht="19.5" customHeight="1">
      <c r="B37" s="138" t="s">
        <v>19</v>
      </c>
      <c r="C37" s="138">
        <f>'METAL RAW DATA'!W20</f>
        <v>0</v>
      </c>
      <c r="D37" s="138">
        <f>'METAL RAW DATA'!X20</f>
        <v>0</v>
      </c>
      <c r="E37" s="138">
        <f>'METAL RAW DATA'!Y20</f>
        <v>0</v>
      </c>
      <c r="F37" s="138">
        <f>'METAL RAW DATA'!Z20</f>
        <v>0</v>
      </c>
      <c r="G37" s="138">
        <f>'METAL RAW DATA'!AA20</f>
        <v>0</v>
      </c>
      <c r="H37" s="138">
        <f>'METAL RAW DATA'!AB20</f>
        <v>0</v>
      </c>
      <c r="I37" s="138">
        <f>'METAL RAW DATA'!AC20</f>
        <v>0</v>
      </c>
      <c r="J37" s="138">
        <f>'METAL RAW DATA'!AD20</f>
        <v>0</v>
      </c>
      <c r="K37" s="138">
        <f>'METAL RAW DATA'!AE20</f>
        <v>0</v>
      </c>
      <c r="L37" s="138">
        <f>'METAL RAW DATA'!AF20</f>
        <v>0</v>
      </c>
      <c r="M37" s="138">
        <f>'METAL RAW DATA'!AG20</f>
        <v>0</v>
      </c>
      <c r="N37" s="138">
        <f>'METAL RAW DATA'!AH20</f>
        <v>0</v>
      </c>
      <c r="O37" s="138">
        <f>'METAL RAW DATA'!AI20</f>
        <v>0</v>
      </c>
      <c r="P37" s="138">
        <f>'METAL RAW DATA'!AJ20</f>
        <v>0</v>
      </c>
      <c r="Q37" s="138">
        <f>'METAL RAW DATA'!AK20</f>
        <v>0</v>
      </c>
      <c r="R37" s="138">
        <f>'METAL RAW DATA'!AL20</f>
        <v>0</v>
      </c>
      <c r="S37" s="138">
        <f>'METAL RAW DATA'!AM20</f>
        <v>0</v>
      </c>
      <c r="T37" s="138">
        <f>'METAL RAW DATA'!AN20</f>
        <v>0</v>
      </c>
      <c r="U37" s="138">
        <f>'METAL RAW DATA'!AO20</f>
        <v>0</v>
      </c>
      <c r="V37" s="138">
        <f>'METAL RAW DATA'!AP20</f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30" type="noConversion"/>
  <conditionalFormatting sqref="C25">
    <cfRule type="cellIs" dxfId="1039" priority="1" operator="greaterThan">
      <formula>0.01</formula>
    </cfRule>
  </conditionalFormatting>
  <conditionalFormatting sqref="C26">
    <cfRule type="cellIs" dxfId="1038" priority="2" operator="greaterThan">
      <formula>0.01</formula>
    </cfRule>
  </conditionalFormatting>
  <conditionalFormatting sqref="C27">
    <cfRule type="cellIs" dxfId="1037" priority="3" operator="greaterThan">
      <formula>0.01</formula>
    </cfRule>
  </conditionalFormatting>
  <conditionalFormatting sqref="C28">
    <cfRule type="cellIs" dxfId="1036" priority="4" operator="greaterThan">
      <formula>0.01</formula>
    </cfRule>
  </conditionalFormatting>
  <conditionalFormatting sqref="C29">
    <cfRule type="cellIs" dxfId="1035" priority="5" operator="greaterThan">
      <formula>0.01</formula>
    </cfRule>
  </conditionalFormatting>
  <conditionalFormatting sqref="C30">
    <cfRule type="cellIs" dxfId="1034" priority="6" operator="greaterThan">
      <formula>0.01</formula>
    </cfRule>
  </conditionalFormatting>
  <conditionalFormatting sqref="C31">
    <cfRule type="cellIs" dxfId="1033" priority="7" operator="greaterThan">
      <formula>0.01</formula>
    </cfRule>
  </conditionalFormatting>
  <conditionalFormatting sqref="C32">
    <cfRule type="cellIs" dxfId="1032" priority="8" operator="greaterThan">
      <formula>0.01</formula>
    </cfRule>
  </conditionalFormatting>
  <conditionalFormatting sqref="C33">
    <cfRule type="cellIs" dxfId="1031" priority="9" operator="greaterThan">
      <formula>0.01</formula>
    </cfRule>
  </conditionalFormatting>
  <conditionalFormatting sqref="C34">
    <cfRule type="cellIs" dxfId="1030" priority="10" operator="greaterThan">
      <formula>0.01</formula>
    </cfRule>
  </conditionalFormatting>
  <conditionalFormatting sqref="C35">
    <cfRule type="cellIs" dxfId="1029" priority="11" operator="greaterThan">
      <formula>0.01</formula>
    </cfRule>
  </conditionalFormatting>
  <conditionalFormatting sqref="C36">
    <cfRule type="cellIs" dxfId="1028" priority="12" operator="greaterThan">
      <formula>0.01</formula>
    </cfRule>
  </conditionalFormatting>
  <conditionalFormatting sqref="C37">
    <cfRule type="cellIs" dxfId="1027" priority="13" operator="greaterThan">
      <formula>0.01</formula>
    </cfRule>
  </conditionalFormatting>
  <conditionalFormatting sqref="D25">
    <cfRule type="cellIs" dxfId="1026" priority="14" operator="greaterThan">
      <formula>0.01</formula>
    </cfRule>
  </conditionalFormatting>
  <conditionalFormatting sqref="D26">
    <cfRule type="cellIs" dxfId="1025" priority="15" operator="greaterThan">
      <formula>0.01</formula>
    </cfRule>
  </conditionalFormatting>
  <conditionalFormatting sqref="D27">
    <cfRule type="cellIs" dxfId="1024" priority="16" operator="greaterThan">
      <formula>0.01</formula>
    </cfRule>
  </conditionalFormatting>
  <conditionalFormatting sqref="D28">
    <cfRule type="cellIs" dxfId="1023" priority="17" operator="greaterThan">
      <formula>0.01</formula>
    </cfRule>
  </conditionalFormatting>
  <conditionalFormatting sqref="D29">
    <cfRule type="cellIs" dxfId="1022" priority="18" operator="greaterThan">
      <formula>0.01</formula>
    </cfRule>
  </conditionalFormatting>
  <conditionalFormatting sqref="D30">
    <cfRule type="cellIs" dxfId="1021" priority="19" operator="greaterThan">
      <formula>0.01</formula>
    </cfRule>
  </conditionalFormatting>
  <conditionalFormatting sqref="D31">
    <cfRule type="cellIs" dxfId="1020" priority="20" operator="greaterThan">
      <formula>0.01</formula>
    </cfRule>
  </conditionalFormatting>
  <conditionalFormatting sqref="D32">
    <cfRule type="cellIs" dxfId="1019" priority="21" operator="greaterThan">
      <formula>0.01</formula>
    </cfRule>
  </conditionalFormatting>
  <conditionalFormatting sqref="D33">
    <cfRule type="cellIs" dxfId="1018" priority="22" operator="greaterThan">
      <formula>0.01</formula>
    </cfRule>
  </conditionalFormatting>
  <conditionalFormatting sqref="D34">
    <cfRule type="cellIs" dxfId="1017" priority="23" operator="greaterThan">
      <formula>0.01</formula>
    </cfRule>
  </conditionalFormatting>
  <conditionalFormatting sqref="D35">
    <cfRule type="cellIs" dxfId="1016" priority="24" operator="greaterThan">
      <formula>0.01</formula>
    </cfRule>
  </conditionalFormatting>
  <conditionalFormatting sqref="D36">
    <cfRule type="cellIs" dxfId="1015" priority="25" operator="greaterThan">
      <formula>0.01</formula>
    </cfRule>
  </conditionalFormatting>
  <conditionalFormatting sqref="D37">
    <cfRule type="cellIs" dxfId="1014" priority="26" operator="greaterThan">
      <formula>0.01</formula>
    </cfRule>
  </conditionalFormatting>
  <conditionalFormatting sqref="E25">
    <cfRule type="cellIs" dxfId="1013" priority="27" operator="greaterThan">
      <formula>0.01</formula>
    </cfRule>
  </conditionalFormatting>
  <conditionalFormatting sqref="E26">
    <cfRule type="cellIs" dxfId="1012" priority="28" operator="greaterThan">
      <formula>0.01</formula>
    </cfRule>
  </conditionalFormatting>
  <conditionalFormatting sqref="E27">
    <cfRule type="cellIs" dxfId="1011" priority="29" operator="greaterThan">
      <formula>0.01</formula>
    </cfRule>
  </conditionalFormatting>
  <conditionalFormatting sqref="E28">
    <cfRule type="cellIs" dxfId="1010" priority="30" operator="greaterThan">
      <formula>0.01</formula>
    </cfRule>
  </conditionalFormatting>
  <conditionalFormatting sqref="E29">
    <cfRule type="cellIs" dxfId="1009" priority="31" operator="greaterThan">
      <formula>0.01</formula>
    </cfRule>
  </conditionalFormatting>
  <conditionalFormatting sqref="E30">
    <cfRule type="cellIs" dxfId="1008" priority="32" operator="greaterThan">
      <formula>0.01</formula>
    </cfRule>
  </conditionalFormatting>
  <conditionalFormatting sqref="E31">
    <cfRule type="cellIs" dxfId="1007" priority="33" operator="greaterThan">
      <formula>0.01</formula>
    </cfRule>
  </conditionalFormatting>
  <conditionalFormatting sqref="E32">
    <cfRule type="cellIs" dxfId="1006" priority="34" operator="greaterThan">
      <formula>0.01</formula>
    </cfRule>
  </conditionalFormatting>
  <conditionalFormatting sqref="E33">
    <cfRule type="cellIs" dxfId="1005" priority="35" operator="greaterThan">
      <formula>0.01</formula>
    </cfRule>
  </conditionalFormatting>
  <conditionalFormatting sqref="E34">
    <cfRule type="cellIs" dxfId="1004" priority="36" operator="greaterThan">
      <formula>0.01</formula>
    </cfRule>
  </conditionalFormatting>
  <conditionalFormatting sqref="E35">
    <cfRule type="cellIs" dxfId="1003" priority="37" operator="greaterThan">
      <formula>0.01</formula>
    </cfRule>
  </conditionalFormatting>
  <conditionalFormatting sqref="E36">
    <cfRule type="cellIs" dxfId="1002" priority="38" operator="greaterThan">
      <formula>0.01</formula>
    </cfRule>
  </conditionalFormatting>
  <conditionalFormatting sqref="E37">
    <cfRule type="cellIs" dxfId="1001" priority="39" operator="greaterThan">
      <formula>0.01</formula>
    </cfRule>
  </conditionalFormatting>
  <conditionalFormatting sqref="F25">
    <cfRule type="cellIs" dxfId="1000" priority="40" operator="greaterThan">
      <formula>0.01</formula>
    </cfRule>
  </conditionalFormatting>
  <conditionalFormatting sqref="F26">
    <cfRule type="cellIs" dxfId="999" priority="41" operator="greaterThan">
      <formula>0.01</formula>
    </cfRule>
  </conditionalFormatting>
  <conditionalFormatting sqref="F27">
    <cfRule type="cellIs" dxfId="998" priority="42" operator="greaterThan">
      <formula>0.01</formula>
    </cfRule>
  </conditionalFormatting>
  <conditionalFormatting sqref="F28">
    <cfRule type="cellIs" dxfId="997" priority="43" operator="greaterThan">
      <formula>0.01</formula>
    </cfRule>
  </conditionalFormatting>
  <conditionalFormatting sqref="F29">
    <cfRule type="cellIs" dxfId="996" priority="44" operator="greaterThan">
      <formula>0.01</formula>
    </cfRule>
  </conditionalFormatting>
  <conditionalFormatting sqref="F30">
    <cfRule type="cellIs" dxfId="995" priority="45" operator="greaterThan">
      <formula>0.01</formula>
    </cfRule>
  </conditionalFormatting>
  <conditionalFormatting sqref="F31">
    <cfRule type="cellIs" dxfId="994" priority="46" operator="greaterThan">
      <formula>0.01</formula>
    </cfRule>
  </conditionalFormatting>
  <conditionalFormatting sqref="F32">
    <cfRule type="cellIs" dxfId="993" priority="47" operator="greaterThan">
      <formula>0.01</formula>
    </cfRule>
  </conditionalFormatting>
  <conditionalFormatting sqref="F33">
    <cfRule type="cellIs" dxfId="992" priority="48" operator="greaterThan">
      <formula>0.01</formula>
    </cfRule>
  </conditionalFormatting>
  <conditionalFormatting sqref="F34">
    <cfRule type="cellIs" dxfId="991" priority="49" operator="greaterThan">
      <formula>0.01</formula>
    </cfRule>
  </conditionalFormatting>
  <conditionalFormatting sqref="F35">
    <cfRule type="cellIs" dxfId="990" priority="50" operator="greaterThan">
      <formula>0.01</formula>
    </cfRule>
  </conditionalFormatting>
  <conditionalFormatting sqref="F36">
    <cfRule type="cellIs" dxfId="989" priority="51" operator="greaterThan">
      <formula>0.01</formula>
    </cfRule>
  </conditionalFormatting>
  <conditionalFormatting sqref="F37">
    <cfRule type="cellIs" dxfId="988" priority="52" operator="greaterThan">
      <formula>0.01</formula>
    </cfRule>
  </conditionalFormatting>
  <conditionalFormatting sqref="G25">
    <cfRule type="cellIs" dxfId="987" priority="53" operator="greaterThan">
      <formula>0.01</formula>
    </cfRule>
  </conditionalFormatting>
  <conditionalFormatting sqref="G26">
    <cfRule type="cellIs" dxfId="986" priority="54" operator="greaterThan">
      <formula>0.01</formula>
    </cfRule>
  </conditionalFormatting>
  <conditionalFormatting sqref="G27">
    <cfRule type="cellIs" dxfId="985" priority="55" operator="greaterThan">
      <formula>0.01</formula>
    </cfRule>
  </conditionalFormatting>
  <conditionalFormatting sqref="G28">
    <cfRule type="cellIs" dxfId="984" priority="56" operator="greaterThan">
      <formula>0.01</formula>
    </cfRule>
  </conditionalFormatting>
  <conditionalFormatting sqref="G29">
    <cfRule type="cellIs" dxfId="983" priority="57" operator="greaterThan">
      <formula>0.01</formula>
    </cfRule>
  </conditionalFormatting>
  <conditionalFormatting sqref="G30">
    <cfRule type="cellIs" dxfId="982" priority="58" operator="greaterThan">
      <formula>0.01</formula>
    </cfRule>
  </conditionalFormatting>
  <conditionalFormatting sqref="G31">
    <cfRule type="cellIs" dxfId="981" priority="59" operator="greaterThan">
      <formula>0.01</formula>
    </cfRule>
  </conditionalFormatting>
  <conditionalFormatting sqref="G32">
    <cfRule type="cellIs" dxfId="980" priority="60" operator="greaterThan">
      <formula>0.01</formula>
    </cfRule>
  </conditionalFormatting>
  <conditionalFormatting sqref="G33">
    <cfRule type="cellIs" dxfId="979" priority="61" operator="greaterThan">
      <formula>0.01</formula>
    </cfRule>
  </conditionalFormatting>
  <conditionalFormatting sqref="G34">
    <cfRule type="cellIs" dxfId="978" priority="62" operator="greaterThan">
      <formula>0.01</formula>
    </cfRule>
  </conditionalFormatting>
  <conditionalFormatting sqref="G35">
    <cfRule type="cellIs" dxfId="977" priority="63" operator="greaterThan">
      <formula>0.01</formula>
    </cfRule>
  </conditionalFormatting>
  <conditionalFormatting sqref="G36">
    <cfRule type="cellIs" dxfId="976" priority="64" operator="greaterThan">
      <formula>0.01</formula>
    </cfRule>
  </conditionalFormatting>
  <conditionalFormatting sqref="G37">
    <cfRule type="cellIs" dxfId="975" priority="65" operator="greaterThan">
      <formula>0.01</formula>
    </cfRule>
  </conditionalFormatting>
  <conditionalFormatting sqref="H25">
    <cfRule type="cellIs" dxfId="974" priority="66" operator="greaterThan">
      <formula>0.01</formula>
    </cfRule>
  </conditionalFormatting>
  <conditionalFormatting sqref="H26">
    <cfRule type="cellIs" dxfId="973" priority="67" operator="greaterThan">
      <formula>0.01</formula>
    </cfRule>
  </conditionalFormatting>
  <conditionalFormatting sqref="H27">
    <cfRule type="cellIs" dxfId="972" priority="68" operator="greaterThan">
      <formula>0.01</formula>
    </cfRule>
  </conditionalFormatting>
  <conditionalFormatting sqref="H28">
    <cfRule type="cellIs" dxfId="971" priority="69" operator="greaterThan">
      <formula>0.01</formula>
    </cfRule>
  </conditionalFormatting>
  <conditionalFormatting sqref="H29">
    <cfRule type="cellIs" dxfId="970" priority="70" operator="greaterThan">
      <formula>0.01</formula>
    </cfRule>
  </conditionalFormatting>
  <conditionalFormatting sqref="H30">
    <cfRule type="cellIs" dxfId="969" priority="71" operator="greaterThan">
      <formula>0.01</formula>
    </cfRule>
  </conditionalFormatting>
  <conditionalFormatting sqref="H31">
    <cfRule type="cellIs" dxfId="968" priority="72" operator="greaterThan">
      <formula>0.01</formula>
    </cfRule>
  </conditionalFormatting>
  <conditionalFormatting sqref="H32">
    <cfRule type="cellIs" dxfId="967" priority="73" operator="greaterThan">
      <formula>0.01</formula>
    </cfRule>
  </conditionalFormatting>
  <conditionalFormatting sqref="H33">
    <cfRule type="cellIs" dxfId="966" priority="74" operator="greaterThan">
      <formula>0.01</formula>
    </cfRule>
  </conditionalFormatting>
  <conditionalFormatting sqref="H34">
    <cfRule type="cellIs" dxfId="965" priority="75" operator="greaterThan">
      <formula>0.01</formula>
    </cfRule>
  </conditionalFormatting>
  <conditionalFormatting sqref="H35">
    <cfRule type="cellIs" dxfId="964" priority="76" operator="greaterThan">
      <formula>0.01</formula>
    </cfRule>
  </conditionalFormatting>
  <conditionalFormatting sqref="H36">
    <cfRule type="cellIs" dxfId="963" priority="77" operator="greaterThan">
      <formula>0.01</formula>
    </cfRule>
  </conditionalFormatting>
  <conditionalFormatting sqref="H37">
    <cfRule type="cellIs" dxfId="962" priority="78" operator="greaterThan">
      <formula>0.01</formula>
    </cfRule>
  </conditionalFormatting>
  <conditionalFormatting sqref="I25">
    <cfRule type="cellIs" dxfId="961" priority="79" operator="greaterThan">
      <formula>0.01</formula>
    </cfRule>
  </conditionalFormatting>
  <conditionalFormatting sqref="I26">
    <cfRule type="cellIs" dxfId="960" priority="80" operator="greaterThan">
      <formula>0.01</formula>
    </cfRule>
  </conditionalFormatting>
  <conditionalFormatting sqref="I27">
    <cfRule type="cellIs" dxfId="959" priority="81" operator="greaterThan">
      <formula>0.01</formula>
    </cfRule>
  </conditionalFormatting>
  <conditionalFormatting sqref="I28">
    <cfRule type="cellIs" dxfId="958" priority="82" operator="greaterThan">
      <formula>0.01</formula>
    </cfRule>
  </conditionalFormatting>
  <conditionalFormatting sqref="I29">
    <cfRule type="cellIs" dxfId="957" priority="83" operator="greaterThan">
      <formula>0.01</formula>
    </cfRule>
  </conditionalFormatting>
  <conditionalFormatting sqref="I30">
    <cfRule type="cellIs" dxfId="956" priority="84" operator="greaterThan">
      <formula>0.01</formula>
    </cfRule>
  </conditionalFormatting>
  <conditionalFormatting sqref="I31">
    <cfRule type="cellIs" dxfId="955" priority="85" operator="greaterThan">
      <formula>0.01</formula>
    </cfRule>
  </conditionalFormatting>
  <conditionalFormatting sqref="I32">
    <cfRule type="cellIs" dxfId="954" priority="86" operator="greaterThan">
      <formula>0.01</formula>
    </cfRule>
  </conditionalFormatting>
  <conditionalFormatting sqref="I33">
    <cfRule type="cellIs" dxfId="953" priority="87" operator="greaterThan">
      <formula>0.01</formula>
    </cfRule>
  </conditionalFormatting>
  <conditionalFormatting sqref="I34">
    <cfRule type="cellIs" dxfId="952" priority="88" operator="greaterThan">
      <formula>0.01</formula>
    </cfRule>
  </conditionalFormatting>
  <conditionalFormatting sqref="I35">
    <cfRule type="cellIs" dxfId="951" priority="89" operator="greaterThan">
      <formula>0.01</formula>
    </cfRule>
  </conditionalFormatting>
  <conditionalFormatting sqref="I36">
    <cfRule type="cellIs" dxfId="950" priority="90" operator="greaterThan">
      <formula>0.01</formula>
    </cfRule>
  </conditionalFormatting>
  <conditionalFormatting sqref="I37">
    <cfRule type="cellIs" dxfId="949" priority="91" operator="greaterThan">
      <formula>0.01</formula>
    </cfRule>
  </conditionalFormatting>
  <conditionalFormatting sqref="J25">
    <cfRule type="cellIs" dxfId="948" priority="92" operator="greaterThan">
      <formula>0.01</formula>
    </cfRule>
  </conditionalFormatting>
  <conditionalFormatting sqref="J26">
    <cfRule type="cellIs" dxfId="947" priority="93" operator="greaterThan">
      <formula>0.01</formula>
    </cfRule>
  </conditionalFormatting>
  <conditionalFormatting sqref="J27">
    <cfRule type="cellIs" dxfId="946" priority="94" operator="greaterThan">
      <formula>0.01</formula>
    </cfRule>
  </conditionalFormatting>
  <conditionalFormatting sqref="J28">
    <cfRule type="cellIs" dxfId="945" priority="95" operator="greaterThan">
      <formula>0.01</formula>
    </cfRule>
  </conditionalFormatting>
  <conditionalFormatting sqref="J29">
    <cfRule type="cellIs" dxfId="944" priority="96" operator="greaterThan">
      <formula>0.01</formula>
    </cfRule>
  </conditionalFormatting>
  <conditionalFormatting sqref="J30">
    <cfRule type="cellIs" dxfId="943" priority="97" operator="greaterThan">
      <formula>0.01</formula>
    </cfRule>
  </conditionalFormatting>
  <conditionalFormatting sqref="J31">
    <cfRule type="cellIs" dxfId="942" priority="98" operator="greaterThan">
      <formula>0.01</formula>
    </cfRule>
  </conditionalFormatting>
  <conditionalFormatting sqref="J32">
    <cfRule type="cellIs" dxfId="941" priority="99" operator="greaterThan">
      <formula>0.01</formula>
    </cfRule>
  </conditionalFormatting>
  <conditionalFormatting sqref="J33">
    <cfRule type="cellIs" dxfId="940" priority="100" operator="greaterThan">
      <formula>0.01</formula>
    </cfRule>
  </conditionalFormatting>
  <conditionalFormatting sqref="J34">
    <cfRule type="cellIs" dxfId="939" priority="101" operator="greaterThan">
      <formula>0.01</formula>
    </cfRule>
  </conditionalFormatting>
  <conditionalFormatting sqref="J35">
    <cfRule type="cellIs" dxfId="938" priority="102" operator="greaterThan">
      <formula>0.01</formula>
    </cfRule>
  </conditionalFormatting>
  <conditionalFormatting sqref="J36">
    <cfRule type="cellIs" dxfId="937" priority="103" operator="greaterThan">
      <formula>0.01</formula>
    </cfRule>
  </conditionalFormatting>
  <conditionalFormatting sqref="J37">
    <cfRule type="cellIs" dxfId="936" priority="104" operator="greaterThan">
      <formula>0.01</formula>
    </cfRule>
  </conditionalFormatting>
  <conditionalFormatting sqref="K25">
    <cfRule type="cellIs" dxfId="935" priority="105" operator="greaterThan">
      <formula>0.01</formula>
    </cfRule>
  </conditionalFormatting>
  <conditionalFormatting sqref="K26">
    <cfRule type="cellIs" dxfId="934" priority="106" operator="greaterThan">
      <formula>0.01</formula>
    </cfRule>
  </conditionalFormatting>
  <conditionalFormatting sqref="K27">
    <cfRule type="cellIs" dxfId="933" priority="107" operator="greaterThan">
      <formula>0.01</formula>
    </cfRule>
  </conditionalFormatting>
  <conditionalFormatting sqref="K28">
    <cfRule type="cellIs" dxfId="932" priority="108" operator="greaterThan">
      <formula>0.01</formula>
    </cfRule>
  </conditionalFormatting>
  <conditionalFormatting sqref="K29">
    <cfRule type="cellIs" dxfId="931" priority="109" operator="greaterThan">
      <formula>0.01</formula>
    </cfRule>
  </conditionalFormatting>
  <conditionalFormatting sqref="K30">
    <cfRule type="cellIs" dxfId="930" priority="110" operator="greaterThan">
      <formula>0.01</formula>
    </cfRule>
  </conditionalFormatting>
  <conditionalFormatting sqref="K31">
    <cfRule type="cellIs" dxfId="929" priority="111" operator="greaterThan">
      <formula>0.01</formula>
    </cfRule>
  </conditionalFormatting>
  <conditionalFormatting sqref="K32">
    <cfRule type="cellIs" dxfId="928" priority="112" operator="greaterThan">
      <formula>0.01</formula>
    </cfRule>
  </conditionalFormatting>
  <conditionalFormatting sqref="K33">
    <cfRule type="cellIs" dxfId="927" priority="113" operator="greaterThan">
      <formula>0.01</formula>
    </cfRule>
  </conditionalFormatting>
  <conditionalFormatting sqref="K34">
    <cfRule type="cellIs" dxfId="926" priority="114" operator="greaterThan">
      <formula>0.01</formula>
    </cfRule>
  </conditionalFormatting>
  <conditionalFormatting sqref="K35">
    <cfRule type="cellIs" dxfId="925" priority="115" operator="greaterThan">
      <formula>0.01</formula>
    </cfRule>
  </conditionalFormatting>
  <conditionalFormatting sqref="K36">
    <cfRule type="cellIs" dxfId="924" priority="116" operator="greaterThan">
      <formula>0.01</formula>
    </cfRule>
  </conditionalFormatting>
  <conditionalFormatting sqref="K37">
    <cfRule type="cellIs" dxfId="923" priority="117" operator="greaterThan">
      <formula>0.01</formula>
    </cfRule>
  </conditionalFormatting>
  <conditionalFormatting sqref="L25">
    <cfRule type="cellIs" dxfId="922" priority="118" operator="greaterThan">
      <formula>0.01</formula>
    </cfRule>
  </conditionalFormatting>
  <conditionalFormatting sqref="L26">
    <cfRule type="cellIs" dxfId="921" priority="119" operator="greaterThan">
      <formula>0.01</formula>
    </cfRule>
  </conditionalFormatting>
  <conditionalFormatting sqref="L27">
    <cfRule type="cellIs" dxfId="920" priority="120" operator="greaterThan">
      <formula>0.01</formula>
    </cfRule>
  </conditionalFormatting>
  <conditionalFormatting sqref="L28">
    <cfRule type="cellIs" dxfId="919" priority="121" operator="greaterThan">
      <formula>0.01</formula>
    </cfRule>
  </conditionalFormatting>
  <conditionalFormatting sqref="L29">
    <cfRule type="cellIs" dxfId="918" priority="122" operator="greaterThan">
      <formula>0.01</formula>
    </cfRule>
  </conditionalFormatting>
  <conditionalFormatting sqref="L30">
    <cfRule type="cellIs" dxfId="917" priority="123" operator="greaterThan">
      <formula>0.01</formula>
    </cfRule>
  </conditionalFormatting>
  <conditionalFormatting sqref="L31">
    <cfRule type="cellIs" dxfId="916" priority="124" operator="greaterThan">
      <formula>0.01</formula>
    </cfRule>
  </conditionalFormatting>
  <conditionalFormatting sqref="L32">
    <cfRule type="cellIs" dxfId="915" priority="125" operator="greaterThan">
      <formula>0.01</formula>
    </cfRule>
  </conditionalFormatting>
  <conditionalFormatting sqref="L33">
    <cfRule type="cellIs" dxfId="914" priority="126" operator="greaterThan">
      <formula>0.01</formula>
    </cfRule>
  </conditionalFormatting>
  <conditionalFormatting sqref="L34">
    <cfRule type="cellIs" dxfId="913" priority="127" operator="greaterThan">
      <formula>0.01</formula>
    </cfRule>
  </conditionalFormatting>
  <conditionalFormatting sqref="L35">
    <cfRule type="cellIs" dxfId="912" priority="128" operator="greaterThan">
      <formula>0.01</formula>
    </cfRule>
  </conditionalFormatting>
  <conditionalFormatting sqref="L36">
    <cfRule type="cellIs" dxfId="911" priority="129" operator="greaterThan">
      <formula>0.01</formula>
    </cfRule>
  </conditionalFormatting>
  <conditionalFormatting sqref="L37">
    <cfRule type="cellIs" dxfId="910" priority="130" operator="greaterThan">
      <formula>0.01</formula>
    </cfRule>
  </conditionalFormatting>
  <conditionalFormatting sqref="M25">
    <cfRule type="cellIs" dxfId="909" priority="131" operator="greaterThan">
      <formula>0.01</formula>
    </cfRule>
  </conditionalFormatting>
  <conditionalFormatting sqref="M26">
    <cfRule type="cellIs" dxfId="908" priority="132" operator="greaterThan">
      <formula>0.01</formula>
    </cfRule>
  </conditionalFormatting>
  <conditionalFormatting sqref="M27">
    <cfRule type="cellIs" dxfId="907" priority="133" operator="greaterThan">
      <formula>0.01</formula>
    </cfRule>
  </conditionalFormatting>
  <conditionalFormatting sqref="M28">
    <cfRule type="cellIs" dxfId="906" priority="134" operator="greaterThan">
      <formula>0.01</formula>
    </cfRule>
  </conditionalFormatting>
  <conditionalFormatting sqref="M29">
    <cfRule type="cellIs" dxfId="905" priority="135" operator="greaterThan">
      <formula>0.01</formula>
    </cfRule>
  </conditionalFormatting>
  <conditionalFormatting sqref="M30">
    <cfRule type="cellIs" dxfId="904" priority="136" operator="greaterThan">
      <formula>0.01</formula>
    </cfRule>
  </conditionalFormatting>
  <conditionalFormatting sqref="M31">
    <cfRule type="cellIs" dxfId="903" priority="137" operator="greaterThan">
      <formula>0.01</formula>
    </cfRule>
  </conditionalFormatting>
  <conditionalFormatting sqref="M32">
    <cfRule type="cellIs" dxfId="902" priority="138" operator="greaterThan">
      <formula>0.01</formula>
    </cfRule>
  </conditionalFormatting>
  <conditionalFormatting sqref="M33">
    <cfRule type="cellIs" dxfId="901" priority="139" operator="greaterThan">
      <formula>0.01</formula>
    </cfRule>
  </conditionalFormatting>
  <conditionalFormatting sqref="M34">
    <cfRule type="cellIs" dxfId="900" priority="140" operator="greaterThan">
      <formula>0.01</formula>
    </cfRule>
  </conditionalFormatting>
  <conditionalFormatting sqref="M35">
    <cfRule type="cellIs" dxfId="899" priority="141" operator="greaterThan">
      <formula>0.01</formula>
    </cfRule>
  </conditionalFormatting>
  <conditionalFormatting sqref="M36">
    <cfRule type="cellIs" dxfId="898" priority="142" operator="greaterThan">
      <formula>0.01</formula>
    </cfRule>
  </conditionalFormatting>
  <conditionalFormatting sqref="M37">
    <cfRule type="cellIs" dxfId="897" priority="143" operator="greaterThan">
      <formula>0.01</formula>
    </cfRule>
  </conditionalFormatting>
  <conditionalFormatting sqref="N25">
    <cfRule type="cellIs" dxfId="896" priority="144" operator="greaterThan">
      <formula>0.01</formula>
    </cfRule>
  </conditionalFormatting>
  <conditionalFormatting sqref="N26">
    <cfRule type="cellIs" dxfId="895" priority="145" operator="greaterThan">
      <formula>0.01</formula>
    </cfRule>
  </conditionalFormatting>
  <conditionalFormatting sqref="N27">
    <cfRule type="cellIs" dxfId="894" priority="146" operator="greaterThan">
      <formula>0.01</formula>
    </cfRule>
  </conditionalFormatting>
  <conditionalFormatting sqref="N28">
    <cfRule type="cellIs" dxfId="893" priority="147" operator="greaterThan">
      <formula>0.01</formula>
    </cfRule>
  </conditionalFormatting>
  <conditionalFormatting sqref="N29">
    <cfRule type="cellIs" dxfId="892" priority="148" operator="greaterThan">
      <formula>0.01</formula>
    </cfRule>
  </conditionalFormatting>
  <conditionalFormatting sqref="N30">
    <cfRule type="cellIs" dxfId="891" priority="149" operator="greaterThan">
      <formula>0.01</formula>
    </cfRule>
  </conditionalFormatting>
  <conditionalFormatting sqref="N31">
    <cfRule type="cellIs" dxfId="890" priority="150" operator="greaterThan">
      <formula>0.01</formula>
    </cfRule>
  </conditionalFormatting>
  <conditionalFormatting sqref="N32">
    <cfRule type="cellIs" dxfId="889" priority="151" operator="greaterThan">
      <formula>0.01</formula>
    </cfRule>
  </conditionalFormatting>
  <conditionalFormatting sqref="N33">
    <cfRule type="cellIs" dxfId="888" priority="152" operator="greaterThan">
      <formula>0.01</formula>
    </cfRule>
  </conditionalFormatting>
  <conditionalFormatting sqref="N34">
    <cfRule type="cellIs" dxfId="887" priority="153" operator="greaterThan">
      <formula>0.01</formula>
    </cfRule>
  </conditionalFormatting>
  <conditionalFormatting sqref="N35">
    <cfRule type="cellIs" dxfId="886" priority="154" operator="greaterThan">
      <formula>0.01</formula>
    </cfRule>
  </conditionalFormatting>
  <conditionalFormatting sqref="N36">
    <cfRule type="cellIs" dxfId="885" priority="155" operator="greaterThan">
      <formula>0.01</formula>
    </cfRule>
  </conditionalFormatting>
  <conditionalFormatting sqref="N37">
    <cfRule type="cellIs" dxfId="884" priority="156" operator="greaterThan">
      <formula>0.01</formula>
    </cfRule>
  </conditionalFormatting>
  <conditionalFormatting sqref="O25">
    <cfRule type="cellIs" dxfId="883" priority="157" operator="greaterThan">
      <formula>0.01</formula>
    </cfRule>
  </conditionalFormatting>
  <conditionalFormatting sqref="O26">
    <cfRule type="cellIs" dxfId="882" priority="158" operator="greaterThan">
      <formula>0.01</formula>
    </cfRule>
  </conditionalFormatting>
  <conditionalFormatting sqref="O27">
    <cfRule type="cellIs" dxfId="881" priority="159" operator="greaterThan">
      <formula>0.01</formula>
    </cfRule>
  </conditionalFormatting>
  <conditionalFormatting sqref="O28">
    <cfRule type="cellIs" dxfId="880" priority="160" operator="greaterThan">
      <formula>0.01</formula>
    </cfRule>
  </conditionalFormatting>
  <conditionalFormatting sqref="O29">
    <cfRule type="cellIs" dxfId="879" priority="161" operator="greaterThan">
      <formula>0.01</formula>
    </cfRule>
  </conditionalFormatting>
  <conditionalFormatting sqref="O30">
    <cfRule type="cellIs" dxfId="878" priority="162" operator="greaterThan">
      <formula>0.01</formula>
    </cfRule>
  </conditionalFormatting>
  <conditionalFormatting sqref="O31">
    <cfRule type="cellIs" dxfId="877" priority="163" operator="greaterThan">
      <formula>0.01</formula>
    </cfRule>
  </conditionalFormatting>
  <conditionalFormatting sqref="O32">
    <cfRule type="cellIs" dxfId="876" priority="164" operator="greaterThan">
      <formula>0.01</formula>
    </cfRule>
  </conditionalFormatting>
  <conditionalFormatting sqref="O33">
    <cfRule type="cellIs" dxfId="875" priority="165" operator="greaterThan">
      <formula>0.01</formula>
    </cfRule>
  </conditionalFormatting>
  <conditionalFormatting sqref="O34">
    <cfRule type="cellIs" dxfId="874" priority="166" operator="greaterThan">
      <formula>0.01</formula>
    </cfRule>
  </conditionalFormatting>
  <conditionalFormatting sqref="O35">
    <cfRule type="cellIs" dxfId="873" priority="167" operator="greaterThan">
      <formula>0.01</formula>
    </cfRule>
  </conditionalFormatting>
  <conditionalFormatting sqref="O36">
    <cfRule type="cellIs" dxfId="872" priority="168" operator="greaterThan">
      <formula>0.01</formula>
    </cfRule>
  </conditionalFormatting>
  <conditionalFormatting sqref="O37">
    <cfRule type="cellIs" dxfId="871" priority="169" operator="greaterThan">
      <formula>0.01</formula>
    </cfRule>
  </conditionalFormatting>
  <conditionalFormatting sqref="P25">
    <cfRule type="cellIs" dxfId="870" priority="170" operator="greaterThan">
      <formula>0.01</formula>
    </cfRule>
  </conditionalFormatting>
  <conditionalFormatting sqref="P26">
    <cfRule type="cellIs" dxfId="869" priority="171" operator="greaterThan">
      <formula>0.01</formula>
    </cfRule>
  </conditionalFormatting>
  <conditionalFormatting sqref="P27">
    <cfRule type="cellIs" dxfId="868" priority="172" operator="greaterThan">
      <formula>0.01</formula>
    </cfRule>
  </conditionalFormatting>
  <conditionalFormatting sqref="P28">
    <cfRule type="cellIs" dxfId="867" priority="173" operator="greaterThan">
      <formula>0.01</formula>
    </cfRule>
  </conditionalFormatting>
  <conditionalFormatting sqref="P29">
    <cfRule type="cellIs" dxfId="866" priority="174" operator="greaterThan">
      <formula>0.01</formula>
    </cfRule>
  </conditionalFormatting>
  <conditionalFormatting sqref="P30">
    <cfRule type="cellIs" dxfId="865" priority="175" operator="greaterThan">
      <formula>0.01</formula>
    </cfRule>
  </conditionalFormatting>
  <conditionalFormatting sqref="P31">
    <cfRule type="cellIs" dxfId="864" priority="176" operator="greaterThan">
      <formula>0.01</formula>
    </cfRule>
  </conditionalFormatting>
  <conditionalFormatting sqref="P32">
    <cfRule type="cellIs" dxfId="863" priority="177" operator="greaterThan">
      <formula>0.01</formula>
    </cfRule>
  </conditionalFormatting>
  <conditionalFormatting sqref="P33">
    <cfRule type="cellIs" dxfId="862" priority="178" operator="greaterThan">
      <formula>0.01</formula>
    </cfRule>
  </conditionalFormatting>
  <conditionalFormatting sqref="P34">
    <cfRule type="cellIs" dxfId="861" priority="179" operator="greaterThan">
      <formula>0.01</formula>
    </cfRule>
  </conditionalFormatting>
  <conditionalFormatting sqref="P35">
    <cfRule type="cellIs" dxfId="860" priority="180" operator="greaterThan">
      <formula>0.01</formula>
    </cfRule>
  </conditionalFormatting>
  <conditionalFormatting sqref="P36">
    <cfRule type="cellIs" dxfId="859" priority="181" operator="greaterThan">
      <formula>0.01</formula>
    </cfRule>
  </conditionalFormatting>
  <conditionalFormatting sqref="P37">
    <cfRule type="cellIs" dxfId="858" priority="182" operator="greaterThan">
      <formula>0.01</formula>
    </cfRule>
  </conditionalFormatting>
  <conditionalFormatting sqref="Q25">
    <cfRule type="cellIs" dxfId="857" priority="183" operator="greaterThan">
      <formula>0.01</formula>
    </cfRule>
  </conditionalFormatting>
  <conditionalFormatting sqref="Q26">
    <cfRule type="cellIs" dxfId="856" priority="184" operator="greaterThan">
      <formula>0.01</formula>
    </cfRule>
  </conditionalFormatting>
  <conditionalFormatting sqref="Q27">
    <cfRule type="cellIs" dxfId="855" priority="185" operator="greaterThan">
      <formula>0.01</formula>
    </cfRule>
  </conditionalFormatting>
  <conditionalFormatting sqref="Q28">
    <cfRule type="cellIs" dxfId="854" priority="186" operator="greaterThan">
      <formula>0.01</formula>
    </cfRule>
  </conditionalFormatting>
  <conditionalFormatting sqref="Q29">
    <cfRule type="cellIs" dxfId="853" priority="187" operator="greaterThan">
      <formula>0.01</formula>
    </cfRule>
  </conditionalFormatting>
  <conditionalFormatting sqref="Q30">
    <cfRule type="cellIs" dxfId="852" priority="188" operator="greaterThan">
      <formula>0.01</formula>
    </cfRule>
  </conditionalFormatting>
  <conditionalFormatting sqref="Q31">
    <cfRule type="cellIs" dxfId="851" priority="189" operator="greaterThan">
      <formula>0.01</formula>
    </cfRule>
  </conditionalFormatting>
  <conditionalFormatting sqref="Q32">
    <cfRule type="cellIs" dxfId="850" priority="190" operator="greaterThan">
      <formula>0.01</formula>
    </cfRule>
  </conditionalFormatting>
  <conditionalFormatting sqref="Q33">
    <cfRule type="cellIs" dxfId="849" priority="191" operator="greaterThan">
      <formula>0.01</formula>
    </cfRule>
  </conditionalFormatting>
  <conditionalFormatting sqref="Q34">
    <cfRule type="cellIs" dxfId="848" priority="192" operator="greaterThan">
      <formula>0.01</formula>
    </cfRule>
  </conditionalFormatting>
  <conditionalFormatting sqref="Q35">
    <cfRule type="cellIs" dxfId="847" priority="193" operator="greaterThan">
      <formula>0.01</formula>
    </cfRule>
  </conditionalFormatting>
  <conditionalFormatting sqref="Q36">
    <cfRule type="cellIs" dxfId="846" priority="194" operator="greaterThan">
      <formula>0.01</formula>
    </cfRule>
  </conditionalFormatting>
  <conditionalFormatting sqref="Q37">
    <cfRule type="cellIs" dxfId="845" priority="195" operator="greaterThan">
      <formula>0.01</formula>
    </cfRule>
  </conditionalFormatting>
  <conditionalFormatting sqref="R25">
    <cfRule type="cellIs" dxfId="844" priority="196" operator="greaterThan">
      <formula>0.01</formula>
    </cfRule>
  </conditionalFormatting>
  <conditionalFormatting sqref="R26">
    <cfRule type="cellIs" dxfId="843" priority="197" operator="greaterThan">
      <formula>0.01</formula>
    </cfRule>
  </conditionalFormatting>
  <conditionalFormatting sqref="R27">
    <cfRule type="cellIs" dxfId="842" priority="198" operator="greaterThan">
      <formula>0.01</formula>
    </cfRule>
  </conditionalFormatting>
  <conditionalFormatting sqref="R28">
    <cfRule type="cellIs" dxfId="841" priority="199" operator="greaterThan">
      <formula>0.01</formula>
    </cfRule>
  </conditionalFormatting>
  <conditionalFormatting sqref="R29">
    <cfRule type="cellIs" dxfId="840" priority="200" operator="greaterThan">
      <formula>0.01</formula>
    </cfRule>
  </conditionalFormatting>
  <conditionalFormatting sqref="R30">
    <cfRule type="cellIs" dxfId="839" priority="201" operator="greaterThan">
      <formula>0.01</formula>
    </cfRule>
  </conditionalFormatting>
  <conditionalFormatting sqref="R31">
    <cfRule type="cellIs" dxfId="838" priority="202" operator="greaterThan">
      <formula>0.01</formula>
    </cfRule>
  </conditionalFormatting>
  <conditionalFormatting sqref="R32">
    <cfRule type="cellIs" dxfId="837" priority="203" operator="greaterThan">
      <formula>0.01</formula>
    </cfRule>
  </conditionalFormatting>
  <conditionalFormatting sqref="R33">
    <cfRule type="cellIs" dxfId="836" priority="204" operator="greaterThan">
      <formula>0.01</formula>
    </cfRule>
  </conditionalFormatting>
  <conditionalFormatting sqref="R34">
    <cfRule type="cellIs" dxfId="835" priority="205" operator="greaterThan">
      <formula>0.01</formula>
    </cfRule>
  </conditionalFormatting>
  <conditionalFormatting sqref="R35">
    <cfRule type="cellIs" dxfId="834" priority="206" operator="greaterThan">
      <formula>0.01</formula>
    </cfRule>
  </conditionalFormatting>
  <conditionalFormatting sqref="R36">
    <cfRule type="cellIs" dxfId="833" priority="207" operator="greaterThan">
      <formula>0.01</formula>
    </cfRule>
  </conditionalFormatting>
  <conditionalFormatting sqref="R37">
    <cfRule type="cellIs" dxfId="832" priority="208" operator="greaterThan">
      <formula>0.01</formula>
    </cfRule>
  </conditionalFormatting>
  <conditionalFormatting sqref="S25">
    <cfRule type="cellIs" dxfId="831" priority="209" operator="greaterThan">
      <formula>0.01</formula>
    </cfRule>
  </conditionalFormatting>
  <conditionalFormatting sqref="S26">
    <cfRule type="cellIs" dxfId="830" priority="210" operator="greaterThan">
      <formula>0.01</formula>
    </cfRule>
  </conditionalFormatting>
  <conditionalFormatting sqref="S27">
    <cfRule type="cellIs" dxfId="829" priority="211" operator="greaterThan">
      <formula>0.01</formula>
    </cfRule>
  </conditionalFormatting>
  <conditionalFormatting sqref="S28">
    <cfRule type="cellIs" dxfId="828" priority="212" operator="greaterThan">
      <formula>0.01</formula>
    </cfRule>
  </conditionalFormatting>
  <conditionalFormatting sqref="S29">
    <cfRule type="cellIs" dxfId="827" priority="213" operator="greaterThan">
      <formula>0.01</formula>
    </cfRule>
  </conditionalFormatting>
  <conditionalFormatting sqref="S30">
    <cfRule type="cellIs" dxfId="826" priority="214" operator="greaterThan">
      <formula>0.01</formula>
    </cfRule>
  </conditionalFormatting>
  <conditionalFormatting sqref="S31">
    <cfRule type="cellIs" dxfId="825" priority="215" operator="greaterThan">
      <formula>0.01</formula>
    </cfRule>
  </conditionalFormatting>
  <conditionalFormatting sqref="S32">
    <cfRule type="cellIs" dxfId="824" priority="216" operator="greaterThan">
      <formula>0.01</formula>
    </cfRule>
  </conditionalFormatting>
  <conditionalFormatting sqref="S33">
    <cfRule type="cellIs" dxfId="823" priority="217" operator="greaterThan">
      <formula>0.01</formula>
    </cfRule>
  </conditionalFormatting>
  <conditionalFormatting sqref="S34">
    <cfRule type="cellIs" dxfId="822" priority="218" operator="greaterThan">
      <formula>0.01</formula>
    </cfRule>
  </conditionalFormatting>
  <conditionalFormatting sqref="S35">
    <cfRule type="cellIs" dxfId="821" priority="219" operator="greaterThan">
      <formula>0.01</formula>
    </cfRule>
  </conditionalFormatting>
  <conditionalFormatting sqref="S36">
    <cfRule type="cellIs" dxfId="820" priority="220" operator="greaterThan">
      <formula>0.01</formula>
    </cfRule>
  </conditionalFormatting>
  <conditionalFormatting sqref="S37">
    <cfRule type="cellIs" dxfId="819" priority="221" operator="greaterThan">
      <formula>0.01</formula>
    </cfRule>
  </conditionalFormatting>
  <conditionalFormatting sqref="T25">
    <cfRule type="cellIs" dxfId="818" priority="222" operator="greaterThan">
      <formula>0.01</formula>
    </cfRule>
  </conditionalFormatting>
  <conditionalFormatting sqref="T26">
    <cfRule type="cellIs" dxfId="817" priority="223" operator="greaterThan">
      <formula>0.01</formula>
    </cfRule>
  </conditionalFormatting>
  <conditionalFormatting sqref="T27">
    <cfRule type="cellIs" dxfId="816" priority="224" operator="greaterThan">
      <formula>0.01</formula>
    </cfRule>
  </conditionalFormatting>
  <conditionalFormatting sqref="T28">
    <cfRule type="cellIs" dxfId="815" priority="225" operator="greaterThan">
      <formula>0.01</formula>
    </cfRule>
  </conditionalFormatting>
  <conditionalFormatting sqref="T29">
    <cfRule type="cellIs" dxfId="814" priority="226" operator="greaterThan">
      <formula>0.01</formula>
    </cfRule>
  </conditionalFormatting>
  <conditionalFormatting sqref="T30">
    <cfRule type="cellIs" dxfId="813" priority="227" operator="greaterThan">
      <formula>0.01</formula>
    </cfRule>
  </conditionalFormatting>
  <conditionalFormatting sqref="T31">
    <cfRule type="cellIs" dxfId="812" priority="228" operator="greaterThan">
      <formula>0.01</formula>
    </cfRule>
  </conditionalFormatting>
  <conditionalFormatting sqref="T32">
    <cfRule type="cellIs" dxfId="811" priority="229" operator="greaterThan">
      <formula>0.01</formula>
    </cfRule>
  </conditionalFormatting>
  <conditionalFormatting sqref="T33">
    <cfRule type="cellIs" dxfId="810" priority="230" operator="greaterThan">
      <formula>0.01</formula>
    </cfRule>
  </conditionalFormatting>
  <conditionalFormatting sqref="T34">
    <cfRule type="cellIs" dxfId="809" priority="231" operator="greaterThan">
      <formula>0.01</formula>
    </cfRule>
  </conditionalFormatting>
  <conditionalFormatting sqref="T35">
    <cfRule type="cellIs" dxfId="808" priority="232" operator="greaterThan">
      <formula>0.01</formula>
    </cfRule>
  </conditionalFormatting>
  <conditionalFormatting sqref="T36">
    <cfRule type="cellIs" dxfId="807" priority="233" operator="greaterThan">
      <formula>0.01</formula>
    </cfRule>
  </conditionalFormatting>
  <conditionalFormatting sqref="T37">
    <cfRule type="cellIs" dxfId="806" priority="234" operator="greaterThan">
      <formula>0.01</formula>
    </cfRule>
  </conditionalFormatting>
  <conditionalFormatting sqref="U25">
    <cfRule type="cellIs" dxfId="805" priority="235" operator="greaterThan">
      <formula>0.01</formula>
    </cfRule>
  </conditionalFormatting>
  <conditionalFormatting sqref="U26">
    <cfRule type="cellIs" dxfId="804" priority="236" operator="greaterThan">
      <formula>0.01</formula>
    </cfRule>
  </conditionalFormatting>
  <conditionalFormatting sqref="U27">
    <cfRule type="cellIs" dxfId="803" priority="237" operator="greaterThan">
      <formula>0.01</formula>
    </cfRule>
  </conditionalFormatting>
  <conditionalFormatting sqref="U28">
    <cfRule type="cellIs" dxfId="802" priority="238" operator="greaterThan">
      <formula>0.01</formula>
    </cfRule>
  </conditionalFormatting>
  <conditionalFormatting sqref="U29">
    <cfRule type="cellIs" dxfId="801" priority="239" operator="greaterThan">
      <formula>0.01</formula>
    </cfRule>
  </conditionalFormatting>
  <conditionalFormatting sqref="U30">
    <cfRule type="cellIs" dxfId="800" priority="240" operator="greaterThan">
      <formula>0.01</formula>
    </cfRule>
  </conditionalFormatting>
  <conditionalFormatting sqref="U31">
    <cfRule type="cellIs" dxfId="799" priority="241" operator="greaterThan">
      <formula>0.01</formula>
    </cfRule>
  </conditionalFormatting>
  <conditionalFormatting sqref="U32">
    <cfRule type="cellIs" dxfId="798" priority="242" operator="greaterThan">
      <formula>0.01</formula>
    </cfRule>
  </conditionalFormatting>
  <conditionalFormatting sqref="U33">
    <cfRule type="cellIs" dxfId="797" priority="243" operator="greaterThan">
      <formula>0.01</formula>
    </cfRule>
  </conditionalFormatting>
  <conditionalFormatting sqref="U34">
    <cfRule type="cellIs" dxfId="796" priority="244" operator="greaterThan">
      <formula>0.01</formula>
    </cfRule>
  </conditionalFormatting>
  <conditionalFormatting sqref="U35">
    <cfRule type="cellIs" dxfId="795" priority="245" operator="greaterThan">
      <formula>0.01</formula>
    </cfRule>
  </conditionalFormatting>
  <conditionalFormatting sqref="U36">
    <cfRule type="cellIs" dxfId="794" priority="246" operator="greaterThan">
      <formula>0.01</formula>
    </cfRule>
  </conditionalFormatting>
  <conditionalFormatting sqref="U37">
    <cfRule type="cellIs" dxfId="793" priority="247" operator="greaterThan">
      <formula>0.01</formula>
    </cfRule>
  </conditionalFormatting>
  <conditionalFormatting sqref="V25">
    <cfRule type="cellIs" dxfId="792" priority="248" operator="greaterThan">
      <formula>0.01</formula>
    </cfRule>
  </conditionalFormatting>
  <conditionalFormatting sqref="V26">
    <cfRule type="cellIs" dxfId="791" priority="249" operator="greaterThan">
      <formula>0.01</formula>
    </cfRule>
  </conditionalFormatting>
  <conditionalFormatting sqref="V27">
    <cfRule type="cellIs" dxfId="790" priority="250" operator="greaterThan">
      <formula>0.01</formula>
    </cfRule>
  </conditionalFormatting>
  <conditionalFormatting sqref="V28">
    <cfRule type="cellIs" dxfId="789" priority="251" operator="greaterThan">
      <formula>0.01</formula>
    </cfRule>
  </conditionalFormatting>
  <conditionalFormatting sqref="V29">
    <cfRule type="cellIs" dxfId="788" priority="252" operator="greaterThan">
      <formula>0.01</formula>
    </cfRule>
  </conditionalFormatting>
  <conditionalFormatting sqref="V30">
    <cfRule type="cellIs" dxfId="787" priority="253" operator="greaterThan">
      <formula>0.01</formula>
    </cfRule>
  </conditionalFormatting>
  <conditionalFormatting sqref="V31">
    <cfRule type="cellIs" dxfId="786" priority="254" operator="greaterThan">
      <formula>0.01</formula>
    </cfRule>
  </conditionalFormatting>
  <conditionalFormatting sqref="V32">
    <cfRule type="cellIs" dxfId="785" priority="255" operator="greaterThan">
      <formula>0.01</formula>
    </cfRule>
  </conditionalFormatting>
  <conditionalFormatting sqref="V33">
    <cfRule type="cellIs" dxfId="784" priority="256" operator="greaterThan">
      <formula>0.01</formula>
    </cfRule>
  </conditionalFormatting>
  <conditionalFormatting sqref="V34">
    <cfRule type="cellIs" dxfId="783" priority="257" operator="greaterThan">
      <formula>0.01</formula>
    </cfRule>
  </conditionalFormatting>
  <conditionalFormatting sqref="V35">
    <cfRule type="cellIs" dxfId="782" priority="258" operator="greaterThan">
      <formula>0.01</formula>
    </cfRule>
  </conditionalFormatting>
  <conditionalFormatting sqref="V36">
    <cfRule type="cellIs" dxfId="781" priority="259" operator="greaterThan">
      <formula>0.01</formula>
    </cfRule>
  </conditionalFormatting>
  <conditionalFormatting sqref="V37">
    <cfRule type="cellIs" dxfId="780" priority="260" operator="greaterThan">
      <formula>0.01</formula>
    </cfRule>
  </conditionalFormatting>
  <conditionalFormatting sqref="C8">
    <cfRule type="cellIs" dxfId="779" priority="261" operator="greaterThan">
      <formula>0.01</formula>
    </cfRule>
  </conditionalFormatting>
  <conditionalFormatting sqref="C9">
    <cfRule type="cellIs" dxfId="778" priority="262" operator="greaterThan">
      <formula>0.01</formula>
    </cfRule>
  </conditionalFormatting>
  <conditionalFormatting sqref="C10">
    <cfRule type="cellIs" dxfId="777" priority="263" operator="greaterThan">
      <formula>0.01</formula>
    </cfRule>
  </conditionalFormatting>
  <conditionalFormatting sqref="C11">
    <cfRule type="cellIs" dxfId="776" priority="264" operator="greaterThan">
      <formula>0.01</formula>
    </cfRule>
  </conditionalFormatting>
  <conditionalFormatting sqref="C12">
    <cfRule type="cellIs" dxfId="775" priority="265" operator="greaterThan">
      <formula>0.01</formula>
    </cfRule>
  </conditionalFormatting>
  <conditionalFormatting sqref="C13">
    <cfRule type="cellIs" dxfId="774" priority="266" operator="greaterThan">
      <formula>0.01</formula>
    </cfRule>
  </conditionalFormatting>
  <conditionalFormatting sqref="C14">
    <cfRule type="cellIs" dxfId="773" priority="267" operator="greaterThan">
      <formula>0.01</formula>
    </cfRule>
  </conditionalFormatting>
  <conditionalFormatting sqref="C15">
    <cfRule type="cellIs" dxfId="772" priority="268" operator="greaterThan">
      <formula>0.01</formula>
    </cfRule>
  </conditionalFormatting>
  <conditionalFormatting sqref="C16">
    <cfRule type="cellIs" dxfId="771" priority="269" operator="greaterThan">
      <formula>0.01</formula>
    </cfRule>
  </conditionalFormatting>
  <conditionalFormatting sqref="C17">
    <cfRule type="cellIs" dxfId="770" priority="270" operator="greaterThan">
      <formula>0.01</formula>
    </cfRule>
  </conditionalFormatting>
  <conditionalFormatting sqref="C18">
    <cfRule type="cellIs" dxfId="769" priority="271" operator="greaterThan">
      <formula>0.01</formula>
    </cfRule>
  </conditionalFormatting>
  <conditionalFormatting sqref="C19">
    <cfRule type="cellIs" dxfId="768" priority="272" operator="greaterThan">
      <formula>0.01</formula>
    </cfRule>
  </conditionalFormatting>
  <conditionalFormatting sqref="C20">
    <cfRule type="cellIs" dxfId="767" priority="273" operator="greaterThan">
      <formula>0.01</formula>
    </cfRule>
  </conditionalFormatting>
  <conditionalFormatting sqref="D8">
    <cfRule type="cellIs" dxfId="766" priority="274" operator="greaterThan">
      <formula>0.01</formula>
    </cfRule>
  </conditionalFormatting>
  <conditionalFormatting sqref="D9">
    <cfRule type="cellIs" dxfId="765" priority="275" operator="greaterThan">
      <formula>0.01</formula>
    </cfRule>
  </conditionalFormatting>
  <conditionalFormatting sqref="D10">
    <cfRule type="cellIs" dxfId="764" priority="276" operator="greaterThan">
      <formula>0.01</formula>
    </cfRule>
  </conditionalFormatting>
  <conditionalFormatting sqref="D11">
    <cfRule type="cellIs" dxfId="763" priority="277" operator="greaterThan">
      <formula>0.01</formula>
    </cfRule>
  </conditionalFormatting>
  <conditionalFormatting sqref="D12">
    <cfRule type="cellIs" dxfId="762" priority="278" operator="greaterThan">
      <formula>0.01</formula>
    </cfRule>
  </conditionalFormatting>
  <conditionalFormatting sqref="D13">
    <cfRule type="cellIs" dxfId="761" priority="279" operator="greaterThan">
      <formula>0.01</formula>
    </cfRule>
  </conditionalFormatting>
  <conditionalFormatting sqref="D14">
    <cfRule type="cellIs" dxfId="760" priority="280" operator="greaterThan">
      <formula>0.01</formula>
    </cfRule>
  </conditionalFormatting>
  <conditionalFormatting sqref="D15">
    <cfRule type="cellIs" dxfId="759" priority="281" operator="greaterThan">
      <formula>0.01</formula>
    </cfRule>
  </conditionalFormatting>
  <conditionalFormatting sqref="D16">
    <cfRule type="cellIs" dxfId="758" priority="282" operator="greaterThan">
      <formula>0.01</formula>
    </cfRule>
  </conditionalFormatting>
  <conditionalFormatting sqref="D17">
    <cfRule type="cellIs" dxfId="757" priority="283" operator="greaterThan">
      <formula>0.01</formula>
    </cfRule>
  </conditionalFormatting>
  <conditionalFormatting sqref="D18">
    <cfRule type="cellIs" dxfId="756" priority="284" operator="greaterThan">
      <formula>0.01</formula>
    </cfRule>
  </conditionalFormatting>
  <conditionalFormatting sqref="D19">
    <cfRule type="cellIs" dxfId="755" priority="285" operator="greaterThan">
      <formula>0.01</formula>
    </cfRule>
  </conditionalFormatting>
  <conditionalFormatting sqref="D20">
    <cfRule type="cellIs" dxfId="754" priority="286" operator="greaterThan">
      <formula>0.01</formula>
    </cfRule>
  </conditionalFormatting>
  <conditionalFormatting sqref="E8">
    <cfRule type="cellIs" dxfId="753" priority="287" operator="greaterThan">
      <formula>0.01</formula>
    </cfRule>
  </conditionalFormatting>
  <conditionalFormatting sqref="E9">
    <cfRule type="cellIs" dxfId="752" priority="288" operator="greaterThan">
      <formula>0.01</formula>
    </cfRule>
  </conditionalFormatting>
  <conditionalFormatting sqref="E10">
    <cfRule type="cellIs" dxfId="751" priority="289" operator="greaterThan">
      <formula>0.01</formula>
    </cfRule>
  </conditionalFormatting>
  <conditionalFormatting sqref="E11">
    <cfRule type="cellIs" dxfId="750" priority="290" operator="greaterThan">
      <formula>0.01</formula>
    </cfRule>
  </conditionalFormatting>
  <conditionalFormatting sqref="E12">
    <cfRule type="cellIs" dxfId="749" priority="291" operator="greaterThan">
      <formula>0.01</formula>
    </cfRule>
  </conditionalFormatting>
  <conditionalFormatting sqref="E13">
    <cfRule type="cellIs" dxfId="748" priority="292" operator="greaterThan">
      <formula>0.01</formula>
    </cfRule>
  </conditionalFormatting>
  <conditionalFormatting sqref="E14">
    <cfRule type="cellIs" dxfId="747" priority="293" operator="greaterThan">
      <formula>0.01</formula>
    </cfRule>
  </conditionalFormatting>
  <conditionalFormatting sqref="E15">
    <cfRule type="cellIs" dxfId="746" priority="294" operator="greaterThan">
      <formula>0.01</formula>
    </cfRule>
  </conditionalFormatting>
  <conditionalFormatting sqref="E16">
    <cfRule type="cellIs" dxfId="745" priority="295" operator="greaterThan">
      <formula>0.01</formula>
    </cfRule>
  </conditionalFormatting>
  <conditionalFormatting sqref="E17">
    <cfRule type="cellIs" dxfId="744" priority="296" operator="greaterThan">
      <formula>0.01</formula>
    </cfRule>
  </conditionalFormatting>
  <conditionalFormatting sqref="E18">
    <cfRule type="cellIs" dxfId="743" priority="297" operator="greaterThan">
      <formula>0.01</formula>
    </cfRule>
  </conditionalFormatting>
  <conditionalFormatting sqref="E19">
    <cfRule type="cellIs" dxfId="742" priority="298" operator="greaterThan">
      <formula>0.01</formula>
    </cfRule>
  </conditionalFormatting>
  <conditionalFormatting sqref="E20">
    <cfRule type="cellIs" dxfId="741" priority="299" operator="greaterThan">
      <formula>0.01</formula>
    </cfRule>
  </conditionalFormatting>
  <conditionalFormatting sqref="F8">
    <cfRule type="cellIs" dxfId="740" priority="300" operator="greaterThan">
      <formula>0.01</formula>
    </cfRule>
  </conditionalFormatting>
  <conditionalFormatting sqref="F9">
    <cfRule type="cellIs" dxfId="739" priority="301" operator="greaterThan">
      <formula>0.01</formula>
    </cfRule>
  </conditionalFormatting>
  <conditionalFormatting sqref="F10">
    <cfRule type="cellIs" dxfId="738" priority="302" operator="greaterThan">
      <formula>0.01</formula>
    </cfRule>
  </conditionalFormatting>
  <conditionalFormatting sqref="F11">
    <cfRule type="cellIs" dxfId="737" priority="303" operator="greaterThan">
      <formula>0.01</formula>
    </cfRule>
  </conditionalFormatting>
  <conditionalFormatting sqref="F12">
    <cfRule type="cellIs" dxfId="736" priority="304" operator="greaterThan">
      <formula>0.01</formula>
    </cfRule>
  </conditionalFormatting>
  <conditionalFormatting sqref="F13">
    <cfRule type="cellIs" dxfId="735" priority="305" operator="greaterThan">
      <formula>0.01</formula>
    </cfRule>
  </conditionalFormatting>
  <conditionalFormatting sqref="F14">
    <cfRule type="cellIs" dxfId="734" priority="306" operator="greaterThan">
      <formula>0.01</formula>
    </cfRule>
  </conditionalFormatting>
  <conditionalFormatting sqref="F15">
    <cfRule type="cellIs" dxfId="733" priority="307" operator="greaterThan">
      <formula>0.01</formula>
    </cfRule>
  </conditionalFormatting>
  <conditionalFormatting sqref="F16">
    <cfRule type="cellIs" dxfId="732" priority="308" operator="greaterThan">
      <formula>0.01</formula>
    </cfRule>
  </conditionalFormatting>
  <conditionalFormatting sqref="F17">
    <cfRule type="cellIs" dxfId="731" priority="309" operator="greaterThan">
      <formula>0.01</formula>
    </cfRule>
  </conditionalFormatting>
  <conditionalFormatting sqref="F18">
    <cfRule type="cellIs" dxfId="730" priority="310" operator="greaterThan">
      <formula>0.01</formula>
    </cfRule>
  </conditionalFormatting>
  <conditionalFormatting sqref="F19">
    <cfRule type="cellIs" dxfId="729" priority="311" operator="greaterThan">
      <formula>0.01</formula>
    </cfRule>
  </conditionalFormatting>
  <conditionalFormatting sqref="F20">
    <cfRule type="cellIs" dxfId="728" priority="312" operator="greaterThan">
      <formula>0.01</formula>
    </cfRule>
  </conditionalFormatting>
  <conditionalFormatting sqref="G8">
    <cfRule type="cellIs" dxfId="727" priority="313" operator="greaterThan">
      <formula>0.01</formula>
    </cfRule>
  </conditionalFormatting>
  <conditionalFormatting sqref="G9">
    <cfRule type="cellIs" dxfId="726" priority="314" operator="greaterThan">
      <formula>0.01</formula>
    </cfRule>
  </conditionalFormatting>
  <conditionalFormatting sqref="G10">
    <cfRule type="cellIs" dxfId="725" priority="315" operator="greaterThan">
      <formula>0.01</formula>
    </cfRule>
  </conditionalFormatting>
  <conditionalFormatting sqref="G11">
    <cfRule type="cellIs" dxfId="724" priority="316" operator="greaterThan">
      <formula>0.01</formula>
    </cfRule>
  </conditionalFormatting>
  <conditionalFormatting sqref="G12">
    <cfRule type="cellIs" dxfId="723" priority="317" operator="greaterThan">
      <formula>0.01</formula>
    </cfRule>
  </conditionalFormatting>
  <conditionalFormatting sqref="G13">
    <cfRule type="cellIs" dxfId="722" priority="318" operator="greaterThan">
      <formula>0.01</formula>
    </cfRule>
  </conditionalFormatting>
  <conditionalFormatting sqref="G14">
    <cfRule type="cellIs" dxfId="721" priority="319" operator="greaterThan">
      <formula>0.01</formula>
    </cfRule>
  </conditionalFormatting>
  <conditionalFormatting sqref="G15">
    <cfRule type="cellIs" dxfId="720" priority="320" operator="greaterThan">
      <formula>0.01</formula>
    </cfRule>
  </conditionalFormatting>
  <conditionalFormatting sqref="G16">
    <cfRule type="cellIs" dxfId="719" priority="321" operator="greaterThan">
      <formula>0.01</formula>
    </cfRule>
  </conditionalFormatting>
  <conditionalFormatting sqref="G17">
    <cfRule type="cellIs" dxfId="718" priority="322" operator="greaterThan">
      <formula>0.01</formula>
    </cfRule>
  </conditionalFormatting>
  <conditionalFormatting sqref="G18">
    <cfRule type="cellIs" dxfId="717" priority="323" operator="greaterThan">
      <formula>0.01</formula>
    </cfRule>
  </conditionalFormatting>
  <conditionalFormatting sqref="G19">
    <cfRule type="cellIs" dxfId="716" priority="324" operator="greaterThan">
      <formula>0.01</formula>
    </cfRule>
  </conditionalFormatting>
  <conditionalFormatting sqref="G20">
    <cfRule type="cellIs" dxfId="715" priority="325" operator="greaterThan">
      <formula>0.01</formula>
    </cfRule>
  </conditionalFormatting>
  <conditionalFormatting sqref="H8">
    <cfRule type="cellIs" dxfId="714" priority="326" operator="greaterThan">
      <formula>0.01</formula>
    </cfRule>
  </conditionalFormatting>
  <conditionalFormatting sqref="H9">
    <cfRule type="cellIs" dxfId="713" priority="327" operator="greaterThan">
      <formula>0.01</formula>
    </cfRule>
  </conditionalFormatting>
  <conditionalFormatting sqref="H10">
    <cfRule type="cellIs" dxfId="712" priority="328" operator="greaterThan">
      <formula>0.01</formula>
    </cfRule>
  </conditionalFormatting>
  <conditionalFormatting sqref="H11">
    <cfRule type="cellIs" dxfId="711" priority="329" operator="greaterThan">
      <formula>0.01</formula>
    </cfRule>
  </conditionalFormatting>
  <conditionalFormatting sqref="H12">
    <cfRule type="cellIs" dxfId="710" priority="330" operator="greaterThan">
      <formula>0.01</formula>
    </cfRule>
  </conditionalFormatting>
  <conditionalFormatting sqref="H13">
    <cfRule type="cellIs" dxfId="709" priority="331" operator="greaterThan">
      <formula>0.01</formula>
    </cfRule>
  </conditionalFormatting>
  <conditionalFormatting sqref="H14">
    <cfRule type="cellIs" dxfId="708" priority="332" operator="greaterThan">
      <formula>0.01</formula>
    </cfRule>
  </conditionalFormatting>
  <conditionalFormatting sqref="H15">
    <cfRule type="cellIs" dxfId="707" priority="333" operator="greaterThan">
      <formula>0.01</formula>
    </cfRule>
  </conditionalFormatting>
  <conditionalFormatting sqref="H16">
    <cfRule type="cellIs" dxfId="706" priority="334" operator="greaterThan">
      <formula>0.01</formula>
    </cfRule>
  </conditionalFormatting>
  <conditionalFormatting sqref="H17">
    <cfRule type="cellIs" dxfId="705" priority="335" operator="greaterThan">
      <formula>0.01</formula>
    </cfRule>
  </conditionalFormatting>
  <conditionalFormatting sqref="H18">
    <cfRule type="cellIs" dxfId="704" priority="336" operator="greaterThan">
      <formula>0.01</formula>
    </cfRule>
  </conditionalFormatting>
  <conditionalFormatting sqref="H19">
    <cfRule type="cellIs" dxfId="703" priority="337" operator="greaterThan">
      <formula>0.01</formula>
    </cfRule>
  </conditionalFormatting>
  <conditionalFormatting sqref="H20">
    <cfRule type="cellIs" dxfId="702" priority="338" operator="greaterThan">
      <formula>0.01</formula>
    </cfRule>
  </conditionalFormatting>
  <conditionalFormatting sqref="I8">
    <cfRule type="cellIs" dxfId="701" priority="339" operator="greaterThan">
      <formula>0.01</formula>
    </cfRule>
  </conditionalFormatting>
  <conditionalFormatting sqref="I9">
    <cfRule type="cellIs" dxfId="700" priority="340" operator="greaterThan">
      <formula>0.01</formula>
    </cfRule>
  </conditionalFormatting>
  <conditionalFormatting sqref="I10">
    <cfRule type="cellIs" dxfId="699" priority="341" operator="greaterThan">
      <formula>0.01</formula>
    </cfRule>
  </conditionalFormatting>
  <conditionalFormatting sqref="I11">
    <cfRule type="cellIs" dxfId="698" priority="342" operator="greaterThan">
      <formula>0.01</formula>
    </cfRule>
  </conditionalFormatting>
  <conditionalFormatting sqref="I12">
    <cfRule type="cellIs" dxfId="697" priority="343" operator="greaterThan">
      <formula>0.01</formula>
    </cfRule>
  </conditionalFormatting>
  <conditionalFormatting sqref="I13">
    <cfRule type="cellIs" dxfId="696" priority="344" operator="greaterThan">
      <formula>0.01</formula>
    </cfRule>
  </conditionalFormatting>
  <conditionalFormatting sqref="I14">
    <cfRule type="cellIs" dxfId="695" priority="345" operator="greaterThan">
      <formula>0.01</formula>
    </cfRule>
  </conditionalFormatting>
  <conditionalFormatting sqref="I15">
    <cfRule type="cellIs" dxfId="694" priority="346" operator="greaterThan">
      <formula>0.01</formula>
    </cfRule>
  </conditionalFormatting>
  <conditionalFormatting sqref="I16">
    <cfRule type="cellIs" dxfId="693" priority="347" operator="greaterThan">
      <formula>0.01</formula>
    </cfRule>
  </conditionalFormatting>
  <conditionalFormatting sqref="I17">
    <cfRule type="cellIs" dxfId="692" priority="348" operator="greaterThan">
      <formula>0.01</formula>
    </cfRule>
  </conditionalFormatting>
  <conditionalFormatting sqref="I18">
    <cfRule type="cellIs" dxfId="691" priority="349" operator="greaterThan">
      <formula>0.01</formula>
    </cfRule>
  </conditionalFormatting>
  <conditionalFormatting sqref="I19">
    <cfRule type="cellIs" dxfId="690" priority="350" operator="greaterThan">
      <formula>0.01</formula>
    </cfRule>
  </conditionalFormatting>
  <conditionalFormatting sqref="I20">
    <cfRule type="cellIs" dxfId="689" priority="351" operator="greaterThan">
      <formula>0.01</formula>
    </cfRule>
  </conditionalFormatting>
  <conditionalFormatting sqref="J8">
    <cfRule type="cellIs" dxfId="688" priority="352" operator="greaterThan">
      <formula>0.01</formula>
    </cfRule>
  </conditionalFormatting>
  <conditionalFormatting sqref="J9">
    <cfRule type="cellIs" dxfId="687" priority="353" operator="greaterThan">
      <formula>0.01</formula>
    </cfRule>
  </conditionalFormatting>
  <conditionalFormatting sqref="J10">
    <cfRule type="cellIs" dxfId="686" priority="354" operator="greaterThan">
      <formula>0.01</formula>
    </cfRule>
  </conditionalFormatting>
  <conditionalFormatting sqref="J11">
    <cfRule type="cellIs" dxfId="685" priority="355" operator="greaterThan">
      <formula>0.01</formula>
    </cfRule>
  </conditionalFormatting>
  <conditionalFormatting sqref="J12">
    <cfRule type="cellIs" dxfId="684" priority="356" operator="greaterThan">
      <formula>0.01</formula>
    </cfRule>
  </conditionalFormatting>
  <conditionalFormatting sqref="J13">
    <cfRule type="cellIs" dxfId="683" priority="357" operator="greaterThan">
      <formula>0.01</formula>
    </cfRule>
  </conditionalFormatting>
  <conditionalFormatting sqref="J14">
    <cfRule type="cellIs" dxfId="682" priority="358" operator="greaterThan">
      <formula>0.01</formula>
    </cfRule>
  </conditionalFormatting>
  <conditionalFormatting sqref="J15">
    <cfRule type="cellIs" dxfId="681" priority="359" operator="greaterThan">
      <formula>0.01</formula>
    </cfRule>
  </conditionalFormatting>
  <conditionalFormatting sqref="J16">
    <cfRule type="cellIs" dxfId="680" priority="360" operator="greaterThan">
      <formula>0.01</formula>
    </cfRule>
  </conditionalFormatting>
  <conditionalFormatting sqref="J17">
    <cfRule type="cellIs" dxfId="679" priority="361" operator="greaterThan">
      <formula>0.01</formula>
    </cfRule>
  </conditionalFormatting>
  <conditionalFormatting sqref="J18">
    <cfRule type="cellIs" dxfId="678" priority="362" operator="greaterThan">
      <formula>0.01</formula>
    </cfRule>
  </conditionalFormatting>
  <conditionalFormatting sqref="J19">
    <cfRule type="cellIs" dxfId="677" priority="363" operator="greaterThan">
      <formula>0.01</formula>
    </cfRule>
  </conditionalFormatting>
  <conditionalFormatting sqref="J20">
    <cfRule type="cellIs" dxfId="676" priority="364" operator="greaterThan">
      <formula>0.01</formula>
    </cfRule>
  </conditionalFormatting>
  <conditionalFormatting sqref="K8">
    <cfRule type="cellIs" dxfId="675" priority="365" operator="greaterThan">
      <formula>0.01</formula>
    </cfRule>
  </conditionalFormatting>
  <conditionalFormatting sqref="K9">
    <cfRule type="cellIs" dxfId="674" priority="366" operator="greaterThan">
      <formula>0.01</formula>
    </cfRule>
  </conditionalFormatting>
  <conditionalFormatting sqref="K10">
    <cfRule type="cellIs" dxfId="673" priority="367" operator="greaterThan">
      <formula>0.01</formula>
    </cfRule>
  </conditionalFormatting>
  <conditionalFormatting sqref="K11">
    <cfRule type="cellIs" dxfId="672" priority="368" operator="greaterThan">
      <formula>0.01</formula>
    </cfRule>
  </conditionalFormatting>
  <conditionalFormatting sqref="K12">
    <cfRule type="cellIs" dxfId="671" priority="369" operator="greaterThan">
      <formula>0.01</formula>
    </cfRule>
  </conditionalFormatting>
  <conditionalFormatting sqref="K13">
    <cfRule type="cellIs" dxfId="670" priority="370" operator="greaterThan">
      <formula>0.01</formula>
    </cfRule>
  </conditionalFormatting>
  <conditionalFormatting sqref="K14">
    <cfRule type="cellIs" dxfId="669" priority="371" operator="greaterThan">
      <formula>0.01</formula>
    </cfRule>
  </conditionalFormatting>
  <conditionalFormatting sqref="K15">
    <cfRule type="cellIs" dxfId="668" priority="372" operator="greaterThan">
      <formula>0.01</formula>
    </cfRule>
  </conditionalFormatting>
  <conditionalFormatting sqref="K16">
    <cfRule type="cellIs" dxfId="667" priority="373" operator="greaterThan">
      <formula>0.01</formula>
    </cfRule>
  </conditionalFormatting>
  <conditionalFormatting sqref="K17">
    <cfRule type="cellIs" dxfId="666" priority="374" operator="greaterThan">
      <formula>0.01</formula>
    </cfRule>
  </conditionalFormatting>
  <conditionalFormatting sqref="K18">
    <cfRule type="cellIs" dxfId="665" priority="375" operator="greaterThan">
      <formula>0.01</formula>
    </cfRule>
  </conditionalFormatting>
  <conditionalFormatting sqref="K19">
    <cfRule type="cellIs" dxfId="664" priority="376" operator="greaterThan">
      <formula>0.01</formula>
    </cfRule>
  </conditionalFormatting>
  <conditionalFormatting sqref="K20">
    <cfRule type="cellIs" dxfId="663" priority="377" operator="greaterThan">
      <formula>0.01</formula>
    </cfRule>
  </conditionalFormatting>
  <conditionalFormatting sqref="L8">
    <cfRule type="cellIs" dxfId="662" priority="378" operator="greaterThan">
      <formula>0.01</formula>
    </cfRule>
  </conditionalFormatting>
  <conditionalFormatting sqref="L9">
    <cfRule type="cellIs" dxfId="661" priority="379" operator="greaterThan">
      <formula>0.01</formula>
    </cfRule>
  </conditionalFormatting>
  <conditionalFormatting sqref="L10">
    <cfRule type="cellIs" dxfId="660" priority="380" operator="greaterThan">
      <formula>0.01</formula>
    </cfRule>
  </conditionalFormatting>
  <conditionalFormatting sqref="L11">
    <cfRule type="cellIs" dxfId="659" priority="381" operator="greaterThan">
      <formula>0.01</formula>
    </cfRule>
  </conditionalFormatting>
  <conditionalFormatting sqref="L12">
    <cfRule type="cellIs" dxfId="658" priority="382" operator="greaterThan">
      <formula>0.01</formula>
    </cfRule>
  </conditionalFormatting>
  <conditionalFormatting sqref="L13">
    <cfRule type="cellIs" dxfId="657" priority="383" operator="greaterThan">
      <formula>0.01</formula>
    </cfRule>
  </conditionalFormatting>
  <conditionalFormatting sqref="L14">
    <cfRule type="cellIs" dxfId="656" priority="384" operator="greaterThan">
      <formula>0.01</formula>
    </cfRule>
  </conditionalFormatting>
  <conditionalFormatting sqref="L15">
    <cfRule type="cellIs" dxfId="655" priority="385" operator="greaterThan">
      <formula>0.01</formula>
    </cfRule>
  </conditionalFormatting>
  <conditionalFormatting sqref="L16">
    <cfRule type="cellIs" dxfId="654" priority="386" operator="greaterThan">
      <formula>0.01</formula>
    </cfRule>
  </conditionalFormatting>
  <conditionalFormatting sqref="L17">
    <cfRule type="cellIs" dxfId="653" priority="387" operator="greaterThan">
      <formula>0.01</formula>
    </cfRule>
  </conditionalFormatting>
  <conditionalFormatting sqref="L18">
    <cfRule type="cellIs" dxfId="652" priority="388" operator="greaterThan">
      <formula>0.01</formula>
    </cfRule>
  </conditionalFormatting>
  <conditionalFormatting sqref="L19">
    <cfRule type="cellIs" dxfId="651" priority="389" operator="greaterThan">
      <formula>0.01</formula>
    </cfRule>
  </conditionalFormatting>
  <conditionalFormatting sqref="L20">
    <cfRule type="cellIs" dxfId="650" priority="390" operator="greaterThan">
      <formula>0.01</formula>
    </cfRule>
  </conditionalFormatting>
  <conditionalFormatting sqref="M8">
    <cfRule type="cellIs" dxfId="649" priority="391" operator="greaterThan">
      <formula>0.01</formula>
    </cfRule>
  </conditionalFormatting>
  <conditionalFormatting sqref="M9">
    <cfRule type="cellIs" dxfId="648" priority="392" operator="greaterThan">
      <formula>0.01</formula>
    </cfRule>
  </conditionalFormatting>
  <conditionalFormatting sqref="M10">
    <cfRule type="cellIs" dxfId="647" priority="393" operator="greaterThan">
      <formula>0.01</formula>
    </cfRule>
  </conditionalFormatting>
  <conditionalFormatting sqref="M11">
    <cfRule type="cellIs" dxfId="646" priority="394" operator="greaterThan">
      <formula>0.01</formula>
    </cfRule>
  </conditionalFormatting>
  <conditionalFormatting sqref="M12">
    <cfRule type="cellIs" dxfId="645" priority="395" operator="greaterThan">
      <formula>0.01</formula>
    </cfRule>
  </conditionalFormatting>
  <conditionalFormatting sqref="M13">
    <cfRule type="cellIs" dxfId="644" priority="396" operator="greaterThan">
      <formula>0.01</formula>
    </cfRule>
  </conditionalFormatting>
  <conditionalFormatting sqref="M14">
    <cfRule type="cellIs" dxfId="643" priority="397" operator="greaterThan">
      <formula>0.01</formula>
    </cfRule>
  </conditionalFormatting>
  <conditionalFormatting sqref="M15">
    <cfRule type="cellIs" dxfId="642" priority="398" operator="greaterThan">
      <formula>0.01</formula>
    </cfRule>
  </conditionalFormatting>
  <conditionalFormatting sqref="M16">
    <cfRule type="cellIs" dxfId="641" priority="399" operator="greaterThan">
      <formula>0.01</formula>
    </cfRule>
  </conditionalFormatting>
  <conditionalFormatting sqref="M17">
    <cfRule type="cellIs" dxfId="640" priority="400" operator="greaterThan">
      <formula>0.01</formula>
    </cfRule>
  </conditionalFormatting>
  <conditionalFormatting sqref="M18">
    <cfRule type="cellIs" dxfId="639" priority="401" operator="greaterThan">
      <formula>0.01</formula>
    </cfRule>
  </conditionalFormatting>
  <conditionalFormatting sqref="M19">
    <cfRule type="cellIs" dxfId="638" priority="402" operator="greaterThan">
      <formula>0.01</formula>
    </cfRule>
  </conditionalFormatting>
  <conditionalFormatting sqref="M20">
    <cfRule type="cellIs" dxfId="637" priority="403" operator="greaterThan">
      <formula>0.01</formula>
    </cfRule>
  </conditionalFormatting>
  <conditionalFormatting sqref="N8">
    <cfRule type="cellIs" dxfId="636" priority="404" operator="greaterThan">
      <formula>0.01</formula>
    </cfRule>
  </conditionalFormatting>
  <conditionalFormatting sqref="N9">
    <cfRule type="cellIs" dxfId="635" priority="405" operator="greaterThan">
      <formula>0.01</formula>
    </cfRule>
  </conditionalFormatting>
  <conditionalFormatting sqref="N10">
    <cfRule type="cellIs" dxfId="634" priority="406" operator="greaterThan">
      <formula>0.01</formula>
    </cfRule>
  </conditionalFormatting>
  <conditionalFormatting sqref="N11">
    <cfRule type="cellIs" dxfId="633" priority="407" operator="greaterThan">
      <formula>0.01</formula>
    </cfRule>
  </conditionalFormatting>
  <conditionalFormatting sqref="N12">
    <cfRule type="cellIs" dxfId="632" priority="408" operator="greaterThan">
      <formula>0.01</formula>
    </cfRule>
  </conditionalFormatting>
  <conditionalFormatting sqref="N13">
    <cfRule type="cellIs" dxfId="631" priority="409" operator="greaterThan">
      <formula>0.01</formula>
    </cfRule>
  </conditionalFormatting>
  <conditionalFormatting sqref="N14">
    <cfRule type="cellIs" dxfId="630" priority="410" operator="greaterThan">
      <formula>0.01</formula>
    </cfRule>
  </conditionalFormatting>
  <conditionalFormatting sqref="N15">
    <cfRule type="cellIs" dxfId="629" priority="411" operator="greaterThan">
      <formula>0.01</formula>
    </cfRule>
  </conditionalFormatting>
  <conditionalFormatting sqref="N16">
    <cfRule type="cellIs" dxfId="628" priority="412" operator="greaterThan">
      <formula>0.01</formula>
    </cfRule>
  </conditionalFormatting>
  <conditionalFormatting sqref="N17">
    <cfRule type="cellIs" dxfId="627" priority="413" operator="greaterThan">
      <formula>0.01</formula>
    </cfRule>
  </conditionalFormatting>
  <conditionalFormatting sqref="N18">
    <cfRule type="cellIs" dxfId="626" priority="414" operator="greaterThan">
      <formula>0.01</formula>
    </cfRule>
  </conditionalFormatting>
  <conditionalFormatting sqref="N19">
    <cfRule type="cellIs" dxfId="625" priority="415" operator="greaterThan">
      <formula>0.01</formula>
    </cfRule>
  </conditionalFormatting>
  <conditionalFormatting sqref="N20">
    <cfRule type="cellIs" dxfId="624" priority="416" operator="greaterThan">
      <formula>0.01</formula>
    </cfRule>
  </conditionalFormatting>
  <conditionalFormatting sqref="O8">
    <cfRule type="cellIs" dxfId="623" priority="417" operator="greaterThan">
      <formula>0.01</formula>
    </cfRule>
  </conditionalFormatting>
  <conditionalFormatting sqref="O9">
    <cfRule type="cellIs" dxfId="622" priority="418" operator="greaterThan">
      <formula>0.01</formula>
    </cfRule>
  </conditionalFormatting>
  <conditionalFormatting sqref="O10">
    <cfRule type="cellIs" dxfId="621" priority="419" operator="greaterThan">
      <formula>0.01</formula>
    </cfRule>
  </conditionalFormatting>
  <conditionalFormatting sqref="O11">
    <cfRule type="cellIs" dxfId="620" priority="420" operator="greaterThan">
      <formula>0.01</formula>
    </cfRule>
  </conditionalFormatting>
  <conditionalFormatting sqref="O12">
    <cfRule type="cellIs" dxfId="619" priority="421" operator="greaterThan">
      <formula>0.01</formula>
    </cfRule>
  </conditionalFormatting>
  <conditionalFormatting sqref="O13">
    <cfRule type="cellIs" dxfId="618" priority="422" operator="greaterThan">
      <formula>0.01</formula>
    </cfRule>
  </conditionalFormatting>
  <conditionalFormatting sqref="O14">
    <cfRule type="cellIs" dxfId="617" priority="423" operator="greaterThan">
      <formula>0.01</formula>
    </cfRule>
  </conditionalFormatting>
  <conditionalFormatting sqref="O15">
    <cfRule type="cellIs" dxfId="616" priority="424" operator="greaterThan">
      <formula>0.01</formula>
    </cfRule>
  </conditionalFormatting>
  <conditionalFormatting sqref="O16">
    <cfRule type="cellIs" dxfId="615" priority="425" operator="greaterThan">
      <formula>0.01</formula>
    </cfRule>
  </conditionalFormatting>
  <conditionalFormatting sqref="O17">
    <cfRule type="cellIs" dxfId="614" priority="426" operator="greaterThan">
      <formula>0.01</formula>
    </cfRule>
  </conditionalFormatting>
  <conditionalFormatting sqref="O18">
    <cfRule type="cellIs" dxfId="613" priority="427" operator="greaterThan">
      <formula>0.01</formula>
    </cfRule>
  </conditionalFormatting>
  <conditionalFormatting sqref="O19">
    <cfRule type="cellIs" dxfId="612" priority="428" operator="greaterThan">
      <formula>0.01</formula>
    </cfRule>
  </conditionalFormatting>
  <conditionalFormatting sqref="O20">
    <cfRule type="cellIs" dxfId="611" priority="429" operator="greaterThan">
      <formula>0.01</formula>
    </cfRule>
  </conditionalFormatting>
  <conditionalFormatting sqref="P8">
    <cfRule type="cellIs" dxfId="610" priority="430" operator="greaterThan">
      <formula>0.01</formula>
    </cfRule>
  </conditionalFormatting>
  <conditionalFormatting sqref="P9">
    <cfRule type="cellIs" dxfId="609" priority="431" operator="greaterThan">
      <formula>0.01</formula>
    </cfRule>
  </conditionalFormatting>
  <conditionalFormatting sqref="P10">
    <cfRule type="cellIs" dxfId="608" priority="432" operator="greaterThan">
      <formula>0.01</formula>
    </cfRule>
  </conditionalFormatting>
  <conditionalFormatting sqref="P11">
    <cfRule type="cellIs" dxfId="607" priority="433" operator="greaterThan">
      <formula>0.01</formula>
    </cfRule>
  </conditionalFormatting>
  <conditionalFormatting sqref="P12">
    <cfRule type="cellIs" dxfId="606" priority="434" operator="greaterThan">
      <formula>0.01</formula>
    </cfRule>
  </conditionalFormatting>
  <conditionalFormatting sqref="P13">
    <cfRule type="cellIs" dxfId="605" priority="435" operator="greaterThan">
      <formula>0.01</formula>
    </cfRule>
  </conditionalFormatting>
  <conditionalFormatting sqref="P14">
    <cfRule type="cellIs" dxfId="604" priority="436" operator="greaterThan">
      <formula>0.01</formula>
    </cfRule>
  </conditionalFormatting>
  <conditionalFormatting sqref="P15">
    <cfRule type="cellIs" dxfId="603" priority="437" operator="greaterThan">
      <formula>0.01</formula>
    </cfRule>
  </conditionalFormatting>
  <conditionalFormatting sqref="P16">
    <cfRule type="cellIs" dxfId="602" priority="438" operator="greaterThan">
      <formula>0.01</formula>
    </cfRule>
  </conditionalFormatting>
  <conditionalFormatting sqref="P17">
    <cfRule type="cellIs" dxfId="601" priority="439" operator="greaterThan">
      <formula>0.01</formula>
    </cfRule>
  </conditionalFormatting>
  <conditionalFormatting sqref="P18">
    <cfRule type="cellIs" dxfId="600" priority="440" operator="greaterThan">
      <formula>0.01</formula>
    </cfRule>
  </conditionalFormatting>
  <conditionalFormatting sqref="P19">
    <cfRule type="cellIs" dxfId="599" priority="441" operator="greaterThan">
      <formula>0.01</formula>
    </cfRule>
  </conditionalFormatting>
  <conditionalFormatting sqref="P20">
    <cfRule type="cellIs" dxfId="598" priority="442" operator="greaterThan">
      <formula>0.01</formula>
    </cfRule>
  </conditionalFormatting>
  <conditionalFormatting sqref="Q8">
    <cfRule type="cellIs" dxfId="597" priority="443" operator="greaterThan">
      <formula>0.01</formula>
    </cfRule>
  </conditionalFormatting>
  <conditionalFormatting sqref="Q9">
    <cfRule type="cellIs" dxfId="596" priority="444" operator="greaterThan">
      <formula>0.01</formula>
    </cfRule>
  </conditionalFormatting>
  <conditionalFormatting sqref="Q10">
    <cfRule type="cellIs" dxfId="595" priority="445" operator="greaterThan">
      <formula>0.01</formula>
    </cfRule>
  </conditionalFormatting>
  <conditionalFormatting sqref="Q11">
    <cfRule type="cellIs" dxfId="594" priority="446" operator="greaterThan">
      <formula>0.01</formula>
    </cfRule>
  </conditionalFormatting>
  <conditionalFormatting sqref="Q12">
    <cfRule type="cellIs" dxfId="593" priority="447" operator="greaterThan">
      <formula>0.01</formula>
    </cfRule>
  </conditionalFormatting>
  <conditionalFormatting sqref="Q13">
    <cfRule type="cellIs" dxfId="592" priority="448" operator="greaterThan">
      <formula>0.01</formula>
    </cfRule>
  </conditionalFormatting>
  <conditionalFormatting sqref="Q14">
    <cfRule type="cellIs" dxfId="591" priority="449" operator="greaterThan">
      <formula>0.01</formula>
    </cfRule>
  </conditionalFormatting>
  <conditionalFormatting sqref="Q15">
    <cfRule type="cellIs" dxfId="590" priority="450" operator="greaterThan">
      <formula>0.01</formula>
    </cfRule>
  </conditionalFormatting>
  <conditionalFormatting sqref="Q16">
    <cfRule type="cellIs" dxfId="589" priority="451" operator="greaterThan">
      <formula>0.01</formula>
    </cfRule>
  </conditionalFormatting>
  <conditionalFormatting sqref="Q17">
    <cfRule type="cellIs" dxfId="588" priority="452" operator="greaterThan">
      <formula>0.01</formula>
    </cfRule>
  </conditionalFormatting>
  <conditionalFormatting sqref="Q18">
    <cfRule type="cellIs" dxfId="587" priority="453" operator="greaterThan">
      <formula>0.01</formula>
    </cfRule>
  </conditionalFormatting>
  <conditionalFormatting sqref="Q19">
    <cfRule type="cellIs" dxfId="586" priority="454" operator="greaterThan">
      <formula>0.01</formula>
    </cfRule>
  </conditionalFormatting>
  <conditionalFormatting sqref="Q20">
    <cfRule type="cellIs" dxfId="585" priority="455" operator="greaterThan">
      <formula>0.01</formula>
    </cfRule>
  </conditionalFormatting>
  <conditionalFormatting sqref="R8">
    <cfRule type="cellIs" dxfId="584" priority="456" operator="greaterThan">
      <formula>0.01</formula>
    </cfRule>
  </conditionalFormatting>
  <conditionalFormatting sqref="R9">
    <cfRule type="cellIs" dxfId="583" priority="457" operator="greaterThan">
      <formula>0.01</formula>
    </cfRule>
  </conditionalFormatting>
  <conditionalFormatting sqref="R10">
    <cfRule type="cellIs" dxfId="582" priority="458" operator="greaterThan">
      <formula>0.01</formula>
    </cfRule>
  </conditionalFormatting>
  <conditionalFormatting sqref="R11">
    <cfRule type="cellIs" dxfId="581" priority="459" operator="greaterThan">
      <formula>0.01</formula>
    </cfRule>
  </conditionalFormatting>
  <conditionalFormatting sqref="R12">
    <cfRule type="cellIs" dxfId="580" priority="460" operator="greaterThan">
      <formula>0.01</formula>
    </cfRule>
  </conditionalFormatting>
  <conditionalFormatting sqref="R13">
    <cfRule type="cellIs" dxfId="579" priority="461" operator="greaterThan">
      <formula>0.01</formula>
    </cfRule>
  </conditionalFormatting>
  <conditionalFormatting sqref="R14">
    <cfRule type="cellIs" dxfId="578" priority="462" operator="greaterThan">
      <formula>0.01</formula>
    </cfRule>
  </conditionalFormatting>
  <conditionalFormatting sqref="R15">
    <cfRule type="cellIs" dxfId="577" priority="463" operator="greaterThan">
      <formula>0.01</formula>
    </cfRule>
  </conditionalFormatting>
  <conditionalFormatting sqref="R16">
    <cfRule type="cellIs" dxfId="576" priority="464" operator="greaterThan">
      <formula>0.01</formula>
    </cfRule>
  </conditionalFormatting>
  <conditionalFormatting sqref="R17">
    <cfRule type="cellIs" dxfId="575" priority="465" operator="greaterThan">
      <formula>0.01</formula>
    </cfRule>
  </conditionalFormatting>
  <conditionalFormatting sqref="R18">
    <cfRule type="cellIs" dxfId="574" priority="466" operator="greaterThan">
      <formula>0.01</formula>
    </cfRule>
  </conditionalFormatting>
  <conditionalFormatting sqref="R19">
    <cfRule type="cellIs" dxfId="573" priority="467" operator="greaterThan">
      <formula>0.01</formula>
    </cfRule>
  </conditionalFormatting>
  <conditionalFormatting sqref="R20">
    <cfRule type="cellIs" dxfId="572" priority="468" operator="greaterThan">
      <formula>0.01</formula>
    </cfRule>
  </conditionalFormatting>
  <conditionalFormatting sqref="S8">
    <cfRule type="cellIs" dxfId="571" priority="469" operator="greaterThan">
      <formula>0.01</formula>
    </cfRule>
  </conditionalFormatting>
  <conditionalFormatting sqref="S9">
    <cfRule type="cellIs" dxfId="570" priority="470" operator="greaterThan">
      <formula>0.01</formula>
    </cfRule>
  </conditionalFormatting>
  <conditionalFormatting sqref="S10">
    <cfRule type="cellIs" dxfId="569" priority="471" operator="greaterThan">
      <formula>0.01</formula>
    </cfRule>
  </conditionalFormatting>
  <conditionalFormatting sqref="S11">
    <cfRule type="cellIs" dxfId="568" priority="472" operator="greaterThan">
      <formula>0.01</formula>
    </cfRule>
  </conditionalFormatting>
  <conditionalFormatting sqref="S12">
    <cfRule type="cellIs" dxfId="567" priority="473" operator="greaterThan">
      <formula>0.01</formula>
    </cfRule>
  </conditionalFormatting>
  <conditionalFormatting sqref="S13">
    <cfRule type="cellIs" dxfId="566" priority="474" operator="greaterThan">
      <formula>0.01</formula>
    </cfRule>
  </conditionalFormatting>
  <conditionalFormatting sqref="S14">
    <cfRule type="cellIs" dxfId="565" priority="475" operator="greaterThan">
      <formula>0.01</formula>
    </cfRule>
  </conditionalFormatting>
  <conditionalFormatting sqref="S15">
    <cfRule type="cellIs" dxfId="564" priority="476" operator="greaterThan">
      <formula>0.01</formula>
    </cfRule>
  </conditionalFormatting>
  <conditionalFormatting sqref="S16">
    <cfRule type="cellIs" dxfId="563" priority="477" operator="greaterThan">
      <formula>0.01</formula>
    </cfRule>
  </conditionalFormatting>
  <conditionalFormatting sqref="S17">
    <cfRule type="cellIs" dxfId="562" priority="478" operator="greaterThan">
      <formula>0.01</formula>
    </cfRule>
  </conditionalFormatting>
  <conditionalFormatting sqref="S18">
    <cfRule type="cellIs" dxfId="561" priority="479" operator="greaterThan">
      <formula>0.01</formula>
    </cfRule>
  </conditionalFormatting>
  <conditionalFormatting sqref="S19">
    <cfRule type="cellIs" dxfId="560" priority="480" operator="greaterThan">
      <formula>0.01</formula>
    </cfRule>
  </conditionalFormatting>
  <conditionalFormatting sqref="S20">
    <cfRule type="cellIs" dxfId="559" priority="481" operator="greaterThan">
      <formula>0.01</formula>
    </cfRule>
  </conditionalFormatting>
  <conditionalFormatting sqref="T8">
    <cfRule type="cellIs" dxfId="558" priority="482" operator="greaterThan">
      <formula>0.01</formula>
    </cfRule>
  </conditionalFormatting>
  <conditionalFormatting sqref="T9">
    <cfRule type="cellIs" dxfId="557" priority="483" operator="greaterThan">
      <formula>0.01</formula>
    </cfRule>
  </conditionalFormatting>
  <conditionalFormatting sqref="T10">
    <cfRule type="cellIs" dxfId="556" priority="484" operator="greaterThan">
      <formula>0.01</formula>
    </cfRule>
  </conditionalFormatting>
  <conditionalFormatting sqref="T11">
    <cfRule type="cellIs" dxfId="555" priority="485" operator="greaterThan">
      <formula>0.01</formula>
    </cfRule>
  </conditionalFormatting>
  <conditionalFormatting sqref="T12">
    <cfRule type="cellIs" dxfId="554" priority="486" operator="greaterThan">
      <formula>0.01</formula>
    </cfRule>
  </conditionalFormatting>
  <conditionalFormatting sqref="T13">
    <cfRule type="cellIs" dxfId="553" priority="487" operator="greaterThan">
      <formula>0.01</formula>
    </cfRule>
  </conditionalFormatting>
  <conditionalFormatting sqref="T14">
    <cfRule type="cellIs" dxfId="552" priority="488" operator="greaterThan">
      <formula>0.01</formula>
    </cfRule>
  </conditionalFormatting>
  <conditionalFormatting sqref="T15">
    <cfRule type="cellIs" dxfId="551" priority="489" operator="greaterThan">
      <formula>0.01</formula>
    </cfRule>
  </conditionalFormatting>
  <conditionalFormatting sqref="T16">
    <cfRule type="cellIs" dxfId="550" priority="490" operator="greaterThan">
      <formula>0.01</formula>
    </cfRule>
  </conditionalFormatting>
  <conditionalFormatting sqref="T17">
    <cfRule type="cellIs" dxfId="549" priority="491" operator="greaterThan">
      <formula>0.01</formula>
    </cfRule>
  </conditionalFormatting>
  <conditionalFormatting sqref="T18">
    <cfRule type="cellIs" dxfId="548" priority="492" operator="greaterThan">
      <formula>0.01</formula>
    </cfRule>
  </conditionalFormatting>
  <conditionalFormatting sqref="T19">
    <cfRule type="cellIs" dxfId="547" priority="493" operator="greaterThan">
      <formula>0.01</formula>
    </cfRule>
  </conditionalFormatting>
  <conditionalFormatting sqref="T20">
    <cfRule type="cellIs" dxfId="546" priority="494" operator="greaterThan">
      <formula>0.01</formula>
    </cfRule>
  </conditionalFormatting>
  <conditionalFormatting sqref="U8">
    <cfRule type="cellIs" dxfId="545" priority="495" operator="greaterThan">
      <formula>0.01</formula>
    </cfRule>
  </conditionalFormatting>
  <conditionalFormatting sqref="U9">
    <cfRule type="cellIs" dxfId="544" priority="496" operator="greaterThan">
      <formula>0.01</formula>
    </cfRule>
  </conditionalFormatting>
  <conditionalFormatting sqref="U10">
    <cfRule type="cellIs" dxfId="543" priority="497" operator="greaterThan">
      <formula>0.01</formula>
    </cfRule>
  </conditionalFormatting>
  <conditionalFormatting sqref="U11">
    <cfRule type="cellIs" dxfId="542" priority="498" operator="greaterThan">
      <formula>0.01</formula>
    </cfRule>
  </conditionalFormatting>
  <conditionalFormatting sqref="U12">
    <cfRule type="cellIs" dxfId="541" priority="499" operator="greaterThan">
      <formula>0.01</formula>
    </cfRule>
  </conditionalFormatting>
  <conditionalFormatting sqref="U13">
    <cfRule type="cellIs" dxfId="540" priority="500" operator="greaterThan">
      <formula>0.01</formula>
    </cfRule>
  </conditionalFormatting>
  <conditionalFormatting sqref="U14">
    <cfRule type="cellIs" dxfId="539" priority="501" operator="greaterThan">
      <formula>0.01</formula>
    </cfRule>
  </conditionalFormatting>
  <conditionalFormatting sqref="U15">
    <cfRule type="cellIs" dxfId="538" priority="502" operator="greaterThan">
      <formula>0.01</formula>
    </cfRule>
  </conditionalFormatting>
  <conditionalFormatting sqref="U16">
    <cfRule type="cellIs" dxfId="537" priority="503" operator="greaterThan">
      <formula>0.01</formula>
    </cfRule>
  </conditionalFormatting>
  <conditionalFormatting sqref="U17">
    <cfRule type="cellIs" dxfId="536" priority="504" operator="greaterThan">
      <formula>0.01</formula>
    </cfRule>
  </conditionalFormatting>
  <conditionalFormatting sqref="U18">
    <cfRule type="cellIs" dxfId="535" priority="505" operator="greaterThan">
      <formula>0.01</formula>
    </cfRule>
  </conditionalFormatting>
  <conditionalFormatting sqref="U19">
    <cfRule type="cellIs" dxfId="534" priority="506" operator="greaterThan">
      <formula>0.01</formula>
    </cfRule>
  </conditionalFormatting>
  <conditionalFormatting sqref="U20">
    <cfRule type="cellIs" dxfId="533" priority="507" operator="greaterThan">
      <formula>0.01</formula>
    </cfRule>
  </conditionalFormatting>
  <conditionalFormatting sqref="V8">
    <cfRule type="cellIs" dxfId="532" priority="508" operator="greaterThan">
      <formula>0.01</formula>
    </cfRule>
  </conditionalFormatting>
  <conditionalFormatting sqref="V9">
    <cfRule type="cellIs" dxfId="531" priority="509" operator="greaterThan">
      <formula>0.01</formula>
    </cfRule>
  </conditionalFormatting>
  <conditionalFormatting sqref="V10">
    <cfRule type="cellIs" dxfId="530" priority="510" operator="greaterThan">
      <formula>0.01</formula>
    </cfRule>
  </conditionalFormatting>
  <conditionalFormatting sqref="V11">
    <cfRule type="cellIs" dxfId="529" priority="511" operator="greaterThan">
      <formula>0.01</formula>
    </cfRule>
  </conditionalFormatting>
  <conditionalFormatting sqref="V12">
    <cfRule type="cellIs" dxfId="528" priority="512" operator="greaterThan">
      <formula>0.01</formula>
    </cfRule>
  </conditionalFormatting>
  <conditionalFormatting sqref="V13">
    <cfRule type="cellIs" dxfId="527" priority="513" operator="greaterThan">
      <formula>0.01</formula>
    </cfRule>
  </conditionalFormatting>
  <conditionalFormatting sqref="V14">
    <cfRule type="cellIs" dxfId="526" priority="514" operator="greaterThan">
      <formula>0.01</formula>
    </cfRule>
  </conditionalFormatting>
  <conditionalFormatting sqref="V15">
    <cfRule type="cellIs" dxfId="525" priority="515" operator="greaterThan">
      <formula>0.01</formula>
    </cfRule>
  </conditionalFormatting>
  <conditionalFormatting sqref="V16">
    <cfRule type="cellIs" dxfId="524" priority="516" operator="greaterThan">
      <formula>0.01</formula>
    </cfRule>
  </conditionalFormatting>
  <conditionalFormatting sqref="V17">
    <cfRule type="cellIs" dxfId="523" priority="517" operator="greaterThan">
      <formula>0.01</formula>
    </cfRule>
  </conditionalFormatting>
  <conditionalFormatting sqref="V18">
    <cfRule type="cellIs" dxfId="522" priority="518" operator="greaterThan">
      <formula>0.01</formula>
    </cfRule>
  </conditionalFormatting>
  <conditionalFormatting sqref="V19">
    <cfRule type="cellIs" dxfId="521" priority="519" operator="greaterThan">
      <formula>0.01</formula>
    </cfRule>
  </conditionalFormatting>
  <conditionalFormatting sqref="V20">
    <cfRule type="cellIs" dxfId="520" priority="52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54" fitToWidth="0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P20"/>
  <sheetViews>
    <sheetView zoomScale="90" zoomScaleNormal="90" workbookViewId="0">
      <pane xSplit="2" topLeftCell="C1" activePane="topRight" state="frozen"/>
      <selection pane="topRight" activeCell="F3" sqref="F3"/>
    </sheetView>
  </sheetViews>
  <sheetFormatPr defaultRowHeight="16.5"/>
  <cols>
    <col min="1" max="1" width="5.125" customWidth="1"/>
    <col min="2" max="2" width="15.625" customWidth="1"/>
    <col min="3" max="3" width="13.12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33" width="12.5" customWidth="1"/>
    <col min="34" max="35" width="12.125" customWidth="1"/>
    <col min="36" max="37" width="14.75" customWidth="1"/>
    <col min="38" max="40" width="12.5" customWidth="1"/>
    <col min="41" max="41" width="11" customWidth="1"/>
    <col min="42" max="42" width="9.75" customWidth="1"/>
    <col min="43" max="156" width="6.625" customWidth="1"/>
    <col min="157" max="157" width="9" customWidth="1"/>
  </cols>
  <sheetData>
    <row r="2" spans="2:42">
      <c r="B2" t="s">
        <v>20</v>
      </c>
      <c r="D2" s="161" t="s">
        <v>0</v>
      </c>
      <c r="E2" s="159"/>
    </row>
    <row r="3" spans="2:42" ht="16.5" customHeight="1">
      <c r="B3" s="253" t="s">
        <v>21</v>
      </c>
      <c r="C3" s="253"/>
      <c r="D3" s="137" t="s">
        <v>1</v>
      </c>
      <c r="E3" s="144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  <c r="S3" s="136"/>
    </row>
    <row r="4" spans="2:42" ht="16.5" customHeight="1">
      <c r="B4" s="251"/>
      <c r="C4" s="250"/>
      <c r="D4" s="143" t="s">
        <v>2</v>
      </c>
      <c r="E4" s="144"/>
      <c r="F4" s="142"/>
      <c r="G4" s="142"/>
      <c r="H4" s="142"/>
      <c r="I4" s="142"/>
      <c r="J4" s="142"/>
      <c r="K4" s="142"/>
      <c r="L4" s="142"/>
      <c r="M4" s="141"/>
      <c r="N4" s="141"/>
      <c r="O4" s="142"/>
      <c r="P4" s="142"/>
      <c r="Q4" s="142"/>
      <c r="R4" s="142"/>
      <c r="S4" s="142"/>
      <c r="T4" s="142"/>
      <c r="U4" s="142"/>
      <c r="V4" s="142"/>
      <c r="W4" s="141"/>
      <c r="X4" s="141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</row>
    <row r="5" spans="2:42">
      <c r="B5" s="251"/>
      <c r="C5" s="250"/>
      <c r="D5" s="143"/>
      <c r="E5" s="161"/>
      <c r="F5" s="161"/>
      <c r="G5" s="161"/>
      <c r="H5" s="161"/>
      <c r="I5" s="161"/>
      <c r="J5" s="161"/>
      <c r="K5" s="161"/>
      <c r="L5" s="161"/>
      <c r="M5" s="143"/>
      <c r="N5" s="143"/>
      <c r="O5" s="161"/>
      <c r="P5" s="161"/>
      <c r="Q5" s="161"/>
      <c r="R5" s="161"/>
      <c r="S5" s="161"/>
      <c r="T5" s="161"/>
      <c r="U5" s="161"/>
      <c r="V5" s="161"/>
      <c r="W5" s="143"/>
      <c r="X5" s="143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</row>
    <row r="6" spans="2:42" ht="16.5" customHeight="1">
      <c r="B6" s="145" t="s">
        <v>3</v>
      </c>
      <c r="C6" s="140" t="s">
        <v>1</v>
      </c>
      <c r="D6" s="140" t="s">
        <v>1</v>
      </c>
      <c r="E6" s="140" t="s">
        <v>1</v>
      </c>
      <c r="F6" s="140" t="s">
        <v>1</v>
      </c>
      <c r="G6" s="140" t="s">
        <v>1</v>
      </c>
      <c r="H6" s="140" t="s">
        <v>1</v>
      </c>
      <c r="I6" s="140" t="s">
        <v>1</v>
      </c>
      <c r="J6" s="140" t="s">
        <v>1</v>
      </c>
      <c r="K6" s="140" t="s">
        <v>1</v>
      </c>
      <c r="L6" s="140" t="s">
        <v>1</v>
      </c>
      <c r="M6" s="175" t="s">
        <v>1</v>
      </c>
      <c r="N6" s="175" t="s">
        <v>1</v>
      </c>
      <c r="O6" s="175" t="s">
        <v>1</v>
      </c>
      <c r="P6" s="175" t="s">
        <v>1</v>
      </c>
      <c r="Q6" s="175" t="s">
        <v>1</v>
      </c>
      <c r="R6" s="175" t="s">
        <v>1</v>
      </c>
      <c r="S6" s="175" t="s">
        <v>1</v>
      </c>
      <c r="T6" s="175" t="s">
        <v>1</v>
      </c>
      <c r="U6" s="175" t="s">
        <v>1</v>
      </c>
      <c r="V6" s="175" t="s">
        <v>1</v>
      </c>
      <c r="W6" s="140" t="s">
        <v>2</v>
      </c>
      <c r="X6" s="140" t="s">
        <v>2</v>
      </c>
      <c r="Y6" s="140" t="s">
        <v>2</v>
      </c>
      <c r="Z6" s="140" t="s">
        <v>2</v>
      </c>
      <c r="AA6" s="140" t="s">
        <v>2</v>
      </c>
      <c r="AB6" s="140" t="s">
        <v>2</v>
      </c>
      <c r="AC6" s="140" t="s">
        <v>2</v>
      </c>
      <c r="AD6" s="140" t="s">
        <v>2</v>
      </c>
      <c r="AE6" s="140" t="s">
        <v>2</v>
      </c>
      <c r="AF6" s="140" t="s">
        <v>2</v>
      </c>
      <c r="AG6" s="175" t="s">
        <v>2</v>
      </c>
      <c r="AH6" s="175" t="s">
        <v>2</v>
      </c>
      <c r="AI6" s="175" t="s">
        <v>2</v>
      </c>
      <c r="AJ6" s="175" t="s">
        <v>2</v>
      </c>
      <c r="AK6" s="175" t="s">
        <v>2</v>
      </c>
      <c r="AL6" s="175" t="s">
        <v>2</v>
      </c>
      <c r="AM6" s="175" t="s">
        <v>2</v>
      </c>
      <c r="AN6" s="175" t="s">
        <v>2</v>
      </c>
      <c r="AO6" s="175" t="s">
        <v>2</v>
      </c>
      <c r="AP6" s="177" t="s">
        <v>2</v>
      </c>
    </row>
    <row r="7" spans="2:42">
      <c r="B7" s="146" t="s">
        <v>4</v>
      </c>
      <c r="C7" s="137" t="s">
        <v>5</v>
      </c>
      <c r="D7" s="137" t="s">
        <v>5</v>
      </c>
      <c r="E7" s="137" t="s">
        <v>5</v>
      </c>
      <c r="F7" s="137" t="s">
        <v>5</v>
      </c>
      <c r="G7" s="137" t="s">
        <v>5</v>
      </c>
      <c r="H7" s="137" t="s">
        <v>5</v>
      </c>
      <c r="I7" s="137" t="s">
        <v>5</v>
      </c>
      <c r="J7" s="137" t="s">
        <v>5</v>
      </c>
      <c r="K7" s="137" t="s">
        <v>5</v>
      </c>
      <c r="L7" s="137" t="s">
        <v>5</v>
      </c>
      <c r="M7" s="137" t="s">
        <v>6</v>
      </c>
      <c r="N7" s="137" t="s">
        <v>6</v>
      </c>
      <c r="O7" s="137" t="s">
        <v>6</v>
      </c>
      <c r="P7" s="137" t="s">
        <v>6</v>
      </c>
      <c r="Q7" s="137" t="s">
        <v>6</v>
      </c>
      <c r="R7" s="137" t="s">
        <v>6</v>
      </c>
      <c r="S7" s="137" t="s">
        <v>6</v>
      </c>
      <c r="T7" s="137" t="s">
        <v>6</v>
      </c>
      <c r="U7" s="137" t="s">
        <v>6</v>
      </c>
      <c r="V7" s="137" t="s">
        <v>6</v>
      </c>
      <c r="W7" s="137" t="s">
        <v>5</v>
      </c>
      <c r="X7" s="137" t="s">
        <v>5</v>
      </c>
      <c r="Y7" s="137" t="s">
        <v>5</v>
      </c>
      <c r="Z7" s="137" t="s">
        <v>5</v>
      </c>
      <c r="AA7" s="137" t="s">
        <v>5</v>
      </c>
      <c r="AB7" s="137" t="s">
        <v>5</v>
      </c>
      <c r="AC7" s="137" t="s">
        <v>5</v>
      </c>
      <c r="AD7" s="137" t="s">
        <v>5</v>
      </c>
      <c r="AE7" s="137" t="s">
        <v>5</v>
      </c>
      <c r="AF7" s="137" t="s">
        <v>5</v>
      </c>
      <c r="AG7" s="137" t="s">
        <v>6</v>
      </c>
      <c r="AH7" s="137" t="s">
        <v>6</v>
      </c>
      <c r="AI7" s="137" t="s">
        <v>6</v>
      </c>
      <c r="AJ7" s="137" t="s">
        <v>6</v>
      </c>
      <c r="AK7" s="137" t="s">
        <v>6</v>
      </c>
      <c r="AL7" s="137" t="s">
        <v>6</v>
      </c>
      <c r="AM7" s="137" t="s">
        <v>6</v>
      </c>
      <c r="AN7" s="137" t="s">
        <v>6</v>
      </c>
      <c r="AO7" s="137" t="s">
        <v>6</v>
      </c>
      <c r="AP7" s="178" t="s">
        <v>6</v>
      </c>
    </row>
    <row r="8" spans="2:42" ht="20.100000000000001" customHeight="1">
      <c r="B8" s="138" t="s">
        <v>7</v>
      </c>
      <c r="C8" s="227"/>
      <c r="D8" s="227"/>
      <c r="E8" s="227"/>
      <c r="F8" s="227"/>
      <c r="G8" s="227"/>
      <c r="H8" s="227"/>
      <c r="I8" s="227"/>
      <c r="J8" s="227"/>
      <c r="K8" s="227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7"/>
      <c r="W8" s="228"/>
      <c r="X8" s="228"/>
      <c r="Y8" s="228"/>
      <c r="Z8" s="228"/>
      <c r="AA8" s="228"/>
      <c r="AB8" s="228"/>
      <c r="AC8" s="228"/>
      <c r="AD8" s="228"/>
      <c r="AE8" s="228"/>
      <c r="AF8" s="228"/>
      <c r="AG8" s="228"/>
      <c r="AH8" s="228"/>
      <c r="AI8" s="228"/>
      <c r="AJ8" s="228"/>
      <c r="AK8" s="228"/>
      <c r="AL8" s="228"/>
      <c r="AM8" s="228"/>
      <c r="AN8" s="228"/>
      <c r="AO8" s="228"/>
      <c r="AP8" s="227"/>
    </row>
    <row r="9" spans="2:42" ht="20.100000000000001" customHeight="1">
      <c r="B9" s="138" t="s">
        <v>8</v>
      </c>
      <c r="C9" s="198"/>
      <c r="D9" s="138"/>
      <c r="E9" s="138"/>
      <c r="F9" s="138"/>
      <c r="G9" s="138"/>
      <c r="H9" s="138"/>
      <c r="I9" s="138"/>
      <c r="J9" s="138"/>
      <c r="K9" s="13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38"/>
    </row>
    <row r="10" spans="2:42" ht="20.100000000000001" customHeight="1">
      <c r="B10" s="138" t="s">
        <v>9</v>
      </c>
      <c r="C10" s="198"/>
      <c r="D10" s="138"/>
      <c r="E10" s="138"/>
      <c r="F10" s="138"/>
      <c r="G10" s="138"/>
      <c r="H10" s="138"/>
      <c r="I10" s="138"/>
      <c r="J10" s="138"/>
      <c r="K10" s="13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38"/>
    </row>
    <row r="11" spans="2:42" ht="20.100000000000001" customHeight="1">
      <c r="B11" s="138" t="s">
        <v>10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60"/>
      <c r="M11" s="198"/>
      <c r="N11" s="198"/>
      <c r="O11" s="198"/>
      <c r="P11" s="198"/>
      <c r="Q11" s="198"/>
      <c r="R11" s="198"/>
      <c r="S11" s="198"/>
      <c r="T11" s="198"/>
      <c r="U11" s="198"/>
      <c r="V11" s="138"/>
      <c r="W11" s="198"/>
      <c r="X11" s="198"/>
      <c r="Y11" s="198"/>
      <c r="Z11" s="198"/>
      <c r="AA11" s="198"/>
      <c r="AB11" s="198"/>
      <c r="AC11" s="198"/>
      <c r="AD11" s="198"/>
      <c r="AE11" s="198"/>
      <c r="AF11" s="160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</row>
    <row r="12" spans="2:42" ht="20.100000000000001" customHeight="1">
      <c r="B12" s="138" t="s">
        <v>11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60"/>
      <c r="M12" s="198"/>
      <c r="N12" s="198"/>
      <c r="O12" s="198"/>
      <c r="P12" s="198"/>
      <c r="Q12" s="198"/>
      <c r="R12" s="198"/>
      <c r="S12" s="198"/>
      <c r="T12" s="198"/>
      <c r="U12" s="198"/>
      <c r="V12" s="138"/>
      <c r="W12" s="198"/>
      <c r="X12" s="198"/>
      <c r="Y12" s="198"/>
      <c r="Z12" s="198"/>
      <c r="AA12" s="198"/>
      <c r="AB12" s="198"/>
      <c r="AC12" s="198"/>
      <c r="AD12" s="198"/>
      <c r="AE12" s="198"/>
      <c r="AF12" s="160"/>
      <c r="AG12" s="198"/>
      <c r="AH12" s="198"/>
      <c r="AI12" s="198"/>
      <c r="AJ12" s="198"/>
      <c r="AK12" s="198"/>
      <c r="AL12" s="198"/>
      <c r="AM12" s="198"/>
      <c r="AN12" s="198"/>
      <c r="AO12" s="198"/>
      <c r="AP12" s="138"/>
    </row>
    <row r="13" spans="2:42" ht="20.100000000000001" customHeight="1">
      <c r="B13" s="138" t="s">
        <v>12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38"/>
    </row>
    <row r="14" spans="2:42" ht="20.100000000000001" customHeight="1">
      <c r="B14" s="138" t="s">
        <v>13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</row>
    <row r="15" spans="2:42" ht="20.100000000000001" customHeight="1">
      <c r="B15" s="138" t="s">
        <v>14</v>
      </c>
      <c r="C15" s="138"/>
      <c r="D15" s="198"/>
      <c r="E15" s="138"/>
      <c r="F15" s="198"/>
      <c r="G15" s="138"/>
      <c r="H15" s="138"/>
      <c r="I15" s="138"/>
      <c r="J15" s="138"/>
      <c r="K15" s="138"/>
      <c r="L15" s="160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60"/>
      <c r="AG15" s="198"/>
      <c r="AH15" s="198"/>
      <c r="AI15" s="198"/>
      <c r="AJ15" s="198"/>
      <c r="AK15" s="198"/>
      <c r="AL15" s="198"/>
      <c r="AM15" s="198"/>
      <c r="AN15" s="198"/>
      <c r="AO15" s="198"/>
      <c r="AP15" s="138"/>
    </row>
    <row r="16" spans="2:42" ht="20.100000000000001" customHeight="1">
      <c r="B16" s="138" t="s">
        <v>15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38"/>
    </row>
    <row r="17" spans="2:42" ht="20.100000000000001" customHeight="1">
      <c r="B17" s="138" t="s">
        <v>16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98"/>
      <c r="N17" s="198"/>
      <c r="O17" s="198"/>
      <c r="P17" s="198"/>
      <c r="Q17" s="198"/>
      <c r="R17" s="198"/>
      <c r="S17" s="198"/>
      <c r="T17" s="198"/>
      <c r="U17" s="198"/>
      <c r="V17" s="138"/>
      <c r="W17" s="198"/>
      <c r="X17" s="198"/>
      <c r="Y17" s="198"/>
      <c r="Z17" s="198"/>
      <c r="AA17" s="198"/>
      <c r="AB17" s="198"/>
      <c r="AC17" s="198"/>
      <c r="AD17" s="198"/>
      <c r="AE17" s="198"/>
      <c r="AF17" s="13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</row>
    <row r="18" spans="2:42" ht="20.100000000000001" customHeight="1">
      <c r="B18" s="138" t="s">
        <v>17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98"/>
      <c r="N18" s="198"/>
      <c r="O18" s="198"/>
      <c r="P18" s="198"/>
      <c r="Q18" s="198"/>
      <c r="R18" s="198"/>
      <c r="S18" s="198"/>
      <c r="T18" s="198"/>
      <c r="U18" s="198"/>
      <c r="V18" s="138"/>
      <c r="W18" s="198"/>
      <c r="X18" s="198"/>
      <c r="Y18" s="198"/>
      <c r="Z18" s="198"/>
      <c r="AA18" s="198"/>
      <c r="AB18" s="198"/>
      <c r="AC18" s="198"/>
      <c r="AD18" s="198"/>
      <c r="AE18" s="198"/>
      <c r="AF18" s="138"/>
      <c r="AG18" s="198"/>
      <c r="AH18" s="198"/>
      <c r="AI18" s="198"/>
      <c r="AJ18" s="198"/>
      <c r="AK18" s="198"/>
      <c r="AL18" s="198"/>
      <c r="AM18" s="198"/>
      <c r="AN18" s="198"/>
      <c r="AO18" s="198"/>
      <c r="AP18" s="160"/>
    </row>
    <row r="19" spans="2:42" ht="20.100000000000001" customHeight="1">
      <c r="B19" s="138" t="s">
        <v>18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3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60"/>
    </row>
    <row r="20" spans="2:42" ht="20.100000000000001" customHeight="1">
      <c r="B20" s="138" t="s">
        <v>19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98"/>
      <c r="N20" s="198"/>
      <c r="O20" s="198"/>
      <c r="P20" s="198"/>
      <c r="Q20" s="198"/>
      <c r="R20" s="198"/>
      <c r="S20" s="198"/>
      <c r="T20" s="198"/>
      <c r="U20" s="198"/>
      <c r="V20" s="160"/>
      <c r="W20" s="198"/>
      <c r="X20" s="198"/>
      <c r="Y20" s="198"/>
      <c r="Z20" s="198"/>
      <c r="AA20" s="198"/>
      <c r="AB20" s="198"/>
      <c r="AC20" s="198"/>
      <c r="AD20" s="198"/>
      <c r="AE20" s="198"/>
      <c r="AF20" s="138"/>
      <c r="AG20" s="198"/>
      <c r="AH20" s="198"/>
      <c r="AI20" s="198"/>
      <c r="AJ20" s="198"/>
      <c r="AK20" s="198"/>
      <c r="AL20" s="198"/>
      <c r="AM20" s="198"/>
      <c r="AN20" s="198"/>
      <c r="AO20" s="198"/>
      <c r="AP20" s="160"/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30" type="noConversion"/>
  <conditionalFormatting sqref="C8">
    <cfRule type="cellIs" dxfId="519" priority="1" operator="greaterThan">
      <formula>0.01</formula>
    </cfRule>
  </conditionalFormatting>
  <conditionalFormatting sqref="C9">
    <cfRule type="cellIs" dxfId="518" priority="2" operator="greaterThan">
      <formula>0.01</formula>
    </cfRule>
  </conditionalFormatting>
  <conditionalFormatting sqref="C10">
    <cfRule type="cellIs" dxfId="517" priority="3" operator="greaterThan">
      <formula>0.01</formula>
    </cfRule>
  </conditionalFormatting>
  <conditionalFormatting sqref="C11">
    <cfRule type="cellIs" dxfId="516" priority="4" operator="greaterThan">
      <formula>0.01</formula>
    </cfRule>
  </conditionalFormatting>
  <conditionalFormatting sqref="C12">
    <cfRule type="cellIs" dxfId="515" priority="5" operator="greaterThan">
      <formula>0.01</formula>
    </cfRule>
  </conditionalFormatting>
  <conditionalFormatting sqref="C13">
    <cfRule type="cellIs" dxfId="514" priority="6" operator="greaterThan">
      <formula>0.01</formula>
    </cfRule>
  </conditionalFormatting>
  <conditionalFormatting sqref="C14">
    <cfRule type="cellIs" dxfId="513" priority="7" operator="greaterThan">
      <formula>0.01</formula>
    </cfRule>
  </conditionalFormatting>
  <conditionalFormatting sqref="C15">
    <cfRule type="cellIs" dxfId="512" priority="8" operator="greaterThan">
      <formula>0.01</formula>
    </cfRule>
  </conditionalFormatting>
  <conditionalFormatting sqref="C16">
    <cfRule type="cellIs" dxfId="511" priority="9" operator="greaterThan">
      <formula>0.01</formula>
    </cfRule>
  </conditionalFormatting>
  <conditionalFormatting sqref="C17">
    <cfRule type="cellIs" dxfId="510" priority="10" operator="greaterThan">
      <formula>0.01</formula>
    </cfRule>
  </conditionalFormatting>
  <conditionalFormatting sqref="C18">
    <cfRule type="cellIs" dxfId="509" priority="11" operator="greaterThan">
      <formula>0.01</formula>
    </cfRule>
  </conditionalFormatting>
  <conditionalFormatting sqref="C19">
    <cfRule type="cellIs" dxfId="508" priority="12" operator="greaterThan">
      <formula>0.01</formula>
    </cfRule>
  </conditionalFormatting>
  <conditionalFormatting sqref="C20">
    <cfRule type="cellIs" dxfId="507" priority="13" operator="greaterThan">
      <formula>0.01</formula>
    </cfRule>
  </conditionalFormatting>
  <conditionalFormatting sqref="D8">
    <cfRule type="cellIs" dxfId="506" priority="14" operator="greaterThan">
      <formula>0.01</formula>
    </cfRule>
  </conditionalFormatting>
  <conditionalFormatting sqref="D9">
    <cfRule type="cellIs" dxfId="505" priority="15" operator="greaterThan">
      <formula>0.01</formula>
    </cfRule>
  </conditionalFormatting>
  <conditionalFormatting sqref="D10">
    <cfRule type="cellIs" dxfId="504" priority="16" operator="greaterThan">
      <formula>0.01</formula>
    </cfRule>
  </conditionalFormatting>
  <conditionalFormatting sqref="D11">
    <cfRule type="cellIs" dxfId="503" priority="17" operator="greaterThan">
      <formula>0.01</formula>
    </cfRule>
  </conditionalFormatting>
  <conditionalFormatting sqref="D12">
    <cfRule type="cellIs" dxfId="502" priority="18" operator="greaterThan">
      <formula>0.01</formula>
    </cfRule>
  </conditionalFormatting>
  <conditionalFormatting sqref="D13">
    <cfRule type="cellIs" dxfId="501" priority="19" operator="greaterThan">
      <formula>0.01</formula>
    </cfRule>
  </conditionalFormatting>
  <conditionalFormatting sqref="D14">
    <cfRule type="cellIs" dxfId="500" priority="20" operator="greaterThan">
      <formula>0.01</formula>
    </cfRule>
  </conditionalFormatting>
  <conditionalFormatting sqref="D15">
    <cfRule type="cellIs" dxfId="499" priority="21" operator="greaterThan">
      <formula>0.01</formula>
    </cfRule>
  </conditionalFormatting>
  <conditionalFormatting sqref="D16">
    <cfRule type="cellIs" dxfId="498" priority="22" operator="greaterThan">
      <formula>0.01</formula>
    </cfRule>
  </conditionalFormatting>
  <conditionalFormatting sqref="D17">
    <cfRule type="cellIs" dxfId="497" priority="23" operator="greaterThan">
      <formula>0.01</formula>
    </cfRule>
  </conditionalFormatting>
  <conditionalFormatting sqref="D18">
    <cfRule type="cellIs" dxfId="496" priority="24" operator="greaterThan">
      <formula>0.01</formula>
    </cfRule>
  </conditionalFormatting>
  <conditionalFormatting sqref="D19">
    <cfRule type="cellIs" dxfId="495" priority="25" operator="greaterThan">
      <formula>0.01</formula>
    </cfRule>
  </conditionalFormatting>
  <conditionalFormatting sqref="D20">
    <cfRule type="cellIs" dxfId="494" priority="26" operator="greaterThan">
      <formula>0.01</formula>
    </cfRule>
  </conditionalFormatting>
  <conditionalFormatting sqref="E8">
    <cfRule type="cellIs" dxfId="493" priority="27" operator="greaterThan">
      <formula>0.01</formula>
    </cfRule>
  </conditionalFormatting>
  <conditionalFormatting sqref="E9">
    <cfRule type="cellIs" dxfId="492" priority="28" operator="greaterThan">
      <formula>0.01</formula>
    </cfRule>
  </conditionalFormatting>
  <conditionalFormatting sqref="E10">
    <cfRule type="cellIs" dxfId="491" priority="29" operator="greaterThan">
      <formula>0.01</formula>
    </cfRule>
  </conditionalFormatting>
  <conditionalFormatting sqref="E11">
    <cfRule type="cellIs" dxfId="490" priority="30" operator="greaterThan">
      <formula>0.01</formula>
    </cfRule>
  </conditionalFormatting>
  <conditionalFormatting sqref="E12">
    <cfRule type="cellIs" dxfId="489" priority="31" operator="greaterThan">
      <formula>0.01</formula>
    </cfRule>
  </conditionalFormatting>
  <conditionalFormatting sqref="E13">
    <cfRule type="cellIs" dxfId="488" priority="32" operator="greaterThan">
      <formula>0.01</formula>
    </cfRule>
  </conditionalFormatting>
  <conditionalFormatting sqref="E14">
    <cfRule type="cellIs" dxfId="487" priority="33" operator="greaterThan">
      <formula>0.01</formula>
    </cfRule>
  </conditionalFormatting>
  <conditionalFormatting sqref="E15">
    <cfRule type="cellIs" dxfId="486" priority="34" operator="greaterThan">
      <formula>0.01</formula>
    </cfRule>
  </conditionalFormatting>
  <conditionalFormatting sqref="E16">
    <cfRule type="cellIs" dxfId="485" priority="35" operator="greaterThan">
      <formula>0.01</formula>
    </cfRule>
  </conditionalFormatting>
  <conditionalFormatting sqref="E17">
    <cfRule type="cellIs" dxfId="484" priority="36" operator="greaterThan">
      <formula>0.01</formula>
    </cfRule>
  </conditionalFormatting>
  <conditionalFormatting sqref="E18">
    <cfRule type="cellIs" dxfId="483" priority="37" operator="greaterThan">
      <formula>0.01</formula>
    </cfRule>
  </conditionalFormatting>
  <conditionalFormatting sqref="E19">
    <cfRule type="cellIs" dxfId="482" priority="38" operator="greaterThan">
      <formula>0.01</formula>
    </cfRule>
  </conditionalFormatting>
  <conditionalFormatting sqref="E20">
    <cfRule type="cellIs" dxfId="481" priority="39" operator="greaterThan">
      <formula>0.01</formula>
    </cfRule>
  </conditionalFormatting>
  <conditionalFormatting sqref="F8">
    <cfRule type="cellIs" dxfId="480" priority="40" operator="greaterThan">
      <formula>0.01</formula>
    </cfRule>
  </conditionalFormatting>
  <conditionalFormatting sqref="F9">
    <cfRule type="cellIs" dxfId="479" priority="41" operator="greaterThan">
      <formula>0.01</formula>
    </cfRule>
  </conditionalFormatting>
  <conditionalFormatting sqref="F10">
    <cfRule type="cellIs" dxfId="478" priority="42" operator="greaterThan">
      <formula>0.01</formula>
    </cfRule>
  </conditionalFormatting>
  <conditionalFormatting sqref="F11">
    <cfRule type="cellIs" dxfId="477" priority="43" operator="greaterThan">
      <formula>0.01</formula>
    </cfRule>
  </conditionalFormatting>
  <conditionalFormatting sqref="F12">
    <cfRule type="cellIs" dxfId="476" priority="44" operator="greaterThan">
      <formula>0.01</formula>
    </cfRule>
  </conditionalFormatting>
  <conditionalFormatting sqref="F13">
    <cfRule type="cellIs" dxfId="475" priority="45" operator="greaterThan">
      <formula>0.01</formula>
    </cfRule>
  </conditionalFormatting>
  <conditionalFormatting sqref="F14">
    <cfRule type="cellIs" dxfId="474" priority="46" operator="greaterThan">
      <formula>0.01</formula>
    </cfRule>
  </conditionalFormatting>
  <conditionalFormatting sqref="F15">
    <cfRule type="cellIs" dxfId="473" priority="47" operator="greaterThan">
      <formula>0.01</formula>
    </cfRule>
  </conditionalFormatting>
  <conditionalFormatting sqref="F16">
    <cfRule type="cellIs" dxfId="472" priority="48" operator="greaterThan">
      <formula>0.01</formula>
    </cfRule>
  </conditionalFormatting>
  <conditionalFormatting sqref="F17">
    <cfRule type="cellIs" dxfId="471" priority="49" operator="greaterThan">
      <formula>0.01</formula>
    </cfRule>
  </conditionalFormatting>
  <conditionalFormatting sqref="F18">
    <cfRule type="cellIs" dxfId="470" priority="50" operator="greaterThan">
      <formula>0.01</formula>
    </cfRule>
  </conditionalFormatting>
  <conditionalFormatting sqref="F19">
    <cfRule type="cellIs" dxfId="469" priority="51" operator="greaterThan">
      <formula>0.01</formula>
    </cfRule>
  </conditionalFormatting>
  <conditionalFormatting sqref="F20">
    <cfRule type="cellIs" dxfId="468" priority="52" operator="greaterThan">
      <formula>0.01</formula>
    </cfRule>
  </conditionalFormatting>
  <conditionalFormatting sqref="G8">
    <cfRule type="cellIs" dxfId="467" priority="53" operator="greaterThan">
      <formula>0.01</formula>
    </cfRule>
  </conditionalFormatting>
  <conditionalFormatting sqref="G9">
    <cfRule type="cellIs" dxfId="466" priority="54" operator="greaterThan">
      <formula>0.01</formula>
    </cfRule>
  </conditionalFormatting>
  <conditionalFormatting sqref="G10">
    <cfRule type="cellIs" dxfId="465" priority="55" operator="greaterThan">
      <formula>0.01</formula>
    </cfRule>
  </conditionalFormatting>
  <conditionalFormatting sqref="G11">
    <cfRule type="cellIs" dxfId="464" priority="56" operator="greaterThan">
      <formula>0.01</formula>
    </cfRule>
  </conditionalFormatting>
  <conditionalFormatting sqref="G12">
    <cfRule type="cellIs" dxfId="463" priority="57" operator="greaterThan">
      <formula>0.01</formula>
    </cfRule>
  </conditionalFormatting>
  <conditionalFormatting sqref="G13">
    <cfRule type="cellIs" dxfId="462" priority="58" operator="greaterThan">
      <formula>0.01</formula>
    </cfRule>
  </conditionalFormatting>
  <conditionalFormatting sqref="G14">
    <cfRule type="cellIs" dxfId="461" priority="59" operator="greaterThan">
      <formula>0.01</formula>
    </cfRule>
  </conditionalFormatting>
  <conditionalFormatting sqref="G15">
    <cfRule type="cellIs" dxfId="460" priority="60" operator="greaterThan">
      <formula>0.01</formula>
    </cfRule>
  </conditionalFormatting>
  <conditionalFormatting sqref="G16">
    <cfRule type="cellIs" dxfId="459" priority="61" operator="greaterThan">
      <formula>0.01</formula>
    </cfRule>
  </conditionalFormatting>
  <conditionalFormatting sqref="G17">
    <cfRule type="cellIs" dxfId="458" priority="62" operator="greaterThan">
      <formula>0.01</formula>
    </cfRule>
  </conditionalFormatting>
  <conditionalFormatting sqref="G18">
    <cfRule type="cellIs" dxfId="457" priority="63" operator="greaterThan">
      <formula>0.01</formula>
    </cfRule>
  </conditionalFormatting>
  <conditionalFormatting sqref="G19">
    <cfRule type="cellIs" dxfId="456" priority="64" operator="greaterThan">
      <formula>0.01</formula>
    </cfRule>
  </conditionalFormatting>
  <conditionalFormatting sqref="G20">
    <cfRule type="cellIs" dxfId="455" priority="65" operator="greaterThan">
      <formula>0.01</formula>
    </cfRule>
  </conditionalFormatting>
  <conditionalFormatting sqref="H8">
    <cfRule type="cellIs" dxfId="454" priority="66" operator="greaterThan">
      <formula>0.01</formula>
    </cfRule>
  </conditionalFormatting>
  <conditionalFormatting sqref="H9">
    <cfRule type="cellIs" dxfId="453" priority="67" operator="greaterThan">
      <formula>0.01</formula>
    </cfRule>
  </conditionalFormatting>
  <conditionalFormatting sqref="H10">
    <cfRule type="cellIs" dxfId="452" priority="68" operator="greaterThan">
      <formula>0.01</formula>
    </cfRule>
  </conditionalFormatting>
  <conditionalFormatting sqref="H11">
    <cfRule type="cellIs" dxfId="451" priority="69" operator="greaterThan">
      <formula>0.01</formula>
    </cfRule>
  </conditionalFormatting>
  <conditionalFormatting sqref="H12">
    <cfRule type="cellIs" dxfId="450" priority="70" operator="greaterThan">
      <formula>0.01</formula>
    </cfRule>
  </conditionalFormatting>
  <conditionalFormatting sqref="H13">
    <cfRule type="cellIs" dxfId="449" priority="71" operator="greaterThan">
      <formula>0.01</formula>
    </cfRule>
  </conditionalFormatting>
  <conditionalFormatting sqref="H14">
    <cfRule type="cellIs" dxfId="448" priority="72" operator="greaterThan">
      <formula>0.01</formula>
    </cfRule>
  </conditionalFormatting>
  <conditionalFormatting sqref="H15">
    <cfRule type="cellIs" dxfId="447" priority="73" operator="greaterThan">
      <formula>0.01</formula>
    </cfRule>
  </conditionalFormatting>
  <conditionalFormatting sqref="H16">
    <cfRule type="cellIs" dxfId="446" priority="74" operator="greaterThan">
      <formula>0.01</formula>
    </cfRule>
  </conditionalFormatting>
  <conditionalFormatting sqref="H17">
    <cfRule type="cellIs" dxfId="445" priority="75" operator="greaterThan">
      <formula>0.01</formula>
    </cfRule>
  </conditionalFormatting>
  <conditionalFormatting sqref="H18">
    <cfRule type="cellIs" dxfId="444" priority="76" operator="greaterThan">
      <formula>0.01</formula>
    </cfRule>
  </conditionalFormatting>
  <conditionalFormatting sqref="H19">
    <cfRule type="cellIs" dxfId="443" priority="77" operator="greaterThan">
      <formula>0.01</formula>
    </cfRule>
  </conditionalFormatting>
  <conditionalFormatting sqref="H20">
    <cfRule type="cellIs" dxfId="442" priority="78" operator="greaterThan">
      <formula>0.01</formula>
    </cfRule>
  </conditionalFormatting>
  <conditionalFormatting sqref="I8">
    <cfRule type="cellIs" dxfId="441" priority="79" operator="greaterThan">
      <formula>0.01</formula>
    </cfRule>
  </conditionalFormatting>
  <conditionalFormatting sqref="I9">
    <cfRule type="cellIs" dxfId="440" priority="80" operator="greaterThan">
      <formula>0.01</formula>
    </cfRule>
  </conditionalFormatting>
  <conditionalFormatting sqref="I10">
    <cfRule type="cellIs" dxfId="439" priority="81" operator="greaterThan">
      <formula>0.01</formula>
    </cfRule>
  </conditionalFormatting>
  <conditionalFormatting sqref="I11">
    <cfRule type="cellIs" dxfId="438" priority="82" operator="greaterThan">
      <formula>0.01</formula>
    </cfRule>
  </conditionalFormatting>
  <conditionalFormatting sqref="I12">
    <cfRule type="cellIs" dxfId="437" priority="83" operator="greaterThan">
      <formula>0.01</formula>
    </cfRule>
  </conditionalFormatting>
  <conditionalFormatting sqref="I13">
    <cfRule type="cellIs" dxfId="436" priority="84" operator="greaterThan">
      <formula>0.01</formula>
    </cfRule>
  </conditionalFormatting>
  <conditionalFormatting sqref="I14">
    <cfRule type="cellIs" dxfId="435" priority="85" operator="greaterThan">
      <formula>0.01</formula>
    </cfRule>
  </conditionalFormatting>
  <conditionalFormatting sqref="I15">
    <cfRule type="cellIs" dxfId="434" priority="86" operator="greaterThan">
      <formula>0.01</formula>
    </cfRule>
  </conditionalFormatting>
  <conditionalFormatting sqref="I16">
    <cfRule type="cellIs" dxfId="433" priority="87" operator="greaterThan">
      <formula>0.01</formula>
    </cfRule>
  </conditionalFormatting>
  <conditionalFormatting sqref="I17">
    <cfRule type="cellIs" dxfId="432" priority="88" operator="greaterThan">
      <formula>0.01</formula>
    </cfRule>
  </conditionalFormatting>
  <conditionalFormatting sqref="I18">
    <cfRule type="cellIs" dxfId="431" priority="89" operator="greaterThan">
      <formula>0.01</formula>
    </cfRule>
  </conditionalFormatting>
  <conditionalFormatting sqref="I19">
    <cfRule type="cellIs" dxfId="430" priority="90" operator="greaterThan">
      <formula>0.01</formula>
    </cfRule>
  </conditionalFormatting>
  <conditionalFormatting sqref="I20">
    <cfRule type="cellIs" dxfId="429" priority="91" operator="greaterThan">
      <formula>0.01</formula>
    </cfRule>
  </conditionalFormatting>
  <conditionalFormatting sqref="J8">
    <cfRule type="cellIs" dxfId="428" priority="92" operator="greaterThan">
      <formula>0.01</formula>
    </cfRule>
  </conditionalFormatting>
  <conditionalFormatting sqref="J9">
    <cfRule type="cellIs" dxfId="427" priority="93" operator="greaterThan">
      <formula>0.01</formula>
    </cfRule>
  </conditionalFormatting>
  <conditionalFormatting sqref="J10">
    <cfRule type="cellIs" dxfId="426" priority="94" operator="greaterThan">
      <formula>0.01</formula>
    </cfRule>
  </conditionalFormatting>
  <conditionalFormatting sqref="J11">
    <cfRule type="cellIs" dxfId="425" priority="95" operator="greaterThan">
      <formula>0.01</formula>
    </cfRule>
  </conditionalFormatting>
  <conditionalFormatting sqref="J12">
    <cfRule type="cellIs" dxfId="424" priority="96" operator="greaterThan">
      <formula>0.01</formula>
    </cfRule>
  </conditionalFormatting>
  <conditionalFormatting sqref="J13">
    <cfRule type="cellIs" dxfId="423" priority="97" operator="greaterThan">
      <formula>0.01</formula>
    </cfRule>
  </conditionalFormatting>
  <conditionalFormatting sqref="J14">
    <cfRule type="cellIs" dxfId="422" priority="98" operator="greaterThan">
      <formula>0.01</formula>
    </cfRule>
  </conditionalFormatting>
  <conditionalFormatting sqref="J15">
    <cfRule type="cellIs" dxfId="421" priority="99" operator="greaterThan">
      <formula>0.01</formula>
    </cfRule>
  </conditionalFormatting>
  <conditionalFormatting sqref="J16">
    <cfRule type="cellIs" dxfId="420" priority="100" operator="greaterThan">
      <formula>0.01</formula>
    </cfRule>
  </conditionalFormatting>
  <conditionalFormatting sqref="J17">
    <cfRule type="cellIs" dxfId="419" priority="101" operator="greaterThan">
      <formula>0.01</formula>
    </cfRule>
  </conditionalFormatting>
  <conditionalFormatting sqref="J18">
    <cfRule type="cellIs" dxfId="418" priority="102" operator="greaterThan">
      <formula>0.01</formula>
    </cfRule>
  </conditionalFormatting>
  <conditionalFormatting sqref="J19">
    <cfRule type="cellIs" dxfId="417" priority="103" operator="greaterThan">
      <formula>0.01</formula>
    </cfRule>
  </conditionalFormatting>
  <conditionalFormatting sqref="J20">
    <cfRule type="cellIs" dxfId="416" priority="104" operator="greaterThan">
      <formula>0.01</formula>
    </cfRule>
  </conditionalFormatting>
  <conditionalFormatting sqref="K8">
    <cfRule type="cellIs" dxfId="415" priority="105" operator="greaterThan">
      <formula>0.01</formula>
    </cfRule>
  </conditionalFormatting>
  <conditionalFormatting sqref="K9">
    <cfRule type="cellIs" dxfId="414" priority="106" operator="greaterThan">
      <formula>0.01</formula>
    </cfRule>
  </conditionalFormatting>
  <conditionalFormatting sqref="K10">
    <cfRule type="cellIs" dxfId="413" priority="107" operator="greaterThan">
      <formula>0.01</formula>
    </cfRule>
  </conditionalFormatting>
  <conditionalFormatting sqref="K11">
    <cfRule type="cellIs" dxfId="412" priority="108" operator="greaterThan">
      <formula>0.01</formula>
    </cfRule>
  </conditionalFormatting>
  <conditionalFormatting sqref="K12">
    <cfRule type="cellIs" dxfId="411" priority="109" operator="greaterThan">
      <formula>0.01</formula>
    </cfRule>
  </conditionalFormatting>
  <conditionalFormatting sqref="K13">
    <cfRule type="cellIs" dxfId="410" priority="110" operator="greaterThan">
      <formula>0.01</formula>
    </cfRule>
  </conditionalFormatting>
  <conditionalFormatting sqref="K14">
    <cfRule type="cellIs" dxfId="409" priority="111" operator="greaterThan">
      <formula>0.01</formula>
    </cfRule>
  </conditionalFormatting>
  <conditionalFormatting sqref="K15">
    <cfRule type="cellIs" dxfId="408" priority="112" operator="greaterThan">
      <formula>0.01</formula>
    </cfRule>
  </conditionalFormatting>
  <conditionalFormatting sqref="K16">
    <cfRule type="cellIs" dxfId="407" priority="113" operator="greaterThan">
      <formula>0.01</formula>
    </cfRule>
  </conditionalFormatting>
  <conditionalFormatting sqref="K17">
    <cfRule type="cellIs" dxfId="406" priority="114" operator="greaterThan">
      <formula>0.01</formula>
    </cfRule>
  </conditionalFormatting>
  <conditionalFormatting sqref="K18">
    <cfRule type="cellIs" dxfId="405" priority="115" operator="greaterThan">
      <formula>0.01</formula>
    </cfRule>
  </conditionalFormatting>
  <conditionalFormatting sqref="K19">
    <cfRule type="cellIs" dxfId="404" priority="116" operator="greaterThan">
      <formula>0.01</formula>
    </cfRule>
  </conditionalFormatting>
  <conditionalFormatting sqref="K20">
    <cfRule type="cellIs" dxfId="403" priority="117" operator="greaterThan">
      <formula>0.01</formula>
    </cfRule>
  </conditionalFormatting>
  <conditionalFormatting sqref="AF8">
    <cfRule type="cellIs" dxfId="402" priority="118" operator="greaterThan">
      <formula>0.01</formula>
    </cfRule>
  </conditionalFormatting>
  <conditionalFormatting sqref="AF9">
    <cfRule type="cellIs" dxfId="401" priority="119" operator="greaterThan">
      <formula>0.01</formula>
    </cfRule>
  </conditionalFormatting>
  <conditionalFormatting sqref="AF10">
    <cfRule type="cellIs" dxfId="400" priority="120" operator="greaterThan">
      <formula>0.01</formula>
    </cfRule>
  </conditionalFormatting>
  <conditionalFormatting sqref="AF11">
    <cfRule type="cellIs" dxfId="399" priority="121" operator="greaterThan">
      <formula>0.01</formula>
    </cfRule>
  </conditionalFormatting>
  <conditionalFormatting sqref="AF12">
    <cfRule type="cellIs" dxfId="398" priority="122" operator="greaterThan">
      <formula>0.01</formula>
    </cfRule>
  </conditionalFormatting>
  <conditionalFormatting sqref="AF13">
    <cfRule type="cellIs" dxfId="397" priority="123" operator="greaterThan">
      <formula>0.01</formula>
    </cfRule>
  </conditionalFormatting>
  <conditionalFormatting sqref="AF14">
    <cfRule type="cellIs" dxfId="396" priority="124" operator="greaterThan">
      <formula>0.01</formula>
    </cfRule>
  </conditionalFormatting>
  <conditionalFormatting sqref="AF15">
    <cfRule type="cellIs" dxfId="395" priority="125" operator="greaterThan">
      <formula>0.01</formula>
    </cfRule>
  </conditionalFormatting>
  <conditionalFormatting sqref="AF16">
    <cfRule type="cellIs" dxfId="394" priority="126" operator="greaterThan">
      <formula>0.01</formula>
    </cfRule>
  </conditionalFormatting>
  <conditionalFormatting sqref="AF17">
    <cfRule type="cellIs" dxfId="393" priority="127" operator="greaterThan">
      <formula>0.01</formula>
    </cfRule>
  </conditionalFormatting>
  <conditionalFormatting sqref="AF18">
    <cfRule type="cellIs" dxfId="392" priority="128" operator="greaterThan">
      <formula>0.01</formula>
    </cfRule>
  </conditionalFormatting>
  <conditionalFormatting sqref="AF19">
    <cfRule type="cellIs" dxfId="391" priority="129" operator="greaterThan">
      <formula>0.01</formula>
    </cfRule>
  </conditionalFormatting>
  <conditionalFormatting sqref="AF20">
    <cfRule type="cellIs" dxfId="390" priority="130" operator="greaterThan">
      <formula>0.01</formula>
    </cfRule>
  </conditionalFormatting>
  <conditionalFormatting sqref="AP8">
    <cfRule type="cellIs" dxfId="389" priority="131" operator="greaterThan">
      <formula>0.01</formula>
    </cfRule>
  </conditionalFormatting>
  <conditionalFormatting sqref="AP9">
    <cfRule type="cellIs" dxfId="388" priority="132" operator="greaterThan">
      <formula>0.01</formula>
    </cfRule>
  </conditionalFormatting>
  <conditionalFormatting sqref="AP10">
    <cfRule type="cellIs" dxfId="387" priority="133" operator="greaterThan">
      <formula>0.01</formula>
    </cfRule>
  </conditionalFormatting>
  <conditionalFormatting sqref="AP11">
    <cfRule type="cellIs" dxfId="386" priority="134" operator="greaterThan">
      <formula>0.01</formula>
    </cfRule>
  </conditionalFormatting>
  <conditionalFormatting sqref="AP12">
    <cfRule type="cellIs" dxfId="385" priority="135" operator="greaterThan">
      <formula>0.01</formula>
    </cfRule>
  </conditionalFormatting>
  <conditionalFormatting sqref="AP13">
    <cfRule type="cellIs" dxfId="384" priority="136" operator="greaterThan">
      <formula>0.01</formula>
    </cfRule>
  </conditionalFormatting>
  <conditionalFormatting sqref="AP14">
    <cfRule type="cellIs" dxfId="383" priority="137" operator="greaterThan">
      <formula>0.01</formula>
    </cfRule>
  </conditionalFormatting>
  <conditionalFormatting sqref="AP15">
    <cfRule type="cellIs" dxfId="382" priority="138" operator="greaterThan">
      <formula>0.01</formula>
    </cfRule>
  </conditionalFormatting>
  <conditionalFormatting sqref="AP16">
    <cfRule type="cellIs" dxfId="381" priority="139" operator="greaterThan">
      <formula>0.01</formula>
    </cfRule>
  </conditionalFormatting>
  <conditionalFormatting sqref="AP17">
    <cfRule type="cellIs" dxfId="380" priority="140" operator="greaterThan">
      <formula>0.01</formula>
    </cfRule>
  </conditionalFormatting>
  <conditionalFormatting sqref="AP18">
    <cfRule type="cellIs" dxfId="379" priority="141" operator="greaterThan">
      <formula>0.01</formula>
    </cfRule>
  </conditionalFormatting>
  <conditionalFormatting sqref="AP19">
    <cfRule type="cellIs" dxfId="378" priority="142" operator="greaterThan">
      <formula>0.01</formula>
    </cfRule>
  </conditionalFormatting>
  <conditionalFormatting sqref="AP20">
    <cfRule type="cellIs" dxfId="377" priority="143" operator="greaterThan">
      <formula>0.01</formula>
    </cfRule>
  </conditionalFormatting>
  <conditionalFormatting sqref="M8">
    <cfRule type="cellIs" dxfId="376" priority="144" operator="greaterThan">
      <formula>0.01</formula>
    </cfRule>
  </conditionalFormatting>
  <conditionalFormatting sqref="M9">
    <cfRule type="cellIs" dxfId="375" priority="145" operator="greaterThan">
      <formula>0.01</formula>
    </cfRule>
  </conditionalFormatting>
  <conditionalFormatting sqref="M10">
    <cfRule type="cellIs" dxfId="374" priority="146" operator="greaterThan">
      <formula>0.01</formula>
    </cfRule>
  </conditionalFormatting>
  <conditionalFormatting sqref="M11">
    <cfRule type="cellIs" dxfId="373" priority="147" operator="greaterThan">
      <formula>0.01</formula>
    </cfRule>
  </conditionalFormatting>
  <conditionalFormatting sqref="M12">
    <cfRule type="cellIs" dxfId="372" priority="148" operator="greaterThan">
      <formula>0.01</formula>
    </cfRule>
  </conditionalFormatting>
  <conditionalFormatting sqref="M13">
    <cfRule type="cellIs" dxfId="371" priority="149" operator="greaterThan">
      <formula>0.01</formula>
    </cfRule>
  </conditionalFormatting>
  <conditionalFormatting sqref="M14">
    <cfRule type="cellIs" dxfId="370" priority="150" operator="greaterThan">
      <formula>0.01</formula>
    </cfRule>
  </conditionalFormatting>
  <conditionalFormatting sqref="M15">
    <cfRule type="cellIs" dxfId="369" priority="151" operator="greaterThan">
      <formula>0.01</formula>
    </cfRule>
  </conditionalFormatting>
  <conditionalFormatting sqref="M16">
    <cfRule type="cellIs" dxfId="368" priority="152" operator="greaterThan">
      <formula>0.01</formula>
    </cfRule>
  </conditionalFormatting>
  <conditionalFormatting sqref="M17">
    <cfRule type="cellIs" dxfId="367" priority="153" operator="greaterThan">
      <formula>0.01</formula>
    </cfRule>
  </conditionalFormatting>
  <conditionalFormatting sqref="M18">
    <cfRule type="cellIs" dxfId="366" priority="154" operator="greaterThan">
      <formula>0.01</formula>
    </cfRule>
  </conditionalFormatting>
  <conditionalFormatting sqref="M19">
    <cfRule type="cellIs" dxfId="365" priority="155" operator="greaterThan">
      <formula>0.01</formula>
    </cfRule>
  </conditionalFormatting>
  <conditionalFormatting sqref="M20">
    <cfRule type="cellIs" dxfId="364" priority="156" operator="greaterThan">
      <formula>0.01</formula>
    </cfRule>
  </conditionalFormatting>
  <conditionalFormatting sqref="N8">
    <cfRule type="cellIs" dxfId="363" priority="157" operator="greaterThan">
      <formula>0.01</formula>
    </cfRule>
  </conditionalFormatting>
  <conditionalFormatting sqref="N9">
    <cfRule type="cellIs" dxfId="362" priority="158" operator="greaterThan">
      <formula>0.01</formula>
    </cfRule>
  </conditionalFormatting>
  <conditionalFormatting sqref="N10">
    <cfRule type="cellIs" dxfId="361" priority="159" operator="greaterThan">
      <formula>0.01</formula>
    </cfRule>
  </conditionalFormatting>
  <conditionalFormatting sqref="N11">
    <cfRule type="cellIs" dxfId="360" priority="160" operator="greaterThan">
      <formula>0.01</formula>
    </cfRule>
  </conditionalFormatting>
  <conditionalFormatting sqref="N12">
    <cfRule type="cellIs" dxfId="359" priority="161" operator="greaterThan">
      <formula>0.01</formula>
    </cfRule>
  </conditionalFormatting>
  <conditionalFormatting sqref="N13">
    <cfRule type="cellIs" dxfId="358" priority="162" operator="greaterThan">
      <formula>0.01</formula>
    </cfRule>
  </conditionalFormatting>
  <conditionalFormatting sqref="N14">
    <cfRule type="cellIs" dxfId="357" priority="163" operator="greaterThan">
      <formula>0.01</formula>
    </cfRule>
  </conditionalFormatting>
  <conditionalFormatting sqref="N15">
    <cfRule type="cellIs" dxfId="356" priority="164" operator="greaterThan">
      <formula>0.01</formula>
    </cfRule>
  </conditionalFormatting>
  <conditionalFormatting sqref="N16">
    <cfRule type="cellIs" dxfId="355" priority="165" operator="greaterThan">
      <formula>0.01</formula>
    </cfRule>
  </conditionalFormatting>
  <conditionalFormatting sqref="N17">
    <cfRule type="cellIs" dxfId="354" priority="166" operator="greaterThan">
      <formula>0.01</formula>
    </cfRule>
  </conditionalFormatting>
  <conditionalFormatting sqref="N18">
    <cfRule type="cellIs" dxfId="353" priority="167" operator="greaterThan">
      <formula>0.01</formula>
    </cfRule>
  </conditionalFormatting>
  <conditionalFormatting sqref="N19">
    <cfRule type="cellIs" dxfId="352" priority="168" operator="greaterThan">
      <formula>0.01</formula>
    </cfRule>
  </conditionalFormatting>
  <conditionalFormatting sqref="N20">
    <cfRule type="cellIs" dxfId="351" priority="169" operator="greaterThan">
      <formula>0.01</formula>
    </cfRule>
  </conditionalFormatting>
  <conditionalFormatting sqref="O8">
    <cfRule type="cellIs" dxfId="350" priority="170" operator="greaterThan">
      <formula>0.01</formula>
    </cfRule>
  </conditionalFormatting>
  <conditionalFormatting sqref="O9">
    <cfRule type="cellIs" dxfId="349" priority="171" operator="greaterThan">
      <formula>0.01</formula>
    </cfRule>
  </conditionalFormatting>
  <conditionalFormatting sqref="O10">
    <cfRule type="cellIs" dxfId="348" priority="172" operator="greaterThan">
      <formula>0.01</formula>
    </cfRule>
  </conditionalFormatting>
  <conditionalFormatting sqref="O11">
    <cfRule type="cellIs" dxfId="347" priority="173" operator="greaterThan">
      <formula>0.01</formula>
    </cfRule>
  </conditionalFormatting>
  <conditionalFormatting sqref="O12">
    <cfRule type="cellIs" dxfId="346" priority="174" operator="greaterThan">
      <formula>0.01</formula>
    </cfRule>
  </conditionalFormatting>
  <conditionalFormatting sqref="O13">
    <cfRule type="cellIs" dxfId="345" priority="175" operator="greaterThan">
      <formula>0.01</formula>
    </cfRule>
  </conditionalFormatting>
  <conditionalFormatting sqref="O14">
    <cfRule type="cellIs" dxfId="344" priority="176" operator="greaterThan">
      <formula>0.01</formula>
    </cfRule>
  </conditionalFormatting>
  <conditionalFormatting sqref="O15">
    <cfRule type="cellIs" dxfId="343" priority="177" operator="greaterThan">
      <formula>0.01</formula>
    </cfRule>
  </conditionalFormatting>
  <conditionalFormatting sqref="O16">
    <cfRule type="cellIs" dxfId="342" priority="178" operator="greaterThan">
      <formula>0.01</formula>
    </cfRule>
  </conditionalFormatting>
  <conditionalFormatting sqref="O17">
    <cfRule type="cellIs" dxfId="341" priority="179" operator="greaterThan">
      <formula>0.01</formula>
    </cfRule>
  </conditionalFormatting>
  <conditionalFormatting sqref="O18">
    <cfRule type="cellIs" dxfId="340" priority="180" operator="greaterThan">
      <formula>0.01</formula>
    </cfRule>
  </conditionalFormatting>
  <conditionalFormatting sqref="O19">
    <cfRule type="cellIs" dxfId="339" priority="181" operator="greaterThan">
      <formula>0.01</formula>
    </cfRule>
  </conditionalFormatting>
  <conditionalFormatting sqref="O20">
    <cfRule type="cellIs" dxfId="338" priority="182" operator="greaterThan">
      <formula>0.01</formula>
    </cfRule>
  </conditionalFormatting>
  <conditionalFormatting sqref="P8">
    <cfRule type="cellIs" dxfId="337" priority="183" operator="greaterThan">
      <formula>0.01</formula>
    </cfRule>
  </conditionalFormatting>
  <conditionalFormatting sqref="P9">
    <cfRule type="cellIs" dxfId="336" priority="184" operator="greaterThan">
      <formula>0.01</formula>
    </cfRule>
  </conditionalFormatting>
  <conditionalFormatting sqref="P10">
    <cfRule type="cellIs" dxfId="335" priority="185" operator="greaterThan">
      <formula>0.01</formula>
    </cfRule>
  </conditionalFormatting>
  <conditionalFormatting sqref="P11">
    <cfRule type="cellIs" dxfId="334" priority="186" operator="greaterThan">
      <formula>0.01</formula>
    </cfRule>
  </conditionalFormatting>
  <conditionalFormatting sqref="P12">
    <cfRule type="cellIs" dxfId="333" priority="187" operator="greaterThan">
      <formula>0.01</formula>
    </cfRule>
  </conditionalFormatting>
  <conditionalFormatting sqref="P13">
    <cfRule type="cellIs" dxfId="332" priority="188" operator="greaterThan">
      <formula>0.01</formula>
    </cfRule>
  </conditionalFormatting>
  <conditionalFormatting sqref="P14">
    <cfRule type="cellIs" dxfId="331" priority="189" operator="greaterThan">
      <formula>0.01</formula>
    </cfRule>
  </conditionalFormatting>
  <conditionalFormatting sqref="P15">
    <cfRule type="cellIs" dxfId="330" priority="190" operator="greaterThan">
      <formula>0.01</formula>
    </cfRule>
  </conditionalFormatting>
  <conditionalFormatting sqref="P16">
    <cfRule type="cellIs" dxfId="329" priority="191" operator="greaterThan">
      <formula>0.01</formula>
    </cfRule>
  </conditionalFormatting>
  <conditionalFormatting sqref="P17">
    <cfRule type="cellIs" dxfId="328" priority="192" operator="greaterThan">
      <formula>0.01</formula>
    </cfRule>
  </conditionalFormatting>
  <conditionalFormatting sqref="P18">
    <cfRule type="cellIs" dxfId="327" priority="193" operator="greaterThan">
      <formula>0.01</formula>
    </cfRule>
  </conditionalFormatting>
  <conditionalFormatting sqref="P19">
    <cfRule type="cellIs" dxfId="326" priority="194" operator="greaterThan">
      <formula>0.01</formula>
    </cfRule>
  </conditionalFormatting>
  <conditionalFormatting sqref="P20">
    <cfRule type="cellIs" dxfId="325" priority="195" operator="greaterThan">
      <formula>0.01</formula>
    </cfRule>
  </conditionalFormatting>
  <conditionalFormatting sqref="Q8">
    <cfRule type="cellIs" dxfId="324" priority="196" operator="greaterThan">
      <formula>0.01</formula>
    </cfRule>
  </conditionalFormatting>
  <conditionalFormatting sqref="Q9">
    <cfRule type="cellIs" dxfId="323" priority="197" operator="greaterThan">
      <formula>0.01</formula>
    </cfRule>
  </conditionalFormatting>
  <conditionalFormatting sqref="Q10">
    <cfRule type="cellIs" dxfId="322" priority="198" operator="greaterThan">
      <formula>0.01</formula>
    </cfRule>
  </conditionalFormatting>
  <conditionalFormatting sqref="Q11">
    <cfRule type="cellIs" dxfId="321" priority="199" operator="greaterThan">
      <formula>0.01</formula>
    </cfRule>
  </conditionalFormatting>
  <conditionalFormatting sqref="Q12">
    <cfRule type="cellIs" dxfId="320" priority="200" operator="greaterThan">
      <formula>0.01</formula>
    </cfRule>
  </conditionalFormatting>
  <conditionalFormatting sqref="Q13">
    <cfRule type="cellIs" dxfId="319" priority="201" operator="greaterThan">
      <formula>0.01</formula>
    </cfRule>
  </conditionalFormatting>
  <conditionalFormatting sqref="Q14">
    <cfRule type="cellIs" dxfId="318" priority="202" operator="greaterThan">
      <formula>0.01</formula>
    </cfRule>
  </conditionalFormatting>
  <conditionalFormatting sqref="Q15">
    <cfRule type="cellIs" dxfId="317" priority="203" operator="greaterThan">
      <formula>0.01</formula>
    </cfRule>
  </conditionalFormatting>
  <conditionalFormatting sqref="Q16">
    <cfRule type="cellIs" dxfId="316" priority="204" operator="greaterThan">
      <formula>0.01</formula>
    </cfRule>
  </conditionalFormatting>
  <conditionalFormatting sqref="Q17">
    <cfRule type="cellIs" dxfId="315" priority="205" operator="greaterThan">
      <formula>0.01</formula>
    </cfRule>
  </conditionalFormatting>
  <conditionalFormatting sqref="Q18">
    <cfRule type="cellIs" dxfId="314" priority="206" operator="greaterThan">
      <formula>0.01</formula>
    </cfRule>
  </conditionalFormatting>
  <conditionalFormatting sqref="Q19">
    <cfRule type="cellIs" dxfId="313" priority="207" operator="greaterThan">
      <formula>0.01</formula>
    </cfRule>
  </conditionalFormatting>
  <conditionalFormatting sqref="Q20">
    <cfRule type="cellIs" dxfId="312" priority="208" operator="greaterThan">
      <formula>0.01</formula>
    </cfRule>
  </conditionalFormatting>
  <conditionalFormatting sqref="R8">
    <cfRule type="cellIs" dxfId="311" priority="209" operator="greaterThan">
      <formula>0.01</formula>
    </cfRule>
  </conditionalFormatting>
  <conditionalFormatting sqref="R9">
    <cfRule type="cellIs" dxfId="310" priority="210" operator="greaterThan">
      <formula>0.01</formula>
    </cfRule>
  </conditionalFormatting>
  <conditionalFormatting sqref="R10">
    <cfRule type="cellIs" dxfId="309" priority="211" operator="greaterThan">
      <formula>0.01</formula>
    </cfRule>
  </conditionalFormatting>
  <conditionalFormatting sqref="R11">
    <cfRule type="cellIs" dxfId="308" priority="212" operator="greaterThan">
      <formula>0.01</formula>
    </cfRule>
  </conditionalFormatting>
  <conditionalFormatting sqref="R12">
    <cfRule type="cellIs" dxfId="307" priority="213" operator="greaterThan">
      <formula>0.01</formula>
    </cfRule>
  </conditionalFormatting>
  <conditionalFormatting sqref="R13">
    <cfRule type="cellIs" dxfId="306" priority="214" operator="greaterThan">
      <formula>0.01</formula>
    </cfRule>
  </conditionalFormatting>
  <conditionalFormatting sqref="R14">
    <cfRule type="cellIs" dxfId="305" priority="215" operator="greaterThan">
      <formula>0.01</formula>
    </cfRule>
  </conditionalFormatting>
  <conditionalFormatting sqref="R15">
    <cfRule type="cellIs" dxfId="304" priority="216" operator="greaterThan">
      <formula>0.01</formula>
    </cfRule>
  </conditionalFormatting>
  <conditionalFormatting sqref="R16">
    <cfRule type="cellIs" dxfId="303" priority="217" operator="greaterThan">
      <formula>0.01</formula>
    </cfRule>
  </conditionalFormatting>
  <conditionalFormatting sqref="R17">
    <cfRule type="cellIs" dxfId="302" priority="218" operator="greaterThan">
      <formula>0.01</formula>
    </cfRule>
  </conditionalFormatting>
  <conditionalFormatting sqref="R18">
    <cfRule type="cellIs" dxfId="301" priority="219" operator="greaterThan">
      <formula>0.01</formula>
    </cfRule>
  </conditionalFormatting>
  <conditionalFormatting sqref="R19">
    <cfRule type="cellIs" dxfId="300" priority="220" operator="greaterThan">
      <formula>0.01</formula>
    </cfRule>
  </conditionalFormatting>
  <conditionalFormatting sqref="R20">
    <cfRule type="cellIs" dxfId="299" priority="221" operator="greaterThan">
      <formula>0.01</formula>
    </cfRule>
  </conditionalFormatting>
  <conditionalFormatting sqref="S8">
    <cfRule type="cellIs" dxfId="298" priority="222" operator="greaterThan">
      <formula>0.01</formula>
    </cfRule>
  </conditionalFormatting>
  <conditionalFormatting sqref="S9">
    <cfRule type="cellIs" dxfId="297" priority="223" operator="greaterThan">
      <formula>0.01</formula>
    </cfRule>
  </conditionalFormatting>
  <conditionalFormatting sqref="S10">
    <cfRule type="cellIs" dxfId="296" priority="224" operator="greaterThan">
      <formula>0.01</formula>
    </cfRule>
  </conditionalFormatting>
  <conditionalFormatting sqref="S11">
    <cfRule type="cellIs" dxfId="295" priority="225" operator="greaterThan">
      <formula>0.01</formula>
    </cfRule>
  </conditionalFormatting>
  <conditionalFormatting sqref="S12">
    <cfRule type="cellIs" dxfId="294" priority="226" operator="greaterThan">
      <formula>0.01</formula>
    </cfRule>
  </conditionalFormatting>
  <conditionalFormatting sqref="S13">
    <cfRule type="cellIs" dxfId="293" priority="227" operator="greaterThan">
      <formula>0.01</formula>
    </cfRule>
  </conditionalFormatting>
  <conditionalFormatting sqref="S14">
    <cfRule type="cellIs" dxfId="292" priority="228" operator="greaterThan">
      <formula>0.01</formula>
    </cfRule>
  </conditionalFormatting>
  <conditionalFormatting sqref="S15">
    <cfRule type="cellIs" dxfId="291" priority="229" operator="greaterThan">
      <formula>0.01</formula>
    </cfRule>
  </conditionalFormatting>
  <conditionalFormatting sqref="S16">
    <cfRule type="cellIs" dxfId="290" priority="230" operator="greaterThan">
      <formula>0.01</formula>
    </cfRule>
  </conditionalFormatting>
  <conditionalFormatting sqref="S17">
    <cfRule type="cellIs" dxfId="289" priority="231" operator="greaterThan">
      <formula>0.01</formula>
    </cfRule>
  </conditionalFormatting>
  <conditionalFormatting sqref="S18">
    <cfRule type="cellIs" dxfId="288" priority="232" operator="greaterThan">
      <formula>0.01</formula>
    </cfRule>
  </conditionalFormatting>
  <conditionalFormatting sqref="S19">
    <cfRule type="cellIs" dxfId="287" priority="233" operator="greaterThan">
      <formula>0.01</formula>
    </cfRule>
  </conditionalFormatting>
  <conditionalFormatting sqref="S20">
    <cfRule type="cellIs" dxfId="286" priority="234" operator="greaterThan">
      <formula>0.01</formula>
    </cfRule>
  </conditionalFormatting>
  <conditionalFormatting sqref="T8">
    <cfRule type="cellIs" dxfId="285" priority="235" operator="greaterThan">
      <formula>0.01</formula>
    </cfRule>
  </conditionalFormatting>
  <conditionalFormatting sqref="T9">
    <cfRule type="cellIs" dxfId="284" priority="236" operator="greaterThan">
      <formula>0.01</formula>
    </cfRule>
  </conditionalFormatting>
  <conditionalFormatting sqref="T10">
    <cfRule type="cellIs" dxfId="283" priority="237" operator="greaterThan">
      <formula>0.01</formula>
    </cfRule>
  </conditionalFormatting>
  <conditionalFormatting sqref="T11">
    <cfRule type="cellIs" dxfId="282" priority="238" operator="greaterThan">
      <formula>0.01</formula>
    </cfRule>
  </conditionalFormatting>
  <conditionalFormatting sqref="T12">
    <cfRule type="cellIs" dxfId="281" priority="239" operator="greaterThan">
      <formula>0.01</formula>
    </cfRule>
  </conditionalFormatting>
  <conditionalFormatting sqref="T13">
    <cfRule type="cellIs" dxfId="280" priority="240" operator="greaterThan">
      <formula>0.01</formula>
    </cfRule>
  </conditionalFormatting>
  <conditionalFormatting sqref="T14">
    <cfRule type="cellIs" dxfId="279" priority="241" operator="greaterThan">
      <formula>0.01</formula>
    </cfRule>
  </conditionalFormatting>
  <conditionalFormatting sqref="T15">
    <cfRule type="cellIs" dxfId="278" priority="242" operator="greaterThan">
      <formula>0.01</formula>
    </cfRule>
  </conditionalFormatting>
  <conditionalFormatting sqref="T16">
    <cfRule type="cellIs" dxfId="277" priority="243" operator="greaterThan">
      <formula>0.01</formula>
    </cfRule>
  </conditionalFormatting>
  <conditionalFormatting sqref="T17">
    <cfRule type="cellIs" dxfId="276" priority="244" operator="greaterThan">
      <formula>0.01</formula>
    </cfRule>
  </conditionalFormatting>
  <conditionalFormatting sqref="T18">
    <cfRule type="cellIs" dxfId="275" priority="245" operator="greaterThan">
      <formula>0.01</formula>
    </cfRule>
  </conditionalFormatting>
  <conditionalFormatting sqref="T19">
    <cfRule type="cellIs" dxfId="274" priority="246" operator="greaterThan">
      <formula>0.01</formula>
    </cfRule>
  </conditionalFormatting>
  <conditionalFormatting sqref="T20">
    <cfRule type="cellIs" dxfId="273" priority="247" operator="greaterThan">
      <formula>0.01</formula>
    </cfRule>
  </conditionalFormatting>
  <conditionalFormatting sqref="U8">
    <cfRule type="cellIs" dxfId="272" priority="248" operator="greaterThan">
      <formula>0.01</formula>
    </cfRule>
  </conditionalFormatting>
  <conditionalFormatting sqref="U9">
    <cfRule type="cellIs" dxfId="271" priority="249" operator="greaterThan">
      <formula>0.01</formula>
    </cfRule>
  </conditionalFormatting>
  <conditionalFormatting sqref="U10">
    <cfRule type="cellIs" dxfId="270" priority="250" operator="greaterThan">
      <formula>0.01</formula>
    </cfRule>
  </conditionalFormatting>
  <conditionalFormatting sqref="U11">
    <cfRule type="cellIs" dxfId="269" priority="251" operator="greaterThan">
      <formula>0.01</formula>
    </cfRule>
  </conditionalFormatting>
  <conditionalFormatting sqref="U12">
    <cfRule type="cellIs" dxfId="268" priority="252" operator="greaterThan">
      <formula>0.01</formula>
    </cfRule>
  </conditionalFormatting>
  <conditionalFormatting sqref="U13">
    <cfRule type="cellIs" dxfId="267" priority="253" operator="greaterThan">
      <formula>0.01</formula>
    </cfRule>
  </conditionalFormatting>
  <conditionalFormatting sqref="U14">
    <cfRule type="cellIs" dxfId="266" priority="254" operator="greaterThan">
      <formula>0.01</formula>
    </cfRule>
  </conditionalFormatting>
  <conditionalFormatting sqref="U15">
    <cfRule type="cellIs" dxfId="265" priority="255" operator="greaterThan">
      <formula>0.01</formula>
    </cfRule>
  </conditionalFormatting>
  <conditionalFormatting sqref="U16">
    <cfRule type="cellIs" dxfId="264" priority="256" operator="greaterThan">
      <formula>0.01</formula>
    </cfRule>
  </conditionalFormatting>
  <conditionalFormatting sqref="U17">
    <cfRule type="cellIs" dxfId="263" priority="257" operator="greaterThan">
      <formula>0.01</formula>
    </cfRule>
  </conditionalFormatting>
  <conditionalFormatting sqref="U18">
    <cfRule type="cellIs" dxfId="262" priority="258" operator="greaterThan">
      <formula>0.01</formula>
    </cfRule>
  </conditionalFormatting>
  <conditionalFormatting sqref="U19">
    <cfRule type="cellIs" dxfId="261" priority="259" operator="greaterThan">
      <formula>0.01</formula>
    </cfRule>
  </conditionalFormatting>
  <conditionalFormatting sqref="U20">
    <cfRule type="cellIs" dxfId="260" priority="260" operator="greaterThan">
      <formula>0.01</formula>
    </cfRule>
  </conditionalFormatting>
  <conditionalFormatting sqref="W8">
    <cfRule type="cellIs" dxfId="259" priority="261" operator="greaterThan">
      <formula>0.01</formula>
    </cfRule>
  </conditionalFormatting>
  <conditionalFormatting sqref="W9">
    <cfRule type="cellIs" dxfId="258" priority="262" operator="greaterThan">
      <formula>0.01</formula>
    </cfRule>
  </conditionalFormatting>
  <conditionalFormatting sqref="W10">
    <cfRule type="cellIs" dxfId="257" priority="263" operator="greaterThan">
      <formula>0.01</formula>
    </cfRule>
  </conditionalFormatting>
  <conditionalFormatting sqref="W11">
    <cfRule type="cellIs" dxfId="256" priority="264" operator="greaterThan">
      <formula>0.01</formula>
    </cfRule>
  </conditionalFormatting>
  <conditionalFormatting sqref="W12">
    <cfRule type="cellIs" dxfId="255" priority="265" operator="greaterThan">
      <formula>0.01</formula>
    </cfRule>
  </conditionalFormatting>
  <conditionalFormatting sqref="W13">
    <cfRule type="cellIs" dxfId="254" priority="266" operator="greaterThan">
      <formula>0.01</formula>
    </cfRule>
  </conditionalFormatting>
  <conditionalFormatting sqref="W14">
    <cfRule type="cellIs" dxfId="253" priority="267" operator="greaterThan">
      <formula>0.01</formula>
    </cfRule>
  </conditionalFormatting>
  <conditionalFormatting sqref="W15">
    <cfRule type="cellIs" dxfId="252" priority="268" operator="greaterThan">
      <formula>0.01</formula>
    </cfRule>
  </conditionalFormatting>
  <conditionalFormatting sqref="W16">
    <cfRule type="cellIs" dxfId="251" priority="269" operator="greaterThan">
      <formula>0.01</formula>
    </cfRule>
  </conditionalFormatting>
  <conditionalFormatting sqref="W17">
    <cfRule type="cellIs" dxfId="250" priority="270" operator="greaterThan">
      <formula>0.01</formula>
    </cfRule>
  </conditionalFormatting>
  <conditionalFormatting sqref="W18">
    <cfRule type="cellIs" dxfId="249" priority="271" operator="greaterThan">
      <formula>0.01</formula>
    </cfRule>
  </conditionalFormatting>
  <conditionalFormatting sqref="W19">
    <cfRule type="cellIs" dxfId="248" priority="272" operator="greaterThan">
      <formula>0.01</formula>
    </cfRule>
  </conditionalFormatting>
  <conditionalFormatting sqref="W20">
    <cfRule type="cellIs" dxfId="247" priority="273" operator="greaterThan">
      <formula>0.01</formula>
    </cfRule>
  </conditionalFormatting>
  <conditionalFormatting sqref="AG8">
    <cfRule type="cellIs" dxfId="246" priority="274" operator="greaterThan">
      <formula>0.01</formula>
    </cfRule>
  </conditionalFormatting>
  <conditionalFormatting sqref="AG9">
    <cfRule type="cellIs" dxfId="245" priority="275" operator="greaterThan">
      <formula>0.01</formula>
    </cfRule>
  </conditionalFormatting>
  <conditionalFormatting sqref="AG10">
    <cfRule type="cellIs" dxfId="244" priority="276" operator="greaterThan">
      <formula>0.01</formula>
    </cfRule>
  </conditionalFormatting>
  <conditionalFormatting sqref="AG11">
    <cfRule type="cellIs" dxfId="243" priority="277" operator="greaterThan">
      <formula>0.01</formula>
    </cfRule>
  </conditionalFormatting>
  <conditionalFormatting sqref="AG12">
    <cfRule type="cellIs" dxfId="242" priority="278" operator="greaterThan">
      <formula>0.01</formula>
    </cfRule>
  </conditionalFormatting>
  <conditionalFormatting sqref="AG13">
    <cfRule type="cellIs" dxfId="241" priority="279" operator="greaterThan">
      <formula>0.01</formula>
    </cfRule>
  </conditionalFormatting>
  <conditionalFormatting sqref="AG14">
    <cfRule type="cellIs" dxfId="240" priority="280" operator="greaterThan">
      <formula>0.01</formula>
    </cfRule>
  </conditionalFormatting>
  <conditionalFormatting sqref="AG15">
    <cfRule type="cellIs" dxfId="239" priority="281" operator="greaterThan">
      <formula>0.01</formula>
    </cfRule>
  </conditionalFormatting>
  <conditionalFormatting sqref="AG16">
    <cfRule type="cellIs" dxfId="238" priority="282" operator="greaterThan">
      <formula>0.01</formula>
    </cfRule>
  </conditionalFormatting>
  <conditionalFormatting sqref="AG17">
    <cfRule type="cellIs" dxfId="237" priority="283" operator="greaterThan">
      <formula>0.01</formula>
    </cfRule>
  </conditionalFormatting>
  <conditionalFormatting sqref="AG18">
    <cfRule type="cellIs" dxfId="236" priority="284" operator="greaterThan">
      <formula>0.01</formula>
    </cfRule>
  </conditionalFormatting>
  <conditionalFormatting sqref="AG19">
    <cfRule type="cellIs" dxfId="235" priority="285" operator="greaterThan">
      <formula>0.01</formula>
    </cfRule>
  </conditionalFormatting>
  <conditionalFormatting sqref="AG20">
    <cfRule type="cellIs" dxfId="234" priority="286" operator="greaterThan">
      <formula>0.01</formula>
    </cfRule>
  </conditionalFormatting>
  <conditionalFormatting sqref="X8">
    <cfRule type="cellIs" dxfId="233" priority="287" operator="greaterThan">
      <formula>0.01</formula>
    </cfRule>
  </conditionalFormatting>
  <conditionalFormatting sqref="X9">
    <cfRule type="cellIs" dxfId="232" priority="288" operator="greaterThan">
      <formula>0.01</formula>
    </cfRule>
  </conditionalFormatting>
  <conditionalFormatting sqref="X10">
    <cfRule type="cellIs" dxfId="231" priority="289" operator="greaterThan">
      <formula>0.01</formula>
    </cfRule>
  </conditionalFormatting>
  <conditionalFormatting sqref="X11">
    <cfRule type="cellIs" dxfId="230" priority="290" operator="greaterThan">
      <formula>0.01</formula>
    </cfRule>
  </conditionalFormatting>
  <conditionalFormatting sqref="X12">
    <cfRule type="cellIs" dxfId="229" priority="291" operator="greaterThan">
      <formula>0.01</formula>
    </cfRule>
  </conditionalFormatting>
  <conditionalFormatting sqref="X13">
    <cfRule type="cellIs" dxfId="228" priority="292" operator="greaterThan">
      <formula>0.01</formula>
    </cfRule>
  </conditionalFormatting>
  <conditionalFormatting sqref="X14">
    <cfRule type="cellIs" dxfId="227" priority="293" operator="greaterThan">
      <formula>0.01</formula>
    </cfRule>
  </conditionalFormatting>
  <conditionalFormatting sqref="X15">
    <cfRule type="cellIs" dxfId="226" priority="294" operator="greaterThan">
      <formula>0.01</formula>
    </cfRule>
  </conditionalFormatting>
  <conditionalFormatting sqref="X16">
    <cfRule type="cellIs" dxfId="225" priority="295" operator="greaterThan">
      <formula>0.01</formula>
    </cfRule>
  </conditionalFormatting>
  <conditionalFormatting sqref="X17">
    <cfRule type="cellIs" dxfId="224" priority="296" operator="greaterThan">
      <formula>0.01</formula>
    </cfRule>
  </conditionalFormatting>
  <conditionalFormatting sqref="X18">
    <cfRule type="cellIs" dxfId="223" priority="297" operator="greaterThan">
      <formula>0.01</formula>
    </cfRule>
  </conditionalFormatting>
  <conditionalFormatting sqref="X19">
    <cfRule type="cellIs" dxfId="222" priority="298" operator="greaterThan">
      <formula>0.01</formula>
    </cfRule>
  </conditionalFormatting>
  <conditionalFormatting sqref="X20">
    <cfRule type="cellIs" dxfId="221" priority="299" operator="greaterThan">
      <formula>0.01</formula>
    </cfRule>
  </conditionalFormatting>
  <conditionalFormatting sqref="AH8">
    <cfRule type="cellIs" dxfId="220" priority="300" operator="greaterThan">
      <formula>0.01</formula>
    </cfRule>
  </conditionalFormatting>
  <conditionalFormatting sqref="AH9">
    <cfRule type="cellIs" dxfId="219" priority="301" operator="greaterThan">
      <formula>0.01</formula>
    </cfRule>
  </conditionalFormatting>
  <conditionalFormatting sqref="AH10">
    <cfRule type="cellIs" dxfId="218" priority="302" operator="greaterThan">
      <formula>0.01</formula>
    </cfRule>
  </conditionalFormatting>
  <conditionalFormatting sqref="AH11">
    <cfRule type="cellIs" dxfId="217" priority="303" operator="greaterThan">
      <formula>0.01</formula>
    </cfRule>
  </conditionalFormatting>
  <conditionalFormatting sqref="AH12">
    <cfRule type="cellIs" dxfId="216" priority="304" operator="greaterThan">
      <formula>0.01</formula>
    </cfRule>
  </conditionalFormatting>
  <conditionalFormatting sqref="AH13">
    <cfRule type="cellIs" dxfId="215" priority="305" operator="greaterThan">
      <formula>0.01</formula>
    </cfRule>
  </conditionalFormatting>
  <conditionalFormatting sqref="AH14">
    <cfRule type="cellIs" dxfId="214" priority="306" operator="greaterThan">
      <formula>0.01</formula>
    </cfRule>
  </conditionalFormatting>
  <conditionalFormatting sqref="AH15">
    <cfRule type="cellIs" dxfId="213" priority="307" operator="greaterThan">
      <formula>0.01</formula>
    </cfRule>
  </conditionalFormatting>
  <conditionalFormatting sqref="AH16">
    <cfRule type="cellIs" dxfId="212" priority="308" operator="greaterThan">
      <formula>0.01</formula>
    </cfRule>
  </conditionalFormatting>
  <conditionalFormatting sqref="AH17">
    <cfRule type="cellIs" dxfId="211" priority="309" operator="greaterThan">
      <formula>0.01</formula>
    </cfRule>
  </conditionalFormatting>
  <conditionalFormatting sqref="AH18">
    <cfRule type="cellIs" dxfId="210" priority="310" operator="greaterThan">
      <formula>0.01</formula>
    </cfRule>
  </conditionalFormatting>
  <conditionalFormatting sqref="AH19">
    <cfRule type="cellIs" dxfId="209" priority="311" operator="greaterThan">
      <formula>0.01</formula>
    </cfRule>
  </conditionalFormatting>
  <conditionalFormatting sqref="AH20">
    <cfRule type="cellIs" dxfId="208" priority="312" operator="greaterThan">
      <formula>0.01</formula>
    </cfRule>
  </conditionalFormatting>
  <conditionalFormatting sqref="Y8">
    <cfRule type="cellIs" dxfId="207" priority="313" operator="greaterThan">
      <formula>0.01</formula>
    </cfRule>
  </conditionalFormatting>
  <conditionalFormatting sqref="Y9">
    <cfRule type="cellIs" dxfId="206" priority="314" operator="greaterThan">
      <formula>0.01</formula>
    </cfRule>
  </conditionalFormatting>
  <conditionalFormatting sqref="Y10">
    <cfRule type="cellIs" dxfId="205" priority="315" operator="greaterThan">
      <formula>0.01</formula>
    </cfRule>
  </conditionalFormatting>
  <conditionalFormatting sqref="Y11">
    <cfRule type="cellIs" dxfId="204" priority="316" operator="greaterThan">
      <formula>0.01</formula>
    </cfRule>
  </conditionalFormatting>
  <conditionalFormatting sqref="Y12">
    <cfRule type="cellIs" dxfId="203" priority="317" operator="greaterThan">
      <formula>0.01</formula>
    </cfRule>
  </conditionalFormatting>
  <conditionalFormatting sqref="Y13">
    <cfRule type="cellIs" dxfId="202" priority="318" operator="greaterThan">
      <formula>0.01</formula>
    </cfRule>
  </conditionalFormatting>
  <conditionalFormatting sqref="Y14">
    <cfRule type="cellIs" dxfId="201" priority="319" operator="greaterThan">
      <formula>0.01</formula>
    </cfRule>
  </conditionalFormatting>
  <conditionalFormatting sqref="Y15">
    <cfRule type="cellIs" dxfId="200" priority="320" operator="greaterThan">
      <formula>0.01</formula>
    </cfRule>
  </conditionalFormatting>
  <conditionalFormatting sqref="Y16">
    <cfRule type="cellIs" dxfId="199" priority="321" operator="greaterThan">
      <formula>0.01</formula>
    </cfRule>
  </conditionalFormatting>
  <conditionalFormatting sqref="Y17">
    <cfRule type="cellIs" dxfId="198" priority="322" operator="greaterThan">
      <formula>0.01</formula>
    </cfRule>
  </conditionalFormatting>
  <conditionalFormatting sqref="Y18">
    <cfRule type="cellIs" dxfId="197" priority="323" operator="greaterThan">
      <formula>0.01</formula>
    </cfRule>
  </conditionalFormatting>
  <conditionalFormatting sqref="Y19">
    <cfRule type="cellIs" dxfId="196" priority="324" operator="greaterThan">
      <formula>0.01</formula>
    </cfRule>
  </conditionalFormatting>
  <conditionalFormatting sqref="Y20">
    <cfRule type="cellIs" dxfId="195" priority="325" operator="greaterThan">
      <formula>0.01</formula>
    </cfRule>
  </conditionalFormatting>
  <conditionalFormatting sqref="AI8">
    <cfRule type="cellIs" dxfId="194" priority="326" operator="greaterThan">
      <formula>0.01</formula>
    </cfRule>
  </conditionalFormatting>
  <conditionalFormatting sqref="AI9">
    <cfRule type="cellIs" dxfId="193" priority="327" operator="greaterThan">
      <formula>0.01</formula>
    </cfRule>
  </conditionalFormatting>
  <conditionalFormatting sqref="AI10">
    <cfRule type="cellIs" dxfId="192" priority="328" operator="greaterThan">
      <formula>0.01</formula>
    </cfRule>
  </conditionalFormatting>
  <conditionalFormatting sqref="AI11">
    <cfRule type="cellIs" dxfId="191" priority="329" operator="greaterThan">
      <formula>0.01</formula>
    </cfRule>
  </conditionalFormatting>
  <conditionalFormatting sqref="AI12">
    <cfRule type="cellIs" dxfId="190" priority="330" operator="greaterThan">
      <formula>0.01</formula>
    </cfRule>
  </conditionalFormatting>
  <conditionalFormatting sqref="AI13">
    <cfRule type="cellIs" dxfId="189" priority="331" operator="greaterThan">
      <formula>0.01</formula>
    </cfRule>
  </conditionalFormatting>
  <conditionalFormatting sqref="AI14">
    <cfRule type="cellIs" dxfId="188" priority="332" operator="greaterThan">
      <formula>0.01</formula>
    </cfRule>
  </conditionalFormatting>
  <conditionalFormatting sqref="AI15">
    <cfRule type="cellIs" dxfId="187" priority="333" operator="greaterThan">
      <formula>0.01</formula>
    </cfRule>
  </conditionalFormatting>
  <conditionalFormatting sqref="AI16">
    <cfRule type="cellIs" dxfId="186" priority="334" operator="greaterThan">
      <formula>0.01</formula>
    </cfRule>
  </conditionalFormatting>
  <conditionalFormatting sqref="AI17">
    <cfRule type="cellIs" dxfId="185" priority="335" operator="greaterThan">
      <formula>0.01</formula>
    </cfRule>
  </conditionalFormatting>
  <conditionalFormatting sqref="AI18">
    <cfRule type="cellIs" dxfId="184" priority="336" operator="greaterThan">
      <formula>0.01</formula>
    </cfRule>
  </conditionalFormatting>
  <conditionalFormatting sqref="AI19">
    <cfRule type="cellIs" dxfId="183" priority="337" operator="greaterThan">
      <formula>0.01</formula>
    </cfRule>
  </conditionalFormatting>
  <conditionalFormatting sqref="AI20">
    <cfRule type="cellIs" dxfId="182" priority="338" operator="greaterThan">
      <formula>0.01</formula>
    </cfRule>
  </conditionalFormatting>
  <conditionalFormatting sqref="Z8">
    <cfRule type="cellIs" dxfId="181" priority="339" operator="greaterThan">
      <formula>0.01</formula>
    </cfRule>
  </conditionalFormatting>
  <conditionalFormatting sqref="Z9">
    <cfRule type="cellIs" dxfId="180" priority="340" operator="greaterThan">
      <formula>0.01</formula>
    </cfRule>
  </conditionalFormatting>
  <conditionalFormatting sqref="Z10">
    <cfRule type="cellIs" dxfId="179" priority="341" operator="greaterThan">
      <formula>0.01</formula>
    </cfRule>
  </conditionalFormatting>
  <conditionalFormatting sqref="Z11">
    <cfRule type="cellIs" dxfId="178" priority="342" operator="greaterThan">
      <formula>0.01</formula>
    </cfRule>
  </conditionalFormatting>
  <conditionalFormatting sqref="Z12">
    <cfRule type="cellIs" dxfId="177" priority="343" operator="greaterThan">
      <formula>0.01</formula>
    </cfRule>
  </conditionalFormatting>
  <conditionalFormatting sqref="Z13">
    <cfRule type="cellIs" dxfId="176" priority="344" operator="greaterThan">
      <formula>0.01</formula>
    </cfRule>
  </conditionalFormatting>
  <conditionalFormatting sqref="Z14">
    <cfRule type="cellIs" dxfId="175" priority="345" operator="greaterThan">
      <formula>0.01</formula>
    </cfRule>
  </conditionalFormatting>
  <conditionalFormatting sqref="Z15">
    <cfRule type="cellIs" dxfId="174" priority="346" operator="greaterThan">
      <formula>0.01</formula>
    </cfRule>
  </conditionalFormatting>
  <conditionalFormatting sqref="Z16">
    <cfRule type="cellIs" dxfId="173" priority="347" operator="greaterThan">
      <formula>0.01</formula>
    </cfRule>
  </conditionalFormatting>
  <conditionalFormatting sqref="Z17">
    <cfRule type="cellIs" dxfId="172" priority="348" operator="greaterThan">
      <formula>0.01</formula>
    </cfRule>
  </conditionalFormatting>
  <conditionalFormatting sqref="Z18">
    <cfRule type="cellIs" dxfId="171" priority="349" operator="greaterThan">
      <formula>0.01</formula>
    </cfRule>
  </conditionalFormatting>
  <conditionalFormatting sqref="Z19">
    <cfRule type="cellIs" dxfId="170" priority="350" operator="greaterThan">
      <formula>0.01</formula>
    </cfRule>
  </conditionalFormatting>
  <conditionalFormatting sqref="Z20">
    <cfRule type="cellIs" dxfId="169" priority="351" operator="greaterThan">
      <formula>0.01</formula>
    </cfRule>
  </conditionalFormatting>
  <conditionalFormatting sqref="AJ8">
    <cfRule type="cellIs" dxfId="168" priority="352" operator="greaterThan">
      <formula>0.01</formula>
    </cfRule>
  </conditionalFormatting>
  <conditionalFormatting sqref="AJ9">
    <cfRule type="cellIs" dxfId="167" priority="353" operator="greaterThan">
      <formula>0.01</formula>
    </cfRule>
  </conditionalFormatting>
  <conditionalFormatting sqref="AJ10">
    <cfRule type="cellIs" dxfId="166" priority="354" operator="greaterThan">
      <formula>0.01</formula>
    </cfRule>
  </conditionalFormatting>
  <conditionalFormatting sqref="AJ11">
    <cfRule type="cellIs" dxfId="165" priority="355" operator="greaterThan">
      <formula>0.01</formula>
    </cfRule>
  </conditionalFormatting>
  <conditionalFormatting sqref="AJ12">
    <cfRule type="cellIs" dxfId="164" priority="356" operator="greaterThan">
      <formula>0.01</formula>
    </cfRule>
  </conditionalFormatting>
  <conditionalFormatting sqref="AJ13">
    <cfRule type="cellIs" dxfId="163" priority="357" operator="greaterThan">
      <formula>0.01</formula>
    </cfRule>
  </conditionalFormatting>
  <conditionalFormatting sqref="AJ14">
    <cfRule type="cellIs" dxfId="162" priority="358" operator="greaterThan">
      <formula>0.01</formula>
    </cfRule>
  </conditionalFormatting>
  <conditionalFormatting sqref="AJ15">
    <cfRule type="cellIs" dxfId="161" priority="359" operator="greaterThan">
      <formula>0.01</formula>
    </cfRule>
  </conditionalFormatting>
  <conditionalFormatting sqref="AJ16">
    <cfRule type="cellIs" dxfId="160" priority="360" operator="greaterThan">
      <formula>0.01</formula>
    </cfRule>
  </conditionalFormatting>
  <conditionalFormatting sqref="AJ17">
    <cfRule type="cellIs" dxfId="159" priority="361" operator="greaterThan">
      <formula>0.01</formula>
    </cfRule>
  </conditionalFormatting>
  <conditionalFormatting sqref="AJ18">
    <cfRule type="cellIs" dxfId="158" priority="362" operator="greaterThan">
      <formula>0.01</formula>
    </cfRule>
  </conditionalFormatting>
  <conditionalFormatting sqref="AJ19">
    <cfRule type="cellIs" dxfId="157" priority="363" operator="greaterThan">
      <formula>0.01</formula>
    </cfRule>
  </conditionalFormatting>
  <conditionalFormatting sqref="AJ20">
    <cfRule type="cellIs" dxfId="156" priority="364" operator="greaterThan">
      <formula>0.01</formula>
    </cfRule>
  </conditionalFormatting>
  <conditionalFormatting sqref="AA8">
    <cfRule type="cellIs" dxfId="155" priority="365" operator="greaterThan">
      <formula>0.01</formula>
    </cfRule>
  </conditionalFormatting>
  <conditionalFormatting sqref="AA9">
    <cfRule type="cellIs" dxfId="154" priority="366" operator="greaterThan">
      <formula>0.01</formula>
    </cfRule>
  </conditionalFormatting>
  <conditionalFormatting sqref="AA10">
    <cfRule type="cellIs" dxfId="153" priority="367" operator="greaterThan">
      <formula>0.01</formula>
    </cfRule>
  </conditionalFormatting>
  <conditionalFormatting sqref="AA11">
    <cfRule type="cellIs" dxfId="152" priority="368" operator="greaterThan">
      <formula>0.01</formula>
    </cfRule>
  </conditionalFormatting>
  <conditionalFormatting sqref="AA12">
    <cfRule type="cellIs" dxfId="151" priority="369" operator="greaterThan">
      <formula>0.01</formula>
    </cfRule>
  </conditionalFormatting>
  <conditionalFormatting sqref="AA13">
    <cfRule type="cellIs" dxfId="150" priority="370" operator="greaterThan">
      <formula>0.01</formula>
    </cfRule>
  </conditionalFormatting>
  <conditionalFormatting sqref="AA14">
    <cfRule type="cellIs" dxfId="149" priority="371" operator="greaterThan">
      <formula>0.01</formula>
    </cfRule>
  </conditionalFormatting>
  <conditionalFormatting sqref="AA15">
    <cfRule type="cellIs" dxfId="148" priority="372" operator="greaterThan">
      <formula>0.01</formula>
    </cfRule>
  </conditionalFormatting>
  <conditionalFormatting sqref="AA16">
    <cfRule type="cellIs" dxfId="147" priority="373" operator="greaterThan">
      <formula>0.01</formula>
    </cfRule>
  </conditionalFormatting>
  <conditionalFormatting sqref="AA17">
    <cfRule type="cellIs" dxfId="146" priority="374" operator="greaterThan">
      <formula>0.01</formula>
    </cfRule>
  </conditionalFormatting>
  <conditionalFormatting sqref="AA18">
    <cfRule type="cellIs" dxfId="145" priority="375" operator="greaterThan">
      <formula>0.01</formula>
    </cfRule>
  </conditionalFormatting>
  <conditionalFormatting sqref="AA19">
    <cfRule type="cellIs" dxfId="144" priority="376" operator="greaterThan">
      <formula>0.01</formula>
    </cfRule>
  </conditionalFormatting>
  <conditionalFormatting sqref="AA20">
    <cfRule type="cellIs" dxfId="143" priority="377" operator="greaterThan">
      <formula>0.01</formula>
    </cfRule>
  </conditionalFormatting>
  <conditionalFormatting sqref="AK8">
    <cfRule type="cellIs" dxfId="142" priority="378" operator="greaterThan">
      <formula>0.01</formula>
    </cfRule>
  </conditionalFormatting>
  <conditionalFormatting sqref="AK9">
    <cfRule type="cellIs" dxfId="141" priority="379" operator="greaterThan">
      <formula>0.01</formula>
    </cfRule>
  </conditionalFormatting>
  <conditionalFormatting sqref="AK10">
    <cfRule type="cellIs" dxfId="140" priority="380" operator="greaterThan">
      <formula>0.01</formula>
    </cfRule>
  </conditionalFormatting>
  <conditionalFormatting sqref="AK11">
    <cfRule type="cellIs" dxfId="139" priority="381" operator="greaterThan">
      <formula>0.01</formula>
    </cfRule>
  </conditionalFormatting>
  <conditionalFormatting sqref="AK12">
    <cfRule type="cellIs" dxfId="138" priority="382" operator="greaterThan">
      <formula>0.01</formula>
    </cfRule>
  </conditionalFormatting>
  <conditionalFormatting sqref="AK13">
    <cfRule type="cellIs" dxfId="137" priority="383" operator="greaterThan">
      <formula>0.01</formula>
    </cfRule>
  </conditionalFormatting>
  <conditionalFormatting sqref="AK14">
    <cfRule type="cellIs" dxfId="136" priority="384" operator="greaterThan">
      <formula>0.01</formula>
    </cfRule>
  </conditionalFormatting>
  <conditionalFormatting sqref="AK15">
    <cfRule type="cellIs" dxfId="135" priority="385" operator="greaterThan">
      <formula>0.01</formula>
    </cfRule>
  </conditionalFormatting>
  <conditionalFormatting sqref="AK16">
    <cfRule type="cellIs" dxfId="134" priority="386" operator="greaterThan">
      <formula>0.01</formula>
    </cfRule>
  </conditionalFormatting>
  <conditionalFormatting sqref="AK17">
    <cfRule type="cellIs" dxfId="133" priority="387" operator="greaterThan">
      <formula>0.01</formula>
    </cfRule>
  </conditionalFormatting>
  <conditionalFormatting sqref="AK18">
    <cfRule type="cellIs" dxfId="132" priority="388" operator="greaterThan">
      <formula>0.01</formula>
    </cfRule>
  </conditionalFormatting>
  <conditionalFormatting sqref="AK19">
    <cfRule type="cellIs" dxfId="131" priority="389" operator="greaterThan">
      <formula>0.01</formula>
    </cfRule>
  </conditionalFormatting>
  <conditionalFormatting sqref="AK20">
    <cfRule type="cellIs" dxfId="130" priority="390" operator="greaterThan">
      <formula>0.01</formula>
    </cfRule>
  </conditionalFormatting>
  <conditionalFormatting sqref="AB8">
    <cfRule type="cellIs" dxfId="129" priority="391" operator="greaterThan">
      <formula>0.01</formula>
    </cfRule>
  </conditionalFormatting>
  <conditionalFormatting sqref="AB9">
    <cfRule type="cellIs" dxfId="128" priority="392" operator="greaterThan">
      <formula>0.01</formula>
    </cfRule>
  </conditionalFormatting>
  <conditionalFormatting sqref="AB10">
    <cfRule type="cellIs" dxfId="127" priority="393" operator="greaterThan">
      <formula>0.01</formula>
    </cfRule>
  </conditionalFormatting>
  <conditionalFormatting sqref="AB11">
    <cfRule type="cellIs" dxfId="126" priority="394" operator="greaterThan">
      <formula>0.01</formula>
    </cfRule>
  </conditionalFormatting>
  <conditionalFormatting sqref="AB12">
    <cfRule type="cellIs" dxfId="125" priority="395" operator="greaterThan">
      <formula>0.01</formula>
    </cfRule>
  </conditionalFormatting>
  <conditionalFormatting sqref="AB13">
    <cfRule type="cellIs" dxfId="124" priority="396" operator="greaterThan">
      <formula>0.01</formula>
    </cfRule>
  </conditionalFormatting>
  <conditionalFormatting sqref="AB14">
    <cfRule type="cellIs" dxfId="123" priority="397" operator="greaterThan">
      <formula>0.01</formula>
    </cfRule>
  </conditionalFormatting>
  <conditionalFormatting sqref="AB15">
    <cfRule type="cellIs" dxfId="122" priority="398" operator="greaterThan">
      <formula>0.01</formula>
    </cfRule>
  </conditionalFormatting>
  <conditionalFormatting sqref="AB16">
    <cfRule type="cellIs" dxfId="121" priority="399" operator="greaterThan">
      <formula>0.01</formula>
    </cfRule>
  </conditionalFormatting>
  <conditionalFormatting sqref="AB17">
    <cfRule type="cellIs" dxfId="120" priority="400" operator="greaterThan">
      <formula>0.01</formula>
    </cfRule>
  </conditionalFormatting>
  <conditionalFormatting sqref="AB18">
    <cfRule type="cellIs" dxfId="119" priority="401" operator="greaterThan">
      <formula>0.01</formula>
    </cfRule>
  </conditionalFormatting>
  <conditionalFormatting sqref="AB19">
    <cfRule type="cellIs" dxfId="118" priority="402" operator="greaterThan">
      <formula>0.01</formula>
    </cfRule>
  </conditionalFormatting>
  <conditionalFormatting sqref="AB20">
    <cfRule type="cellIs" dxfId="117" priority="403" operator="greaterThan">
      <formula>0.01</formula>
    </cfRule>
  </conditionalFormatting>
  <conditionalFormatting sqref="AL8">
    <cfRule type="cellIs" dxfId="116" priority="404" operator="greaterThan">
      <formula>0.01</formula>
    </cfRule>
  </conditionalFormatting>
  <conditionalFormatting sqref="AL9">
    <cfRule type="cellIs" dxfId="115" priority="405" operator="greaterThan">
      <formula>0.01</formula>
    </cfRule>
  </conditionalFormatting>
  <conditionalFormatting sqref="AL10">
    <cfRule type="cellIs" dxfId="114" priority="406" operator="greaterThan">
      <formula>0.01</formula>
    </cfRule>
  </conditionalFormatting>
  <conditionalFormatting sqref="AL11">
    <cfRule type="cellIs" dxfId="113" priority="407" operator="greaterThan">
      <formula>0.01</formula>
    </cfRule>
  </conditionalFormatting>
  <conditionalFormatting sqref="AL12">
    <cfRule type="cellIs" dxfId="112" priority="408" operator="greaterThan">
      <formula>0.01</formula>
    </cfRule>
  </conditionalFormatting>
  <conditionalFormatting sqref="AL13">
    <cfRule type="cellIs" dxfId="111" priority="409" operator="greaterThan">
      <formula>0.01</formula>
    </cfRule>
  </conditionalFormatting>
  <conditionalFormatting sqref="AL14">
    <cfRule type="cellIs" dxfId="110" priority="410" operator="greaterThan">
      <formula>0.01</formula>
    </cfRule>
  </conditionalFormatting>
  <conditionalFormatting sqref="AL15">
    <cfRule type="cellIs" dxfId="109" priority="411" operator="greaterThan">
      <formula>0.01</formula>
    </cfRule>
  </conditionalFormatting>
  <conditionalFormatting sqref="AL16">
    <cfRule type="cellIs" dxfId="108" priority="412" operator="greaterThan">
      <formula>0.01</formula>
    </cfRule>
  </conditionalFormatting>
  <conditionalFormatting sqref="AL17">
    <cfRule type="cellIs" dxfId="107" priority="413" operator="greaterThan">
      <formula>0.01</formula>
    </cfRule>
  </conditionalFormatting>
  <conditionalFormatting sqref="AL18">
    <cfRule type="cellIs" dxfId="106" priority="414" operator="greaterThan">
      <formula>0.01</formula>
    </cfRule>
  </conditionalFormatting>
  <conditionalFormatting sqref="AL19">
    <cfRule type="cellIs" dxfId="105" priority="415" operator="greaterThan">
      <formula>0.01</formula>
    </cfRule>
  </conditionalFormatting>
  <conditionalFormatting sqref="AL20">
    <cfRule type="cellIs" dxfId="104" priority="416" operator="greaterThan">
      <formula>0.01</formula>
    </cfRule>
  </conditionalFormatting>
  <conditionalFormatting sqref="AC8">
    <cfRule type="cellIs" dxfId="103" priority="417" operator="greaterThan">
      <formula>0.01</formula>
    </cfRule>
  </conditionalFormatting>
  <conditionalFormatting sqref="AC9">
    <cfRule type="cellIs" dxfId="102" priority="418" operator="greaterThan">
      <formula>0.01</formula>
    </cfRule>
  </conditionalFormatting>
  <conditionalFormatting sqref="AC10">
    <cfRule type="cellIs" dxfId="101" priority="419" operator="greaterThan">
      <formula>0.01</formula>
    </cfRule>
  </conditionalFormatting>
  <conditionalFormatting sqref="AC11">
    <cfRule type="cellIs" dxfId="100" priority="420" operator="greaterThan">
      <formula>0.01</formula>
    </cfRule>
  </conditionalFormatting>
  <conditionalFormatting sqref="AC12">
    <cfRule type="cellIs" dxfId="99" priority="421" operator="greaterThan">
      <formula>0.01</formula>
    </cfRule>
  </conditionalFormatting>
  <conditionalFormatting sqref="AC13">
    <cfRule type="cellIs" dxfId="98" priority="422" operator="greaterThan">
      <formula>0.01</formula>
    </cfRule>
  </conditionalFormatting>
  <conditionalFormatting sqref="AC14">
    <cfRule type="cellIs" dxfId="97" priority="423" operator="greaterThan">
      <formula>0.01</formula>
    </cfRule>
  </conditionalFormatting>
  <conditionalFormatting sqref="AC15">
    <cfRule type="cellIs" dxfId="96" priority="424" operator="greaterThan">
      <formula>0.01</formula>
    </cfRule>
  </conditionalFormatting>
  <conditionalFormatting sqref="AC16">
    <cfRule type="cellIs" dxfId="95" priority="425" operator="greaterThan">
      <formula>0.01</formula>
    </cfRule>
  </conditionalFormatting>
  <conditionalFormatting sqref="AC17">
    <cfRule type="cellIs" dxfId="94" priority="426" operator="greaterThan">
      <formula>0.01</formula>
    </cfRule>
  </conditionalFormatting>
  <conditionalFormatting sqref="AC18">
    <cfRule type="cellIs" dxfId="93" priority="427" operator="greaterThan">
      <formula>0.01</formula>
    </cfRule>
  </conditionalFormatting>
  <conditionalFormatting sqref="AC19">
    <cfRule type="cellIs" dxfId="92" priority="428" operator="greaterThan">
      <formula>0.01</formula>
    </cfRule>
  </conditionalFormatting>
  <conditionalFormatting sqref="AC20">
    <cfRule type="cellIs" dxfId="91" priority="429" operator="greaterThan">
      <formula>0.01</formula>
    </cfRule>
  </conditionalFormatting>
  <conditionalFormatting sqref="AM8">
    <cfRule type="cellIs" dxfId="90" priority="430" operator="greaterThan">
      <formula>0.01</formula>
    </cfRule>
  </conditionalFormatting>
  <conditionalFormatting sqref="AM9">
    <cfRule type="cellIs" dxfId="89" priority="431" operator="greaterThan">
      <formula>0.01</formula>
    </cfRule>
  </conditionalFormatting>
  <conditionalFormatting sqref="AM10">
    <cfRule type="cellIs" dxfId="88" priority="432" operator="greaterThan">
      <formula>0.01</formula>
    </cfRule>
  </conditionalFormatting>
  <conditionalFormatting sqref="AM11">
    <cfRule type="cellIs" dxfId="87" priority="433" operator="greaterThan">
      <formula>0.01</formula>
    </cfRule>
  </conditionalFormatting>
  <conditionalFormatting sqref="AM12">
    <cfRule type="cellIs" dxfId="86" priority="434" operator="greaterThan">
      <formula>0.01</formula>
    </cfRule>
  </conditionalFormatting>
  <conditionalFormatting sqref="AM13">
    <cfRule type="cellIs" dxfId="85" priority="435" operator="greaterThan">
      <formula>0.01</formula>
    </cfRule>
  </conditionalFormatting>
  <conditionalFormatting sqref="AM14">
    <cfRule type="cellIs" dxfId="84" priority="436" operator="greaterThan">
      <formula>0.01</formula>
    </cfRule>
  </conditionalFormatting>
  <conditionalFormatting sqref="AM15">
    <cfRule type="cellIs" dxfId="83" priority="437" operator="greaterThan">
      <formula>0.01</formula>
    </cfRule>
  </conditionalFormatting>
  <conditionalFormatting sqref="AM16">
    <cfRule type="cellIs" dxfId="82" priority="438" operator="greaterThan">
      <formula>0.01</formula>
    </cfRule>
  </conditionalFormatting>
  <conditionalFormatting sqref="AM17">
    <cfRule type="cellIs" dxfId="81" priority="439" operator="greaterThan">
      <formula>0.01</formula>
    </cfRule>
  </conditionalFormatting>
  <conditionalFormatting sqref="AM18">
    <cfRule type="cellIs" dxfId="80" priority="440" operator="greaterThan">
      <formula>0.01</formula>
    </cfRule>
  </conditionalFormatting>
  <conditionalFormatting sqref="AM19">
    <cfRule type="cellIs" dxfId="79" priority="441" operator="greaterThan">
      <formula>0.01</formula>
    </cfRule>
  </conditionalFormatting>
  <conditionalFormatting sqref="AM20">
    <cfRule type="cellIs" dxfId="78" priority="442" operator="greaterThan">
      <formula>0.01</formula>
    </cfRule>
  </conditionalFormatting>
  <conditionalFormatting sqref="AD8">
    <cfRule type="cellIs" dxfId="77" priority="443" operator="greaterThan">
      <formula>0.01</formula>
    </cfRule>
  </conditionalFormatting>
  <conditionalFormatting sqref="AD9">
    <cfRule type="cellIs" dxfId="76" priority="444" operator="greaterThan">
      <formula>0.01</formula>
    </cfRule>
  </conditionalFormatting>
  <conditionalFormatting sqref="AD10">
    <cfRule type="cellIs" dxfId="75" priority="445" operator="greaterThan">
      <formula>0.01</formula>
    </cfRule>
  </conditionalFormatting>
  <conditionalFormatting sqref="AD11">
    <cfRule type="cellIs" dxfId="74" priority="446" operator="greaterThan">
      <formula>0.01</formula>
    </cfRule>
  </conditionalFormatting>
  <conditionalFormatting sqref="AD12">
    <cfRule type="cellIs" dxfId="73" priority="447" operator="greaterThan">
      <formula>0.01</formula>
    </cfRule>
  </conditionalFormatting>
  <conditionalFormatting sqref="AD13">
    <cfRule type="cellIs" dxfId="72" priority="448" operator="greaterThan">
      <formula>0.01</formula>
    </cfRule>
  </conditionalFormatting>
  <conditionalFormatting sqref="AD14">
    <cfRule type="cellIs" dxfId="71" priority="449" operator="greaterThan">
      <formula>0.01</formula>
    </cfRule>
  </conditionalFormatting>
  <conditionalFormatting sqref="AD15">
    <cfRule type="cellIs" dxfId="70" priority="450" operator="greaterThan">
      <formula>0.01</formula>
    </cfRule>
  </conditionalFormatting>
  <conditionalFormatting sqref="AD16">
    <cfRule type="cellIs" dxfId="69" priority="451" operator="greaterThan">
      <formula>0.01</formula>
    </cfRule>
  </conditionalFormatting>
  <conditionalFormatting sqref="AD17">
    <cfRule type="cellIs" dxfId="68" priority="452" operator="greaterThan">
      <formula>0.01</formula>
    </cfRule>
  </conditionalFormatting>
  <conditionalFormatting sqref="AD18">
    <cfRule type="cellIs" dxfId="67" priority="453" operator="greaterThan">
      <formula>0.01</formula>
    </cfRule>
  </conditionalFormatting>
  <conditionalFormatting sqref="AD19">
    <cfRule type="cellIs" dxfId="66" priority="454" operator="greaterThan">
      <formula>0.01</formula>
    </cfRule>
  </conditionalFormatting>
  <conditionalFormatting sqref="AD20">
    <cfRule type="cellIs" dxfId="65" priority="455" operator="greaterThan">
      <formula>0.01</formula>
    </cfRule>
  </conditionalFormatting>
  <conditionalFormatting sqref="AN8">
    <cfRule type="cellIs" dxfId="64" priority="456" operator="greaterThan">
      <formula>0.01</formula>
    </cfRule>
  </conditionalFormatting>
  <conditionalFormatting sqref="AN9">
    <cfRule type="cellIs" dxfId="63" priority="457" operator="greaterThan">
      <formula>0.01</formula>
    </cfRule>
  </conditionalFormatting>
  <conditionalFormatting sqref="AN10">
    <cfRule type="cellIs" dxfId="62" priority="458" operator="greaterThan">
      <formula>0.01</formula>
    </cfRule>
  </conditionalFormatting>
  <conditionalFormatting sqref="AN11">
    <cfRule type="cellIs" dxfId="61" priority="459" operator="greaterThan">
      <formula>0.01</formula>
    </cfRule>
  </conditionalFormatting>
  <conditionalFormatting sqref="AN12">
    <cfRule type="cellIs" dxfId="60" priority="460" operator="greaterThan">
      <formula>0.01</formula>
    </cfRule>
  </conditionalFormatting>
  <conditionalFormatting sqref="AN13">
    <cfRule type="cellIs" dxfId="59" priority="461" operator="greaterThan">
      <formula>0.01</formula>
    </cfRule>
  </conditionalFormatting>
  <conditionalFormatting sqref="AN14">
    <cfRule type="cellIs" dxfId="58" priority="462" operator="greaterThan">
      <formula>0.01</formula>
    </cfRule>
  </conditionalFormatting>
  <conditionalFormatting sqref="AN15">
    <cfRule type="cellIs" dxfId="57" priority="463" operator="greaterThan">
      <formula>0.01</formula>
    </cfRule>
  </conditionalFormatting>
  <conditionalFormatting sqref="AN16">
    <cfRule type="cellIs" dxfId="56" priority="464" operator="greaterThan">
      <formula>0.01</formula>
    </cfRule>
  </conditionalFormatting>
  <conditionalFormatting sqref="AN17">
    <cfRule type="cellIs" dxfId="55" priority="465" operator="greaterThan">
      <formula>0.01</formula>
    </cfRule>
  </conditionalFormatting>
  <conditionalFormatting sqref="AN18">
    <cfRule type="cellIs" dxfId="54" priority="466" operator="greaterThan">
      <formula>0.01</formula>
    </cfRule>
  </conditionalFormatting>
  <conditionalFormatting sqref="AN19">
    <cfRule type="cellIs" dxfId="53" priority="467" operator="greaterThan">
      <formula>0.01</formula>
    </cfRule>
  </conditionalFormatting>
  <conditionalFormatting sqref="AN20">
    <cfRule type="cellIs" dxfId="52" priority="468" operator="greaterThan">
      <formula>0.01</formula>
    </cfRule>
  </conditionalFormatting>
  <conditionalFormatting sqref="AE8">
    <cfRule type="cellIs" dxfId="51" priority="469" operator="greaterThan">
      <formula>0.01</formula>
    </cfRule>
  </conditionalFormatting>
  <conditionalFormatting sqref="AE9">
    <cfRule type="cellIs" dxfId="50" priority="470" operator="greaterThan">
      <formula>0.01</formula>
    </cfRule>
  </conditionalFormatting>
  <conditionalFormatting sqref="AE10">
    <cfRule type="cellIs" dxfId="49" priority="471" operator="greaterThan">
      <formula>0.01</formula>
    </cfRule>
  </conditionalFormatting>
  <conditionalFormatting sqref="AE11">
    <cfRule type="cellIs" dxfId="48" priority="472" operator="greaterThan">
      <formula>0.01</formula>
    </cfRule>
  </conditionalFormatting>
  <conditionalFormatting sqref="AE12">
    <cfRule type="cellIs" dxfId="47" priority="473" operator="greaterThan">
      <formula>0.01</formula>
    </cfRule>
  </conditionalFormatting>
  <conditionalFormatting sqref="AE13">
    <cfRule type="cellIs" dxfId="46" priority="474" operator="greaterThan">
      <formula>0.01</formula>
    </cfRule>
  </conditionalFormatting>
  <conditionalFormatting sqref="AE14">
    <cfRule type="cellIs" dxfId="45" priority="475" operator="greaterThan">
      <formula>0.01</formula>
    </cfRule>
  </conditionalFormatting>
  <conditionalFormatting sqref="AE15">
    <cfRule type="cellIs" dxfId="44" priority="476" operator="greaterThan">
      <formula>0.01</formula>
    </cfRule>
  </conditionalFormatting>
  <conditionalFormatting sqref="AE16">
    <cfRule type="cellIs" dxfId="43" priority="477" operator="greaterThan">
      <formula>0.01</formula>
    </cfRule>
  </conditionalFormatting>
  <conditionalFormatting sqref="AE17">
    <cfRule type="cellIs" dxfId="42" priority="478" operator="greaterThan">
      <formula>0.01</formula>
    </cfRule>
  </conditionalFormatting>
  <conditionalFormatting sqref="AE18">
    <cfRule type="cellIs" dxfId="41" priority="479" operator="greaterThan">
      <formula>0.01</formula>
    </cfRule>
  </conditionalFormatting>
  <conditionalFormatting sqref="AE19">
    <cfRule type="cellIs" dxfId="40" priority="480" operator="greaterThan">
      <formula>0.01</formula>
    </cfRule>
  </conditionalFormatting>
  <conditionalFormatting sqref="AE20">
    <cfRule type="cellIs" dxfId="39" priority="481" operator="greaterThan">
      <formula>0.01</formula>
    </cfRule>
  </conditionalFormatting>
  <conditionalFormatting sqref="AO8">
    <cfRule type="cellIs" dxfId="38" priority="482" operator="greaterThan">
      <formula>0.01</formula>
    </cfRule>
  </conditionalFormatting>
  <conditionalFormatting sqref="AO9">
    <cfRule type="cellIs" dxfId="37" priority="483" operator="greaterThan">
      <formula>0.01</formula>
    </cfRule>
  </conditionalFormatting>
  <conditionalFormatting sqref="AO10">
    <cfRule type="cellIs" dxfId="36" priority="484" operator="greaterThan">
      <formula>0.01</formula>
    </cfRule>
  </conditionalFormatting>
  <conditionalFormatting sqref="AO11">
    <cfRule type="cellIs" dxfId="35" priority="485" operator="greaterThan">
      <formula>0.01</formula>
    </cfRule>
  </conditionalFormatting>
  <conditionalFormatting sqref="AO12">
    <cfRule type="cellIs" dxfId="34" priority="486" operator="greaterThan">
      <formula>0.01</formula>
    </cfRule>
  </conditionalFormatting>
  <conditionalFormatting sqref="AO13">
    <cfRule type="cellIs" dxfId="33" priority="487" operator="greaterThan">
      <formula>0.01</formula>
    </cfRule>
  </conditionalFormatting>
  <conditionalFormatting sqref="AO14">
    <cfRule type="cellIs" dxfId="32" priority="488" operator="greaterThan">
      <formula>0.01</formula>
    </cfRule>
  </conditionalFormatting>
  <conditionalFormatting sqref="AO15">
    <cfRule type="cellIs" dxfId="31" priority="489" operator="greaterThan">
      <formula>0.01</formula>
    </cfRule>
  </conditionalFormatting>
  <conditionalFormatting sqref="AO16">
    <cfRule type="cellIs" dxfId="30" priority="490" operator="greaterThan">
      <formula>0.01</formula>
    </cfRule>
  </conditionalFormatting>
  <conditionalFormatting sqref="AO17">
    <cfRule type="cellIs" dxfId="29" priority="491" operator="greaterThan">
      <formula>0.01</formula>
    </cfRule>
  </conditionalFormatting>
  <conditionalFormatting sqref="AO18">
    <cfRule type="cellIs" dxfId="28" priority="492" operator="greaterThan">
      <formula>0.01</formula>
    </cfRule>
  </conditionalFormatting>
  <conditionalFormatting sqref="AO19">
    <cfRule type="cellIs" dxfId="27" priority="493" operator="greaterThan">
      <formula>0.01</formula>
    </cfRule>
  </conditionalFormatting>
  <conditionalFormatting sqref="AO20">
    <cfRule type="cellIs" dxfId="26" priority="494" operator="greaterThan">
      <formula>0.01</formula>
    </cfRule>
  </conditionalFormatting>
  <conditionalFormatting sqref="V8">
    <cfRule type="cellIs" dxfId="25" priority="495" operator="greaterThan">
      <formula>0.01</formula>
    </cfRule>
  </conditionalFormatting>
  <conditionalFormatting sqref="V9">
    <cfRule type="cellIs" dxfId="24" priority="496" operator="greaterThan">
      <formula>0.01</formula>
    </cfRule>
  </conditionalFormatting>
  <conditionalFormatting sqref="V10">
    <cfRule type="cellIs" dxfId="23" priority="497" operator="greaterThan">
      <formula>0.01</formula>
    </cfRule>
  </conditionalFormatting>
  <conditionalFormatting sqref="V11">
    <cfRule type="cellIs" dxfId="22" priority="498" operator="greaterThan">
      <formula>0.01</formula>
    </cfRule>
  </conditionalFormatting>
  <conditionalFormatting sqref="V12">
    <cfRule type="cellIs" dxfId="21" priority="499" operator="greaterThan">
      <formula>0.01</formula>
    </cfRule>
  </conditionalFormatting>
  <conditionalFormatting sqref="V13">
    <cfRule type="cellIs" dxfId="20" priority="500" operator="greaterThan">
      <formula>0.01</formula>
    </cfRule>
  </conditionalFormatting>
  <conditionalFormatting sqref="V14">
    <cfRule type="cellIs" dxfId="19" priority="501" operator="greaterThan">
      <formula>0.01</formula>
    </cfRule>
  </conditionalFormatting>
  <conditionalFormatting sqref="V15">
    <cfRule type="cellIs" dxfId="18" priority="502" operator="greaterThan">
      <formula>0.01</formula>
    </cfRule>
  </conditionalFormatting>
  <conditionalFormatting sqref="V16">
    <cfRule type="cellIs" dxfId="17" priority="503" operator="greaterThan">
      <formula>0.01</formula>
    </cfRule>
  </conditionalFormatting>
  <conditionalFormatting sqref="V17">
    <cfRule type="cellIs" dxfId="16" priority="504" operator="greaterThan">
      <formula>0.01</formula>
    </cfRule>
  </conditionalFormatting>
  <conditionalFormatting sqref="V18">
    <cfRule type="cellIs" dxfId="15" priority="505" operator="greaterThan">
      <formula>0.01</formula>
    </cfRule>
  </conditionalFormatting>
  <conditionalFormatting sqref="V19">
    <cfRule type="cellIs" dxfId="14" priority="506" operator="greaterThan">
      <formula>0.01</formula>
    </cfRule>
  </conditionalFormatting>
  <conditionalFormatting sqref="V20">
    <cfRule type="cellIs" dxfId="13" priority="507" operator="greaterThan">
      <formula>0.01</formula>
    </cfRule>
  </conditionalFormatting>
  <conditionalFormatting sqref="L8">
    <cfRule type="cellIs" dxfId="12" priority="508" operator="greaterThan">
      <formula>0.01</formula>
    </cfRule>
  </conditionalFormatting>
  <conditionalFormatting sqref="L9">
    <cfRule type="cellIs" dxfId="11" priority="509" operator="greaterThan">
      <formula>0.01</formula>
    </cfRule>
  </conditionalFormatting>
  <conditionalFormatting sqref="L10">
    <cfRule type="cellIs" dxfId="10" priority="510" operator="greaterThan">
      <formula>0.01</formula>
    </cfRule>
  </conditionalFormatting>
  <conditionalFormatting sqref="L11">
    <cfRule type="cellIs" dxfId="9" priority="511" operator="greaterThan">
      <formula>0.01</formula>
    </cfRule>
  </conditionalFormatting>
  <conditionalFormatting sqref="L12">
    <cfRule type="cellIs" dxfId="8" priority="512" operator="greaterThan">
      <formula>0.01</formula>
    </cfRule>
  </conditionalFormatting>
  <conditionalFormatting sqref="L13">
    <cfRule type="cellIs" dxfId="7" priority="513" operator="greaterThan">
      <formula>0.01</formula>
    </cfRule>
  </conditionalFormatting>
  <conditionalFormatting sqref="L14">
    <cfRule type="cellIs" dxfId="6" priority="514" operator="greaterThan">
      <formula>0.01</formula>
    </cfRule>
  </conditionalFormatting>
  <conditionalFormatting sqref="L15">
    <cfRule type="cellIs" dxfId="5" priority="515" operator="greaterThan">
      <formula>0.01</formula>
    </cfRule>
  </conditionalFormatting>
  <conditionalFormatting sqref="L16">
    <cfRule type="cellIs" dxfId="4" priority="516" operator="greaterThan">
      <formula>0.01</formula>
    </cfRule>
  </conditionalFormatting>
  <conditionalFormatting sqref="L17">
    <cfRule type="cellIs" dxfId="3" priority="517" operator="greaterThan">
      <formula>0.01</formula>
    </cfRule>
  </conditionalFormatting>
  <conditionalFormatting sqref="L18">
    <cfRule type="cellIs" dxfId="2" priority="518" operator="greaterThan">
      <formula>0.01</formula>
    </cfRule>
  </conditionalFormatting>
  <conditionalFormatting sqref="L19">
    <cfRule type="cellIs" dxfId="1" priority="519" operator="greaterThan">
      <formula>0.01</formula>
    </cfRule>
  </conditionalFormatting>
  <conditionalFormatting sqref="L20">
    <cfRule type="cellIs" dxfId="0" priority="52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28" fitToWidth="0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8.875" customWidth="1"/>
    <col min="8" max="8" width="7.75" bestFit="1" customWidth="1"/>
    <col min="9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DATA'!B8</f>
        <v>Na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9"/>
      <c r="O3" s="1"/>
      <c r="P3" s="1"/>
      <c r="Q3" s="1"/>
      <c r="R3" s="9"/>
    </row>
    <row r="4" spans="2:18" ht="17.25" customHeight="1">
      <c r="D4" s="1"/>
      <c r="E4" s="1"/>
      <c r="F4" s="147" t="s">
        <v>24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224">
        <f>'METAL RAW DATA'!C8</f>
        <v>0</v>
      </c>
      <c r="E6" s="224">
        <f>'METAL RAW DATA'!D8</f>
        <v>0</v>
      </c>
      <c r="F6" s="224">
        <f>'METAL RAW DATA'!E8</f>
        <v>0</v>
      </c>
      <c r="G6" s="224">
        <f>'METAL RAW DATA'!F8</f>
        <v>0</v>
      </c>
      <c r="H6" s="224">
        <f>'METAL RAW DATA'!G8</f>
        <v>0</v>
      </c>
      <c r="I6" s="224">
        <f>'METAL RAW DATA'!H8</f>
        <v>0</v>
      </c>
      <c r="J6" s="224">
        <f>'METAL RAW DATA'!I8</f>
        <v>0</v>
      </c>
      <c r="K6" s="224">
        <f>'METAL RAW DATA'!J8</f>
        <v>0</v>
      </c>
      <c r="L6" s="224">
        <f>'METAL RAW DATA'!K8</f>
        <v>0</v>
      </c>
      <c r="M6" s="224">
        <f>'METAL RAW DATA'!L8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224">
        <f>'METAL RAW DATA'!M8</f>
        <v>0</v>
      </c>
      <c r="E7" s="224">
        <f>'METAL RAW DATA'!N8</f>
        <v>0</v>
      </c>
      <c r="F7" s="224">
        <f>'METAL RAW DATA'!O8</f>
        <v>0</v>
      </c>
      <c r="G7" s="224">
        <f>'METAL RAW DATA'!P8</f>
        <v>0</v>
      </c>
      <c r="H7" s="224">
        <f>'METAL RAW DATA'!Q8</f>
        <v>0</v>
      </c>
      <c r="I7" s="224">
        <f>'METAL RAW DATA'!R8</f>
        <v>0</v>
      </c>
      <c r="J7" s="224">
        <f>'METAL RAW DATA'!S8</f>
        <v>0</v>
      </c>
      <c r="K7" s="224">
        <f>'METAL RAW DATA'!T8</f>
        <v>0</v>
      </c>
      <c r="L7" s="224">
        <f>'METAL RAW DATA'!U8</f>
        <v>0</v>
      </c>
      <c r="M7" s="224">
        <f>'METAL RAW DATA'!V8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225">
        <f>'METAL RAW DATA'!W8</f>
        <v>0</v>
      </c>
      <c r="E10" s="225">
        <f>'METAL RAW DATA'!X8</f>
        <v>0</v>
      </c>
      <c r="F10" s="225">
        <f>'METAL RAW DATA'!Y8</f>
        <v>0</v>
      </c>
      <c r="G10" s="225">
        <f>'METAL RAW DATA'!Z8</f>
        <v>0</v>
      </c>
      <c r="H10" s="225">
        <f>'METAL RAW DATA'!AA8</f>
        <v>0</v>
      </c>
      <c r="I10" s="225">
        <f>'METAL RAW DATA'!AB8</f>
        <v>0</v>
      </c>
      <c r="J10" s="225">
        <f>'METAL RAW DATA'!AC8</f>
        <v>0</v>
      </c>
      <c r="K10" s="225">
        <f>'METAL RAW DATA'!AD8</f>
        <v>0</v>
      </c>
      <c r="L10" s="225">
        <f>'METAL RAW DATA'!AE8</f>
        <v>0</v>
      </c>
      <c r="M10" s="225">
        <f>'METAL RAW DATA'!AF8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226">
        <f>'METAL RAW DATA'!AG8</f>
        <v>0</v>
      </c>
      <c r="E11" s="226">
        <f>'METAL RAW DATA'!AH8</f>
        <v>0</v>
      </c>
      <c r="F11" s="226">
        <f>'METAL RAW DATA'!AI8</f>
        <v>0</v>
      </c>
      <c r="G11" s="226">
        <f>'METAL RAW DATA'!AJ8</f>
        <v>0</v>
      </c>
      <c r="H11" s="226">
        <f>'METAL RAW DATA'!AK8</f>
        <v>0</v>
      </c>
      <c r="I11" s="226">
        <f>'METAL RAW DATA'!AL8</f>
        <v>0</v>
      </c>
      <c r="J11" s="226">
        <f>'METAL RAW DATA'!AM8</f>
        <v>0</v>
      </c>
      <c r="K11" s="226">
        <f>'METAL RAW DATA'!AN8</f>
        <v>0</v>
      </c>
      <c r="L11" s="226">
        <f>'METAL RAW DATA'!AO8</f>
        <v>0</v>
      </c>
      <c r="M11" s="226">
        <f>'METAL RAW DATA'!AP8</f>
        <v>0</v>
      </c>
      <c r="N11" s="95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92" t="s">
        <v>33</v>
      </c>
      <c r="O14" s="169">
        <f>(O12+O8)/2</f>
        <v>0</v>
      </c>
    </row>
    <row r="15" spans="2:18">
      <c r="B15" s="97" t="s">
        <v>25</v>
      </c>
      <c r="C15" s="95" t="s">
        <v>34</v>
      </c>
      <c r="D15" s="201">
        <f t="shared" ref="D15:M15" si="4">(D12+D8)/2</f>
        <v>0</v>
      </c>
      <c r="E15" s="201">
        <f t="shared" si="4"/>
        <v>0</v>
      </c>
      <c r="F15" s="201">
        <f t="shared" si="4"/>
        <v>0</v>
      </c>
      <c r="G15" s="201">
        <f t="shared" si="4"/>
        <v>0</v>
      </c>
      <c r="H15" s="201">
        <f t="shared" si="4"/>
        <v>0</v>
      </c>
      <c r="I15" s="201">
        <f t="shared" si="4"/>
        <v>0</v>
      </c>
      <c r="J15" s="201">
        <f t="shared" si="4"/>
        <v>0</v>
      </c>
      <c r="K15" s="201">
        <f t="shared" si="4"/>
        <v>0</v>
      </c>
      <c r="L15" s="201">
        <f t="shared" si="4"/>
        <v>0</v>
      </c>
      <c r="M15" s="201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87">
        <f>P16*0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269" t="str">
        <f>G4</f>
        <v>ICP- MS 金屬  R-R測試</v>
      </c>
      <c r="F23" s="270"/>
      <c r="G23" s="270"/>
      <c r="H23" s="270"/>
      <c r="I23" s="6" t="s">
        <v>43</v>
      </c>
      <c r="J23" s="6"/>
      <c r="K23" s="6" t="s">
        <v>44</v>
      </c>
      <c r="L23" s="6"/>
      <c r="M23" s="6"/>
      <c r="N23" s="6" t="s">
        <v>45</v>
      </c>
      <c r="O23" s="196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4"/>
      <c r="M26" s="4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275"/>
      <c r="O27" s="276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262"/>
      <c r="O28" s="19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23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129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114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89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42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113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37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115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116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117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11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88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42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6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D38:E39"/>
    <mergeCell ref="G4:H4"/>
    <mergeCell ref="G3:H3"/>
    <mergeCell ref="B50:C50"/>
    <mergeCell ref="B51:C51"/>
    <mergeCell ref="B40:H40"/>
    <mergeCell ref="B34:H34"/>
    <mergeCell ref="B45:C45"/>
    <mergeCell ref="B46:C46"/>
    <mergeCell ref="B47:C47"/>
    <mergeCell ref="B36:H36"/>
    <mergeCell ref="F37:H37"/>
    <mergeCell ref="B32:C32"/>
    <mergeCell ref="B33:C33"/>
    <mergeCell ref="B29:D29"/>
    <mergeCell ref="B27:D27"/>
    <mergeCell ref="B52:C52"/>
    <mergeCell ref="B53:C53"/>
    <mergeCell ref="B48:C48"/>
    <mergeCell ref="B49:C49"/>
    <mergeCell ref="B37:C39"/>
    <mergeCell ref="E28:H28"/>
    <mergeCell ref="B28:D28"/>
    <mergeCell ref="I28:N28"/>
    <mergeCell ref="B22:O22"/>
    <mergeCell ref="B23:D23"/>
    <mergeCell ref="E23:H23"/>
    <mergeCell ref="B24:D24"/>
    <mergeCell ref="E24:H24"/>
    <mergeCell ref="N27:O27"/>
    <mergeCell ref="E26:H26"/>
    <mergeCell ref="B26:D26"/>
    <mergeCell ref="B25:D25"/>
    <mergeCell ref="E25:H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DATA'!B9</f>
        <v>Mg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DATA'!C9</f>
        <v>0</v>
      </c>
      <c r="E6" s="162">
        <f>'METAL RAW DATA'!D9</f>
        <v>0</v>
      </c>
      <c r="F6" s="162">
        <f>'METAL RAW DATA'!E9</f>
        <v>0</v>
      </c>
      <c r="G6" s="162">
        <f>'METAL RAW DATA'!F9</f>
        <v>0</v>
      </c>
      <c r="H6" s="162">
        <f>'METAL RAW DATA'!G9</f>
        <v>0</v>
      </c>
      <c r="I6" s="162">
        <f>'METAL RAW DATA'!H9</f>
        <v>0</v>
      </c>
      <c r="J6" s="162">
        <f>'METAL RAW DATA'!I9</f>
        <v>0</v>
      </c>
      <c r="K6" s="162">
        <f>'METAL RAW DATA'!J9</f>
        <v>0</v>
      </c>
      <c r="L6" s="162">
        <f>'METAL RAW DATA'!K9</f>
        <v>0</v>
      </c>
      <c r="M6" s="162">
        <f>'METAL RAW DATA'!L9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DATA'!M9</f>
        <v>0</v>
      </c>
      <c r="E7" s="162">
        <f>'METAL RAW DATA'!N9</f>
        <v>0</v>
      </c>
      <c r="F7" s="162">
        <f>'METAL RAW DATA'!O9</f>
        <v>0</v>
      </c>
      <c r="G7" s="162">
        <f>'METAL RAW DATA'!P9</f>
        <v>0</v>
      </c>
      <c r="H7" s="162">
        <f>'METAL RAW DATA'!Q9</f>
        <v>0</v>
      </c>
      <c r="I7" s="162">
        <f>'METAL RAW DATA'!R9</f>
        <v>0</v>
      </c>
      <c r="J7" s="162">
        <f>'METAL RAW DATA'!S9</f>
        <v>0</v>
      </c>
      <c r="K7" s="162">
        <f>'METAL RAW DATA'!T9</f>
        <v>0</v>
      </c>
      <c r="L7" s="162">
        <f>'METAL RAW DATA'!U9</f>
        <v>0</v>
      </c>
      <c r="M7" s="162">
        <f>'METAL RAW DATA'!V9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SUM(D9:M9)/8</f>
        <v>0</v>
      </c>
    </row>
    <row r="10" spans="2:18">
      <c r="B10" s="90" t="s">
        <v>2</v>
      </c>
      <c r="C10" s="91"/>
      <c r="D10" s="164">
        <f>'METAL RAW DATA'!W9</f>
        <v>0</v>
      </c>
      <c r="E10" s="164">
        <f>'METAL RAW DATA'!X9</f>
        <v>0</v>
      </c>
      <c r="F10" s="164">
        <f>'METAL RAW DATA'!Y9</f>
        <v>0</v>
      </c>
      <c r="G10" s="164">
        <f>'METAL RAW DATA'!Z9</f>
        <v>0</v>
      </c>
      <c r="H10" s="164">
        <f>'METAL RAW DATA'!AA9</f>
        <v>0</v>
      </c>
      <c r="I10" s="164">
        <f>'METAL RAW DATA'!AB9</f>
        <v>0</v>
      </c>
      <c r="J10" s="164">
        <f>'METAL RAW DATA'!AC9</f>
        <v>0</v>
      </c>
      <c r="K10" s="164">
        <f>'METAL RAW DATA'!AD9</f>
        <v>0</v>
      </c>
      <c r="L10" s="164">
        <f>'METAL RAW DATA'!AE9</f>
        <v>0</v>
      </c>
      <c r="M10" s="164">
        <f>'METAL RAW DATA'!AF9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DATA'!AG9</f>
        <v>0</v>
      </c>
      <c r="E11" s="165">
        <f>'METAL RAW DATA'!AH9</f>
        <v>0</v>
      </c>
      <c r="F11" s="165">
        <f>'METAL RAW DATA'!AI9</f>
        <v>0</v>
      </c>
      <c r="G11" s="165">
        <f>'METAL RAW DATA'!AJ9</f>
        <v>0</v>
      </c>
      <c r="H11" s="165">
        <f>'METAL RAW DATA'!AK9</f>
        <v>0</v>
      </c>
      <c r="I11" s="165">
        <f>'METAL RAW DATA'!AL9</f>
        <v>0</v>
      </c>
      <c r="J11" s="165">
        <f>'METAL RAW DATA'!AM9</f>
        <v>0</v>
      </c>
      <c r="K11" s="165">
        <f>'METAL RAW DATA'!AN9</f>
        <v>0</v>
      </c>
      <c r="L11" s="165">
        <f>'METAL RAW DATA'!AO9</f>
        <v>0</v>
      </c>
      <c r="M11" s="165">
        <f>'METAL RAW DATA'!AP9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4"/>
      <c r="M26" s="4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129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114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89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42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113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37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115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116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117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11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4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7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1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2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09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DATA'!B11</f>
        <v>K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DATA'!C11</f>
        <v>0</v>
      </c>
      <c r="E6" s="162">
        <f>'METAL RAW DATA'!D11</f>
        <v>0</v>
      </c>
      <c r="F6" s="162">
        <f>'METAL RAW DATA'!E11</f>
        <v>0</v>
      </c>
      <c r="G6" s="162">
        <f>'METAL RAW DATA'!F11</f>
        <v>0</v>
      </c>
      <c r="H6" s="162">
        <f>'METAL RAW DATA'!G11</f>
        <v>0</v>
      </c>
      <c r="I6" s="162">
        <f>'METAL RAW DATA'!H11</f>
        <v>0</v>
      </c>
      <c r="J6" s="162">
        <f>'METAL RAW DATA'!I11</f>
        <v>0</v>
      </c>
      <c r="K6" s="162">
        <f>'METAL RAW DATA'!J11</f>
        <v>0</v>
      </c>
      <c r="L6" s="162">
        <f>'METAL RAW DATA'!K11</f>
        <v>0</v>
      </c>
      <c r="M6" s="162">
        <f>'METAL RAW DATA'!L11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DATA'!M11</f>
        <v>0</v>
      </c>
      <c r="E7" s="162">
        <f>'METAL RAW DATA'!N11</f>
        <v>0</v>
      </c>
      <c r="F7" s="162">
        <f>'METAL RAW DATA'!O11</f>
        <v>0</v>
      </c>
      <c r="G7" s="162">
        <f>'METAL RAW DATA'!P11</f>
        <v>0</v>
      </c>
      <c r="H7" s="162">
        <f>'METAL RAW DATA'!Q11</f>
        <v>0</v>
      </c>
      <c r="I7" s="162">
        <f>'METAL RAW DATA'!R11</f>
        <v>0</v>
      </c>
      <c r="J7" s="162">
        <f>'METAL RAW DATA'!S11</f>
        <v>0</v>
      </c>
      <c r="K7" s="162">
        <f>'METAL RAW DATA'!T11</f>
        <v>0</v>
      </c>
      <c r="L7" s="162">
        <f>'METAL RAW DATA'!U11</f>
        <v>0</v>
      </c>
      <c r="M7" s="162">
        <f>'METAL RAW DATA'!V11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DATA'!W11</f>
        <v>0</v>
      </c>
      <c r="E10" s="164">
        <f>'METAL RAW DATA'!X11</f>
        <v>0</v>
      </c>
      <c r="F10" s="164">
        <f>'METAL RAW DATA'!Y11</f>
        <v>0</v>
      </c>
      <c r="G10" s="164">
        <f>'METAL RAW DATA'!Z11</f>
        <v>0</v>
      </c>
      <c r="H10" s="164">
        <f>'METAL RAW DATA'!AA11</f>
        <v>0</v>
      </c>
      <c r="I10" s="164">
        <f>'METAL RAW DATA'!AB11</f>
        <v>0</v>
      </c>
      <c r="J10" s="164">
        <f>'METAL RAW DATA'!AC11</f>
        <v>0</v>
      </c>
      <c r="K10" s="164">
        <f>'METAL RAW DATA'!AD11</f>
        <v>0</v>
      </c>
      <c r="L10" s="164">
        <f>'METAL RAW DATA'!AE11</f>
        <v>0</v>
      </c>
      <c r="M10" s="164">
        <f>'METAL RAW DATA'!AF11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DATA'!AG11</f>
        <v>0</v>
      </c>
      <c r="E11" s="165">
        <f>'METAL RAW DATA'!AH11</f>
        <v>0</v>
      </c>
      <c r="F11" s="165">
        <f>'METAL RAW DATA'!AI11</f>
        <v>0</v>
      </c>
      <c r="G11" s="165">
        <f>'METAL RAW DATA'!AJ11</f>
        <v>0</v>
      </c>
      <c r="H11" s="165">
        <f>'METAL RAW DATA'!AK11</f>
        <v>0</v>
      </c>
      <c r="I11" s="165">
        <f>'METAL RAW DATA'!AL11</f>
        <v>0</v>
      </c>
      <c r="J11" s="165">
        <f>'METAL RAW DATA'!AM11</f>
        <v>0</v>
      </c>
      <c r="K11" s="165">
        <f>'METAL RAW DATA'!AN11</f>
        <v>0</v>
      </c>
      <c r="L11" s="165">
        <f>'METAL RAW DATA'!AO11</f>
        <v>0</v>
      </c>
      <c r="M11" s="165">
        <f>'METAL RAW DATA'!AP11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DATA'!B10</f>
        <v>Al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DATA'!C10</f>
        <v>0</v>
      </c>
      <c r="E6" s="162">
        <f>'METAL RAW DATA'!D10</f>
        <v>0</v>
      </c>
      <c r="F6" s="162">
        <f>'METAL RAW DATA'!E10</f>
        <v>0</v>
      </c>
      <c r="G6" s="162">
        <f>'METAL RAW DATA'!F10</f>
        <v>0</v>
      </c>
      <c r="H6" s="162">
        <f>'METAL RAW DATA'!G10</f>
        <v>0</v>
      </c>
      <c r="I6" s="162">
        <f>'METAL RAW DATA'!H10</f>
        <v>0</v>
      </c>
      <c r="J6" s="162">
        <f>'METAL RAW DATA'!I10</f>
        <v>0</v>
      </c>
      <c r="K6" s="162">
        <f>'METAL RAW DATA'!J10</f>
        <v>0</v>
      </c>
      <c r="L6" s="162">
        <f>'METAL RAW DATA'!K10</f>
        <v>0</v>
      </c>
      <c r="M6" s="162">
        <f>'METAL RAW DATA'!L10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DATA'!M10</f>
        <v>0</v>
      </c>
      <c r="E7" s="162">
        <f>'METAL RAW DATA'!N10</f>
        <v>0</v>
      </c>
      <c r="F7" s="162">
        <f>'METAL RAW DATA'!O10</f>
        <v>0</v>
      </c>
      <c r="G7" s="162">
        <f>'METAL RAW DATA'!P10</f>
        <v>0</v>
      </c>
      <c r="H7" s="162">
        <f>'METAL RAW DATA'!Q10</f>
        <v>0</v>
      </c>
      <c r="I7" s="162">
        <f>'METAL RAW DATA'!R10</f>
        <v>0</v>
      </c>
      <c r="J7" s="162">
        <f>'METAL RAW DATA'!S10</f>
        <v>0</v>
      </c>
      <c r="K7" s="162">
        <f>'METAL RAW DATA'!T10</f>
        <v>0</v>
      </c>
      <c r="L7" s="162">
        <f>'METAL RAW DATA'!U10</f>
        <v>0</v>
      </c>
      <c r="M7" s="162">
        <f>'METAL RAW DATA'!V10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DATA'!W10</f>
        <v>0</v>
      </c>
      <c r="E10" s="164">
        <f>'METAL RAW DATA'!X10</f>
        <v>0</v>
      </c>
      <c r="F10" s="164">
        <f>'METAL RAW DATA'!Y10</f>
        <v>0</v>
      </c>
      <c r="G10" s="164">
        <f>'METAL RAW DATA'!Z10</f>
        <v>0</v>
      </c>
      <c r="H10" s="164">
        <f>'METAL RAW DATA'!AA10</f>
        <v>0</v>
      </c>
      <c r="I10" s="164">
        <f>'METAL RAW DATA'!AB10</f>
        <v>0</v>
      </c>
      <c r="J10" s="164">
        <f>'METAL RAW DATA'!AC10</f>
        <v>0</v>
      </c>
      <c r="K10" s="164">
        <f>'METAL RAW DATA'!AD10</f>
        <v>0</v>
      </c>
      <c r="L10" s="164">
        <f>'METAL RAW DATA'!AE10</f>
        <v>0</v>
      </c>
      <c r="M10" s="164">
        <f>'METAL RAW DATA'!AF10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DATA'!AG10</f>
        <v>0</v>
      </c>
      <c r="E11" s="165">
        <f>'METAL RAW DATA'!AH10</f>
        <v>0</v>
      </c>
      <c r="F11" s="165">
        <f>'METAL RAW DATA'!AI10</f>
        <v>0</v>
      </c>
      <c r="G11" s="165">
        <f>'METAL RAW DATA'!AJ10</f>
        <v>0</v>
      </c>
      <c r="H11" s="165">
        <f>'METAL RAW DATA'!AK10</f>
        <v>0</v>
      </c>
      <c r="I11" s="165">
        <f>'METAL RAW DATA'!AL10</f>
        <v>0</v>
      </c>
      <c r="J11" s="165">
        <f>'METAL RAW DATA'!AM10</f>
        <v>0</v>
      </c>
      <c r="K11" s="165">
        <f>'METAL RAW DATA'!AN10</f>
        <v>0</v>
      </c>
      <c r="L11" s="165">
        <f>'METAL RAW DATA'!AO10</f>
        <v>0</v>
      </c>
      <c r="M11" s="165">
        <f>'METAL RAW DATA'!AP10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4"/>
      <c r="M26" s="4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88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42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111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8.5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DATA'!B12</f>
        <v>Ca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DATA'!C12</f>
        <v>0</v>
      </c>
      <c r="E6" s="162">
        <f>'METAL RAW DATA'!D12</f>
        <v>0</v>
      </c>
      <c r="F6" s="162">
        <f>'METAL RAW DATA'!E12</f>
        <v>0</v>
      </c>
      <c r="G6" s="162">
        <f>'METAL RAW DATA'!F12</f>
        <v>0</v>
      </c>
      <c r="H6" s="162">
        <f>'METAL RAW DATA'!G12</f>
        <v>0</v>
      </c>
      <c r="I6" s="162">
        <f>'METAL RAW DATA'!H12</f>
        <v>0</v>
      </c>
      <c r="J6" s="162">
        <f>'METAL RAW DATA'!I12</f>
        <v>0</v>
      </c>
      <c r="K6" s="162">
        <f>'METAL RAW DATA'!J12</f>
        <v>0</v>
      </c>
      <c r="L6" s="162">
        <f>'METAL RAW DATA'!K12</f>
        <v>0</v>
      </c>
      <c r="M6" s="162">
        <f>'METAL RAW DATA'!L12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DATA'!M12</f>
        <v>0</v>
      </c>
      <c r="E7" s="162">
        <f>'METAL RAW DATA'!N12</f>
        <v>0</v>
      </c>
      <c r="F7" s="162">
        <f>'METAL RAW DATA'!O12</f>
        <v>0</v>
      </c>
      <c r="G7" s="162">
        <f>'METAL RAW DATA'!P12</f>
        <v>0</v>
      </c>
      <c r="H7" s="162">
        <f>'METAL RAW DATA'!Q12</f>
        <v>0</v>
      </c>
      <c r="I7" s="162">
        <f>'METAL RAW DATA'!R12</f>
        <v>0</v>
      </c>
      <c r="J7" s="162">
        <f>'METAL RAW DATA'!S12</f>
        <v>0</v>
      </c>
      <c r="K7" s="162">
        <f>'METAL RAW DATA'!T12</f>
        <v>0</v>
      </c>
      <c r="L7" s="162">
        <f>'METAL RAW DATA'!U12</f>
        <v>0</v>
      </c>
      <c r="M7" s="162">
        <f>'METAL RAW DATA'!V12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DATA'!W12</f>
        <v>0</v>
      </c>
      <c r="E10" s="164">
        <f>'METAL RAW DATA'!X12</f>
        <v>0</v>
      </c>
      <c r="F10" s="164">
        <f>'METAL RAW DATA'!Y12</f>
        <v>0</v>
      </c>
      <c r="G10" s="164">
        <f>'METAL RAW DATA'!Z12</f>
        <v>0</v>
      </c>
      <c r="H10" s="164">
        <f>'METAL RAW DATA'!AA12</f>
        <v>0</v>
      </c>
      <c r="I10" s="164">
        <f>'METAL RAW DATA'!AB12</f>
        <v>0</v>
      </c>
      <c r="J10" s="164">
        <f>'METAL RAW DATA'!AC12</f>
        <v>0</v>
      </c>
      <c r="K10" s="164">
        <f>'METAL RAW DATA'!AD12</f>
        <v>0</v>
      </c>
      <c r="L10" s="164">
        <f>'METAL RAW DATA'!AE12</f>
        <v>0</v>
      </c>
      <c r="M10" s="164">
        <f>'METAL RAW DATA'!AF12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DATA'!AG12</f>
        <v>0</v>
      </c>
      <c r="E11" s="165">
        <f>'METAL RAW DATA'!AH12</f>
        <v>0</v>
      </c>
      <c r="F11" s="165">
        <f>'METAL RAW DATA'!AI12</f>
        <v>0</v>
      </c>
      <c r="G11" s="165">
        <f>'METAL RAW DATA'!AJ12</f>
        <v>0</v>
      </c>
      <c r="H11" s="165">
        <f>'METAL RAW DATA'!AK12</f>
        <v>0</v>
      </c>
      <c r="I11" s="165">
        <f>'METAL RAW DATA'!AL12</f>
        <v>0</v>
      </c>
      <c r="J11" s="165">
        <f>'METAL RAW DATA'!AM12</f>
        <v>0</v>
      </c>
      <c r="K11" s="165">
        <f>'METAL RAW DATA'!AN12</f>
        <v>0</v>
      </c>
      <c r="L11" s="165">
        <f>'METAL RAW DATA'!AO12</f>
        <v>0</v>
      </c>
      <c r="M11" s="165">
        <f>'METAL RAW DATA'!AP12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SUM(D13:K13)/10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92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93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DATA'!B13</f>
        <v>Cr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DATA'!C13</f>
        <v>0</v>
      </c>
      <c r="E6" s="162">
        <f>'METAL RAW DATA'!D13</f>
        <v>0</v>
      </c>
      <c r="F6" s="162">
        <f>'METAL RAW DATA'!E13</f>
        <v>0</v>
      </c>
      <c r="G6" s="162">
        <f>'METAL RAW DATA'!F13</f>
        <v>0</v>
      </c>
      <c r="H6" s="162">
        <f>'METAL RAW DATA'!G13</f>
        <v>0</v>
      </c>
      <c r="I6" s="162">
        <f>'METAL RAW DATA'!H13</f>
        <v>0</v>
      </c>
      <c r="J6" s="162">
        <f>'METAL RAW DATA'!I13</f>
        <v>0</v>
      </c>
      <c r="K6" s="162">
        <f>'METAL RAW DATA'!J13</f>
        <v>0</v>
      </c>
      <c r="L6" s="162">
        <f>'METAL RAW DATA'!K13</f>
        <v>0</v>
      </c>
      <c r="M6" s="162">
        <f>'METAL RAW DATA'!L13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DATA'!M13</f>
        <v>0</v>
      </c>
      <c r="E7" s="162">
        <f>'METAL RAW DATA'!N13</f>
        <v>0</v>
      </c>
      <c r="F7" s="162">
        <f>'METAL RAW DATA'!O13</f>
        <v>0</v>
      </c>
      <c r="G7" s="162">
        <f>'METAL RAW DATA'!P13</f>
        <v>0</v>
      </c>
      <c r="H7" s="162">
        <f>'METAL RAW DATA'!Q13</f>
        <v>0</v>
      </c>
      <c r="I7" s="162">
        <f>'METAL RAW DATA'!R13</f>
        <v>0</v>
      </c>
      <c r="J7" s="162">
        <f>'METAL RAW DATA'!S13</f>
        <v>0</v>
      </c>
      <c r="K7" s="162">
        <f>'METAL RAW DATA'!T13</f>
        <v>0</v>
      </c>
      <c r="L7" s="162">
        <f>'METAL RAW DATA'!U13</f>
        <v>0</v>
      </c>
      <c r="M7" s="162">
        <f>'METAL RAW DATA'!V13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DATA'!W13</f>
        <v>0</v>
      </c>
      <c r="E10" s="164">
        <f>'METAL RAW DATA'!X13</f>
        <v>0</v>
      </c>
      <c r="F10" s="164">
        <f>'METAL RAW DATA'!Y13</f>
        <v>0</v>
      </c>
      <c r="G10" s="164">
        <f>'METAL RAW DATA'!Z13</f>
        <v>0</v>
      </c>
      <c r="H10" s="164">
        <f>'METAL RAW DATA'!AA13</f>
        <v>0</v>
      </c>
      <c r="I10" s="164">
        <f>'METAL RAW DATA'!AB13</f>
        <v>0</v>
      </c>
      <c r="J10" s="164">
        <f>'METAL RAW DATA'!AC13</f>
        <v>0</v>
      </c>
      <c r="K10" s="164">
        <f>'METAL RAW DATA'!AD13</f>
        <v>0</v>
      </c>
      <c r="L10" s="164">
        <f>'METAL RAW DATA'!AE13</f>
        <v>0</v>
      </c>
      <c r="M10" s="164">
        <f>'METAL RAW DATA'!AF13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DATA'!AG13</f>
        <v>0</v>
      </c>
      <c r="E11" s="165">
        <f>'METAL RAW DATA'!AH13</f>
        <v>0</v>
      </c>
      <c r="F11" s="165">
        <f>'METAL RAW DATA'!AI13</f>
        <v>0</v>
      </c>
      <c r="G11" s="165">
        <f>'METAL RAW DATA'!AJ13</f>
        <v>0</v>
      </c>
      <c r="H11" s="165">
        <f>'METAL RAW DATA'!AK13</f>
        <v>0</v>
      </c>
      <c r="I11" s="165">
        <f>'METAL RAW DATA'!AL13</f>
        <v>0</v>
      </c>
      <c r="J11" s="165">
        <f>'METAL RAW DATA'!AM13</f>
        <v>0</v>
      </c>
      <c r="K11" s="165">
        <f>'METAL RAW DATA'!AN13</f>
        <v>0</v>
      </c>
      <c r="L11" s="165">
        <f>'METAL RAW DATA'!AO13</f>
        <v>0</v>
      </c>
      <c r="M11" s="165">
        <f>'METAL RAW DATA'!AP13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DATA'!B14</f>
        <v>Mn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DATA'!C14</f>
        <v>0</v>
      </c>
      <c r="E6" s="162">
        <f>'METAL RAW DATA'!D14</f>
        <v>0</v>
      </c>
      <c r="F6" s="162">
        <f>'METAL RAW DATA'!E14</f>
        <v>0</v>
      </c>
      <c r="G6" s="162">
        <f>'METAL RAW DATA'!F14</f>
        <v>0</v>
      </c>
      <c r="H6" s="162">
        <f>'METAL RAW DATA'!G14</f>
        <v>0</v>
      </c>
      <c r="I6" s="162">
        <f>'METAL RAW DATA'!H14</f>
        <v>0</v>
      </c>
      <c r="J6" s="162">
        <f>'METAL RAW DATA'!I14</f>
        <v>0</v>
      </c>
      <c r="K6" s="162">
        <f>'METAL RAW DATA'!J14</f>
        <v>0</v>
      </c>
      <c r="L6" s="162">
        <f>'METAL RAW DATA'!K14</f>
        <v>0</v>
      </c>
      <c r="M6" s="162">
        <f>'METAL RAW DATA'!L14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DATA'!M14</f>
        <v>0</v>
      </c>
      <c r="E7" s="162">
        <f>'METAL RAW DATA'!N14</f>
        <v>0</v>
      </c>
      <c r="F7" s="162">
        <f>'METAL RAW DATA'!O14</f>
        <v>0</v>
      </c>
      <c r="G7" s="162">
        <f>'METAL RAW DATA'!P14</f>
        <v>0</v>
      </c>
      <c r="H7" s="162">
        <f>'METAL RAW DATA'!Q14</f>
        <v>0</v>
      </c>
      <c r="I7" s="162">
        <f>'METAL RAW DATA'!R14</f>
        <v>0</v>
      </c>
      <c r="J7" s="162">
        <f>'METAL RAW DATA'!S14</f>
        <v>0</v>
      </c>
      <c r="K7" s="162">
        <f>'METAL RAW DATA'!T14</f>
        <v>0</v>
      </c>
      <c r="L7" s="162">
        <f>'METAL RAW DATA'!U14</f>
        <v>0</v>
      </c>
      <c r="M7" s="162">
        <f>'METAL RAW DATA'!V14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DATA'!W14</f>
        <v>0</v>
      </c>
      <c r="E10" s="164">
        <f>'METAL RAW DATA'!X14</f>
        <v>0</v>
      </c>
      <c r="F10" s="164">
        <f>'METAL RAW DATA'!Y14</f>
        <v>0</v>
      </c>
      <c r="G10" s="164">
        <f>'METAL RAW DATA'!Z14</f>
        <v>0</v>
      </c>
      <c r="H10" s="164">
        <f>'METAL RAW DATA'!AA14</f>
        <v>0</v>
      </c>
      <c r="I10" s="164">
        <f>'METAL RAW DATA'!AB14</f>
        <v>0</v>
      </c>
      <c r="J10" s="164">
        <f>'METAL RAW DATA'!AC14</f>
        <v>0</v>
      </c>
      <c r="K10" s="164">
        <f>'METAL RAW DATA'!AD14</f>
        <v>0</v>
      </c>
      <c r="L10" s="164">
        <f>'METAL RAW DATA'!AE14</f>
        <v>0</v>
      </c>
      <c r="M10" s="164">
        <f>'METAL RAW DATA'!AF14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DATA'!AG14</f>
        <v>0</v>
      </c>
      <c r="E11" s="165">
        <f>'METAL RAW DATA'!AH14</f>
        <v>0</v>
      </c>
      <c r="F11" s="165">
        <f>'METAL RAW DATA'!AI14</f>
        <v>0</v>
      </c>
      <c r="G11" s="165">
        <f>'METAL RAW DATA'!AJ14</f>
        <v>0</v>
      </c>
      <c r="H11" s="165">
        <f>'METAL RAW DATA'!AK14</f>
        <v>0</v>
      </c>
      <c r="I11" s="165">
        <f>'METAL RAW DATA'!AL14</f>
        <v>0</v>
      </c>
      <c r="J11" s="165">
        <f>'METAL RAW DATA'!AM14</f>
        <v>0</v>
      </c>
      <c r="K11" s="165">
        <f>'METAL RAW DATA'!AN14</f>
        <v>0</v>
      </c>
      <c r="L11" s="165">
        <f>'METAL RAW DATA'!AO14</f>
        <v>0</v>
      </c>
      <c r="M11" s="165">
        <f>'METAL RAW DATA'!AP14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22</v>
      </c>
      <c r="C3" t="str">
        <f>'METAL RAW DATA'!B15</f>
        <v>Fe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88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DATA'!C15</f>
        <v>0</v>
      </c>
      <c r="E6" s="162">
        <f>'METAL RAW DATA'!D15</f>
        <v>0</v>
      </c>
      <c r="F6" s="162">
        <f>'METAL RAW DATA'!E15</f>
        <v>0</v>
      </c>
      <c r="G6" s="162">
        <f>'METAL RAW DATA'!F15</f>
        <v>0</v>
      </c>
      <c r="H6" s="162">
        <f>'METAL RAW DATA'!G15</f>
        <v>0</v>
      </c>
      <c r="I6" s="162">
        <f>'METAL RAW DATA'!H15</f>
        <v>0</v>
      </c>
      <c r="J6" s="162">
        <f>'METAL RAW DATA'!I15</f>
        <v>0</v>
      </c>
      <c r="K6" s="162">
        <f>'METAL RAW DATA'!J15</f>
        <v>0</v>
      </c>
      <c r="L6" s="162">
        <f>'METAL RAW DATA'!K15</f>
        <v>0</v>
      </c>
      <c r="M6" s="162">
        <f>'METAL RAW DATA'!L15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DATA'!M15</f>
        <v>0</v>
      </c>
      <c r="E7" s="162">
        <f>'METAL RAW DATA'!N15</f>
        <v>0</v>
      </c>
      <c r="F7" s="162">
        <f>'METAL RAW DATA'!O15</f>
        <v>0</v>
      </c>
      <c r="G7" s="162">
        <f>'METAL RAW DATA'!P15</f>
        <v>0</v>
      </c>
      <c r="H7" s="162">
        <f>'METAL RAW DATA'!Q15</f>
        <v>0</v>
      </c>
      <c r="I7" s="162">
        <f>'METAL RAW DATA'!R15</f>
        <v>0</v>
      </c>
      <c r="J7" s="162">
        <f>'METAL RAW DATA'!S15</f>
        <v>0</v>
      </c>
      <c r="K7" s="162">
        <f>'METAL RAW DATA'!T15</f>
        <v>0</v>
      </c>
      <c r="L7" s="162">
        <f>'METAL RAW DATA'!U15</f>
        <v>0</v>
      </c>
      <c r="M7" s="162">
        <f>'METAL RAW DATA'!V15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DATA'!W15</f>
        <v>0</v>
      </c>
      <c r="E10" s="164">
        <f>'METAL RAW DATA'!X15</f>
        <v>0</v>
      </c>
      <c r="F10" s="164">
        <f>'METAL RAW DATA'!Y15</f>
        <v>0</v>
      </c>
      <c r="G10" s="164">
        <f>'METAL RAW DATA'!Z15</f>
        <v>0</v>
      </c>
      <c r="H10" s="164">
        <f>'METAL RAW DATA'!AA15</f>
        <v>0</v>
      </c>
      <c r="I10" s="164">
        <f>'METAL RAW DATA'!AB15</f>
        <v>0</v>
      </c>
      <c r="J10" s="164">
        <f>'METAL RAW DATA'!AC15</f>
        <v>0</v>
      </c>
      <c r="K10" s="164">
        <f>'METAL RAW DATA'!AD15</f>
        <v>0</v>
      </c>
      <c r="L10" s="164">
        <f>'METAL RAW DATA'!AE15</f>
        <v>0</v>
      </c>
      <c r="M10" s="164">
        <f>'METAL RAW DATA'!AF15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DATA'!AG15</f>
        <v>0</v>
      </c>
      <c r="E11" s="165">
        <f>'METAL RAW DATA'!AH15</f>
        <v>0</v>
      </c>
      <c r="F11" s="165">
        <f>'METAL RAW DATA'!AI15</f>
        <v>0</v>
      </c>
      <c r="G11" s="165">
        <f>'METAL RAW DATA'!AJ15</f>
        <v>0</v>
      </c>
      <c r="H11" s="165">
        <f>'METAL RAW DATA'!AK15</f>
        <v>0</v>
      </c>
      <c r="I11" s="165">
        <f>'METAL RAW DATA'!AL15</f>
        <v>0</v>
      </c>
      <c r="J11" s="165">
        <f>'METAL RAW DATA'!AM15</f>
        <v>0</v>
      </c>
      <c r="K11" s="165">
        <f>'METAL RAW DATA'!AN15</f>
        <v>0</v>
      </c>
      <c r="L11" s="165">
        <f>'METAL RAW DATA'!AO15</f>
        <v>0</v>
      </c>
      <c r="M11" s="165">
        <f>'METAL RAW DATA'!AP15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MAX(D15:M15)-MIN(D15:M15)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93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203">
        <f>O17</f>
        <v>0</v>
      </c>
      <c r="I27" s="34" t="s">
        <v>56</v>
      </c>
      <c r="J27" s="179"/>
      <c r="K27" s="202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223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DATA'!B16</f>
        <v>Ni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DATA'!C16</f>
        <v>0</v>
      </c>
      <c r="E6" s="162">
        <f>'METAL RAW DATA'!D16</f>
        <v>0</v>
      </c>
      <c r="F6" s="162">
        <f>'METAL RAW DATA'!E16</f>
        <v>0</v>
      </c>
      <c r="G6" s="162">
        <f>'METAL RAW DATA'!F16</f>
        <v>0</v>
      </c>
      <c r="H6" s="162">
        <f>'METAL RAW DATA'!G16</f>
        <v>0</v>
      </c>
      <c r="I6" s="162">
        <f>'METAL RAW DATA'!H16</f>
        <v>0</v>
      </c>
      <c r="J6" s="162">
        <f>'METAL RAW DATA'!I16</f>
        <v>0</v>
      </c>
      <c r="K6" s="162">
        <f>'METAL RAW DATA'!J16</f>
        <v>0</v>
      </c>
      <c r="L6" s="162">
        <f>'METAL RAW DATA'!K16</f>
        <v>0</v>
      </c>
      <c r="M6" s="162">
        <f>'METAL RAW DATA'!L16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DATA'!M16</f>
        <v>0</v>
      </c>
      <c r="E7" s="162">
        <f>'METAL RAW DATA'!N16</f>
        <v>0</v>
      </c>
      <c r="F7" s="162">
        <f>'METAL RAW DATA'!O16</f>
        <v>0</v>
      </c>
      <c r="G7" s="162">
        <f>'METAL RAW DATA'!P16</f>
        <v>0</v>
      </c>
      <c r="H7" s="162">
        <f>'METAL RAW DATA'!Q16</f>
        <v>0</v>
      </c>
      <c r="I7" s="162">
        <f>'METAL RAW DATA'!R16</f>
        <v>0</v>
      </c>
      <c r="J7" s="162">
        <f>'METAL RAW DATA'!S16</f>
        <v>0</v>
      </c>
      <c r="K7" s="162">
        <f>'METAL RAW DATA'!T16</f>
        <v>0</v>
      </c>
      <c r="L7" s="162">
        <f>'METAL RAW DATA'!U16</f>
        <v>0</v>
      </c>
      <c r="M7" s="162">
        <f>'METAL RAW DATA'!V16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DATA'!W16</f>
        <v>0</v>
      </c>
      <c r="E10" s="164">
        <f>'METAL RAW DATA'!X16</f>
        <v>0</v>
      </c>
      <c r="F10" s="164">
        <f>'METAL RAW DATA'!Y16</f>
        <v>0</v>
      </c>
      <c r="G10" s="164">
        <f>'METAL RAW DATA'!Z16</f>
        <v>0</v>
      </c>
      <c r="H10" s="164">
        <f>'METAL RAW DATA'!AA16</f>
        <v>0</v>
      </c>
      <c r="I10" s="164">
        <f>'METAL RAW DATA'!AB16</f>
        <v>0</v>
      </c>
      <c r="J10" s="164">
        <f>'METAL RAW DATA'!AC16</f>
        <v>0</v>
      </c>
      <c r="K10" s="164">
        <f>'METAL RAW DATA'!AD16</f>
        <v>0</v>
      </c>
      <c r="L10" s="164">
        <f>'METAL RAW DATA'!AE16</f>
        <v>0</v>
      </c>
      <c r="M10" s="164">
        <f>'METAL RAW DATA'!AF16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DATA'!AG16</f>
        <v>0</v>
      </c>
      <c r="E11" s="165">
        <f>'METAL RAW DATA'!AH16</f>
        <v>0</v>
      </c>
      <c r="F11" s="165">
        <f>'METAL RAW DATA'!AI16</f>
        <v>0</v>
      </c>
      <c r="G11" s="165">
        <f>'METAL RAW DATA'!AJ16</f>
        <v>0</v>
      </c>
      <c r="H11" s="165">
        <f>'METAL RAW DATA'!AK16</f>
        <v>0</v>
      </c>
      <c r="I11" s="165">
        <f>'METAL RAW DATA'!AL16</f>
        <v>0</v>
      </c>
      <c r="J11" s="165">
        <f>'METAL RAW DATA'!AM16</f>
        <v>0</v>
      </c>
      <c r="K11" s="165">
        <f>'METAL RAW DATA'!AN16</f>
        <v>0</v>
      </c>
      <c r="L11" s="165">
        <f>'METAL RAW DATA'!AO16</f>
        <v>0</v>
      </c>
      <c r="M11" s="165">
        <f>'METAL RAW DATA'!AP16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223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DATA'!B17</f>
        <v>Co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18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DATA'!C17</f>
        <v>0</v>
      </c>
      <c r="E6" s="162">
        <f>'METAL RAW DATA'!D17</f>
        <v>0</v>
      </c>
      <c r="F6" s="162">
        <f>'METAL RAW DATA'!E17</f>
        <v>0</v>
      </c>
      <c r="G6" s="162">
        <f>'METAL RAW DATA'!F17</f>
        <v>0</v>
      </c>
      <c r="H6" s="162">
        <f>'METAL RAW DATA'!G17</f>
        <v>0</v>
      </c>
      <c r="I6" s="162">
        <f>'METAL RAW DATA'!H17</f>
        <v>0</v>
      </c>
      <c r="J6" s="162">
        <f>'METAL RAW DATA'!I17</f>
        <v>0</v>
      </c>
      <c r="K6" s="162">
        <f>'METAL RAW DATA'!J17</f>
        <v>0</v>
      </c>
      <c r="L6" s="162">
        <f>'METAL RAW DATA'!K17</f>
        <v>0</v>
      </c>
      <c r="M6" s="162">
        <f>'METAL RAW DATA'!L17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DATA'!M17</f>
        <v>0</v>
      </c>
      <c r="E7" s="162">
        <f>'METAL RAW DATA'!N17</f>
        <v>0</v>
      </c>
      <c r="F7" s="162">
        <f>'METAL RAW DATA'!O17</f>
        <v>0</v>
      </c>
      <c r="G7" s="162">
        <f>'METAL RAW DATA'!P17</f>
        <v>0</v>
      </c>
      <c r="H7" s="162">
        <f>'METAL RAW DATA'!Q17</f>
        <v>0</v>
      </c>
      <c r="I7" s="162">
        <f>'METAL RAW DATA'!R17</f>
        <v>0</v>
      </c>
      <c r="J7" s="162">
        <f>'METAL RAW DATA'!S17</f>
        <v>0</v>
      </c>
      <c r="K7" s="162">
        <f>'METAL RAW DATA'!T17</f>
        <v>0</v>
      </c>
      <c r="L7" s="162">
        <f>'METAL RAW DATA'!U17</f>
        <v>0</v>
      </c>
      <c r="M7" s="162">
        <f>'METAL RAW DATA'!V17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DATA'!W17</f>
        <v>0</v>
      </c>
      <c r="E10" s="164">
        <f>'METAL RAW DATA'!X17</f>
        <v>0</v>
      </c>
      <c r="F10" s="164">
        <f>'METAL RAW DATA'!Y17</f>
        <v>0</v>
      </c>
      <c r="G10" s="164">
        <f>'METAL RAW DATA'!Z17</f>
        <v>0</v>
      </c>
      <c r="H10" s="164">
        <f>'METAL RAW DATA'!AA17</f>
        <v>0</v>
      </c>
      <c r="I10" s="164">
        <f>'METAL RAW DATA'!AB17</f>
        <v>0</v>
      </c>
      <c r="J10" s="164">
        <f>'METAL RAW DATA'!AC17</f>
        <v>0</v>
      </c>
      <c r="K10" s="164">
        <f>'METAL RAW DATA'!AD17</f>
        <v>0</v>
      </c>
      <c r="L10" s="164">
        <f>'METAL RAW DATA'!AE17</f>
        <v>0</v>
      </c>
      <c r="M10" s="164">
        <f>'METAL RAW DATA'!AF17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DATA'!AG17</f>
        <v>0</v>
      </c>
      <c r="E11" s="165">
        <f>'METAL RAW DATA'!AH17</f>
        <v>0</v>
      </c>
      <c r="F11" s="165">
        <f>'METAL RAW DATA'!AI17</f>
        <v>0</v>
      </c>
      <c r="G11" s="165">
        <f>'METAL RAW DATA'!AJ17</f>
        <v>0</v>
      </c>
      <c r="H11" s="165">
        <f>'METAL RAW DATA'!AK17</f>
        <v>0</v>
      </c>
      <c r="I11" s="165">
        <f>'METAL RAW DATA'!AL17</f>
        <v>0</v>
      </c>
      <c r="J11" s="165">
        <f>'METAL RAW DATA'!AM17</f>
        <v>0</v>
      </c>
      <c r="K11" s="165">
        <f>'METAL RAW DATA'!AN17</f>
        <v>0</v>
      </c>
      <c r="L11" s="165">
        <f>'METAL RAW DATA'!AO17</f>
        <v>0</v>
      </c>
      <c r="M11" s="165">
        <f>'METAL RAW DATA'!AP17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DATA'!B18</f>
        <v>Cu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18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DATA'!C18</f>
        <v>0</v>
      </c>
      <c r="E6" s="162">
        <f>'METAL RAW DATA'!D18</f>
        <v>0</v>
      </c>
      <c r="F6" s="162">
        <f>'METAL RAW DATA'!E18</f>
        <v>0</v>
      </c>
      <c r="G6" s="162">
        <f>'METAL RAW DATA'!F18</f>
        <v>0</v>
      </c>
      <c r="H6" s="162">
        <f>'METAL RAW DATA'!G18</f>
        <v>0</v>
      </c>
      <c r="I6" s="162">
        <f>'METAL RAW DATA'!H18</f>
        <v>0</v>
      </c>
      <c r="J6" s="162">
        <f>'METAL RAW DATA'!I18</f>
        <v>0</v>
      </c>
      <c r="K6" s="162">
        <f>'METAL RAW DATA'!J18</f>
        <v>0</v>
      </c>
      <c r="L6" s="162">
        <f>'METAL RAW DATA'!K18</f>
        <v>0</v>
      </c>
      <c r="M6" s="162">
        <f>'METAL RAW DATA'!L18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DATA'!M18</f>
        <v>0</v>
      </c>
      <c r="E7" s="162">
        <f>'METAL RAW DATA'!N18</f>
        <v>0</v>
      </c>
      <c r="F7" s="162">
        <f>'METAL RAW DATA'!O18</f>
        <v>0</v>
      </c>
      <c r="G7" s="162">
        <f>'METAL RAW DATA'!P18</f>
        <v>0</v>
      </c>
      <c r="H7" s="162">
        <f>'METAL RAW DATA'!Q18</f>
        <v>0</v>
      </c>
      <c r="I7" s="162">
        <f>'METAL RAW DATA'!R18</f>
        <v>0</v>
      </c>
      <c r="J7" s="162">
        <f>'METAL RAW DATA'!S18</f>
        <v>0</v>
      </c>
      <c r="K7" s="162">
        <f>'METAL RAW DATA'!T18</f>
        <v>0</v>
      </c>
      <c r="L7" s="162">
        <f>'METAL RAW DATA'!U18</f>
        <v>0</v>
      </c>
      <c r="M7" s="162">
        <f>'METAL RAW DATA'!V18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DATA'!W18</f>
        <v>0</v>
      </c>
      <c r="E10" s="164">
        <f>'METAL RAW DATA'!X18</f>
        <v>0</v>
      </c>
      <c r="F10" s="164">
        <f>'METAL RAW DATA'!Y18</f>
        <v>0</v>
      </c>
      <c r="G10" s="164">
        <f>'METAL RAW DATA'!Z18</f>
        <v>0</v>
      </c>
      <c r="H10" s="164">
        <f>'METAL RAW DATA'!AA18</f>
        <v>0</v>
      </c>
      <c r="I10" s="164">
        <f>'METAL RAW DATA'!AB18</f>
        <v>0</v>
      </c>
      <c r="J10" s="164">
        <f>'METAL RAW DATA'!AC18</f>
        <v>0</v>
      </c>
      <c r="K10" s="164">
        <f>'METAL RAW DATA'!AD18</f>
        <v>0</v>
      </c>
      <c r="L10" s="164">
        <f>'METAL RAW DATA'!AE18</f>
        <v>0</v>
      </c>
      <c r="M10" s="164">
        <f>'METAL RAW DATA'!AF18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DATA'!AG18</f>
        <v>0</v>
      </c>
      <c r="E11" s="165">
        <f>'METAL RAW DATA'!AH18</f>
        <v>0</v>
      </c>
      <c r="F11" s="165">
        <f>'METAL RAW DATA'!AI18</f>
        <v>0</v>
      </c>
      <c r="G11" s="165">
        <f>'METAL RAW DATA'!AJ18</f>
        <v>0</v>
      </c>
      <c r="H11" s="165">
        <f>'METAL RAW DATA'!AK18</f>
        <v>0</v>
      </c>
      <c r="I11" s="165">
        <f>'METAL RAW DATA'!AL18</f>
        <v>0</v>
      </c>
      <c r="J11" s="165">
        <f>'METAL RAW DATA'!AM18</f>
        <v>0</v>
      </c>
      <c r="K11" s="165">
        <f>'METAL RAW DATA'!AN18</f>
        <v>0</v>
      </c>
      <c r="L11" s="165">
        <f>'METAL RAW DATA'!AO18</f>
        <v>0</v>
      </c>
      <c r="M11" s="165">
        <f>'METAL RAW DATA'!AP18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71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74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9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132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131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DATA'!B19</f>
        <v>Zn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18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DATA'!C19</f>
        <v>0</v>
      </c>
      <c r="E6" s="162">
        <f>'METAL RAW DATA'!D19</f>
        <v>0</v>
      </c>
      <c r="F6" s="162">
        <f>'METAL RAW DATA'!E19</f>
        <v>0</v>
      </c>
      <c r="G6" s="162">
        <f>'METAL RAW DATA'!F19</f>
        <v>0</v>
      </c>
      <c r="H6" s="162">
        <f>'METAL RAW DATA'!G19</f>
        <v>0</v>
      </c>
      <c r="I6" s="162">
        <f>'METAL RAW DATA'!H19</f>
        <v>0</v>
      </c>
      <c r="J6" s="162">
        <f>'METAL RAW DATA'!I19</f>
        <v>0</v>
      </c>
      <c r="K6" s="162">
        <f>'METAL RAW DATA'!J19</f>
        <v>0</v>
      </c>
      <c r="L6" s="162">
        <f>'METAL RAW DATA'!K19</f>
        <v>0</v>
      </c>
      <c r="M6" s="162">
        <f>'METAL RAW DATA'!L19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DATA'!M19</f>
        <v>0</v>
      </c>
      <c r="E7" s="162">
        <f>'METAL RAW DATA'!N19</f>
        <v>0</v>
      </c>
      <c r="F7" s="162">
        <f>'METAL RAW DATA'!O19</f>
        <v>0</v>
      </c>
      <c r="G7" s="162">
        <f>'METAL RAW DATA'!P19</f>
        <v>0</v>
      </c>
      <c r="H7" s="162">
        <f>'METAL RAW DATA'!Q19</f>
        <v>0</v>
      </c>
      <c r="I7" s="162">
        <f>'METAL RAW DATA'!R19</f>
        <v>0</v>
      </c>
      <c r="J7" s="162">
        <f>'METAL RAW DATA'!S19</f>
        <v>0</v>
      </c>
      <c r="K7" s="162">
        <f>'METAL RAW DATA'!T19</f>
        <v>0</v>
      </c>
      <c r="L7" s="162">
        <f>'METAL RAW DATA'!U19</f>
        <v>0</v>
      </c>
      <c r="M7" s="162">
        <f>'METAL RAW DATA'!V19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DATA'!W19</f>
        <v>0</v>
      </c>
      <c r="E10" s="164">
        <f>'METAL RAW DATA'!X19</f>
        <v>0</v>
      </c>
      <c r="F10" s="164">
        <f>'METAL RAW DATA'!Y19</f>
        <v>0</v>
      </c>
      <c r="G10" s="164">
        <f>'METAL RAW DATA'!Z19</f>
        <v>0</v>
      </c>
      <c r="H10" s="164">
        <f>'METAL RAW DATA'!AA19</f>
        <v>0</v>
      </c>
      <c r="I10" s="164">
        <f>'METAL RAW DATA'!AB19</f>
        <v>0</v>
      </c>
      <c r="J10" s="164">
        <f>'METAL RAW DATA'!AC19</f>
        <v>0</v>
      </c>
      <c r="K10" s="164">
        <f>'METAL RAW DATA'!AD19</f>
        <v>0</v>
      </c>
      <c r="L10" s="164">
        <f>'METAL RAW DATA'!AE19</f>
        <v>0</v>
      </c>
      <c r="M10" s="164">
        <f>'METAL RAW DATA'!AF19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DATA'!AG19</f>
        <v>0</v>
      </c>
      <c r="E11" s="165">
        <f>'METAL RAW DATA'!AH19</f>
        <v>0</v>
      </c>
      <c r="F11" s="165">
        <f>'METAL RAW DATA'!AI19</f>
        <v>0</v>
      </c>
      <c r="G11" s="165">
        <f>'METAL RAW DATA'!AJ19</f>
        <v>0</v>
      </c>
      <c r="H11" s="165">
        <f>'METAL RAW DATA'!AK19</f>
        <v>0</v>
      </c>
      <c r="I11" s="165">
        <f>'METAL RAW DATA'!AL19</f>
        <v>0</v>
      </c>
      <c r="J11" s="165">
        <f>'METAL RAW DATA'!AM19</f>
        <v>0</v>
      </c>
      <c r="K11" s="165">
        <f>'METAL RAW DATA'!AN19</f>
        <v>0</v>
      </c>
      <c r="L11" s="165">
        <f>'METAL RAW DATA'!AO19</f>
        <v>0</v>
      </c>
      <c r="M11" s="165">
        <f>'METAL RAW DATA'!AP19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1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133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130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  <mergeCell ref="B32:C32"/>
    <mergeCell ref="B33:C33"/>
    <mergeCell ref="B29:D29"/>
    <mergeCell ref="B27:D27"/>
    <mergeCell ref="E28:H28"/>
    <mergeCell ref="B28:D28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50:C50"/>
    <mergeCell ref="B51:C51"/>
    <mergeCell ref="B52:C52"/>
    <mergeCell ref="B53:C53"/>
    <mergeCell ref="B48:C48"/>
    <mergeCell ref="B49:C49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72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8.125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22</v>
      </c>
      <c r="C3" t="str">
        <f>'METAL RAW DATA'!B20</f>
        <v>Pb</v>
      </c>
      <c r="D3" s="1"/>
      <c r="E3" s="1"/>
      <c r="F3" s="33" t="s">
        <v>0</v>
      </c>
      <c r="G3" s="297">
        <f>'METAL RAW DATA'!E2</f>
        <v>0</v>
      </c>
      <c r="H3" s="297"/>
      <c r="I3" s="1"/>
      <c r="J3" s="1"/>
      <c r="K3" s="9"/>
      <c r="L3" s="189" t="s">
        <v>23</v>
      </c>
      <c r="M3" s="190" t="e">
        <f>1.41*(D47/D63)</f>
        <v>#DIV/0!</v>
      </c>
      <c r="N3" s="188"/>
      <c r="O3" s="1"/>
      <c r="P3" s="1"/>
      <c r="Q3" s="1"/>
      <c r="R3" s="9"/>
    </row>
    <row r="4" spans="2:18" ht="17.25" customHeight="1">
      <c r="D4" s="1"/>
      <c r="E4" s="1"/>
      <c r="F4" s="147" t="s">
        <v>106</v>
      </c>
      <c r="G4" s="296" t="str">
        <f>'METAL RAW DATA'!B3</f>
        <v>ICP- MS 金屬  R-R測試</v>
      </c>
      <c r="H4" s="296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6" t="s">
        <v>25</v>
      </c>
    </row>
    <row r="6" spans="2:18">
      <c r="B6" s="93" t="s">
        <v>26</v>
      </c>
      <c r="C6" s="94"/>
      <c r="D6" s="162">
        <f>'METAL RAW DATA'!C20</f>
        <v>0</v>
      </c>
      <c r="E6" s="162">
        <f>'METAL RAW DATA'!D20</f>
        <v>0</v>
      </c>
      <c r="F6" s="162">
        <f>'METAL RAW DATA'!E20</f>
        <v>0</v>
      </c>
      <c r="G6" s="162">
        <f>'METAL RAW DATA'!F20</f>
        <v>0</v>
      </c>
      <c r="H6" s="162">
        <f>'METAL RAW DATA'!G20</f>
        <v>0</v>
      </c>
      <c r="I6" s="162">
        <f>'METAL RAW DATA'!H20</f>
        <v>0</v>
      </c>
      <c r="J6" s="162">
        <f>'METAL RAW DATA'!I20</f>
        <v>0</v>
      </c>
      <c r="K6" s="162">
        <f>'METAL RAW DATA'!J20</f>
        <v>0</v>
      </c>
      <c r="L6" s="162">
        <f>'METAL RAW DATA'!K20</f>
        <v>0</v>
      </c>
      <c r="M6" s="162">
        <f>'METAL RAW DATA'!L20</f>
        <v>0</v>
      </c>
      <c r="N6" s="95"/>
      <c r="O6" s="167">
        <f>SUM(D6:M6)/10</f>
        <v>0</v>
      </c>
    </row>
    <row r="7" spans="2:18">
      <c r="B7" s="176" t="s">
        <v>1</v>
      </c>
      <c r="C7" s="94"/>
      <c r="D7" s="162">
        <f>'METAL RAW DATA'!M20</f>
        <v>0</v>
      </c>
      <c r="E7" s="162">
        <f>'METAL RAW DATA'!N20</f>
        <v>0</v>
      </c>
      <c r="F7" s="162">
        <f>'METAL RAW DATA'!O20</f>
        <v>0</v>
      </c>
      <c r="G7" s="162">
        <f>'METAL RAW DATA'!P20</f>
        <v>0</v>
      </c>
      <c r="H7" s="162">
        <f>'METAL RAW DATA'!Q20</f>
        <v>0</v>
      </c>
      <c r="I7" s="162">
        <f>'METAL RAW DATA'!R20</f>
        <v>0</v>
      </c>
      <c r="J7" s="162">
        <f>'METAL RAW DATA'!S20</f>
        <v>0</v>
      </c>
      <c r="K7" s="162">
        <f>'METAL RAW DATA'!T20</f>
        <v>0</v>
      </c>
      <c r="L7" s="162">
        <f>'METAL RAW DATA'!U20</f>
        <v>0</v>
      </c>
      <c r="M7" s="162">
        <f>'METAL RAW DATA'!V20</f>
        <v>0</v>
      </c>
      <c r="N7" s="96"/>
      <c r="O7" s="167">
        <f>SUM(D7:M7)/10</f>
        <v>0</v>
      </c>
    </row>
    <row r="8" spans="2:18">
      <c r="B8" s="50" t="s">
        <v>25</v>
      </c>
      <c r="C8" s="55"/>
      <c r="D8" s="163">
        <f t="shared" ref="D8:M8" si="0">AVERAGE(D6:D7)</f>
        <v>0</v>
      </c>
      <c r="E8" s="163">
        <f t="shared" si="0"/>
        <v>0</v>
      </c>
      <c r="F8" s="163">
        <f t="shared" si="0"/>
        <v>0</v>
      </c>
      <c r="G8" s="163">
        <f t="shared" si="0"/>
        <v>0</v>
      </c>
      <c r="H8" s="163">
        <f t="shared" si="0"/>
        <v>0</v>
      </c>
      <c r="I8" s="163">
        <f t="shared" si="0"/>
        <v>0</v>
      </c>
      <c r="J8" s="163">
        <f t="shared" si="0"/>
        <v>0</v>
      </c>
      <c r="K8" s="163">
        <f t="shared" si="0"/>
        <v>0</v>
      </c>
      <c r="L8" s="163">
        <f t="shared" si="0"/>
        <v>0</v>
      </c>
      <c r="M8" s="163">
        <f t="shared" si="0"/>
        <v>0</v>
      </c>
      <c r="N8" s="44" t="s">
        <v>27</v>
      </c>
      <c r="O8" s="168">
        <f>AVERAGE(O6:O7)</f>
        <v>0</v>
      </c>
    </row>
    <row r="9" spans="2:18" ht="17.25" customHeight="1">
      <c r="B9" s="49" t="s">
        <v>28</v>
      </c>
      <c r="C9" s="54"/>
      <c r="D9" s="148">
        <f t="shared" ref="D9:M9" si="1">MAX(D6:D7)-MIN(D6:D7)</f>
        <v>0</v>
      </c>
      <c r="E9" s="148">
        <f t="shared" si="1"/>
        <v>0</v>
      </c>
      <c r="F9" s="148">
        <f t="shared" si="1"/>
        <v>0</v>
      </c>
      <c r="G9" s="148">
        <f t="shared" si="1"/>
        <v>0</v>
      </c>
      <c r="H9" s="148">
        <f t="shared" si="1"/>
        <v>0</v>
      </c>
      <c r="I9" s="148">
        <f t="shared" si="1"/>
        <v>0</v>
      </c>
      <c r="J9" s="148">
        <f t="shared" si="1"/>
        <v>0</v>
      </c>
      <c r="K9" s="148">
        <f t="shared" si="1"/>
        <v>0</v>
      </c>
      <c r="L9" s="148">
        <f t="shared" si="1"/>
        <v>0</v>
      </c>
      <c r="M9" s="148">
        <f t="shared" si="1"/>
        <v>0</v>
      </c>
      <c r="N9" s="15" t="s">
        <v>29</v>
      </c>
      <c r="O9" s="157">
        <f>SUM(D9:M9)/10</f>
        <v>0</v>
      </c>
    </row>
    <row r="10" spans="2:18">
      <c r="B10" s="90" t="s">
        <v>2</v>
      </c>
      <c r="C10" s="91"/>
      <c r="D10" s="164">
        <f>'METAL RAW DATA'!W20</f>
        <v>0</v>
      </c>
      <c r="E10" s="164">
        <f>'METAL RAW DATA'!X20</f>
        <v>0</v>
      </c>
      <c r="F10" s="164">
        <f>'METAL RAW DATA'!Y20</f>
        <v>0</v>
      </c>
      <c r="G10" s="164">
        <f>'METAL RAW DATA'!Z20</f>
        <v>0</v>
      </c>
      <c r="H10" s="164">
        <f>'METAL RAW DATA'!AA20</f>
        <v>0</v>
      </c>
      <c r="I10" s="164">
        <f>'METAL RAW DATA'!AB20</f>
        <v>0</v>
      </c>
      <c r="J10" s="164">
        <f>'METAL RAW DATA'!AC20</f>
        <v>0</v>
      </c>
      <c r="K10" s="164">
        <f>'METAL RAW DATA'!AD20</f>
        <v>0</v>
      </c>
      <c r="L10" s="164">
        <f>'METAL RAW DATA'!AE20</f>
        <v>0</v>
      </c>
      <c r="M10" s="164">
        <f>'METAL RAW DATA'!AF20</f>
        <v>0</v>
      </c>
      <c r="N10" s="92"/>
      <c r="O10" s="169">
        <f>SUM(D10:M10)/10</f>
        <v>0</v>
      </c>
    </row>
    <row r="11" spans="2:18">
      <c r="B11" s="93" t="s">
        <v>2</v>
      </c>
      <c r="C11" s="94"/>
      <c r="D11" s="165">
        <f>'METAL RAW DATA'!AG20</f>
        <v>0</v>
      </c>
      <c r="E11" s="165">
        <f>'METAL RAW DATA'!AH20</f>
        <v>0</v>
      </c>
      <c r="F11" s="165">
        <f>'METAL RAW DATA'!AI20</f>
        <v>0</v>
      </c>
      <c r="G11" s="165">
        <f>'METAL RAW DATA'!AJ20</f>
        <v>0</v>
      </c>
      <c r="H11" s="165">
        <f>'METAL RAW DATA'!AK20</f>
        <v>0</v>
      </c>
      <c r="I11" s="165">
        <f>'METAL RAW DATA'!AL20</f>
        <v>0</v>
      </c>
      <c r="J11" s="165">
        <f>'METAL RAW DATA'!AM20</f>
        <v>0</v>
      </c>
      <c r="K11" s="165">
        <f>'METAL RAW DATA'!AN20</f>
        <v>0</v>
      </c>
      <c r="L11" s="165">
        <f>'METAL RAW DATA'!AO20</f>
        <v>0</v>
      </c>
      <c r="M11" s="165">
        <f>'METAL RAW DATA'!AP20</f>
        <v>0</v>
      </c>
      <c r="N11" s="127"/>
      <c r="O11" s="167">
        <f>SUM(D11:M11)/10</f>
        <v>0</v>
      </c>
    </row>
    <row r="12" spans="2:18">
      <c r="B12" s="50" t="s">
        <v>25</v>
      </c>
      <c r="C12" s="55"/>
      <c r="D12" s="163">
        <f t="shared" ref="D12:M12" si="2">AVERAGE(D10:D11)</f>
        <v>0</v>
      </c>
      <c r="E12" s="163">
        <f t="shared" si="2"/>
        <v>0</v>
      </c>
      <c r="F12" s="163">
        <f t="shared" si="2"/>
        <v>0</v>
      </c>
      <c r="G12" s="163">
        <f t="shared" si="2"/>
        <v>0</v>
      </c>
      <c r="H12" s="163">
        <f t="shared" si="2"/>
        <v>0</v>
      </c>
      <c r="I12" s="163">
        <f t="shared" si="2"/>
        <v>0</v>
      </c>
      <c r="J12" s="163">
        <f t="shared" si="2"/>
        <v>0</v>
      </c>
      <c r="K12" s="163">
        <f t="shared" si="2"/>
        <v>0</v>
      </c>
      <c r="L12" s="163">
        <f t="shared" si="2"/>
        <v>0</v>
      </c>
      <c r="M12" s="163">
        <f t="shared" si="2"/>
        <v>0</v>
      </c>
      <c r="N12" s="126" t="s">
        <v>30</v>
      </c>
      <c r="O12" s="172">
        <f>SUM(D12:M12)/10</f>
        <v>0</v>
      </c>
    </row>
    <row r="13" spans="2:18" ht="17.25" customHeight="1">
      <c r="B13" s="49" t="s">
        <v>28</v>
      </c>
      <c r="C13" s="54"/>
      <c r="D13" s="148">
        <f t="shared" ref="D13:M13" si="3">MAX(D10:D11)-MIN(D10:D11)</f>
        <v>0</v>
      </c>
      <c r="E13" s="148">
        <f t="shared" si="3"/>
        <v>0</v>
      </c>
      <c r="F13" s="148">
        <f t="shared" si="3"/>
        <v>0</v>
      </c>
      <c r="G13" s="148">
        <f t="shared" si="3"/>
        <v>0</v>
      </c>
      <c r="H13" s="148">
        <f t="shared" si="3"/>
        <v>0</v>
      </c>
      <c r="I13" s="148">
        <f t="shared" si="3"/>
        <v>0</v>
      </c>
      <c r="J13" s="148">
        <f t="shared" si="3"/>
        <v>0</v>
      </c>
      <c r="K13" s="148">
        <f t="shared" si="3"/>
        <v>0</v>
      </c>
      <c r="L13" s="148">
        <f t="shared" si="3"/>
        <v>0</v>
      </c>
      <c r="M13" s="148">
        <f t="shared" si="3"/>
        <v>0</v>
      </c>
      <c r="N13" s="15" t="s">
        <v>31</v>
      </c>
      <c r="O13" s="157">
        <f>SUM(D13:M13)/10</f>
        <v>0</v>
      </c>
    </row>
    <row r="14" spans="2:18">
      <c r="B14" s="90" t="s">
        <v>32</v>
      </c>
      <c r="C14" s="91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92" t="s">
        <v>33</v>
      </c>
      <c r="O14" s="173">
        <f>(O12+O8)/2</f>
        <v>0</v>
      </c>
    </row>
    <row r="15" spans="2:18">
      <c r="B15" s="97" t="s">
        <v>25</v>
      </c>
      <c r="C15" s="95" t="s">
        <v>34</v>
      </c>
      <c r="D15" s="166">
        <f t="shared" ref="D15:M15" si="4">(D12+D8)/2</f>
        <v>0</v>
      </c>
      <c r="E15" s="166">
        <f t="shared" si="4"/>
        <v>0</v>
      </c>
      <c r="F15" s="166">
        <f t="shared" si="4"/>
        <v>0</v>
      </c>
      <c r="G15" s="166">
        <f t="shared" si="4"/>
        <v>0</v>
      </c>
      <c r="H15" s="166">
        <f t="shared" si="4"/>
        <v>0</v>
      </c>
      <c r="I15" s="166">
        <f t="shared" si="4"/>
        <v>0</v>
      </c>
      <c r="J15" s="166">
        <f t="shared" si="4"/>
        <v>0</v>
      </c>
      <c r="K15" s="166">
        <f t="shared" si="4"/>
        <v>0</v>
      </c>
      <c r="L15" s="166">
        <f t="shared" si="4"/>
        <v>0</v>
      </c>
      <c r="M15" s="166">
        <f t="shared" si="4"/>
        <v>0</v>
      </c>
      <c r="N15" s="95" t="s">
        <v>35</v>
      </c>
      <c r="O15" s="158">
        <f>MAX(A15:M15)-MIN(A15:M15)</f>
        <v>0</v>
      </c>
    </row>
    <row r="16" spans="2:18">
      <c r="B16" s="98" t="s">
        <v>36</v>
      </c>
      <c r="C16" s="99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95" t="s">
        <v>37</v>
      </c>
      <c r="O16" s="169">
        <f>(O13+O9)/2</f>
        <v>0</v>
      </c>
    </row>
    <row r="17" spans="2:15">
      <c r="B17" s="98" t="s">
        <v>38</v>
      </c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95" t="s">
        <v>39</v>
      </c>
      <c r="O17" s="167">
        <f>MAX(O8,O12)-MIN(O8,O12)</f>
        <v>0</v>
      </c>
    </row>
    <row r="18" spans="2:15">
      <c r="B18" s="64"/>
      <c r="C18" s="5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0"/>
    </row>
    <row r="19" spans="2:15" ht="17.25" customHeight="1">
      <c r="B19" s="65" t="s">
        <v>40</v>
      </c>
      <c r="C19" s="66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86">
        <f>O16*3.27</f>
        <v>0</v>
      </c>
    </row>
    <row r="20" spans="2:15" ht="17.25" customHeight="1">
      <c r="B20" s="29" t="s">
        <v>41</v>
      </c>
      <c r="C20" s="68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191">
        <f>O16*0</f>
        <v>0</v>
      </c>
    </row>
    <row r="21" spans="2:15" ht="17.25" customHeight="1">
      <c r="D21" s="41"/>
      <c r="E21" s="40"/>
      <c r="F21" s="28"/>
      <c r="G21" s="28"/>
      <c r="H21" s="28"/>
      <c r="I21" s="28"/>
      <c r="J21" s="28"/>
      <c r="K21" s="28"/>
      <c r="L21" s="28"/>
      <c r="M21" s="28"/>
      <c r="N21" s="28"/>
      <c r="O21" s="17"/>
    </row>
    <row r="22" spans="2:15" ht="17.25" customHeight="1">
      <c r="B22" s="263" t="s">
        <v>42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5"/>
    </row>
    <row r="23" spans="2:15">
      <c r="B23" s="266"/>
      <c r="C23" s="267"/>
      <c r="D23" s="268"/>
      <c r="E23" s="314" t="str">
        <f>G4</f>
        <v>ICP- MS 金屬  R-R測試</v>
      </c>
      <c r="F23" s="315"/>
      <c r="G23" s="315"/>
      <c r="H23" s="315"/>
      <c r="I23" s="5" t="s">
        <v>43</v>
      </c>
      <c r="J23" s="5"/>
      <c r="K23" s="5" t="s">
        <v>44</v>
      </c>
      <c r="L23" s="5"/>
      <c r="M23" s="5"/>
      <c r="N23" s="5" t="s">
        <v>45</v>
      </c>
      <c r="O23" s="70">
        <f>'METAL RAW DATA'!E2</f>
        <v>0</v>
      </c>
    </row>
    <row r="24" spans="2:15">
      <c r="B24" s="271" t="s">
        <v>46</v>
      </c>
      <c r="C24" s="272"/>
      <c r="D24" s="273"/>
      <c r="E24" s="274"/>
      <c r="F24" s="274"/>
      <c r="G24" s="274"/>
      <c r="H24" s="274"/>
      <c r="I24" s="11" t="s">
        <v>47</v>
      </c>
      <c r="J24" s="11"/>
      <c r="K24" s="11" t="s">
        <v>48</v>
      </c>
      <c r="L24" s="11"/>
      <c r="M24" s="11"/>
      <c r="N24" s="11" t="s">
        <v>49</v>
      </c>
      <c r="O24" s="60"/>
    </row>
    <row r="25" spans="2:15">
      <c r="B25" s="271" t="s">
        <v>50</v>
      </c>
      <c r="C25" s="272"/>
      <c r="D25" s="273"/>
      <c r="E25" s="280"/>
      <c r="F25" s="280"/>
      <c r="G25" s="280"/>
      <c r="H25" s="280"/>
      <c r="I25" s="11" t="s">
        <v>51</v>
      </c>
      <c r="J25" s="11"/>
      <c r="K25" s="11" t="s">
        <v>52</v>
      </c>
      <c r="L25" s="11"/>
      <c r="M25" s="11"/>
      <c r="N25" s="4"/>
      <c r="O25" s="61"/>
    </row>
    <row r="26" spans="2:15" ht="17.25" customHeight="1">
      <c r="B26" s="271" t="s">
        <v>53</v>
      </c>
      <c r="C26" s="272"/>
      <c r="D26" s="273"/>
      <c r="E26" s="277"/>
      <c r="F26" s="278"/>
      <c r="G26" s="278"/>
      <c r="H26" s="279"/>
      <c r="I26" s="21"/>
      <c r="J26" s="21"/>
      <c r="K26" s="21"/>
      <c r="L26" s="21"/>
      <c r="M26" s="21"/>
      <c r="N26" s="4"/>
      <c r="O26" s="61"/>
    </row>
    <row r="27" spans="2:15" ht="20.25" customHeight="1">
      <c r="B27" s="305"/>
      <c r="C27" s="306"/>
      <c r="D27" s="306"/>
      <c r="E27" s="34" t="s">
        <v>54</v>
      </c>
      <c r="F27" s="120">
        <f>O16</f>
        <v>0</v>
      </c>
      <c r="G27" s="34" t="s">
        <v>55</v>
      </c>
      <c r="H27" s="199">
        <f>O17</f>
        <v>0</v>
      </c>
      <c r="I27" s="34" t="s">
        <v>56</v>
      </c>
      <c r="J27" s="179"/>
      <c r="K27" s="118">
        <f>O15</f>
        <v>0</v>
      </c>
      <c r="L27" s="194"/>
      <c r="M27" s="195"/>
      <c r="N27" s="312"/>
      <c r="O27" s="313"/>
    </row>
    <row r="28" spans="2:15" ht="17.25" customHeight="1">
      <c r="B28" s="257" t="s">
        <v>57</v>
      </c>
      <c r="C28" s="258"/>
      <c r="D28" s="259"/>
      <c r="E28" s="254"/>
      <c r="F28" s="255"/>
      <c r="G28" s="255"/>
      <c r="H28" s="256"/>
      <c r="I28" s="260" t="s">
        <v>58</v>
      </c>
      <c r="J28" s="260"/>
      <c r="K28" s="261"/>
      <c r="L28" s="261"/>
      <c r="M28" s="261"/>
      <c r="N28" s="311"/>
      <c r="O28" s="67"/>
    </row>
    <row r="29" spans="2:15" ht="17.25" customHeight="1">
      <c r="B29" s="257"/>
      <c r="C29" s="258"/>
      <c r="D29" s="310"/>
      <c r="E29" s="35" t="s">
        <v>59</v>
      </c>
      <c r="F29" s="122">
        <v>2</v>
      </c>
      <c r="G29" s="35" t="s">
        <v>60</v>
      </c>
      <c r="H29" s="122">
        <v>10</v>
      </c>
      <c r="I29" s="123"/>
      <c r="J29" s="123"/>
      <c r="K29" s="27"/>
      <c r="L29" s="27"/>
      <c r="M29" s="27"/>
      <c r="N29" s="27"/>
      <c r="O29" s="149"/>
    </row>
    <row r="30" spans="2:15" ht="17.25" customHeight="1">
      <c r="B30" s="74" t="s">
        <v>61</v>
      </c>
      <c r="C30" s="14"/>
      <c r="D30" s="48"/>
      <c r="E30" s="121"/>
      <c r="F30" s="13"/>
      <c r="G30" s="13"/>
      <c r="H30" s="117"/>
      <c r="I30" s="89"/>
      <c r="J30" s="87"/>
      <c r="K30" s="87"/>
      <c r="L30" s="87"/>
      <c r="M30" s="87"/>
      <c r="N30" s="87"/>
      <c r="O30" s="150"/>
    </row>
    <row r="31" spans="2:15">
      <c r="B31" s="75" t="s">
        <v>62</v>
      </c>
      <c r="C31" s="76"/>
      <c r="D31" s="82" t="s">
        <v>63</v>
      </c>
      <c r="E31" s="6" t="s">
        <v>64</v>
      </c>
      <c r="F31" s="101"/>
      <c r="G31" s="108" t="s">
        <v>65</v>
      </c>
      <c r="H31" s="110" t="s">
        <v>66</v>
      </c>
      <c r="I31" s="43" t="s">
        <v>67</v>
      </c>
      <c r="J31" s="151"/>
      <c r="K31" s="28"/>
      <c r="L31" s="28"/>
      <c r="M31" s="28"/>
      <c r="N31" s="28"/>
      <c r="O31" s="23"/>
    </row>
    <row r="32" spans="2:15" ht="19.5" customHeight="1">
      <c r="B32" s="305"/>
      <c r="C32" s="309"/>
      <c r="D32" s="86">
        <f>F27</f>
        <v>0</v>
      </c>
      <c r="E32" s="11" t="s">
        <v>68</v>
      </c>
      <c r="F32" s="25">
        <f>H32</f>
        <v>0.88619999999999999</v>
      </c>
      <c r="G32" s="88">
        <v>2</v>
      </c>
      <c r="H32" s="28">
        <v>0.88619999999999999</v>
      </c>
      <c r="I32" s="215" t="e">
        <f>100*(D33/D51)</f>
        <v>#DIV/0!</v>
      </c>
      <c r="J32" s="152"/>
      <c r="K32" s="31" t="s">
        <v>69</v>
      </c>
      <c r="L32" s="31"/>
      <c r="M32" s="31"/>
      <c r="N32" s="28"/>
      <c r="O32" s="23"/>
    </row>
    <row r="33" spans="1:15" ht="20.25" customHeight="1">
      <c r="B33" s="271" t="s">
        <v>70</v>
      </c>
      <c r="C33" s="273"/>
      <c r="D33" s="83">
        <f>D32*F32</f>
        <v>0</v>
      </c>
      <c r="E33" s="45"/>
      <c r="F33" s="25"/>
      <c r="G33" s="39">
        <v>3</v>
      </c>
      <c r="H33" s="32">
        <v>0.59079999999999999</v>
      </c>
      <c r="I33" s="216"/>
      <c r="J33" s="153"/>
      <c r="K33" s="27"/>
      <c r="L33" s="27"/>
      <c r="M33" s="27"/>
      <c r="N33" s="27"/>
      <c r="O33" s="149"/>
    </row>
    <row r="34" spans="1:15" ht="17.25" customHeight="1">
      <c r="B34" s="302" t="s">
        <v>71</v>
      </c>
      <c r="C34" s="303"/>
      <c r="D34" s="303"/>
      <c r="E34" s="303"/>
      <c r="F34" s="303"/>
      <c r="G34" s="303"/>
      <c r="H34" s="304"/>
      <c r="I34" s="217"/>
      <c r="J34" s="87"/>
      <c r="K34" s="87"/>
      <c r="L34" s="87"/>
      <c r="M34" s="87"/>
      <c r="N34" s="87"/>
      <c r="O34" s="150"/>
    </row>
    <row r="35" spans="1:15" ht="18.75" customHeight="1">
      <c r="B35" s="71" t="s">
        <v>72</v>
      </c>
      <c r="C35" s="72"/>
      <c r="D35" s="73" t="s">
        <v>73</v>
      </c>
      <c r="E35" s="58" t="s">
        <v>74</v>
      </c>
      <c r="F35" s="12"/>
      <c r="G35" s="12"/>
      <c r="H35" s="101"/>
      <c r="I35" s="214" t="s">
        <v>75</v>
      </c>
      <c r="J35" s="155"/>
      <c r="K35" s="28"/>
      <c r="L35" s="28"/>
      <c r="M35" s="28"/>
      <c r="N35" s="28"/>
      <c r="O35" s="23"/>
    </row>
    <row r="36" spans="1:15" ht="18.75" customHeight="1">
      <c r="B36" s="305"/>
      <c r="C36" s="306"/>
      <c r="D36" s="306"/>
      <c r="E36" s="306"/>
      <c r="F36" s="306"/>
      <c r="G36" s="306"/>
      <c r="H36" s="307"/>
      <c r="I36" s="205" t="e">
        <f>100*(E37/D51)</f>
        <v>#DIV/0!</v>
      </c>
      <c r="J36" s="180"/>
      <c r="K36" s="31" t="s">
        <v>69</v>
      </c>
      <c r="L36" s="31"/>
      <c r="M36" s="31"/>
      <c r="N36" s="28"/>
      <c r="O36" s="23"/>
    </row>
    <row r="37" spans="1:15" ht="20.25" customHeight="1">
      <c r="A37" s="51"/>
      <c r="B37" s="286"/>
      <c r="C37" s="287"/>
      <c r="D37" s="80" t="s">
        <v>70</v>
      </c>
      <c r="E37" s="83">
        <f>D59</f>
        <v>0</v>
      </c>
      <c r="F37" s="277"/>
      <c r="G37" s="278"/>
      <c r="H37" s="308"/>
      <c r="I37" s="218"/>
      <c r="J37" s="181"/>
      <c r="K37" s="28"/>
      <c r="L37" s="28"/>
      <c r="M37" s="28"/>
      <c r="N37" s="28"/>
      <c r="O37" s="23"/>
    </row>
    <row r="38" spans="1:15">
      <c r="B38" s="288"/>
      <c r="C38" s="289"/>
      <c r="D38" s="292"/>
      <c r="E38" s="293"/>
      <c r="F38" s="108" t="s">
        <v>76</v>
      </c>
      <c r="G38" s="30">
        <v>2</v>
      </c>
      <c r="H38" s="30">
        <v>3</v>
      </c>
      <c r="I38" s="219" t="s">
        <v>77</v>
      </c>
      <c r="J38" s="154"/>
      <c r="K38" s="27"/>
      <c r="L38" s="27"/>
      <c r="M38" s="27"/>
      <c r="N38" s="27"/>
      <c r="O38" s="149"/>
    </row>
    <row r="39" spans="1:15" ht="17.25" customHeight="1">
      <c r="B39" s="290"/>
      <c r="C39" s="291"/>
      <c r="D39" s="294"/>
      <c r="E39" s="295"/>
      <c r="F39" s="109" t="s">
        <v>78</v>
      </c>
      <c r="G39" s="32">
        <v>0.70709999999999995</v>
      </c>
      <c r="H39" s="32">
        <v>0.52310000000000001</v>
      </c>
      <c r="I39" s="220" t="s">
        <v>79</v>
      </c>
      <c r="J39" s="155"/>
      <c r="K39" s="28"/>
      <c r="L39" s="28"/>
      <c r="M39" s="28"/>
      <c r="N39" s="28"/>
      <c r="O39" s="23"/>
    </row>
    <row r="40" spans="1:15" ht="17.25" customHeight="1">
      <c r="B40" s="300" t="s">
        <v>80</v>
      </c>
      <c r="C40" s="296"/>
      <c r="D40" s="296"/>
      <c r="E40" s="296"/>
      <c r="F40" s="296"/>
      <c r="G40" s="296"/>
      <c r="H40" s="301"/>
      <c r="I40" s="221"/>
      <c r="J40" s="28"/>
      <c r="K40" s="28"/>
      <c r="L40" s="28"/>
      <c r="M40" s="28"/>
      <c r="N40" s="28"/>
      <c r="O40" s="23"/>
    </row>
    <row r="41" spans="1:15" ht="18.75" customHeight="1">
      <c r="B41" s="71" t="s">
        <v>81</v>
      </c>
      <c r="C41" s="72"/>
      <c r="D41" s="73" t="s">
        <v>82</v>
      </c>
      <c r="E41" s="58" t="s">
        <v>83</v>
      </c>
      <c r="F41" s="12"/>
      <c r="G41" s="12"/>
      <c r="H41" s="101"/>
      <c r="I41" s="222" t="s">
        <v>84</v>
      </c>
      <c r="J41" s="182"/>
      <c r="K41" s="30"/>
      <c r="L41" s="30"/>
      <c r="M41" s="30"/>
      <c r="N41" s="30"/>
      <c r="O41" s="22"/>
    </row>
    <row r="42" spans="1:15" ht="19.5" customHeight="1">
      <c r="B42" s="59"/>
      <c r="C42" s="18"/>
      <c r="D42" s="56" t="s">
        <v>70</v>
      </c>
      <c r="E42" s="45"/>
      <c r="F42" s="4"/>
      <c r="G42" s="4"/>
      <c r="H42" s="25"/>
      <c r="I42" s="205" t="e">
        <f>100*(E43/D51)</f>
        <v>#DIV/0!</v>
      </c>
      <c r="J42" s="180"/>
      <c r="K42" s="31" t="s">
        <v>69</v>
      </c>
      <c r="L42" s="31"/>
      <c r="M42" s="31"/>
      <c r="N42" s="28"/>
      <c r="O42" s="23"/>
    </row>
    <row r="43" spans="1:15" ht="20.25" customHeight="1">
      <c r="B43" s="102" t="s">
        <v>85</v>
      </c>
      <c r="C43" s="19"/>
      <c r="D43" s="103" t="s">
        <v>70</v>
      </c>
      <c r="E43" s="130">
        <f>D63</f>
        <v>0</v>
      </c>
      <c r="F43" s="16"/>
      <c r="G43" s="21"/>
      <c r="H43" s="26"/>
      <c r="I43" s="208">
        <f>100*(E43/F67)</f>
        <v>0</v>
      </c>
      <c r="J43" s="183"/>
      <c r="K43" s="131" t="s">
        <v>69</v>
      </c>
      <c r="L43" s="131"/>
      <c r="M43" s="131"/>
      <c r="N43" s="131"/>
      <c r="O43" s="132"/>
    </row>
    <row r="44" spans="1:15">
      <c r="B44" s="105"/>
      <c r="C44" s="106"/>
      <c r="D44" s="57"/>
      <c r="E44" s="58"/>
      <c r="F44" s="101"/>
      <c r="G44" s="108" t="s">
        <v>86</v>
      </c>
      <c r="H44" s="110" t="s">
        <v>87</v>
      </c>
      <c r="I44" s="213"/>
      <c r="J44" s="28"/>
      <c r="K44" s="28"/>
      <c r="L44" s="28"/>
      <c r="M44" s="28"/>
      <c r="N44" s="28"/>
      <c r="O44" s="23"/>
    </row>
    <row r="45" spans="1:15" ht="18.75" customHeight="1">
      <c r="B45" s="271" t="s">
        <v>88</v>
      </c>
      <c r="C45" s="273"/>
      <c r="D45" s="46" t="s">
        <v>89</v>
      </c>
      <c r="E45" s="45"/>
      <c r="F45" s="25"/>
      <c r="G45" s="88">
        <v>2</v>
      </c>
      <c r="H45" s="28">
        <v>0.70709999999999995</v>
      </c>
      <c r="I45" s="214" t="s">
        <v>90</v>
      </c>
      <c r="J45" s="155"/>
      <c r="K45" s="28"/>
      <c r="L45" s="28"/>
      <c r="M45" s="28"/>
      <c r="N45" s="28"/>
      <c r="O45" s="23"/>
    </row>
    <row r="46" spans="1:15" ht="18.75" customHeight="1">
      <c r="B46" s="257" t="s">
        <v>91</v>
      </c>
      <c r="C46" s="259"/>
      <c r="D46" s="47">
        <f>K27</f>
        <v>0</v>
      </c>
      <c r="E46" s="11" t="s">
        <v>68</v>
      </c>
      <c r="F46" s="25">
        <f>H53</f>
        <v>0.31459999999999999</v>
      </c>
      <c r="G46" s="88">
        <v>3</v>
      </c>
      <c r="H46" s="28">
        <v>0.52310000000000001</v>
      </c>
      <c r="I46" s="210" t="e">
        <f>100*(D47/D51)</f>
        <v>#DIV/0!</v>
      </c>
      <c r="J46" s="184"/>
      <c r="K46" s="31" t="s">
        <v>69</v>
      </c>
      <c r="L46" s="31"/>
      <c r="M46" s="31"/>
      <c r="N46" s="28"/>
      <c r="O46" s="23"/>
    </row>
    <row r="47" spans="1:15" ht="20.25" customHeight="1">
      <c r="B47" s="271" t="s">
        <v>70</v>
      </c>
      <c r="C47" s="273"/>
      <c r="D47" s="84">
        <f>D46*F46</f>
        <v>0</v>
      </c>
      <c r="E47" s="45"/>
      <c r="F47" s="25"/>
      <c r="G47" s="88">
        <v>4</v>
      </c>
      <c r="H47" s="28">
        <v>0.44669999999999999</v>
      </c>
      <c r="I47" s="38"/>
      <c r="J47" s="185"/>
      <c r="K47" s="28"/>
      <c r="L47" s="28"/>
      <c r="M47" s="28"/>
      <c r="N47" s="28"/>
      <c r="O47" s="23"/>
    </row>
    <row r="48" spans="1:15">
      <c r="B48" s="281" t="s">
        <v>70</v>
      </c>
      <c r="C48" s="282"/>
      <c r="D48" s="47"/>
      <c r="E48" s="45"/>
      <c r="F48" s="25"/>
      <c r="G48" s="88">
        <v>5</v>
      </c>
      <c r="H48" s="28">
        <v>0.40300000000000002</v>
      </c>
      <c r="I48" s="36"/>
      <c r="J48" s="30"/>
      <c r="K48" s="30"/>
      <c r="L48" s="30"/>
      <c r="M48" s="30"/>
      <c r="N48" s="30"/>
      <c r="O48" s="22"/>
    </row>
    <row r="49" spans="2:15" ht="17.25" customHeight="1">
      <c r="B49" s="284" t="s">
        <v>92</v>
      </c>
      <c r="C49" s="285"/>
      <c r="D49" s="17"/>
      <c r="E49" s="63"/>
      <c r="F49" s="107"/>
      <c r="G49" s="88">
        <v>6</v>
      </c>
      <c r="H49" s="28">
        <v>0.37419999999999998</v>
      </c>
      <c r="I49" s="88"/>
      <c r="J49" s="28"/>
      <c r="K49" s="28"/>
      <c r="L49" s="28"/>
      <c r="M49" s="28"/>
      <c r="N49" s="28"/>
      <c r="O49" s="23"/>
    </row>
    <row r="50" spans="2:15" ht="19.5" customHeight="1">
      <c r="B50" s="298" t="s">
        <v>93</v>
      </c>
      <c r="C50" s="299"/>
      <c r="D50" s="249" t="s">
        <v>133</v>
      </c>
      <c r="E50" s="104"/>
      <c r="F50" s="89"/>
      <c r="G50" s="88">
        <v>7</v>
      </c>
      <c r="H50" s="28">
        <v>0.35339999999999999</v>
      </c>
      <c r="I50" s="88"/>
      <c r="J50" s="28"/>
      <c r="K50" s="28"/>
      <c r="L50" s="28"/>
      <c r="M50" s="28"/>
      <c r="N50" s="28"/>
      <c r="O50" s="23"/>
    </row>
    <row r="51" spans="2:15" ht="19.5" customHeight="1">
      <c r="B51" s="281" t="s">
        <v>70</v>
      </c>
      <c r="C51" s="282"/>
      <c r="D51" s="84">
        <f>D67</f>
        <v>0</v>
      </c>
      <c r="E51" s="45"/>
      <c r="F51" s="25"/>
      <c r="G51" s="88">
        <v>8</v>
      </c>
      <c r="H51" s="28">
        <v>0.33750000000000002</v>
      </c>
      <c r="I51" s="88"/>
      <c r="J51" s="28"/>
      <c r="K51" s="28"/>
      <c r="L51" s="28"/>
      <c r="M51" s="28"/>
      <c r="N51" s="28"/>
      <c r="O51" s="23"/>
    </row>
    <row r="52" spans="2:15">
      <c r="B52" s="281"/>
      <c r="C52" s="282"/>
      <c r="D52" s="47"/>
      <c r="E52" s="45"/>
      <c r="F52" s="25"/>
      <c r="G52" s="88">
        <v>9</v>
      </c>
      <c r="H52" s="28">
        <v>0.32490000000000002</v>
      </c>
      <c r="I52" s="88"/>
      <c r="J52" s="28"/>
      <c r="K52" s="28"/>
      <c r="L52" s="28"/>
      <c r="M52" s="28"/>
      <c r="N52" s="28"/>
      <c r="O52" s="23"/>
    </row>
    <row r="53" spans="2:15" ht="17.25" customHeight="1">
      <c r="B53" s="283" t="s">
        <v>94</v>
      </c>
      <c r="C53" s="279"/>
      <c r="D53" s="62"/>
      <c r="E53" s="63"/>
      <c r="F53" s="107"/>
      <c r="G53" s="39">
        <v>10</v>
      </c>
      <c r="H53" s="32">
        <v>0.31459999999999999</v>
      </c>
      <c r="I53" s="39"/>
      <c r="J53" s="32"/>
      <c r="K53" s="32"/>
      <c r="L53" s="32"/>
      <c r="M53" s="32"/>
      <c r="N53" s="32"/>
      <c r="O53" s="24"/>
    </row>
    <row r="54" spans="2:15">
      <c r="B54" s="17"/>
      <c r="C54" s="17"/>
    </row>
    <row r="56" spans="2:15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2:15">
      <c r="B57" s="7" t="s">
        <v>73</v>
      </c>
      <c r="C57" s="81" t="s">
        <v>95</v>
      </c>
      <c r="D57" s="20">
        <f>(H27*G39)</f>
        <v>0</v>
      </c>
      <c r="E57" s="2" t="s">
        <v>68</v>
      </c>
      <c r="F57" s="1">
        <f>D57</f>
        <v>0</v>
      </c>
      <c r="G57" s="85" t="s">
        <v>96</v>
      </c>
      <c r="H57" s="2">
        <f>D33</f>
        <v>0</v>
      </c>
      <c r="I57" s="2" t="s">
        <v>68</v>
      </c>
      <c r="J57" s="2"/>
      <c r="K57" s="2">
        <f>H57</f>
        <v>0</v>
      </c>
      <c r="L57" s="2"/>
      <c r="M57" s="2"/>
      <c r="N57" s="2" t="s">
        <v>97</v>
      </c>
      <c r="O57" s="1">
        <f>F29*H29</f>
        <v>20</v>
      </c>
    </row>
    <row r="58" spans="2:15">
      <c r="B58" s="53" t="s">
        <v>70</v>
      </c>
      <c r="C58" s="78" t="s">
        <v>95</v>
      </c>
      <c r="D58" s="1">
        <f>(D57*F57)-((H57*K57)/O57)</f>
        <v>0</v>
      </c>
      <c r="F58" s="128"/>
    </row>
    <row r="59" spans="2:15">
      <c r="B59" s="53" t="s">
        <v>70</v>
      </c>
      <c r="C59" s="53"/>
      <c r="D59" s="10">
        <f>IF(D58&lt;0,0,SQRT(D58))</f>
        <v>0</v>
      </c>
    </row>
    <row r="60" spans="2:15">
      <c r="C60" s="77"/>
      <c r="D60" s="77"/>
      <c r="E60" s="77"/>
      <c r="F60" s="77"/>
      <c r="G60" s="77"/>
      <c r="H60" s="77"/>
      <c r="I60" s="77"/>
      <c r="J60" s="77"/>
      <c r="K60" s="77"/>
      <c r="L60" s="17"/>
      <c r="M60" s="17"/>
    </row>
    <row r="61" spans="2:15">
      <c r="B61" s="7" t="s">
        <v>82</v>
      </c>
      <c r="C61" s="79" t="s">
        <v>95</v>
      </c>
      <c r="D61" s="20">
        <f>D33</f>
        <v>0</v>
      </c>
      <c r="E61" s="2" t="s">
        <v>68</v>
      </c>
      <c r="F61" s="1">
        <f>D33</f>
        <v>0</v>
      </c>
      <c r="G61" s="85" t="s">
        <v>98</v>
      </c>
      <c r="H61" s="1">
        <f>E37</f>
        <v>0</v>
      </c>
      <c r="I61" s="2" t="s">
        <v>68</v>
      </c>
      <c r="J61" s="2"/>
      <c r="K61" s="2">
        <f>E37</f>
        <v>0</v>
      </c>
      <c r="L61" s="2"/>
      <c r="M61" s="2"/>
    </row>
    <row r="62" spans="2:15">
      <c r="B62" s="53" t="s">
        <v>70</v>
      </c>
      <c r="C62" t="s">
        <v>95</v>
      </c>
      <c r="D62" s="1">
        <f>(D61*F61)+(K61*K61)</f>
        <v>0</v>
      </c>
    </row>
    <row r="63" spans="2:15">
      <c r="B63" s="53" t="s">
        <v>70</v>
      </c>
      <c r="D63" s="10">
        <f>SQRT(D62)</f>
        <v>0</v>
      </c>
    </row>
    <row r="64" spans="2:15">
      <c r="C64" s="77"/>
      <c r="D64" s="77"/>
      <c r="E64" s="77"/>
      <c r="F64" s="77"/>
      <c r="G64" s="77"/>
      <c r="H64" s="77"/>
      <c r="I64" s="77"/>
      <c r="J64" s="77"/>
      <c r="K64" s="77"/>
      <c r="L64" s="17"/>
      <c r="M64" s="17"/>
    </row>
    <row r="65" spans="2:13">
      <c r="B65" s="7" t="s">
        <v>93</v>
      </c>
      <c r="C65" t="s">
        <v>95</v>
      </c>
      <c r="D65" s="1">
        <f>D63</f>
        <v>0</v>
      </c>
      <c r="E65" s="2" t="s">
        <v>68</v>
      </c>
      <c r="F65" s="1">
        <f>D63</f>
        <v>0</v>
      </c>
      <c r="G65" s="85" t="s">
        <v>98</v>
      </c>
      <c r="H65" s="1">
        <f>D47</f>
        <v>0</v>
      </c>
      <c r="I65" s="2" t="s">
        <v>68</v>
      </c>
      <c r="J65" s="2"/>
      <c r="K65" s="1">
        <f>D47</f>
        <v>0</v>
      </c>
      <c r="L65" s="1"/>
      <c r="M65" s="1"/>
    </row>
    <row r="66" spans="2:13">
      <c r="B66" s="53" t="s">
        <v>70</v>
      </c>
      <c r="C66" t="s">
        <v>95</v>
      </c>
      <c r="D66" s="1">
        <f>(D65*F65)+(H65*K65)</f>
        <v>0</v>
      </c>
    </row>
    <row r="67" spans="2:13">
      <c r="B67" s="53" t="s">
        <v>70</v>
      </c>
      <c r="D67" s="10">
        <f>SQRT(D66)</f>
        <v>0</v>
      </c>
      <c r="E67" s="1" t="s">
        <v>99</v>
      </c>
      <c r="F67">
        <v>0.05</v>
      </c>
      <c r="G67" t="s">
        <v>100</v>
      </c>
    </row>
    <row r="68" spans="2:13" ht="17.25" customHeight="1"/>
    <row r="69" spans="2:13" ht="17.25" customHeight="1">
      <c r="B69" s="133" t="s">
        <v>101</v>
      </c>
      <c r="C69" s="134" t="s">
        <v>102</v>
      </c>
      <c r="D69" s="124" t="s">
        <v>103</v>
      </c>
    </row>
    <row r="71" spans="2:13">
      <c r="B71" s="2" t="s">
        <v>130</v>
      </c>
      <c r="C71" s="2" t="s">
        <v>104</v>
      </c>
    </row>
    <row r="72" spans="2:13">
      <c r="B72" s="1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0:C50"/>
    <mergeCell ref="B51:C51"/>
    <mergeCell ref="B52:C52"/>
    <mergeCell ref="B53:C53"/>
    <mergeCell ref="B48:C48"/>
    <mergeCell ref="B49:C49"/>
    <mergeCell ref="B40:H40"/>
    <mergeCell ref="B34:H34"/>
    <mergeCell ref="B45:C45"/>
    <mergeCell ref="B46:C46"/>
    <mergeCell ref="B47:C47"/>
    <mergeCell ref="B36:H36"/>
    <mergeCell ref="B37:C39"/>
    <mergeCell ref="D38:E39"/>
    <mergeCell ref="F37:H37"/>
    <mergeCell ref="B32:C32"/>
    <mergeCell ref="B33:C33"/>
    <mergeCell ref="B29:D29"/>
    <mergeCell ref="B27:D27"/>
    <mergeCell ref="E28:H28"/>
    <mergeCell ref="B28:D28"/>
    <mergeCell ref="I28:N28"/>
    <mergeCell ref="G3:H3"/>
    <mergeCell ref="G4:H4"/>
    <mergeCell ref="N27:O27"/>
    <mergeCell ref="E26:H26"/>
    <mergeCell ref="B22:O22"/>
    <mergeCell ref="B23:D23"/>
    <mergeCell ref="E23:H23"/>
    <mergeCell ref="B24:D24"/>
    <mergeCell ref="E24:H24"/>
    <mergeCell ref="E25:H25"/>
    <mergeCell ref="B26:D26"/>
    <mergeCell ref="B25:D25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K31"/>
  <sheetViews>
    <sheetView tabSelected="1" workbookViewId="0">
      <selection activeCell="O27" sqref="O27"/>
    </sheetView>
  </sheetViews>
  <sheetFormatPr defaultRowHeight="16.5"/>
  <cols>
    <col min="1" max="1" width="4.125" customWidth="1"/>
    <col min="2" max="2" width="6" customWidth="1"/>
    <col min="3" max="3" width="13.375" customWidth="1"/>
    <col min="4" max="4" width="2.875" customWidth="1"/>
    <col min="5" max="5" width="12.125" customWidth="1"/>
    <col min="6" max="6" width="2.75" customWidth="1"/>
    <col min="7" max="7" width="11" customWidth="1"/>
    <col min="8" max="8" width="13.375" customWidth="1"/>
    <col min="9" max="9" width="10.875" customWidth="1"/>
    <col min="10" max="10" width="3.625" customWidth="1"/>
    <col min="11" max="11" width="10.375" customWidth="1"/>
    <col min="12" max="256" width="9" customWidth="1"/>
    <col min="257" max="257" width="4.125" customWidth="1"/>
    <col min="258" max="258" width="6" customWidth="1"/>
    <col min="259" max="259" width="13.375" customWidth="1"/>
    <col min="260" max="260" width="2.875" customWidth="1"/>
    <col min="261" max="261" width="12.125" customWidth="1"/>
    <col min="262" max="262" width="2.75" customWidth="1"/>
    <col min="263" max="263" width="11" customWidth="1"/>
    <col min="264" max="264" width="13.375" customWidth="1"/>
    <col min="265" max="265" width="10.875" customWidth="1"/>
    <col min="266" max="266" width="3.625" customWidth="1"/>
    <col min="267" max="267" width="10.375" customWidth="1"/>
    <col min="268" max="512" width="9" customWidth="1"/>
    <col min="513" max="513" width="4.125" customWidth="1"/>
    <col min="514" max="514" width="6" customWidth="1"/>
    <col min="515" max="515" width="13.375" customWidth="1"/>
    <col min="516" max="516" width="2.875" customWidth="1"/>
    <col min="517" max="517" width="12.125" customWidth="1"/>
    <col min="518" max="518" width="2.75" customWidth="1"/>
    <col min="519" max="519" width="11" customWidth="1"/>
    <col min="520" max="520" width="13.375" customWidth="1"/>
    <col min="521" max="521" width="10.875" customWidth="1"/>
    <col min="522" max="522" width="3.625" customWidth="1"/>
    <col min="523" max="523" width="10.375" customWidth="1"/>
    <col min="524" max="768" width="9" customWidth="1"/>
    <col min="769" max="769" width="4.125" customWidth="1"/>
    <col min="770" max="770" width="6" customWidth="1"/>
    <col min="771" max="771" width="13.375" customWidth="1"/>
    <col min="772" max="772" width="2.875" customWidth="1"/>
    <col min="773" max="773" width="12.125" customWidth="1"/>
    <col min="774" max="774" width="2.75" customWidth="1"/>
    <col min="775" max="775" width="11" customWidth="1"/>
    <col min="776" max="776" width="13.375" customWidth="1"/>
    <col min="777" max="777" width="10.875" customWidth="1"/>
    <col min="778" max="778" width="3.625" customWidth="1"/>
    <col min="779" max="779" width="10.375" customWidth="1"/>
    <col min="780" max="1024" width="9" customWidth="1"/>
    <col min="1025" max="1025" width="4.125" customWidth="1"/>
    <col min="1026" max="1026" width="6" customWidth="1"/>
    <col min="1027" max="1027" width="13.375" customWidth="1"/>
    <col min="1028" max="1028" width="2.875" customWidth="1"/>
    <col min="1029" max="1029" width="12.125" customWidth="1"/>
    <col min="1030" max="1030" width="2.75" customWidth="1"/>
    <col min="1031" max="1031" width="11" customWidth="1"/>
    <col min="1032" max="1032" width="13.375" customWidth="1"/>
    <col min="1033" max="1033" width="10.875" customWidth="1"/>
    <col min="1034" max="1034" width="3.625" customWidth="1"/>
    <col min="1035" max="1035" width="10.375" customWidth="1"/>
    <col min="1036" max="1280" width="9" customWidth="1"/>
    <col min="1281" max="1281" width="4.125" customWidth="1"/>
    <col min="1282" max="1282" width="6" customWidth="1"/>
    <col min="1283" max="1283" width="13.375" customWidth="1"/>
    <col min="1284" max="1284" width="2.875" customWidth="1"/>
    <col min="1285" max="1285" width="12.125" customWidth="1"/>
    <col min="1286" max="1286" width="2.75" customWidth="1"/>
    <col min="1287" max="1287" width="11" customWidth="1"/>
    <col min="1288" max="1288" width="13.375" customWidth="1"/>
    <col min="1289" max="1289" width="10.875" customWidth="1"/>
    <col min="1290" max="1290" width="3.625" customWidth="1"/>
    <col min="1291" max="1291" width="10.375" customWidth="1"/>
    <col min="1292" max="1536" width="9" customWidth="1"/>
    <col min="1537" max="1537" width="4.125" customWidth="1"/>
    <col min="1538" max="1538" width="6" customWidth="1"/>
    <col min="1539" max="1539" width="13.375" customWidth="1"/>
    <col min="1540" max="1540" width="2.875" customWidth="1"/>
    <col min="1541" max="1541" width="12.125" customWidth="1"/>
    <col min="1542" max="1542" width="2.75" customWidth="1"/>
    <col min="1543" max="1543" width="11" customWidth="1"/>
    <col min="1544" max="1544" width="13.375" customWidth="1"/>
    <col min="1545" max="1545" width="10.875" customWidth="1"/>
    <col min="1546" max="1546" width="3.625" customWidth="1"/>
    <col min="1547" max="1547" width="10.375" customWidth="1"/>
    <col min="1548" max="1792" width="9" customWidth="1"/>
    <col min="1793" max="1793" width="4.125" customWidth="1"/>
    <col min="1794" max="1794" width="6" customWidth="1"/>
    <col min="1795" max="1795" width="13.375" customWidth="1"/>
    <col min="1796" max="1796" width="2.875" customWidth="1"/>
    <col min="1797" max="1797" width="12.125" customWidth="1"/>
    <col min="1798" max="1798" width="2.75" customWidth="1"/>
    <col min="1799" max="1799" width="11" customWidth="1"/>
    <col min="1800" max="1800" width="13.375" customWidth="1"/>
    <col min="1801" max="1801" width="10.875" customWidth="1"/>
    <col min="1802" max="1802" width="3.625" customWidth="1"/>
    <col min="1803" max="1803" width="10.375" customWidth="1"/>
    <col min="1804" max="2048" width="9" customWidth="1"/>
    <col min="2049" max="2049" width="4.125" customWidth="1"/>
    <col min="2050" max="2050" width="6" customWidth="1"/>
    <col min="2051" max="2051" width="13.375" customWidth="1"/>
    <col min="2052" max="2052" width="2.875" customWidth="1"/>
    <col min="2053" max="2053" width="12.125" customWidth="1"/>
    <col min="2054" max="2054" width="2.75" customWidth="1"/>
    <col min="2055" max="2055" width="11" customWidth="1"/>
    <col min="2056" max="2056" width="13.375" customWidth="1"/>
    <col min="2057" max="2057" width="10.875" customWidth="1"/>
    <col min="2058" max="2058" width="3.625" customWidth="1"/>
    <col min="2059" max="2059" width="10.375" customWidth="1"/>
    <col min="2060" max="2304" width="9" customWidth="1"/>
    <col min="2305" max="2305" width="4.125" customWidth="1"/>
    <col min="2306" max="2306" width="6" customWidth="1"/>
    <col min="2307" max="2307" width="13.375" customWidth="1"/>
    <col min="2308" max="2308" width="2.875" customWidth="1"/>
    <col min="2309" max="2309" width="12.125" customWidth="1"/>
    <col min="2310" max="2310" width="2.75" customWidth="1"/>
    <col min="2311" max="2311" width="11" customWidth="1"/>
    <col min="2312" max="2312" width="13.375" customWidth="1"/>
    <col min="2313" max="2313" width="10.875" customWidth="1"/>
    <col min="2314" max="2314" width="3.625" customWidth="1"/>
    <col min="2315" max="2315" width="10.375" customWidth="1"/>
    <col min="2316" max="2560" width="9" customWidth="1"/>
    <col min="2561" max="2561" width="4.125" customWidth="1"/>
    <col min="2562" max="2562" width="6" customWidth="1"/>
    <col min="2563" max="2563" width="13.375" customWidth="1"/>
    <col min="2564" max="2564" width="2.875" customWidth="1"/>
    <col min="2565" max="2565" width="12.125" customWidth="1"/>
    <col min="2566" max="2566" width="2.75" customWidth="1"/>
    <col min="2567" max="2567" width="11" customWidth="1"/>
    <col min="2568" max="2568" width="13.375" customWidth="1"/>
    <col min="2569" max="2569" width="10.875" customWidth="1"/>
    <col min="2570" max="2570" width="3.625" customWidth="1"/>
    <col min="2571" max="2571" width="10.375" customWidth="1"/>
    <col min="2572" max="2816" width="9" customWidth="1"/>
    <col min="2817" max="2817" width="4.125" customWidth="1"/>
    <col min="2818" max="2818" width="6" customWidth="1"/>
    <col min="2819" max="2819" width="13.375" customWidth="1"/>
    <col min="2820" max="2820" width="2.875" customWidth="1"/>
    <col min="2821" max="2821" width="12.125" customWidth="1"/>
    <col min="2822" max="2822" width="2.75" customWidth="1"/>
    <col min="2823" max="2823" width="11" customWidth="1"/>
    <col min="2824" max="2824" width="13.375" customWidth="1"/>
    <col min="2825" max="2825" width="10.875" customWidth="1"/>
    <col min="2826" max="2826" width="3.625" customWidth="1"/>
    <col min="2827" max="2827" width="10.375" customWidth="1"/>
    <col min="2828" max="3072" width="9" customWidth="1"/>
    <col min="3073" max="3073" width="4.125" customWidth="1"/>
    <col min="3074" max="3074" width="6" customWidth="1"/>
    <col min="3075" max="3075" width="13.375" customWidth="1"/>
    <col min="3076" max="3076" width="2.875" customWidth="1"/>
    <col min="3077" max="3077" width="12.125" customWidth="1"/>
    <col min="3078" max="3078" width="2.75" customWidth="1"/>
    <col min="3079" max="3079" width="11" customWidth="1"/>
    <col min="3080" max="3080" width="13.375" customWidth="1"/>
    <col min="3081" max="3081" width="10.875" customWidth="1"/>
    <col min="3082" max="3082" width="3.625" customWidth="1"/>
    <col min="3083" max="3083" width="10.375" customWidth="1"/>
    <col min="3084" max="3328" width="9" customWidth="1"/>
    <col min="3329" max="3329" width="4.125" customWidth="1"/>
    <col min="3330" max="3330" width="6" customWidth="1"/>
    <col min="3331" max="3331" width="13.375" customWidth="1"/>
    <col min="3332" max="3332" width="2.875" customWidth="1"/>
    <col min="3333" max="3333" width="12.125" customWidth="1"/>
    <col min="3334" max="3334" width="2.75" customWidth="1"/>
    <col min="3335" max="3335" width="11" customWidth="1"/>
    <col min="3336" max="3336" width="13.375" customWidth="1"/>
    <col min="3337" max="3337" width="10.875" customWidth="1"/>
    <col min="3338" max="3338" width="3.625" customWidth="1"/>
    <col min="3339" max="3339" width="10.375" customWidth="1"/>
    <col min="3340" max="3584" width="9" customWidth="1"/>
    <col min="3585" max="3585" width="4.125" customWidth="1"/>
    <col min="3586" max="3586" width="6" customWidth="1"/>
    <col min="3587" max="3587" width="13.375" customWidth="1"/>
    <col min="3588" max="3588" width="2.875" customWidth="1"/>
    <col min="3589" max="3589" width="12.125" customWidth="1"/>
    <col min="3590" max="3590" width="2.75" customWidth="1"/>
    <col min="3591" max="3591" width="11" customWidth="1"/>
    <col min="3592" max="3592" width="13.375" customWidth="1"/>
    <col min="3593" max="3593" width="10.875" customWidth="1"/>
    <col min="3594" max="3594" width="3.625" customWidth="1"/>
    <col min="3595" max="3595" width="10.375" customWidth="1"/>
    <col min="3596" max="3840" width="9" customWidth="1"/>
    <col min="3841" max="3841" width="4.125" customWidth="1"/>
    <col min="3842" max="3842" width="6" customWidth="1"/>
    <col min="3843" max="3843" width="13.375" customWidth="1"/>
    <col min="3844" max="3844" width="2.875" customWidth="1"/>
    <col min="3845" max="3845" width="12.125" customWidth="1"/>
    <col min="3846" max="3846" width="2.75" customWidth="1"/>
    <col min="3847" max="3847" width="11" customWidth="1"/>
    <col min="3848" max="3848" width="13.375" customWidth="1"/>
    <col min="3849" max="3849" width="10.875" customWidth="1"/>
    <col min="3850" max="3850" width="3.625" customWidth="1"/>
    <col min="3851" max="3851" width="10.375" customWidth="1"/>
    <col min="3852" max="4096" width="9" customWidth="1"/>
    <col min="4097" max="4097" width="4.125" customWidth="1"/>
    <col min="4098" max="4098" width="6" customWidth="1"/>
    <col min="4099" max="4099" width="13.375" customWidth="1"/>
    <col min="4100" max="4100" width="2.875" customWidth="1"/>
    <col min="4101" max="4101" width="12.125" customWidth="1"/>
    <col min="4102" max="4102" width="2.75" customWidth="1"/>
    <col min="4103" max="4103" width="11" customWidth="1"/>
    <col min="4104" max="4104" width="13.375" customWidth="1"/>
    <col min="4105" max="4105" width="10.875" customWidth="1"/>
    <col min="4106" max="4106" width="3.625" customWidth="1"/>
    <col min="4107" max="4107" width="10.375" customWidth="1"/>
    <col min="4108" max="4352" width="9" customWidth="1"/>
    <col min="4353" max="4353" width="4.125" customWidth="1"/>
    <col min="4354" max="4354" width="6" customWidth="1"/>
    <col min="4355" max="4355" width="13.375" customWidth="1"/>
    <col min="4356" max="4356" width="2.875" customWidth="1"/>
    <col min="4357" max="4357" width="12.125" customWidth="1"/>
    <col min="4358" max="4358" width="2.75" customWidth="1"/>
    <col min="4359" max="4359" width="11" customWidth="1"/>
    <col min="4360" max="4360" width="13.375" customWidth="1"/>
    <col min="4361" max="4361" width="10.875" customWidth="1"/>
    <col min="4362" max="4362" width="3.625" customWidth="1"/>
    <col min="4363" max="4363" width="10.375" customWidth="1"/>
    <col min="4364" max="4608" width="9" customWidth="1"/>
    <col min="4609" max="4609" width="4.125" customWidth="1"/>
    <col min="4610" max="4610" width="6" customWidth="1"/>
    <col min="4611" max="4611" width="13.375" customWidth="1"/>
    <col min="4612" max="4612" width="2.875" customWidth="1"/>
    <col min="4613" max="4613" width="12.125" customWidth="1"/>
    <col min="4614" max="4614" width="2.75" customWidth="1"/>
    <col min="4615" max="4615" width="11" customWidth="1"/>
    <col min="4616" max="4616" width="13.375" customWidth="1"/>
    <col min="4617" max="4617" width="10.875" customWidth="1"/>
    <col min="4618" max="4618" width="3.625" customWidth="1"/>
    <col min="4619" max="4619" width="10.375" customWidth="1"/>
    <col min="4620" max="4864" width="9" customWidth="1"/>
    <col min="4865" max="4865" width="4.125" customWidth="1"/>
    <col min="4866" max="4866" width="6" customWidth="1"/>
    <col min="4867" max="4867" width="13.375" customWidth="1"/>
    <col min="4868" max="4868" width="2.875" customWidth="1"/>
    <col min="4869" max="4869" width="12.125" customWidth="1"/>
    <col min="4870" max="4870" width="2.75" customWidth="1"/>
    <col min="4871" max="4871" width="11" customWidth="1"/>
    <col min="4872" max="4872" width="13.375" customWidth="1"/>
    <col min="4873" max="4873" width="10.875" customWidth="1"/>
    <col min="4874" max="4874" width="3.625" customWidth="1"/>
    <col min="4875" max="4875" width="10.375" customWidth="1"/>
    <col min="4876" max="5120" width="9" customWidth="1"/>
    <col min="5121" max="5121" width="4.125" customWidth="1"/>
    <col min="5122" max="5122" width="6" customWidth="1"/>
    <col min="5123" max="5123" width="13.375" customWidth="1"/>
    <col min="5124" max="5124" width="2.875" customWidth="1"/>
    <col min="5125" max="5125" width="12.125" customWidth="1"/>
    <col min="5126" max="5126" width="2.75" customWidth="1"/>
    <col min="5127" max="5127" width="11" customWidth="1"/>
    <col min="5128" max="5128" width="13.375" customWidth="1"/>
    <col min="5129" max="5129" width="10.875" customWidth="1"/>
    <col min="5130" max="5130" width="3.625" customWidth="1"/>
    <col min="5131" max="5131" width="10.375" customWidth="1"/>
    <col min="5132" max="5376" width="9" customWidth="1"/>
    <col min="5377" max="5377" width="4.125" customWidth="1"/>
    <col min="5378" max="5378" width="6" customWidth="1"/>
    <col min="5379" max="5379" width="13.375" customWidth="1"/>
    <col min="5380" max="5380" width="2.875" customWidth="1"/>
    <col min="5381" max="5381" width="12.125" customWidth="1"/>
    <col min="5382" max="5382" width="2.75" customWidth="1"/>
    <col min="5383" max="5383" width="11" customWidth="1"/>
    <col min="5384" max="5384" width="13.375" customWidth="1"/>
    <col min="5385" max="5385" width="10.875" customWidth="1"/>
    <col min="5386" max="5386" width="3.625" customWidth="1"/>
    <col min="5387" max="5387" width="10.375" customWidth="1"/>
    <col min="5388" max="5632" width="9" customWidth="1"/>
    <col min="5633" max="5633" width="4.125" customWidth="1"/>
    <col min="5634" max="5634" width="6" customWidth="1"/>
    <col min="5635" max="5635" width="13.375" customWidth="1"/>
    <col min="5636" max="5636" width="2.875" customWidth="1"/>
    <col min="5637" max="5637" width="12.125" customWidth="1"/>
    <col min="5638" max="5638" width="2.75" customWidth="1"/>
    <col min="5639" max="5639" width="11" customWidth="1"/>
    <col min="5640" max="5640" width="13.375" customWidth="1"/>
    <col min="5641" max="5641" width="10.875" customWidth="1"/>
    <col min="5642" max="5642" width="3.625" customWidth="1"/>
    <col min="5643" max="5643" width="10.375" customWidth="1"/>
    <col min="5644" max="5888" width="9" customWidth="1"/>
    <col min="5889" max="5889" width="4.125" customWidth="1"/>
    <col min="5890" max="5890" width="6" customWidth="1"/>
    <col min="5891" max="5891" width="13.375" customWidth="1"/>
    <col min="5892" max="5892" width="2.875" customWidth="1"/>
    <col min="5893" max="5893" width="12.125" customWidth="1"/>
    <col min="5894" max="5894" width="2.75" customWidth="1"/>
    <col min="5895" max="5895" width="11" customWidth="1"/>
    <col min="5896" max="5896" width="13.375" customWidth="1"/>
    <col min="5897" max="5897" width="10.875" customWidth="1"/>
    <col min="5898" max="5898" width="3.625" customWidth="1"/>
    <col min="5899" max="5899" width="10.375" customWidth="1"/>
    <col min="5900" max="6144" width="9" customWidth="1"/>
    <col min="6145" max="6145" width="4.125" customWidth="1"/>
    <col min="6146" max="6146" width="6" customWidth="1"/>
    <col min="6147" max="6147" width="13.375" customWidth="1"/>
    <col min="6148" max="6148" width="2.875" customWidth="1"/>
    <col min="6149" max="6149" width="12.125" customWidth="1"/>
    <col min="6150" max="6150" width="2.75" customWidth="1"/>
    <col min="6151" max="6151" width="11" customWidth="1"/>
    <col min="6152" max="6152" width="13.375" customWidth="1"/>
    <col min="6153" max="6153" width="10.875" customWidth="1"/>
    <col min="6154" max="6154" width="3.625" customWidth="1"/>
    <col min="6155" max="6155" width="10.375" customWidth="1"/>
    <col min="6156" max="6400" width="9" customWidth="1"/>
    <col min="6401" max="6401" width="4.125" customWidth="1"/>
    <col min="6402" max="6402" width="6" customWidth="1"/>
    <col min="6403" max="6403" width="13.375" customWidth="1"/>
    <col min="6404" max="6404" width="2.875" customWidth="1"/>
    <col min="6405" max="6405" width="12.125" customWidth="1"/>
    <col min="6406" max="6406" width="2.75" customWidth="1"/>
    <col min="6407" max="6407" width="11" customWidth="1"/>
    <col min="6408" max="6408" width="13.375" customWidth="1"/>
    <col min="6409" max="6409" width="10.875" customWidth="1"/>
    <col min="6410" max="6410" width="3.625" customWidth="1"/>
    <col min="6411" max="6411" width="10.375" customWidth="1"/>
    <col min="6412" max="6656" width="9" customWidth="1"/>
    <col min="6657" max="6657" width="4.125" customWidth="1"/>
    <col min="6658" max="6658" width="6" customWidth="1"/>
    <col min="6659" max="6659" width="13.375" customWidth="1"/>
    <col min="6660" max="6660" width="2.875" customWidth="1"/>
    <col min="6661" max="6661" width="12.125" customWidth="1"/>
    <col min="6662" max="6662" width="2.75" customWidth="1"/>
    <col min="6663" max="6663" width="11" customWidth="1"/>
    <col min="6664" max="6664" width="13.375" customWidth="1"/>
    <col min="6665" max="6665" width="10.875" customWidth="1"/>
    <col min="6666" max="6666" width="3.625" customWidth="1"/>
    <col min="6667" max="6667" width="10.375" customWidth="1"/>
    <col min="6668" max="6912" width="9" customWidth="1"/>
    <col min="6913" max="6913" width="4.125" customWidth="1"/>
    <col min="6914" max="6914" width="6" customWidth="1"/>
    <col min="6915" max="6915" width="13.375" customWidth="1"/>
    <col min="6916" max="6916" width="2.875" customWidth="1"/>
    <col min="6917" max="6917" width="12.125" customWidth="1"/>
    <col min="6918" max="6918" width="2.75" customWidth="1"/>
    <col min="6919" max="6919" width="11" customWidth="1"/>
    <col min="6920" max="6920" width="13.375" customWidth="1"/>
    <col min="6921" max="6921" width="10.875" customWidth="1"/>
    <col min="6922" max="6922" width="3.625" customWidth="1"/>
    <col min="6923" max="6923" width="10.375" customWidth="1"/>
    <col min="6924" max="7168" width="9" customWidth="1"/>
    <col min="7169" max="7169" width="4.125" customWidth="1"/>
    <col min="7170" max="7170" width="6" customWidth="1"/>
    <col min="7171" max="7171" width="13.375" customWidth="1"/>
    <col min="7172" max="7172" width="2.875" customWidth="1"/>
    <col min="7173" max="7173" width="12.125" customWidth="1"/>
    <col min="7174" max="7174" width="2.75" customWidth="1"/>
    <col min="7175" max="7175" width="11" customWidth="1"/>
    <col min="7176" max="7176" width="13.375" customWidth="1"/>
    <col min="7177" max="7177" width="10.875" customWidth="1"/>
    <col min="7178" max="7178" width="3.625" customWidth="1"/>
    <col min="7179" max="7179" width="10.375" customWidth="1"/>
    <col min="7180" max="7424" width="9" customWidth="1"/>
    <col min="7425" max="7425" width="4.125" customWidth="1"/>
    <col min="7426" max="7426" width="6" customWidth="1"/>
    <col min="7427" max="7427" width="13.375" customWidth="1"/>
    <col min="7428" max="7428" width="2.875" customWidth="1"/>
    <col min="7429" max="7429" width="12.125" customWidth="1"/>
    <col min="7430" max="7430" width="2.75" customWidth="1"/>
    <col min="7431" max="7431" width="11" customWidth="1"/>
    <col min="7432" max="7432" width="13.375" customWidth="1"/>
    <col min="7433" max="7433" width="10.875" customWidth="1"/>
    <col min="7434" max="7434" width="3.625" customWidth="1"/>
    <col min="7435" max="7435" width="10.375" customWidth="1"/>
    <col min="7436" max="7680" width="9" customWidth="1"/>
    <col min="7681" max="7681" width="4.125" customWidth="1"/>
    <col min="7682" max="7682" width="6" customWidth="1"/>
    <col min="7683" max="7683" width="13.375" customWidth="1"/>
    <col min="7684" max="7684" width="2.875" customWidth="1"/>
    <col min="7685" max="7685" width="12.125" customWidth="1"/>
    <col min="7686" max="7686" width="2.75" customWidth="1"/>
    <col min="7687" max="7687" width="11" customWidth="1"/>
    <col min="7688" max="7688" width="13.375" customWidth="1"/>
    <col min="7689" max="7689" width="10.875" customWidth="1"/>
    <col min="7690" max="7690" width="3.625" customWidth="1"/>
    <col min="7691" max="7691" width="10.375" customWidth="1"/>
    <col min="7692" max="7936" width="9" customWidth="1"/>
    <col min="7937" max="7937" width="4.125" customWidth="1"/>
    <col min="7938" max="7938" width="6" customWidth="1"/>
    <col min="7939" max="7939" width="13.375" customWidth="1"/>
    <col min="7940" max="7940" width="2.875" customWidth="1"/>
    <col min="7941" max="7941" width="12.125" customWidth="1"/>
    <col min="7942" max="7942" width="2.75" customWidth="1"/>
    <col min="7943" max="7943" width="11" customWidth="1"/>
    <col min="7944" max="7944" width="13.375" customWidth="1"/>
    <col min="7945" max="7945" width="10.875" customWidth="1"/>
    <col min="7946" max="7946" width="3.625" customWidth="1"/>
    <col min="7947" max="7947" width="10.375" customWidth="1"/>
    <col min="7948" max="8192" width="9" customWidth="1"/>
    <col min="8193" max="8193" width="4.125" customWidth="1"/>
    <col min="8194" max="8194" width="6" customWidth="1"/>
    <col min="8195" max="8195" width="13.375" customWidth="1"/>
    <col min="8196" max="8196" width="2.875" customWidth="1"/>
    <col min="8197" max="8197" width="12.125" customWidth="1"/>
    <col min="8198" max="8198" width="2.75" customWidth="1"/>
    <col min="8199" max="8199" width="11" customWidth="1"/>
    <col min="8200" max="8200" width="13.375" customWidth="1"/>
    <col min="8201" max="8201" width="10.875" customWidth="1"/>
    <col min="8202" max="8202" width="3.625" customWidth="1"/>
    <col min="8203" max="8203" width="10.375" customWidth="1"/>
    <col min="8204" max="8448" width="9" customWidth="1"/>
    <col min="8449" max="8449" width="4.125" customWidth="1"/>
    <col min="8450" max="8450" width="6" customWidth="1"/>
    <col min="8451" max="8451" width="13.375" customWidth="1"/>
    <col min="8452" max="8452" width="2.875" customWidth="1"/>
    <col min="8453" max="8453" width="12.125" customWidth="1"/>
    <col min="8454" max="8454" width="2.75" customWidth="1"/>
    <col min="8455" max="8455" width="11" customWidth="1"/>
    <col min="8456" max="8456" width="13.375" customWidth="1"/>
    <col min="8457" max="8457" width="10.875" customWidth="1"/>
    <col min="8458" max="8458" width="3.625" customWidth="1"/>
    <col min="8459" max="8459" width="10.375" customWidth="1"/>
    <col min="8460" max="8704" width="9" customWidth="1"/>
    <col min="8705" max="8705" width="4.125" customWidth="1"/>
    <col min="8706" max="8706" width="6" customWidth="1"/>
    <col min="8707" max="8707" width="13.375" customWidth="1"/>
    <col min="8708" max="8708" width="2.875" customWidth="1"/>
    <col min="8709" max="8709" width="12.125" customWidth="1"/>
    <col min="8710" max="8710" width="2.75" customWidth="1"/>
    <col min="8711" max="8711" width="11" customWidth="1"/>
    <col min="8712" max="8712" width="13.375" customWidth="1"/>
    <col min="8713" max="8713" width="10.875" customWidth="1"/>
    <col min="8714" max="8714" width="3.625" customWidth="1"/>
    <col min="8715" max="8715" width="10.375" customWidth="1"/>
    <col min="8716" max="8960" width="9" customWidth="1"/>
    <col min="8961" max="8961" width="4.125" customWidth="1"/>
    <col min="8962" max="8962" width="6" customWidth="1"/>
    <col min="8963" max="8963" width="13.375" customWidth="1"/>
    <col min="8964" max="8964" width="2.875" customWidth="1"/>
    <col min="8965" max="8965" width="12.125" customWidth="1"/>
    <col min="8966" max="8966" width="2.75" customWidth="1"/>
    <col min="8967" max="8967" width="11" customWidth="1"/>
    <col min="8968" max="8968" width="13.375" customWidth="1"/>
    <col min="8969" max="8969" width="10.875" customWidth="1"/>
    <col min="8970" max="8970" width="3.625" customWidth="1"/>
    <col min="8971" max="8971" width="10.375" customWidth="1"/>
    <col min="8972" max="9216" width="9" customWidth="1"/>
    <col min="9217" max="9217" width="4.125" customWidth="1"/>
    <col min="9218" max="9218" width="6" customWidth="1"/>
    <col min="9219" max="9219" width="13.375" customWidth="1"/>
    <col min="9220" max="9220" width="2.875" customWidth="1"/>
    <col min="9221" max="9221" width="12.125" customWidth="1"/>
    <col min="9222" max="9222" width="2.75" customWidth="1"/>
    <col min="9223" max="9223" width="11" customWidth="1"/>
    <col min="9224" max="9224" width="13.375" customWidth="1"/>
    <col min="9225" max="9225" width="10.875" customWidth="1"/>
    <col min="9226" max="9226" width="3.625" customWidth="1"/>
    <col min="9227" max="9227" width="10.375" customWidth="1"/>
    <col min="9228" max="9472" width="9" customWidth="1"/>
    <col min="9473" max="9473" width="4.125" customWidth="1"/>
    <col min="9474" max="9474" width="6" customWidth="1"/>
    <col min="9475" max="9475" width="13.375" customWidth="1"/>
    <col min="9476" max="9476" width="2.875" customWidth="1"/>
    <col min="9477" max="9477" width="12.125" customWidth="1"/>
    <col min="9478" max="9478" width="2.75" customWidth="1"/>
    <col min="9479" max="9479" width="11" customWidth="1"/>
    <col min="9480" max="9480" width="13.375" customWidth="1"/>
    <col min="9481" max="9481" width="10.875" customWidth="1"/>
    <col min="9482" max="9482" width="3.625" customWidth="1"/>
    <col min="9483" max="9483" width="10.375" customWidth="1"/>
    <col min="9484" max="9728" width="9" customWidth="1"/>
    <col min="9729" max="9729" width="4.125" customWidth="1"/>
    <col min="9730" max="9730" width="6" customWidth="1"/>
    <col min="9731" max="9731" width="13.375" customWidth="1"/>
    <col min="9732" max="9732" width="2.875" customWidth="1"/>
    <col min="9733" max="9733" width="12.125" customWidth="1"/>
    <col min="9734" max="9734" width="2.75" customWidth="1"/>
    <col min="9735" max="9735" width="11" customWidth="1"/>
    <col min="9736" max="9736" width="13.375" customWidth="1"/>
    <col min="9737" max="9737" width="10.875" customWidth="1"/>
    <col min="9738" max="9738" width="3.625" customWidth="1"/>
    <col min="9739" max="9739" width="10.375" customWidth="1"/>
    <col min="9740" max="9984" width="9" customWidth="1"/>
    <col min="9985" max="9985" width="4.125" customWidth="1"/>
    <col min="9986" max="9986" width="6" customWidth="1"/>
    <col min="9987" max="9987" width="13.375" customWidth="1"/>
    <col min="9988" max="9988" width="2.875" customWidth="1"/>
    <col min="9989" max="9989" width="12.125" customWidth="1"/>
    <col min="9990" max="9990" width="2.75" customWidth="1"/>
    <col min="9991" max="9991" width="11" customWidth="1"/>
    <col min="9992" max="9992" width="13.375" customWidth="1"/>
    <col min="9993" max="9993" width="10.875" customWidth="1"/>
    <col min="9994" max="9994" width="3.625" customWidth="1"/>
    <col min="9995" max="9995" width="10.375" customWidth="1"/>
    <col min="9996" max="10240" width="9" customWidth="1"/>
    <col min="10241" max="10241" width="4.125" customWidth="1"/>
    <col min="10242" max="10242" width="6" customWidth="1"/>
    <col min="10243" max="10243" width="13.375" customWidth="1"/>
    <col min="10244" max="10244" width="2.875" customWidth="1"/>
    <col min="10245" max="10245" width="12.125" customWidth="1"/>
    <col min="10246" max="10246" width="2.75" customWidth="1"/>
    <col min="10247" max="10247" width="11" customWidth="1"/>
    <col min="10248" max="10248" width="13.375" customWidth="1"/>
    <col min="10249" max="10249" width="10.875" customWidth="1"/>
    <col min="10250" max="10250" width="3.625" customWidth="1"/>
    <col min="10251" max="10251" width="10.375" customWidth="1"/>
    <col min="10252" max="10496" width="9" customWidth="1"/>
    <col min="10497" max="10497" width="4.125" customWidth="1"/>
    <col min="10498" max="10498" width="6" customWidth="1"/>
    <col min="10499" max="10499" width="13.375" customWidth="1"/>
    <col min="10500" max="10500" width="2.875" customWidth="1"/>
    <col min="10501" max="10501" width="12.125" customWidth="1"/>
    <col min="10502" max="10502" width="2.75" customWidth="1"/>
    <col min="10503" max="10503" width="11" customWidth="1"/>
    <col min="10504" max="10504" width="13.375" customWidth="1"/>
    <col min="10505" max="10505" width="10.875" customWidth="1"/>
    <col min="10506" max="10506" width="3.625" customWidth="1"/>
    <col min="10507" max="10507" width="10.375" customWidth="1"/>
    <col min="10508" max="10752" width="9" customWidth="1"/>
    <col min="10753" max="10753" width="4.125" customWidth="1"/>
    <col min="10754" max="10754" width="6" customWidth="1"/>
    <col min="10755" max="10755" width="13.375" customWidth="1"/>
    <col min="10756" max="10756" width="2.875" customWidth="1"/>
    <col min="10757" max="10757" width="12.125" customWidth="1"/>
    <col min="10758" max="10758" width="2.75" customWidth="1"/>
    <col min="10759" max="10759" width="11" customWidth="1"/>
    <col min="10760" max="10760" width="13.375" customWidth="1"/>
    <col min="10761" max="10761" width="10.875" customWidth="1"/>
    <col min="10762" max="10762" width="3.625" customWidth="1"/>
    <col min="10763" max="10763" width="10.375" customWidth="1"/>
    <col min="10764" max="11008" width="9" customWidth="1"/>
    <col min="11009" max="11009" width="4.125" customWidth="1"/>
    <col min="11010" max="11010" width="6" customWidth="1"/>
    <col min="11011" max="11011" width="13.375" customWidth="1"/>
    <col min="11012" max="11012" width="2.875" customWidth="1"/>
    <col min="11013" max="11013" width="12.125" customWidth="1"/>
    <col min="11014" max="11014" width="2.75" customWidth="1"/>
    <col min="11015" max="11015" width="11" customWidth="1"/>
    <col min="11016" max="11016" width="13.375" customWidth="1"/>
    <col min="11017" max="11017" width="10.875" customWidth="1"/>
    <col min="11018" max="11018" width="3.625" customWidth="1"/>
    <col min="11019" max="11019" width="10.375" customWidth="1"/>
    <col min="11020" max="11264" width="9" customWidth="1"/>
    <col min="11265" max="11265" width="4.125" customWidth="1"/>
    <col min="11266" max="11266" width="6" customWidth="1"/>
    <col min="11267" max="11267" width="13.375" customWidth="1"/>
    <col min="11268" max="11268" width="2.875" customWidth="1"/>
    <col min="11269" max="11269" width="12.125" customWidth="1"/>
    <col min="11270" max="11270" width="2.75" customWidth="1"/>
    <col min="11271" max="11271" width="11" customWidth="1"/>
    <col min="11272" max="11272" width="13.375" customWidth="1"/>
    <col min="11273" max="11273" width="10.875" customWidth="1"/>
    <col min="11274" max="11274" width="3.625" customWidth="1"/>
    <col min="11275" max="11275" width="10.375" customWidth="1"/>
    <col min="11276" max="11520" width="9" customWidth="1"/>
    <col min="11521" max="11521" width="4.125" customWidth="1"/>
    <col min="11522" max="11522" width="6" customWidth="1"/>
    <col min="11523" max="11523" width="13.375" customWidth="1"/>
    <col min="11524" max="11524" width="2.875" customWidth="1"/>
    <col min="11525" max="11525" width="12.125" customWidth="1"/>
    <col min="11526" max="11526" width="2.75" customWidth="1"/>
    <col min="11527" max="11527" width="11" customWidth="1"/>
    <col min="11528" max="11528" width="13.375" customWidth="1"/>
    <col min="11529" max="11529" width="10.875" customWidth="1"/>
    <col min="11530" max="11530" width="3.625" customWidth="1"/>
    <col min="11531" max="11531" width="10.375" customWidth="1"/>
    <col min="11532" max="11776" width="9" customWidth="1"/>
    <col min="11777" max="11777" width="4.125" customWidth="1"/>
    <col min="11778" max="11778" width="6" customWidth="1"/>
    <col min="11779" max="11779" width="13.375" customWidth="1"/>
    <col min="11780" max="11780" width="2.875" customWidth="1"/>
    <col min="11781" max="11781" width="12.125" customWidth="1"/>
    <col min="11782" max="11782" width="2.75" customWidth="1"/>
    <col min="11783" max="11783" width="11" customWidth="1"/>
    <col min="11784" max="11784" width="13.375" customWidth="1"/>
    <col min="11785" max="11785" width="10.875" customWidth="1"/>
    <col min="11786" max="11786" width="3.625" customWidth="1"/>
    <col min="11787" max="11787" width="10.375" customWidth="1"/>
    <col min="11788" max="12032" width="9" customWidth="1"/>
    <col min="12033" max="12033" width="4.125" customWidth="1"/>
    <col min="12034" max="12034" width="6" customWidth="1"/>
    <col min="12035" max="12035" width="13.375" customWidth="1"/>
    <col min="12036" max="12036" width="2.875" customWidth="1"/>
    <col min="12037" max="12037" width="12.125" customWidth="1"/>
    <col min="12038" max="12038" width="2.75" customWidth="1"/>
    <col min="12039" max="12039" width="11" customWidth="1"/>
    <col min="12040" max="12040" width="13.375" customWidth="1"/>
    <col min="12041" max="12041" width="10.875" customWidth="1"/>
    <col min="12042" max="12042" width="3.625" customWidth="1"/>
    <col min="12043" max="12043" width="10.375" customWidth="1"/>
    <col min="12044" max="12288" width="9" customWidth="1"/>
    <col min="12289" max="12289" width="4.125" customWidth="1"/>
    <col min="12290" max="12290" width="6" customWidth="1"/>
    <col min="12291" max="12291" width="13.375" customWidth="1"/>
    <col min="12292" max="12292" width="2.875" customWidth="1"/>
    <col min="12293" max="12293" width="12.125" customWidth="1"/>
    <col min="12294" max="12294" width="2.75" customWidth="1"/>
    <col min="12295" max="12295" width="11" customWidth="1"/>
    <col min="12296" max="12296" width="13.375" customWidth="1"/>
    <col min="12297" max="12297" width="10.875" customWidth="1"/>
    <col min="12298" max="12298" width="3.625" customWidth="1"/>
    <col min="12299" max="12299" width="10.375" customWidth="1"/>
    <col min="12300" max="12544" width="9" customWidth="1"/>
    <col min="12545" max="12545" width="4.125" customWidth="1"/>
    <col min="12546" max="12546" width="6" customWidth="1"/>
    <col min="12547" max="12547" width="13.375" customWidth="1"/>
    <col min="12548" max="12548" width="2.875" customWidth="1"/>
    <col min="12549" max="12549" width="12.125" customWidth="1"/>
    <col min="12550" max="12550" width="2.75" customWidth="1"/>
    <col min="12551" max="12551" width="11" customWidth="1"/>
    <col min="12552" max="12552" width="13.375" customWidth="1"/>
    <col min="12553" max="12553" width="10.875" customWidth="1"/>
    <col min="12554" max="12554" width="3.625" customWidth="1"/>
    <col min="12555" max="12555" width="10.375" customWidth="1"/>
    <col min="12556" max="12800" width="9" customWidth="1"/>
    <col min="12801" max="12801" width="4.125" customWidth="1"/>
    <col min="12802" max="12802" width="6" customWidth="1"/>
    <col min="12803" max="12803" width="13.375" customWidth="1"/>
    <col min="12804" max="12804" width="2.875" customWidth="1"/>
    <col min="12805" max="12805" width="12.125" customWidth="1"/>
    <col min="12806" max="12806" width="2.75" customWidth="1"/>
    <col min="12807" max="12807" width="11" customWidth="1"/>
    <col min="12808" max="12808" width="13.375" customWidth="1"/>
    <col min="12809" max="12809" width="10.875" customWidth="1"/>
    <col min="12810" max="12810" width="3.625" customWidth="1"/>
    <col min="12811" max="12811" width="10.375" customWidth="1"/>
    <col min="12812" max="13056" width="9" customWidth="1"/>
    <col min="13057" max="13057" width="4.125" customWidth="1"/>
    <col min="13058" max="13058" width="6" customWidth="1"/>
    <col min="13059" max="13059" width="13.375" customWidth="1"/>
    <col min="13060" max="13060" width="2.875" customWidth="1"/>
    <col min="13061" max="13061" width="12.125" customWidth="1"/>
    <col min="13062" max="13062" width="2.75" customWidth="1"/>
    <col min="13063" max="13063" width="11" customWidth="1"/>
    <col min="13064" max="13064" width="13.375" customWidth="1"/>
    <col min="13065" max="13065" width="10.875" customWidth="1"/>
    <col min="13066" max="13066" width="3.625" customWidth="1"/>
    <col min="13067" max="13067" width="10.375" customWidth="1"/>
    <col min="13068" max="13312" width="9" customWidth="1"/>
    <col min="13313" max="13313" width="4.125" customWidth="1"/>
    <col min="13314" max="13314" width="6" customWidth="1"/>
    <col min="13315" max="13315" width="13.375" customWidth="1"/>
    <col min="13316" max="13316" width="2.875" customWidth="1"/>
    <col min="13317" max="13317" width="12.125" customWidth="1"/>
    <col min="13318" max="13318" width="2.75" customWidth="1"/>
    <col min="13319" max="13319" width="11" customWidth="1"/>
    <col min="13320" max="13320" width="13.375" customWidth="1"/>
    <col min="13321" max="13321" width="10.875" customWidth="1"/>
    <col min="13322" max="13322" width="3.625" customWidth="1"/>
    <col min="13323" max="13323" width="10.375" customWidth="1"/>
    <col min="13324" max="13568" width="9" customWidth="1"/>
    <col min="13569" max="13569" width="4.125" customWidth="1"/>
    <col min="13570" max="13570" width="6" customWidth="1"/>
    <col min="13571" max="13571" width="13.375" customWidth="1"/>
    <col min="13572" max="13572" width="2.875" customWidth="1"/>
    <col min="13573" max="13573" width="12.125" customWidth="1"/>
    <col min="13574" max="13574" width="2.75" customWidth="1"/>
    <col min="13575" max="13575" width="11" customWidth="1"/>
    <col min="13576" max="13576" width="13.375" customWidth="1"/>
    <col min="13577" max="13577" width="10.875" customWidth="1"/>
    <col min="13578" max="13578" width="3.625" customWidth="1"/>
    <col min="13579" max="13579" width="10.375" customWidth="1"/>
    <col min="13580" max="13824" width="9" customWidth="1"/>
    <col min="13825" max="13825" width="4.125" customWidth="1"/>
    <col min="13826" max="13826" width="6" customWidth="1"/>
    <col min="13827" max="13827" width="13.375" customWidth="1"/>
    <col min="13828" max="13828" width="2.875" customWidth="1"/>
    <col min="13829" max="13829" width="12.125" customWidth="1"/>
    <col min="13830" max="13830" width="2.75" customWidth="1"/>
    <col min="13831" max="13831" width="11" customWidth="1"/>
    <col min="13832" max="13832" width="13.375" customWidth="1"/>
    <col min="13833" max="13833" width="10.875" customWidth="1"/>
    <col min="13834" max="13834" width="3.625" customWidth="1"/>
    <col min="13835" max="13835" width="10.375" customWidth="1"/>
    <col min="13836" max="14080" width="9" customWidth="1"/>
    <col min="14081" max="14081" width="4.125" customWidth="1"/>
    <col min="14082" max="14082" width="6" customWidth="1"/>
    <col min="14083" max="14083" width="13.375" customWidth="1"/>
    <col min="14084" max="14084" width="2.875" customWidth="1"/>
    <col min="14085" max="14085" width="12.125" customWidth="1"/>
    <col min="14086" max="14086" width="2.75" customWidth="1"/>
    <col min="14087" max="14087" width="11" customWidth="1"/>
    <col min="14088" max="14088" width="13.375" customWidth="1"/>
    <col min="14089" max="14089" width="10.875" customWidth="1"/>
    <col min="14090" max="14090" width="3.625" customWidth="1"/>
    <col min="14091" max="14091" width="10.375" customWidth="1"/>
    <col min="14092" max="14336" width="9" customWidth="1"/>
    <col min="14337" max="14337" width="4.125" customWidth="1"/>
    <col min="14338" max="14338" width="6" customWidth="1"/>
    <col min="14339" max="14339" width="13.375" customWidth="1"/>
    <col min="14340" max="14340" width="2.875" customWidth="1"/>
    <col min="14341" max="14341" width="12.125" customWidth="1"/>
    <col min="14342" max="14342" width="2.75" customWidth="1"/>
    <col min="14343" max="14343" width="11" customWidth="1"/>
    <col min="14344" max="14344" width="13.375" customWidth="1"/>
    <col min="14345" max="14345" width="10.875" customWidth="1"/>
    <col min="14346" max="14346" width="3.625" customWidth="1"/>
    <col min="14347" max="14347" width="10.375" customWidth="1"/>
    <col min="14348" max="14592" width="9" customWidth="1"/>
    <col min="14593" max="14593" width="4.125" customWidth="1"/>
    <col min="14594" max="14594" width="6" customWidth="1"/>
    <col min="14595" max="14595" width="13.375" customWidth="1"/>
    <col min="14596" max="14596" width="2.875" customWidth="1"/>
    <col min="14597" max="14597" width="12.125" customWidth="1"/>
    <col min="14598" max="14598" width="2.75" customWidth="1"/>
    <col min="14599" max="14599" width="11" customWidth="1"/>
    <col min="14600" max="14600" width="13.375" customWidth="1"/>
    <col min="14601" max="14601" width="10.875" customWidth="1"/>
    <col min="14602" max="14602" width="3.625" customWidth="1"/>
    <col min="14603" max="14603" width="10.375" customWidth="1"/>
    <col min="14604" max="14848" width="9" customWidth="1"/>
    <col min="14849" max="14849" width="4.125" customWidth="1"/>
    <col min="14850" max="14850" width="6" customWidth="1"/>
    <col min="14851" max="14851" width="13.375" customWidth="1"/>
    <col min="14852" max="14852" width="2.875" customWidth="1"/>
    <col min="14853" max="14853" width="12.125" customWidth="1"/>
    <col min="14854" max="14854" width="2.75" customWidth="1"/>
    <col min="14855" max="14855" width="11" customWidth="1"/>
    <col min="14856" max="14856" width="13.375" customWidth="1"/>
    <col min="14857" max="14857" width="10.875" customWidth="1"/>
    <col min="14858" max="14858" width="3.625" customWidth="1"/>
    <col min="14859" max="14859" width="10.375" customWidth="1"/>
    <col min="14860" max="15104" width="9" customWidth="1"/>
    <col min="15105" max="15105" width="4.125" customWidth="1"/>
    <col min="15106" max="15106" width="6" customWidth="1"/>
    <col min="15107" max="15107" width="13.375" customWidth="1"/>
    <col min="15108" max="15108" width="2.875" customWidth="1"/>
    <col min="15109" max="15109" width="12.125" customWidth="1"/>
    <col min="15110" max="15110" width="2.75" customWidth="1"/>
    <col min="15111" max="15111" width="11" customWidth="1"/>
    <col min="15112" max="15112" width="13.375" customWidth="1"/>
    <col min="15113" max="15113" width="10.875" customWidth="1"/>
    <col min="15114" max="15114" width="3.625" customWidth="1"/>
    <col min="15115" max="15115" width="10.375" customWidth="1"/>
    <col min="15116" max="15360" width="9" customWidth="1"/>
    <col min="15361" max="15361" width="4.125" customWidth="1"/>
    <col min="15362" max="15362" width="6" customWidth="1"/>
    <col min="15363" max="15363" width="13.375" customWidth="1"/>
    <col min="15364" max="15364" width="2.875" customWidth="1"/>
    <col min="15365" max="15365" width="12.125" customWidth="1"/>
    <col min="15366" max="15366" width="2.75" customWidth="1"/>
    <col min="15367" max="15367" width="11" customWidth="1"/>
    <col min="15368" max="15368" width="13.375" customWidth="1"/>
    <col min="15369" max="15369" width="10.875" customWidth="1"/>
    <col min="15370" max="15370" width="3.625" customWidth="1"/>
    <col min="15371" max="15371" width="10.375" customWidth="1"/>
    <col min="15372" max="15616" width="9" customWidth="1"/>
    <col min="15617" max="15617" width="4.125" customWidth="1"/>
    <col min="15618" max="15618" width="6" customWidth="1"/>
    <col min="15619" max="15619" width="13.375" customWidth="1"/>
    <col min="15620" max="15620" width="2.875" customWidth="1"/>
    <col min="15621" max="15621" width="12.125" customWidth="1"/>
    <col min="15622" max="15622" width="2.75" customWidth="1"/>
    <col min="15623" max="15623" width="11" customWidth="1"/>
    <col min="15624" max="15624" width="13.375" customWidth="1"/>
    <col min="15625" max="15625" width="10.875" customWidth="1"/>
    <col min="15626" max="15626" width="3.625" customWidth="1"/>
    <col min="15627" max="15627" width="10.375" customWidth="1"/>
    <col min="15628" max="15872" width="9" customWidth="1"/>
    <col min="15873" max="15873" width="4.125" customWidth="1"/>
    <col min="15874" max="15874" width="6" customWidth="1"/>
    <col min="15875" max="15875" width="13.375" customWidth="1"/>
    <col min="15876" max="15876" width="2.875" customWidth="1"/>
    <col min="15877" max="15877" width="12.125" customWidth="1"/>
    <col min="15878" max="15878" width="2.75" customWidth="1"/>
    <col min="15879" max="15879" width="11" customWidth="1"/>
    <col min="15880" max="15880" width="13.375" customWidth="1"/>
    <col min="15881" max="15881" width="10.875" customWidth="1"/>
    <col min="15882" max="15882" width="3.625" customWidth="1"/>
    <col min="15883" max="15883" width="10.375" customWidth="1"/>
    <col min="15884" max="16128" width="9" customWidth="1"/>
    <col min="16129" max="16129" width="4.125" customWidth="1"/>
    <col min="16130" max="16130" width="6" customWidth="1"/>
    <col min="16131" max="16131" width="13.375" customWidth="1"/>
    <col min="16132" max="16132" width="2.875" customWidth="1"/>
    <col min="16133" max="16133" width="12.125" customWidth="1"/>
    <col min="16134" max="16134" width="2.75" customWidth="1"/>
    <col min="16135" max="16135" width="11" customWidth="1"/>
    <col min="16136" max="16136" width="13.375" customWidth="1"/>
    <col min="16137" max="16137" width="10.875" customWidth="1"/>
    <col min="16138" max="16138" width="3.625" customWidth="1"/>
    <col min="16139" max="16139" width="10.375" customWidth="1"/>
    <col min="16140" max="16140" width="9" customWidth="1"/>
  </cols>
  <sheetData>
    <row r="1" spans="2:8">
      <c r="B1" s="229" t="s">
        <v>107</v>
      </c>
    </row>
    <row r="2" spans="2:8" ht="19.5" customHeight="1">
      <c r="D2" s="230" t="s">
        <v>128</v>
      </c>
    </row>
    <row r="3" spans="2:8" ht="17.25" customHeight="1"/>
    <row r="4" spans="2:8">
      <c r="C4" s="231" t="s">
        <v>108</v>
      </c>
      <c r="D4" s="316">
        <f>'METAL RAW DATA'!C4</f>
        <v>0</v>
      </c>
      <c r="E4" s="317"/>
      <c r="F4" s="317"/>
      <c r="G4" s="317"/>
      <c r="H4" s="318"/>
    </row>
    <row r="5" spans="2:8" ht="17.25" customHeight="1">
      <c r="C5" s="232" t="s">
        <v>109</v>
      </c>
      <c r="D5" s="319">
        <f>'METAL RAW DATA'!C5</f>
        <v>0</v>
      </c>
      <c r="E5" s="320"/>
      <c r="F5" s="320"/>
      <c r="G5" s="320"/>
      <c r="H5" s="321"/>
    </row>
    <row r="6" spans="2:8" ht="17.25" customHeight="1">
      <c r="C6" s="233"/>
      <c r="D6" s="322" t="s">
        <v>129</v>
      </c>
      <c r="E6" s="323"/>
      <c r="F6" s="324" t="s">
        <v>110</v>
      </c>
      <c r="G6" s="323"/>
      <c r="H6" s="234" t="s">
        <v>111</v>
      </c>
    </row>
    <row r="7" spans="2:8" ht="17.25" customHeight="1">
      <c r="C7" s="235" t="s">
        <v>112</v>
      </c>
      <c r="D7" s="324" t="s">
        <v>96</v>
      </c>
      <c r="E7" s="323"/>
      <c r="F7" s="324" t="s">
        <v>96</v>
      </c>
      <c r="G7" s="323"/>
      <c r="H7" s="236" t="s">
        <v>96</v>
      </c>
    </row>
    <row r="8" spans="2:8" ht="17.25" customHeight="1">
      <c r="B8" s="325" t="s">
        <v>113</v>
      </c>
      <c r="C8" s="237" t="s">
        <v>7</v>
      </c>
      <c r="D8" s="328">
        <f>Na!I43</f>
        <v>0</v>
      </c>
      <c r="E8" s="329"/>
      <c r="F8" s="330" t="e">
        <f t="shared" ref="F8:F20" si="0">IF(AND(D8&lt;10,H8&gt;5),"合格","需改善")</f>
        <v>#DIV/0!</v>
      </c>
      <c r="G8" s="331"/>
      <c r="H8" s="238" t="e">
        <f>Na!M3</f>
        <v>#DIV/0!</v>
      </c>
    </row>
    <row r="9" spans="2:8" ht="17.25" customHeight="1">
      <c r="B9" s="326"/>
      <c r="C9" s="239" t="s">
        <v>8</v>
      </c>
      <c r="D9" s="328">
        <f>Mg!I43</f>
        <v>0</v>
      </c>
      <c r="E9" s="329"/>
      <c r="F9" s="330" t="e">
        <f t="shared" si="0"/>
        <v>#DIV/0!</v>
      </c>
      <c r="G9" s="331"/>
      <c r="H9" s="238" t="e">
        <f>Mg!M3</f>
        <v>#DIV/0!</v>
      </c>
    </row>
    <row r="10" spans="2:8" ht="17.25" customHeight="1">
      <c r="B10" s="326"/>
      <c r="C10" s="239" t="s">
        <v>9</v>
      </c>
      <c r="D10" s="328">
        <f>AL!I43</f>
        <v>0</v>
      </c>
      <c r="E10" s="329"/>
      <c r="F10" s="330" t="e">
        <f t="shared" si="0"/>
        <v>#DIV/0!</v>
      </c>
      <c r="G10" s="331"/>
      <c r="H10" s="238" t="e">
        <f>AL!M3</f>
        <v>#DIV/0!</v>
      </c>
    </row>
    <row r="11" spans="2:8" ht="17.25" customHeight="1">
      <c r="B11" s="326"/>
      <c r="C11" s="239" t="s">
        <v>10</v>
      </c>
      <c r="D11" s="328">
        <f>K!I43</f>
        <v>0</v>
      </c>
      <c r="E11" s="329"/>
      <c r="F11" s="330" t="e">
        <f t="shared" si="0"/>
        <v>#DIV/0!</v>
      </c>
      <c r="G11" s="331"/>
      <c r="H11" s="238" t="e">
        <f>K!M3</f>
        <v>#DIV/0!</v>
      </c>
    </row>
    <row r="12" spans="2:8" ht="17.25" customHeight="1">
      <c r="B12" s="326"/>
      <c r="C12" s="239" t="s">
        <v>11</v>
      </c>
      <c r="D12" s="328">
        <f>Ca!I43</f>
        <v>0</v>
      </c>
      <c r="E12" s="329"/>
      <c r="F12" s="330" t="e">
        <f t="shared" si="0"/>
        <v>#DIV/0!</v>
      </c>
      <c r="G12" s="331"/>
      <c r="H12" s="238" t="e">
        <f>Ca!M3</f>
        <v>#DIV/0!</v>
      </c>
    </row>
    <row r="13" spans="2:8" ht="17.25" customHeight="1">
      <c r="B13" s="326"/>
      <c r="C13" s="239" t="s">
        <v>12</v>
      </c>
      <c r="D13" s="328">
        <f>Cr!I43</f>
        <v>0</v>
      </c>
      <c r="E13" s="329"/>
      <c r="F13" s="330" t="e">
        <f t="shared" si="0"/>
        <v>#DIV/0!</v>
      </c>
      <c r="G13" s="331"/>
      <c r="H13" s="238" t="e">
        <f>Cr!M3</f>
        <v>#DIV/0!</v>
      </c>
    </row>
    <row r="14" spans="2:8" ht="17.25" customHeight="1">
      <c r="B14" s="326"/>
      <c r="C14" s="239" t="s">
        <v>13</v>
      </c>
      <c r="D14" s="328">
        <f>Mn!I43</f>
        <v>0</v>
      </c>
      <c r="E14" s="329"/>
      <c r="F14" s="330" t="e">
        <f t="shared" si="0"/>
        <v>#DIV/0!</v>
      </c>
      <c r="G14" s="331"/>
      <c r="H14" s="238" t="e">
        <f>Mn!M3</f>
        <v>#DIV/0!</v>
      </c>
    </row>
    <row r="15" spans="2:8" ht="17.25" customHeight="1">
      <c r="B15" s="326"/>
      <c r="C15" s="239" t="s">
        <v>14</v>
      </c>
      <c r="D15" s="328">
        <f>Fe!I43</f>
        <v>0</v>
      </c>
      <c r="E15" s="329"/>
      <c r="F15" s="330" t="e">
        <f t="shared" si="0"/>
        <v>#DIV/0!</v>
      </c>
      <c r="G15" s="331"/>
      <c r="H15" s="238" t="e">
        <f>Fe!M3</f>
        <v>#DIV/0!</v>
      </c>
    </row>
    <row r="16" spans="2:8" ht="17.25" customHeight="1">
      <c r="B16" s="326"/>
      <c r="C16" s="239" t="s">
        <v>15</v>
      </c>
      <c r="D16" s="328">
        <f>Ni!I43</f>
        <v>0</v>
      </c>
      <c r="E16" s="329"/>
      <c r="F16" s="330" t="e">
        <f t="shared" si="0"/>
        <v>#DIV/0!</v>
      </c>
      <c r="G16" s="331"/>
      <c r="H16" s="238" t="e">
        <f>Ni!M3</f>
        <v>#DIV/0!</v>
      </c>
    </row>
    <row r="17" spans="2:11" ht="17.25" customHeight="1">
      <c r="B17" s="326"/>
      <c r="C17" s="239" t="s">
        <v>16</v>
      </c>
      <c r="D17" s="328">
        <f>Co!I43</f>
        <v>0</v>
      </c>
      <c r="E17" s="329"/>
      <c r="F17" s="330" t="e">
        <f t="shared" si="0"/>
        <v>#DIV/0!</v>
      </c>
      <c r="G17" s="331"/>
      <c r="H17" s="238" t="e">
        <f>Co!M3</f>
        <v>#DIV/0!</v>
      </c>
    </row>
    <row r="18" spans="2:11" ht="17.25" customHeight="1">
      <c r="B18" s="326"/>
      <c r="C18" s="239" t="s">
        <v>17</v>
      </c>
      <c r="D18" s="328">
        <f>Cu!I43</f>
        <v>0</v>
      </c>
      <c r="E18" s="329"/>
      <c r="F18" s="330" t="e">
        <f t="shared" si="0"/>
        <v>#DIV/0!</v>
      </c>
      <c r="G18" s="331"/>
      <c r="H18" s="238" t="e">
        <f>Cu!M3</f>
        <v>#DIV/0!</v>
      </c>
    </row>
    <row r="19" spans="2:11" ht="17.25" customHeight="1">
      <c r="B19" s="326"/>
      <c r="C19" s="239" t="s">
        <v>18</v>
      </c>
      <c r="D19" s="328">
        <f>Zn!I43</f>
        <v>0</v>
      </c>
      <c r="E19" s="329"/>
      <c r="F19" s="330" t="e">
        <f t="shared" si="0"/>
        <v>#DIV/0!</v>
      </c>
      <c r="G19" s="331"/>
      <c r="H19" s="238" t="e">
        <f>Zn!M3</f>
        <v>#DIV/0!</v>
      </c>
    </row>
    <row r="20" spans="2:11" ht="17.25" customHeight="1">
      <c r="B20" s="327"/>
      <c r="C20" s="240" t="s">
        <v>19</v>
      </c>
      <c r="D20" s="328">
        <f>Pb!I43</f>
        <v>0</v>
      </c>
      <c r="E20" s="329"/>
      <c r="F20" s="330" t="e">
        <f t="shared" si="0"/>
        <v>#DIV/0!</v>
      </c>
      <c r="G20" s="331"/>
      <c r="H20" s="238" t="e">
        <f>Pb!M3</f>
        <v>#DIV/0!</v>
      </c>
    </row>
    <row r="21" spans="2:11" ht="17.25" customHeight="1">
      <c r="C21" s="237" t="s">
        <v>114</v>
      </c>
      <c r="D21" s="324" t="s">
        <v>96</v>
      </c>
      <c r="E21" s="323"/>
      <c r="F21" s="324" t="s">
        <v>96</v>
      </c>
      <c r="G21" s="323"/>
      <c r="H21" s="241" t="s">
        <v>96</v>
      </c>
    </row>
    <row r="22" spans="2:11" ht="17.25" customHeight="1">
      <c r="C22" s="242" t="s">
        <v>115</v>
      </c>
      <c r="D22" s="324" t="s">
        <v>96</v>
      </c>
      <c r="E22" s="323"/>
      <c r="F22" s="324" t="s">
        <v>96</v>
      </c>
      <c r="G22" s="323"/>
      <c r="H22" s="243" t="s">
        <v>96</v>
      </c>
    </row>
    <row r="24" spans="2:11">
      <c r="C24" s="244" t="s">
        <v>116</v>
      </c>
    </row>
    <row r="25" spans="2:11">
      <c r="C25" s="244" t="s">
        <v>117</v>
      </c>
    </row>
    <row r="26" spans="2:11">
      <c r="C26" s="244" t="s">
        <v>118</v>
      </c>
    </row>
    <row r="27" spans="2:11">
      <c r="C27" s="244" t="s">
        <v>119</v>
      </c>
    </row>
    <row r="28" spans="2:11">
      <c r="C28" s="244" t="s">
        <v>120</v>
      </c>
    </row>
    <row r="29" spans="2:11" ht="27" customHeight="1">
      <c r="C29" s="245" t="s">
        <v>121</v>
      </c>
      <c r="E29" s="246" t="s">
        <v>122</v>
      </c>
      <c r="G29" s="246" t="s">
        <v>123</v>
      </c>
      <c r="I29" s="246" t="s">
        <v>124</v>
      </c>
      <c r="K29" s="246" t="s">
        <v>125</v>
      </c>
    </row>
    <row r="30" spans="2:11" ht="52.5" customHeight="1">
      <c r="C30" s="247"/>
      <c r="E30" s="247"/>
      <c r="G30" s="247"/>
      <c r="I30" s="247"/>
      <c r="K30" s="247"/>
    </row>
    <row r="31" spans="2:11">
      <c r="I31" s="248" t="s">
        <v>126</v>
      </c>
    </row>
  </sheetData>
  <sheetProtection formatCells="0" formatColumns="0" formatRows="0" insertColumns="0" insertRows="0" insertHyperlinks="0" deleteColumns="0" deleteRows="0" sort="0" autoFilter="0" pivotTables="0"/>
  <mergeCells count="37">
    <mergeCell ref="D18:E18"/>
    <mergeCell ref="F18:G18"/>
    <mergeCell ref="D22:E22"/>
    <mergeCell ref="F22:G22"/>
    <mergeCell ref="D19:E19"/>
    <mergeCell ref="F19:G19"/>
    <mergeCell ref="D20:E20"/>
    <mergeCell ref="F20:G20"/>
    <mergeCell ref="D21:E21"/>
    <mergeCell ref="F21:G21"/>
    <mergeCell ref="F16:G16"/>
    <mergeCell ref="D17:E17"/>
    <mergeCell ref="F17:G17"/>
    <mergeCell ref="D15:E15"/>
    <mergeCell ref="F15:G15"/>
    <mergeCell ref="B8:B20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6:E16"/>
    <mergeCell ref="D4:H4"/>
    <mergeCell ref="D5:H5"/>
    <mergeCell ref="D6:E6"/>
    <mergeCell ref="F6:G6"/>
    <mergeCell ref="D7:E7"/>
    <mergeCell ref="F7:G7"/>
  </mergeCells>
  <phoneticPr fontId="30" type="noConversion"/>
  <printOptions horizontalCentered="1"/>
  <pageMargins left="0.74803149606299213" right="0.74803149606299213" top="0.39370078740157483" bottom="0.59055118110236227" header="0.51181102362204722" footer="0.51181102362204722"/>
  <pageSetup paperSize="9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METAL (2)</vt:lpstr>
      <vt:lpstr>METAL RAW DATA</vt:lpstr>
      <vt:lpstr>Na</vt:lpstr>
      <vt:lpstr>Mg</vt:lpstr>
      <vt:lpstr>K</vt:lpstr>
      <vt:lpstr>AL</vt:lpstr>
      <vt:lpstr>Ca</vt:lpstr>
      <vt:lpstr>Cr</vt:lpstr>
      <vt:lpstr>Mn</vt:lpstr>
      <vt:lpstr>Fe</vt:lpstr>
      <vt:lpstr>Ni</vt:lpstr>
      <vt:lpstr>Co</vt:lpstr>
      <vt:lpstr>Cu</vt:lpstr>
      <vt:lpstr>Zn</vt:lpstr>
      <vt:lpstr>Pb</vt:lpstr>
      <vt:lpstr>Sheet1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蔡宏昌</cp:lastModifiedBy>
  <dcterms:created xsi:type="dcterms:W3CDTF">2017-12-14T07:13:45Z</dcterms:created>
  <dcterms:modified xsi:type="dcterms:W3CDTF">2020-04-10T01:39:40Z</dcterms:modified>
  <cp:category/>
</cp:coreProperties>
</file>