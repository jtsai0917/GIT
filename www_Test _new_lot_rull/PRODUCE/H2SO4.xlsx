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www_Test\PRODUCE\"/>
    </mc:Choice>
  </mc:AlternateContent>
  <xr:revisionPtr revIDLastSave="0" documentId="13_ncr:1_{FDF0D863-170D-485E-B841-D483B36890F8}" xr6:coauthVersionLast="44" xr6:coauthVersionMax="44" xr10:uidLastSave="{00000000-0000-0000-0000-000000000000}"/>
  <bookViews>
    <workbookView xWindow="9090" yWindow="2625" windowWidth="24390" windowHeight="102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1" l="1"/>
  <c r="D39" i="1"/>
  <c r="AI39" i="1"/>
  <c r="AI37" i="1" l="1"/>
  <c r="AI36" i="1"/>
  <c r="AI35" i="1"/>
  <c r="AI34" i="1"/>
  <c r="AI30" i="1"/>
  <c r="AI20" i="1"/>
  <c r="AI4" i="1"/>
  <c r="AI9" i="1"/>
  <c r="AI8" i="1"/>
  <c r="AI7" i="1"/>
  <c r="AI6" i="1"/>
  <c r="AI5" i="1"/>
  <c r="F38" i="1" l="1"/>
  <c r="E38" i="1"/>
  <c r="E39" i="1" s="1"/>
  <c r="G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F33" i="1"/>
  <c r="E33" i="1"/>
  <c r="F32" i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E32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E24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F39" i="1" l="1"/>
  <c r="G40" i="1"/>
  <c r="O40" i="1"/>
  <c r="W40" i="1"/>
  <c r="AE40" i="1"/>
  <c r="E40" i="1"/>
  <c r="P40" i="1"/>
  <c r="X40" i="1"/>
  <c r="AF40" i="1"/>
  <c r="K40" i="1"/>
  <c r="S40" i="1"/>
  <c r="AA40" i="1"/>
  <c r="H40" i="1"/>
  <c r="L40" i="1"/>
  <c r="T40" i="1"/>
  <c r="AB40" i="1"/>
  <c r="I40" i="1"/>
  <c r="M40" i="1"/>
  <c r="Q40" i="1"/>
  <c r="U40" i="1"/>
  <c r="Y40" i="1"/>
  <c r="AC40" i="1"/>
  <c r="AG40" i="1"/>
  <c r="F40" i="1"/>
  <c r="J40" i="1"/>
  <c r="N40" i="1"/>
  <c r="R40" i="1"/>
  <c r="V40" i="1"/>
  <c r="Z40" i="1"/>
  <c r="AD40" i="1"/>
  <c r="AH40" i="1"/>
  <c r="G38" i="1"/>
  <c r="G39" i="1" l="1"/>
  <c r="H38" i="1"/>
  <c r="I38" i="1" l="1"/>
  <c r="H39" i="1"/>
  <c r="I39" i="1" l="1"/>
  <c r="J38" i="1"/>
  <c r="J39" i="1" l="1"/>
  <c r="K38" i="1"/>
  <c r="K39" i="1" l="1"/>
  <c r="L38" i="1"/>
  <c r="L39" i="1" l="1"/>
  <c r="M38" i="1"/>
  <c r="M39" i="1" l="1"/>
  <c r="N38" i="1"/>
  <c r="N39" i="1" l="1"/>
  <c r="O38" i="1"/>
  <c r="O39" i="1" l="1"/>
  <c r="P38" i="1"/>
  <c r="P39" i="1" l="1"/>
  <c r="Q38" i="1"/>
  <c r="Q39" i="1" l="1"/>
  <c r="R38" i="1"/>
  <c r="R39" i="1" l="1"/>
  <c r="S38" i="1"/>
  <c r="S39" i="1" l="1"/>
  <c r="T38" i="1"/>
  <c r="U38" i="1" l="1"/>
  <c r="T39" i="1"/>
  <c r="U39" i="1" l="1"/>
  <c r="V38" i="1"/>
  <c r="V39" i="1" l="1"/>
  <c r="W38" i="1"/>
  <c r="W39" i="1" l="1"/>
  <c r="X38" i="1"/>
  <c r="X39" i="1" l="1"/>
  <c r="Y38" i="1"/>
  <c r="Y39" i="1" l="1"/>
  <c r="Z38" i="1"/>
  <c r="Z39" i="1" l="1"/>
  <c r="AA38" i="1"/>
  <c r="AA39" i="1" l="1"/>
  <c r="AB38" i="1"/>
  <c r="AB39" i="1" l="1"/>
  <c r="AC38" i="1"/>
  <c r="AC39" i="1" l="1"/>
  <c r="AD38" i="1"/>
  <c r="AD39" i="1" l="1"/>
  <c r="AE38" i="1"/>
  <c r="AE39" i="1" l="1"/>
  <c r="AF38" i="1"/>
  <c r="AF39" i="1" l="1"/>
  <c r="AG38" i="1"/>
  <c r="AG39" i="1" l="1"/>
  <c r="AH38" i="1"/>
  <c r="AH39" i="1" l="1"/>
</calcChain>
</file>

<file path=xl/sharedStrings.xml><?xml version="1.0" encoding="utf-8"?>
<sst xmlns="http://schemas.openxmlformats.org/spreadsheetml/2006/main" count="44" uniqueCount="44">
  <si>
    <t>日期</t>
  </si>
  <si>
    <t>生產</t>
  </si>
  <si>
    <t>日產-A(97%)-1系</t>
  </si>
  <si>
    <t>日產-B(96%)-2系</t>
  </si>
  <si>
    <t>日產-B(97%)-2系</t>
  </si>
  <si>
    <t>日產-C(96%)-3系</t>
  </si>
  <si>
    <t>日產-C(97%)-3系</t>
  </si>
  <si>
    <t>低規96%出荷&amp;庫存</t>
  </si>
  <si>
    <t>T-2121B-96%-2系 (110t)</t>
  </si>
  <si>
    <t>Total</t>
  </si>
  <si>
    <t>T-3123C-96%-2系 (220t)</t>
  </si>
  <si>
    <t>T-3123D-96%-2系 (220t)</t>
  </si>
  <si>
    <t>T-3123E-96%-2系 (220t)</t>
  </si>
  <si>
    <t>T-3123F-96%-2系 (220t)</t>
  </si>
  <si>
    <t>(3系)-3122A-96%-2系 (183t)</t>
  </si>
  <si>
    <t>(3系)-3122B-96%-2系 (183t)</t>
  </si>
  <si>
    <t>混充HIC2系 -To TYS-96</t>
  </si>
  <si>
    <t>低規出荷Ly充填</t>
  </si>
  <si>
    <t>B(96%)-外購(支援2系)</t>
  </si>
  <si>
    <t>日產-B(96%)-2系(支援3系)</t>
  </si>
  <si>
    <t>外購(支援3系)</t>
  </si>
  <si>
    <t>高規96%出荷&amp;庫存</t>
  </si>
  <si>
    <t>96%-3121A-3系 (110t)</t>
  </si>
  <si>
    <t>96%-3121B-3系 (110t)</t>
  </si>
  <si>
    <t>96%-3122C-3系 (183t)</t>
  </si>
  <si>
    <t>96%-3122D-3系 (183t)</t>
  </si>
  <si>
    <t>高規出荷Ly充填</t>
  </si>
  <si>
    <t>97%出荷&amp;庫存</t>
  </si>
  <si>
    <t>HIC-1系Tank-庫存</t>
  </si>
  <si>
    <t>T-3123A/B-97%-2系(MAX 440)</t>
  </si>
  <si>
    <t>物流Lorry充填</t>
  </si>
  <si>
    <t>物流D/M充填</t>
  </si>
  <si>
    <t>充填HIC1系 -To TYS-97</t>
  </si>
  <si>
    <t>充填HIC2系-To TYS-97</t>
  </si>
  <si>
    <t>TYS庫存-TankAB-97</t>
  </si>
  <si>
    <t>庫存-97%-Total MAX 551</t>
  </si>
  <si>
    <t>庫存-96% MAX 1942</t>
  </si>
  <si>
    <t>T-2121A-96%-2系 (110t)</t>
    <phoneticPr fontId="10" type="noConversion"/>
  </si>
  <si>
    <t>96%-3122A-3系 (183t)</t>
    <phoneticPr fontId="10" type="noConversion"/>
  </si>
  <si>
    <t>96%-3122B-3系 (183t)</t>
    <phoneticPr fontId="10" type="noConversion"/>
  </si>
  <si>
    <t>Total
1466t</t>
    <phoneticPr fontId="10" type="noConversion"/>
  </si>
  <si>
    <t>952 t</t>
    <phoneticPr fontId="10" type="noConversion"/>
  </si>
  <si>
    <t>星期</t>
    <phoneticPr fontId="10" type="noConversion"/>
  </si>
  <si>
    <t>合計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</si>
</sst>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[$-404]aaa;@"/>
    <numFmt numFmtId="178" formatCode="0_);[Red]\(0\)"/>
  </numFmts>
  <fonts count="15" x14ac:knownFonts="1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i/>
      <sz val="12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9"/>
      <name val="細明體"/>
      <family val="3"/>
      <charset val="136"/>
    </font>
    <font>
      <b/>
      <sz val="8"/>
      <color rgb="FF000000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rgb="FF000000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CC"/>
        <bgColor rgb="FFFFFFFF"/>
      </patternFill>
    </fill>
    <fill>
      <patternFill patternType="solid">
        <fgColor rgb="FFFFE598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9" fontId="4" fillId="2" borderId="0" xfId="0" applyNumberFormat="1" applyFont="1" applyFill="1" applyAlignment="1">
      <alignment horizontal="center" vertical="center" textRotation="255" shrinkToFit="1"/>
    </xf>
    <xf numFmtId="9" fontId="4" fillId="4" borderId="0" xfId="0" applyNumberFormat="1" applyFont="1" applyFill="1" applyAlignment="1">
      <alignment horizontal="center" vertical="center" textRotation="255" shrinkToFit="1"/>
    </xf>
    <xf numFmtId="176" fontId="3" fillId="5" borderId="3" xfId="0" applyNumberFormat="1" applyFont="1" applyFill="1" applyBorder="1" applyAlignment="1">
      <alignment horizontal="center" vertical="center" shrinkToFit="1"/>
    </xf>
    <xf numFmtId="176" fontId="3" fillId="5" borderId="4" xfId="0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shrinkToFit="1"/>
    </xf>
    <xf numFmtId="176" fontId="3" fillId="6" borderId="4" xfId="0" applyNumberFormat="1" applyFont="1" applyFill="1" applyBorder="1" applyAlignment="1">
      <alignment horizontal="center" vertical="center" shrinkToFit="1"/>
    </xf>
    <xf numFmtId="176" fontId="3" fillId="6" borderId="6" xfId="0" applyNumberFormat="1" applyFont="1" applyFill="1" applyBorder="1" applyAlignment="1">
      <alignment horizontal="center" vertical="center" shrinkToFit="1"/>
    </xf>
    <xf numFmtId="0" fontId="3" fillId="7" borderId="4" xfId="0" applyFont="1" applyFill="1" applyBorder="1" applyAlignment="1">
      <alignment horizontal="center" vertical="center" shrinkToFit="1"/>
    </xf>
    <xf numFmtId="0" fontId="3" fillId="7" borderId="6" xfId="0" applyFont="1" applyFill="1" applyBorder="1" applyAlignment="1">
      <alignment horizontal="center" vertical="center" shrinkToFit="1"/>
    </xf>
    <xf numFmtId="0" fontId="3" fillId="8" borderId="4" xfId="0" applyFont="1" applyFill="1" applyBorder="1" applyAlignment="1">
      <alignment horizontal="center" vertical="center" shrinkToFit="1"/>
    </xf>
    <xf numFmtId="0" fontId="3" fillId="8" borderId="6" xfId="0" applyFont="1" applyFill="1" applyBorder="1" applyAlignment="1">
      <alignment horizontal="center" vertical="center" shrinkToFit="1"/>
    </xf>
    <xf numFmtId="176" fontId="3" fillId="2" borderId="4" xfId="0" applyNumberFormat="1" applyFont="1" applyFill="1" applyBorder="1" applyAlignment="1">
      <alignment horizontal="center" vertical="center" shrinkToFit="1"/>
    </xf>
    <xf numFmtId="176" fontId="3" fillId="2" borderId="6" xfId="0" applyNumberFormat="1" applyFont="1" applyFill="1" applyBorder="1" applyAlignment="1">
      <alignment horizontal="center" vertical="center" shrinkToFit="1"/>
    </xf>
    <xf numFmtId="176" fontId="5" fillId="9" borderId="7" xfId="0" applyNumberFormat="1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textRotation="255" shrinkToFit="1"/>
    </xf>
    <xf numFmtId="176" fontId="6" fillId="9" borderId="7" xfId="0" applyNumberFormat="1" applyFont="1" applyFill="1" applyBorder="1" applyAlignment="1">
      <alignment horizontal="center" vertical="center" shrinkToFit="1"/>
    </xf>
    <xf numFmtId="177" fontId="4" fillId="2" borderId="0" xfId="0" applyNumberFormat="1" applyFont="1" applyFill="1" applyAlignment="1">
      <alignment horizontal="center" vertical="center" shrinkToFit="1"/>
    </xf>
    <xf numFmtId="49" fontId="4" fillId="2" borderId="0" xfId="0" applyNumberFormat="1" applyFont="1" applyFill="1" applyAlignment="1">
      <alignment horizontal="center" vertical="center"/>
    </xf>
    <xf numFmtId="176" fontId="3" fillId="3" borderId="23" xfId="0" applyNumberFormat="1" applyFon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 vertical="top" wrapText="1"/>
    </xf>
    <xf numFmtId="17" fontId="2" fillId="2" borderId="0" xfId="0" applyNumberFormat="1" applyFont="1" applyFill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 shrinkToFit="1"/>
    </xf>
    <xf numFmtId="1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 textRotation="255" shrinkToFit="1"/>
    </xf>
    <xf numFmtId="0" fontId="4" fillId="2" borderId="9" xfId="0" applyFont="1" applyFill="1" applyBorder="1" applyAlignment="1">
      <alignment horizontal="center" vertical="center" textRotation="255" shrinkToFit="1"/>
    </xf>
    <xf numFmtId="0" fontId="4" fillId="2" borderId="10" xfId="0" applyFont="1" applyFill="1" applyBorder="1" applyAlignment="1">
      <alignment horizontal="center" vertical="center" textRotation="255" shrinkToFit="1"/>
    </xf>
    <xf numFmtId="0" fontId="3" fillId="4" borderId="11" xfId="0" applyFont="1" applyFill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vertical="center" shrinkToFit="1"/>
    </xf>
    <xf numFmtId="9" fontId="11" fillId="2" borderId="8" xfId="0" applyNumberFormat="1" applyFont="1" applyFill="1" applyBorder="1" applyAlignment="1">
      <alignment horizontal="center" vertical="center" textRotation="255" wrapText="1" shrinkToFit="1"/>
    </xf>
    <xf numFmtId="9" fontId="11" fillId="2" borderId="9" xfId="0" applyNumberFormat="1" applyFont="1" applyFill="1" applyBorder="1" applyAlignment="1">
      <alignment horizontal="center" vertical="center" textRotation="255" wrapText="1" shrinkToFit="1"/>
    </xf>
    <xf numFmtId="0" fontId="8" fillId="8" borderId="11" xfId="0" applyFont="1" applyFill="1" applyBorder="1" applyAlignment="1">
      <alignment horizontal="center" vertical="center" shrinkToFit="1"/>
    </xf>
    <xf numFmtId="0" fontId="8" fillId="8" borderId="6" xfId="0" applyFont="1" applyFill="1" applyBorder="1" applyAlignment="1">
      <alignment horizontal="center" vertical="center" shrinkToFit="1"/>
    </xf>
    <xf numFmtId="176" fontId="3" fillId="5" borderId="29" xfId="0" applyNumberFormat="1" applyFont="1" applyFill="1" applyBorder="1" applyAlignment="1">
      <alignment horizontal="center" vertical="center" shrinkToFit="1"/>
    </xf>
    <xf numFmtId="176" fontId="3" fillId="5" borderId="28" xfId="0" applyNumberFormat="1" applyFont="1" applyFill="1" applyBorder="1" applyAlignment="1">
      <alignment horizontal="center" vertical="center" shrinkToFit="1"/>
    </xf>
    <xf numFmtId="176" fontId="3" fillId="5" borderId="30" xfId="0" applyNumberFormat="1" applyFont="1" applyFill="1" applyBorder="1" applyAlignment="1">
      <alignment horizontal="center" vertical="center" shrinkToFit="1"/>
    </xf>
    <xf numFmtId="49" fontId="9" fillId="2" borderId="18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177" fontId="9" fillId="2" borderId="11" xfId="0" applyNumberFormat="1" applyFont="1" applyFill="1" applyBorder="1" applyAlignment="1">
      <alignment horizontal="center" vertical="center" shrinkToFit="1"/>
    </xf>
    <xf numFmtId="177" fontId="9" fillId="2" borderId="6" xfId="0" applyNumberFormat="1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textRotation="255" shrinkToFit="1"/>
    </xf>
    <xf numFmtId="0" fontId="4" fillId="2" borderId="14" xfId="0" applyFont="1" applyFill="1" applyBorder="1" applyAlignment="1">
      <alignment horizontal="center" vertical="center" textRotation="255" shrinkToFit="1"/>
    </xf>
    <xf numFmtId="0" fontId="4" fillId="2" borderId="15" xfId="0" applyFont="1" applyFill="1" applyBorder="1" applyAlignment="1">
      <alignment horizontal="center" vertical="center" textRotation="255" shrinkToFit="1"/>
    </xf>
    <xf numFmtId="0" fontId="3" fillId="6" borderId="11" xfId="0" applyFont="1" applyFill="1" applyBorder="1" applyAlignment="1">
      <alignment horizontal="center" vertical="center" shrinkToFit="1"/>
    </xf>
    <xf numFmtId="0" fontId="3" fillId="6" borderId="6" xfId="0" applyFont="1" applyFill="1" applyBorder="1" applyAlignment="1">
      <alignment horizontal="center" vertical="center" shrinkToFit="1"/>
    </xf>
    <xf numFmtId="0" fontId="3" fillId="10" borderId="11" xfId="0" applyFont="1" applyFill="1" applyBorder="1" applyAlignment="1">
      <alignment horizontal="center" vertical="center" shrinkToFit="1"/>
    </xf>
    <xf numFmtId="0" fontId="3" fillId="10" borderId="6" xfId="0" applyFont="1" applyFill="1" applyBorder="1" applyAlignment="1">
      <alignment horizontal="center" vertical="center" shrinkToFit="1"/>
    </xf>
    <xf numFmtId="0" fontId="3" fillId="6" borderId="10" xfId="0" applyFont="1" applyFill="1" applyBorder="1" applyAlignment="1">
      <alignment horizontal="center" vertical="center" shrinkToFit="1"/>
    </xf>
    <xf numFmtId="0" fontId="3" fillId="6" borderId="19" xfId="0" applyFont="1" applyFill="1" applyBorder="1" applyAlignment="1">
      <alignment horizontal="center" vertical="center" shrinkToFit="1"/>
    </xf>
    <xf numFmtId="0" fontId="3" fillId="8" borderId="22" xfId="0" applyFont="1" applyFill="1" applyBorder="1" applyAlignment="1">
      <alignment horizontal="center" vertical="center" shrinkToFit="1"/>
    </xf>
    <xf numFmtId="0" fontId="3" fillId="8" borderId="12" xfId="0" applyFont="1" applyFill="1" applyBorder="1" applyAlignment="1">
      <alignment horizontal="center" vertical="center" shrinkToFit="1"/>
    </xf>
    <xf numFmtId="0" fontId="8" fillId="8" borderId="16" xfId="0" applyFont="1" applyFill="1" applyBorder="1" applyAlignment="1">
      <alignment horizontal="center" vertical="center" shrinkToFit="1"/>
    </xf>
    <xf numFmtId="0" fontId="8" fillId="8" borderId="17" xfId="0" applyFont="1" applyFill="1" applyBorder="1" applyAlignment="1">
      <alignment horizontal="center" vertical="center" shrinkToFit="1"/>
    </xf>
    <xf numFmtId="9" fontId="7" fillId="2" borderId="0" xfId="0" applyNumberFormat="1" applyFont="1" applyFill="1" applyBorder="1" applyAlignment="1">
      <alignment horizontal="center" vertical="center" textRotation="255" wrapText="1"/>
    </xf>
    <xf numFmtId="9" fontId="7" fillId="2" borderId="20" xfId="0" applyNumberFormat="1" applyFont="1" applyFill="1" applyBorder="1" applyAlignment="1">
      <alignment horizontal="center" vertical="center" textRotation="255" wrapText="1"/>
    </xf>
    <xf numFmtId="9" fontId="7" fillId="2" borderId="21" xfId="0" applyNumberFormat="1" applyFont="1" applyFill="1" applyBorder="1" applyAlignment="1">
      <alignment horizontal="center" vertical="center" textRotation="255" wrapText="1"/>
    </xf>
    <xf numFmtId="176" fontId="3" fillId="3" borderId="24" xfId="0" applyNumberFormat="1" applyFont="1" applyFill="1" applyBorder="1" applyAlignment="1">
      <alignment horizontal="center" vertical="center" wrapText="1" shrinkToFit="1"/>
    </xf>
    <xf numFmtId="176" fontId="3" fillId="3" borderId="25" xfId="0" applyNumberFormat="1" applyFont="1" applyFill="1" applyBorder="1" applyAlignment="1">
      <alignment horizontal="center" vertical="center" shrinkToFit="1"/>
    </xf>
    <xf numFmtId="176" fontId="3" fillId="3" borderId="26" xfId="0" applyNumberFormat="1" applyFont="1" applyFill="1" applyBorder="1" applyAlignment="1">
      <alignment horizontal="center" vertical="center" shrinkToFit="1"/>
    </xf>
    <xf numFmtId="1" fontId="12" fillId="0" borderId="0" xfId="0" applyNumberFormat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0" fontId="0" fillId="11" borderId="0" xfId="0" applyFill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"/>
  <sheetViews>
    <sheetView tabSelected="1" zoomScale="85" zoomScaleNormal="85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D38" sqref="D38"/>
    </sheetView>
  </sheetViews>
  <sheetFormatPr defaultRowHeight="16.5" x14ac:dyDescent="0.25"/>
  <cols>
    <col min="1" max="1" width="5.25" style="24" customWidth="1"/>
    <col min="2" max="2" width="9" style="24"/>
    <col min="3" max="3" width="7.875" style="24" customWidth="1"/>
    <col min="4" max="34" width="9" style="24"/>
    <col min="35" max="35" width="10" style="24" bestFit="1" customWidth="1"/>
    <col min="36" max="16384" width="9" style="24"/>
  </cols>
  <sheetData>
    <row r="1" spans="1:35" ht="22.5" customHeight="1" x14ac:dyDescent="0.25">
      <c r="A1" s="1"/>
      <c r="B1" s="26"/>
      <c r="C1" s="27"/>
    </row>
    <row r="2" spans="1:35" ht="9.75" customHeight="1" thickBot="1" x14ac:dyDescent="0.3">
      <c r="A2" s="1"/>
      <c r="B2" s="28"/>
      <c r="C2" s="27"/>
    </row>
    <row r="3" spans="1:35" x14ac:dyDescent="0.25">
      <c r="A3" s="22"/>
      <c r="B3" s="50" t="s">
        <v>0</v>
      </c>
      <c r="C3" s="51"/>
      <c r="AI3" s="35" t="s">
        <v>43</v>
      </c>
    </row>
    <row r="4" spans="1:35" ht="17.25" customHeight="1" thickBot="1" x14ac:dyDescent="0.3">
      <c r="A4" s="21"/>
      <c r="B4" s="52" t="s">
        <v>42</v>
      </c>
      <c r="C4" s="53"/>
      <c r="AI4" s="36">
        <f>SUM(AI5:AI9)</f>
        <v>0</v>
      </c>
    </row>
    <row r="5" spans="1:35" x14ac:dyDescent="0.25">
      <c r="A5" s="54" t="s">
        <v>1</v>
      </c>
      <c r="B5" s="57" t="s">
        <v>2</v>
      </c>
      <c r="C5" s="58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36">
        <f>SUM(D5:AH5)</f>
        <v>0</v>
      </c>
    </row>
    <row r="6" spans="1:35" x14ac:dyDescent="0.25">
      <c r="A6" s="55"/>
      <c r="B6" s="59" t="s">
        <v>3</v>
      </c>
      <c r="C6" s="60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36">
        <f t="shared" ref="AI6:AI9" si="0">SUM(D6:AH6)</f>
        <v>0</v>
      </c>
    </row>
    <row r="7" spans="1:35" x14ac:dyDescent="0.25">
      <c r="A7" s="55"/>
      <c r="B7" s="57" t="s">
        <v>4</v>
      </c>
      <c r="C7" s="58"/>
      <c r="D7" s="75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36">
        <f t="shared" si="0"/>
        <v>0</v>
      </c>
    </row>
    <row r="8" spans="1:35" x14ac:dyDescent="0.25">
      <c r="A8" s="55"/>
      <c r="B8" s="59" t="s">
        <v>5</v>
      </c>
      <c r="C8" s="60"/>
      <c r="D8" s="75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36">
        <f t="shared" si="0"/>
        <v>0</v>
      </c>
    </row>
    <row r="9" spans="1:35" ht="17.25" customHeight="1" thickBot="1" x14ac:dyDescent="0.3">
      <c r="A9" s="56"/>
      <c r="B9" s="61" t="s">
        <v>6</v>
      </c>
      <c r="C9" s="62"/>
      <c r="D9" s="75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36">
        <f t="shared" si="0"/>
        <v>0</v>
      </c>
    </row>
    <row r="10" spans="1:35" ht="3.75" customHeight="1" thickBot="1" x14ac:dyDescent="0.3">
      <c r="A10" s="2"/>
      <c r="B10" s="3"/>
      <c r="C10" s="3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5" ht="19.5" customHeight="1" thickBot="1" x14ac:dyDescent="0.3">
      <c r="A11" s="67" t="s">
        <v>7</v>
      </c>
      <c r="B11" s="23" t="s">
        <v>37</v>
      </c>
      <c r="C11" s="70" t="s">
        <v>40</v>
      </c>
      <c r="D11" s="77">
        <v>0</v>
      </c>
      <c r="E11" s="73">
        <f t="shared" ref="E11:AH11" si="1">D11-E19-E20+D6</f>
        <v>0</v>
      </c>
      <c r="F11" s="73">
        <f t="shared" si="1"/>
        <v>0</v>
      </c>
      <c r="G11" s="73">
        <f t="shared" si="1"/>
        <v>0</v>
      </c>
      <c r="H11" s="73">
        <f t="shared" si="1"/>
        <v>0</v>
      </c>
      <c r="I11" s="73">
        <f t="shared" si="1"/>
        <v>0</v>
      </c>
      <c r="J11" s="73">
        <f t="shared" si="1"/>
        <v>0</v>
      </c>
      <c r="K11" s="73">
        <f t="shared" si="1"/>
        <v>0</v>
      </c>
      <c r="L11" s="73">
        <f t="shared" si="1"/>
        <v>0</v>
      </c>
      <c r="M11" s="73">
        <f t="shared" si="1"/>
        <v>0</v>
      </c>
      <c r="N11" s="73">
        <f t="shared" si="1"/>
        <v>0</v>
      </c>
      <c r="O11" s="73">
        <f t="shared" si="1"/>
        <v>0</v>
      </c>
      <c r="P11" s="73">
        <f t="shared" si="1"/>
        <v>0</v>
      </c>
      <c r="Q11" s="73">
        <f t="shared" si="1"/>
        <v>0</v>
      </c>
      <c r="R11" s="73">
        <f t="shared" si="1"/>
        <v>0</v>
      </c>
      <c r="S11" s="73">
        <f t="shared" si="1"/>
        <v>0</v>
      </c>
      <c r="T11" s="73">
        <f t="shared" si="1"/>
        <v>0</v>
      </c>
      <c r="U11" s="73">
        <f t="shared" si="1"/>
        <v>0</v>
      </c>
      <c r="V11" s="73">
        <f t="shared" si="1"/>
        <v>0</v>
      </c>
      <c r="W11" s="73">
        <f t="shared" si="1"/>
        <v>0</v>
      </c>
      <c r="X11" s="73">
        <f t="shared" si="1"/>
        <v>0</v>
      </c>
      <c r="Y11" s="73">
        <f t="shared" si="1"/>
        <v>0</v>
      </c>
      <c r="Z11" s="73">
        <f t="shared" si="1"/>
        <v>0</v>
      </c>
      <c r="AA11" s="73">
        <f t="shared" si="1"/>
        <v>0</v>
      </c>
      <c r="AB11" s="73">
        <f t="shared" si="1"/>
        <v>0</v>
      </c>
      <c r="AC11" s="73">
        <f t="shared" si="1"/>
        <v>0</v>
      </c>
      <c r="AD11" s="73">
        <f t="shared" si="1"/>
        <v>0</v>
      </c>
      <c r="AE11" s="73">
        <f t="shared" si="1"/>
        <v>0</v>
      </c>
      <c r="AF11" s="73">
        <f t="shared" si="1"/>
        <v>0</v>
      </c>
      <c r="AG11" s="73">
        <f t="shared" si="1"/>
        <v>0</v>
      </c>
      <c r="AH11" s="73">
        <f t="shared" si="1"/>
        <v>0</v>
      </c>
    </row>
    <row r="12" spans="1:35" ht="16.5" customHeight="1" thickBot="1" x14ac:dyDescent="0.3">
      <c r="A12" s="67"/>
      <c r="B12" s="23" t="s">
        <v>8</v>
      </c>
      <c r="C12" s="71"/>
      <c r="D12" s="77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 spans="1:35" ht="17.25" thickBot="1" x14ac:dyDescent="0.3">
      <c r="A13" s="67"/>
      <c r="B13" s="23" t="s">
        <v>10</v>
      </c>
      <c r="C13" s="71"/>
      <c r="D13" s="77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5" ht="17.25" thickBot="1" x14ac:dyDescent="0.3">
      <c r="A14" s="67"/>
      <c r="B14" s="23" t="s">
        <v>11</v>
      </c>
      <c r="C14" s="71"/>
      <c r="D14" s="77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5" ht="17.25" thickBot="1" x14ac:dyDescent="0.3">
      <c r="A15" s="67"/>
      <c r="B15" s="23" t="s">
        <v>12</v>
      </c>
      <c r="C15" s="71"/>
      <c r="D15" s="77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spans="1:35" ht="17.25" thickBot="1" x14ac:dyDescent="0.3">
      <c r="A16" s="67"/>
      <c r="B16" s="23" t="s">
        <v>13</v>
      </c>
      <c r="C16" s="71"/>
      <c r="D16" s="77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1:35" ht="17.25" thickBot="1" x14ac:dyDescent="0.3">
      <c r="A17" s="67"/>
      <c r="B17" s="23" t="s">
        <v>14</v>
      </c>
      <c r="C17" s="71"/>
      <c r="D17" s="77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1:35" ht="17.25" thickBot="1" x14ac:dyDescent="0.3">
      <c r="A18" s="67"/>
      <c r="B18" s="23" t="s">
        <v>15</v>
      </c>
      <c r="C18" s="72"/>
      <c r="D18" s="77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1:35" x14ac:dyDescent="0.25">
      <c r="A19" s="68"/>
      <c r="B19" s="63" t="s">
        <v>16</v>
      </c>
      <c r="C19" s="64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5" ht="17.25" customHeight="1" thickBot="1" x14ac:dyDescent="0.3">
      <c r="A20" s="69"/>
      <c r="B20" s="65" t="s">
        <v>17</v>
      </c>
      <c r="C20" s="66"/>
      <c r="D20" s="29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6">
        <f t="shared" ref="AI20" si="2">SUM(D20:AH20)</f>
        <v>0</v>
      </c>
    </row>
    <row r="21" spans="1:35" x14ac:dyDescent="0.25">
      <c r="A21" s="4"/>
      <c r="B21" s="41" t="s">
        <v>18</v>
      </c>
      <c r="C21" s="42"/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5" x14ac:dyDescent="0.25">
      <c r="A22" s="5"/>
      <c r="B22" s="41" t="s">
        <v>19</v>
      </c>
      <c r="C22" s="42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5" ht="17.25" customHeight="1" thickBot="1" x14ac:dyDescent="0.3">
      <c r="A23" s="5"/>
      <c r="B23" s="41" t="s">
        <v>20</v>
      </c>
      <c r="C23" s="42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5" x14ac:dyDescent="0.25">
      <c r="A24" s="43" t="s">
        <v>21</v>
      </c>
      <c r="B24" s="6" t="s">
        <v>22</v>
      </c>
      <c r="C24" s="47" t="s">
        <v>9</v>
      </c>
      <c r="D24" s="78"/>
      <c r="E24" s="74">
        <f>D8-E30+D24</f>
        <v>0</v>
      </c>
      <c r="F24" s="74">
        <f t="shared" ref="F24:AH24" si="3">E8-F30+E24</f>
        <v>0</v>
      </c>
      <c r="G24" s="74">
        <f t="shared" si="3"/>
        <v>0</v>
      </c>
      <c r="H24" s="74">
        <f t="shared" si="3"/>
        <v>0</v>
      </c>
      <c r="I24" s="74">
        <f t="shared" si="3"/>
        <v>0</v>
      </c>
      <c r="J24" s="74">
        <f t="shared" si="3"/>
        <v>0</v>
      </c>
      <c r="K24" s="74">
        <f t="shared" si="3"/>
        <v>0</v>
      </c>
      <c r="L24" s="74">
        <f t="shared" si="3"/>
        <v>0</v>
      </c>
      <c r="M24" s="74">
        <f t="shared" si="3"/>
        <v>0</v>
      </c>
      <c r="N24" s="74">
        <f t="shared" si="3"/>
        <v>0</v>
      </c>
      <c r="O24" s="74">
        <f t="shared" si="3"/>
        <v>0</v>
      </c>
      <c r="P24" s="74">
        <f t="shared" si="3"/>
        <v>0</v>
      </c>
      <c r="Q24" s="74">
        <f t="shared" si="3"/>
        <v>0</v>
      </c>
      <c r="R24" s="74">
        <f t="shared" si="3"/>
        <v>0</v>
      </c>
      <c r="S24" s="74">
        <f t="shared" si="3"/>
        <v>0</v>
      </c>
      <c r="T24" s="74">
        <f t="shared" si="3"/>
        <v>0</v>
      </c>
      <c r="U24" s="74">
        <f t="shared" si="3"/>
        <v>0</v>
      </c>
      <c r="V24" s="74">
        <f t="shared" si="3"/>
        <v>0</v>
      </c>
      <c r="W24" s="74">
        <f t="shared" si="3"/>
        <v>0</v>
      </c>
      <c r="X24" s="74">
        <f t="shared" si="3"/>
        <v>0</v>
      </c>
      <c r="Y24" s="74">
        <f t="shared" si="3"/>
        <v>0</v>
      </c>
      <c r="Z24" s="74">
        <f t="shared" si="3"/>
        <v>0</v>
      </c>
      <c r="AA24" s="74">
        <f t="shared" si="3"/>
        <v>0</v>
      </c>
      <c r="AB24" s="74">
        <f t="shared" si="3"/>
        <v>0</v>
      </c>
      <c r="AC24" s="74">
        <f t="shared" si="3"/>
        <v>0</v>
      </c>
      <c r="AD24" s="74">
        <f t="shared" si="3"/>
        <v>0</v>
      </c>
      <c r="AE24" s="74">
        <f t="shared" si="3"/>
        <v>0</v>
      </c>
      <c r="AF24" s="74">
        <f t="shared" si="3"/>
        <v>0</v>
      </c>
      <c r="AG24" s="74">
        <f t="shared" si="3"/>
        <v>0</v>
      </c>
      <c r="AH24" s="74">
        <f t="shared" si="3"/>
        <v>0</v>
      </c>
    </row>
    <row r="25" spans="1:35" x14ac:dyDescent="0.25">
      <c r="A25" s="44"/>
      <c r="B25" s="7" t="s">
        <v>23</v>
      </c>
      <c r="C25" s="48"/>
      <c r="D25" s="78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</row>
    <row r="26" spans="1:35" x14ac:dyDescent="0.25">
      <c r="A26" s="44"/>
      <c r="B26" s="7" t="s">
        <v>38</v>
      </c>
      <c r="C26" s="48"/>
      <c r="D26" s="78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</row>
    <row r="27" spans="1:35" x14ac:dyDescent="0.25">
      <c r="A27" s="44"/>
      <c r="B27" s="7" t="s">
        <v>39</v>
      </c>
      <c r="C27" s="48" t="s">
        <v>41</v>
      </c>
      <c r="D27" s="78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</row>
    <row r="28" spans="1:35" x14ac:dyDescent="0.25">
      <c r="A28" s="44"/>
      <c r="B28" s="7" t="s">
        <v>24</v>
      </c>
      <c r="C28" s="48"/>
      <c r="D28" s="78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</row>
    <row r="29" spans="1:35" x14ac:dyDescent="0.25">
      <c r="A29" s="44"/>
      <c r="B29" s="7" t="s">
        <v>25</v>
      </c>
      <c r="C29" s="49"/>
      <c r="D29" s="78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</row>
    <row r="30" spans="1:35" x14ac:dyDescent="0.25">
      <c r="A30" s="44"/>
      <c r="B30" s="45" t="s">
        <v>26</v>
      </c>
      <c r="C30" s="46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6">
        <f t="shared" ref="AI30" si="4">SUM(D30:AH30)</f>
        <v>0</v>
      </c>
    </row>
    <row r="31" spans="1:35" ht="3" customHeight="1" thickBot="1" x14ac:dyDescent="0.3">
      <c r="A31" s="2"/>
      <c r="B31" s="2"/>
      <c r="C31" s="2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5" ht="45" customHeight="1" x14ac:dyDescent="0.25">
      <c r="A32" s="38" t="s">
        <v>27</v>
      </c>
      <c r="B32" s="8" t="s">
        <v>28</v>
      </c>
      <c r="C32" s="9"/>
      <c r="D32" s="75"/>
      <c r="E32" s="31">
        <f>D32+D5-E36</f>
        <v>0</v>
      </c>
      <c r="F32" s="31">
        <f t="shared" ref="F32:AH32" si="5">E32+E5-F36</f>
        <v>0</v>
      </c>
      <c r="G32" s="31">
        <f t="shared" si="5"/>
        <v>0</v>
      </c>
      <c r="H32" s="31">
        <f t="shared" si="5"/>
        <v>0</v>
      </c>
      <c r="I32" s="31">
        <f t="shared" si="5"/>
        <v>0</v>
      </c>
      <c r="J32" s="31">
        <f t="shared" si="5"/>
        <v>0</v>
      </c>
      <c r="K32" s="31">
        <f t="shared" si="5"/>
        <v>0</v>
      </c>
      <c r="L32" s="31">
        <f t="shared" si="5"/>
        <v>0</v>
      </c>
      <c r="M32" s="31">
        <f t="shared" si="5"/>
        <v>0</v>
      </c>
      <c r="N32" s="31">
        <f t="shared" si="5"/>
        <v>0</v>
      </c>
      <c r="O32" s="31">
        <f t="shared" si="5"/>
        <v>0</v>
      </c>
      <c r="P32" s="31">
        <f t="shared" si="5"/>
        <v>0</v>
      </c>
      <c r="Q32" s="31">
        <f t="shared" si="5"/>
        <v>0</v>
      </c>
      <c r="R32" s="31">
        <f t="shared" si="5"/>
        <v>0</v>
      </c>
      <c r="S32" s="31">
        <f t="shared" si="5"/>
        <v>0</v>
      </c>
      <c r="T32" s="31">
        <f t="shared" si="5"/>
        <v>0</v>
      </c>
      <c r="U32" s="31">
        <f t="shared" si="5"/>
        <v>0</v>
      </c>
      <c r="V32" s="31">
        <f t="shared" si="5"/>
        <v>0</v>
      </c>
      <c r="W32" s="31">
        <f t="shared" si="5"/>
        <v>0</v>
      </c>
      <c r="X32" s="31">
        <f t="shared" si="5"/>
        <v>0</v>
      </c>
      <c r="Y32" s="31">
        <f t="shared" si="5"/>
        <v>0</v>
      </c>
      <c r="Z32" s="31">
        <f t="shared" si="5"/>
        <v>0</v>
      </c>
      <c r="AA32" s="31">
        <f t="shared" si="5"/>
        <v>0</v>
      </c>
      <c r="AB32" s="31">
        <f t="shared" si="5"/>
        <v>0</v>
      </c>
      <c r="AC32" s="31">
        <f t="shared" si="5"/>
        <v>0</v>
      </c>
      <c r="AD32" s="31">
        <f t="shared" si="5"/>
        <v>0</v>
      </c>
      <c r="AE32" s="31">
        <f t="shared" si="5"/>
        <v>0</v>
      </c>
      <c r="AF32" s="31">
        <f t="shared" si="5"/>
        <v>0</v>
      </c>
      <c r="AG32" s="31">
        <f t="shared" si="5"/>
        <v>0</v>
      </c>
      <c r="AH32" s="31">
        <f t="shared" si="5"/>
        <v>0</v>
      </c>
    </row>
    <row r="33" spans="1:35" x14ac:dyDescent="0.25">
      <c r="A33" s="39"/>
      <c r="B33" s="10" t="s">
        <v>29</v>
      </c>
      <c r="C33" s="11"/>
      <c r="D33" s="75"/>
      <c r="E33" s="32">
        <f>D33+D7-E37</f>
        <v>0</v>
      </c>
      <c r="F33" s="32">
        <f t="shared" ref="F33:AH33" si="6">E33+E7-F37</f>
        <v>0</v>
      </c>
      <c r="G33" s="32">
        <f t="shared" si="6"/>
        <v>0</v>
      </c>
      <c r="H33" s="32">
        <f t="shared" si="6"/>
        <v>0</v>
      </c>
      <c r="I33" s="32">
        <f t="shared" si="6"/>
        <v>0</v>
      </c>
      <c r="J33" s="32">
        <f t="shared" si="6"/>
        <v>0</v>
      </c>
      <c r="K33" s="32">
        <f t="shared" si="6"/>
        <v>0</v>
      </c>
      <c r="L33" s="32">
        <f t="shared" si="6"/>
        <v>0</v>
      </c>
      <c r="M33" s="32">
        <f t="shared" si="6"/>
        <v>0</v>
      </c>
      <c r="N33" s="32">
        <f t="shared" si="6"/>
        <v>0</v>
      </c>
      <c r="O33" s="32">
        <f t="shared" si="6"/>
        <v>0</v>
      </c>
      <c r="P33" s="32">
        <f t="shared" si="6"/>
        <v>0</v>
      </c>
      <c r="Q33" s="32">
        <f t="shared" si="6"/>
        <v>0</v>
      </c>
      <c r="R33" s="32">
        <f t="shared" si="6"/>
        <v>0</v>
      </c>
      <c r="S33" s="32">
        <f t="shared" si="6"/>
        <v>0</v>
      </c>
      <c r="T33" s="32">
        <f t="shared" si="6"/>
        <v>0</v>
      </c>
      <c r="U33" s="32">
        <f t="shared" si="6"/>
        <v>0</v>
      </c>
      <c r="V33" s="32">
        <f t="shared" si="6"/>
        <v>0</v>
      </c>
      <c r="W33" s="32">
        <f t="shared" si="6"/>
        <v>0</v>
      </c>
      <c r="X33" s="32">
        <f t="shared" si="6"/>
        <v>0</v>
      </c>
      <c r="Y33" s="32">
        <f t="shared" si="6"/>
        <v>0</v>
      </c>
      <c r="Z33" s="32">
        <f t="shared" si="6"/>
        <v>0</v>
      </c>
      <c r="AA33" s="32">
        <f t="shared" si="6"/>
        <v>0</v>
      </c>
      <c r="AB33" s="32">
        <f t="shared" si="6"/>
        <v>0</v>
      </c>
      <c r="AC33" s="32">
        <f t="shared" si="6"/>
        <v>0</v>
      </c>
      <c r="AD33" s="32">
        <f t="shared" si="6"/>
        <v>0</v>
      </c>
      <c r="AE33" s="32">
        <f t="shared" si="6"/>
        <v>0</v>
      </c>
      <c r="AF33" s="32">
        <f t="shared" si="6"/>
        <v>0</v>
      </c>
      <c r="AG33" s="32">
        <f t="shared" si="6"/>
        <v>0</v>
      </c>
      <c r="AH33" s="32">
        <f t="shared" si="6"/>
        <v>0</v>
      </c>
    </row>
    <row r="34" spans="1:35" x14ac:dyDescent="0.25">
      <c r="A34" s="39"/>
      <c r="B34" s="12" t="s">
        <v>30</v>
      </c>
      <c r="C34" s="13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6">
        <f t="shared" ref="AI34:AI37" si="7">SUM(D34:AH34)</f>
        <v>0</v>
      </c>
    </row>
    <row r="35" spans="1:35" x14ac:dyDescent="0.25">
      <c r="A35" s="39"/>
      <c r="B35" s="12" t="s">
        <v>31</v>
      </c>
      <c r="C35" s="13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6">
        <f t="shared" si="7"/>
        <v>0</v>
      </c>
    </row>
    <row r="36" spans="1:35" x14ac:dyDescent="0.25">
      <c r="A36" s="39"/>
      <c r="B36" s="14" t="s">
        <v>32</v>
      </c>
      <c r="C36" s="15"/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6">
        <f t="shared" si="7"/>
        <v>0</v>
      </c>
    </row>
    <row r="37" spans="1:35" x14ac:dyDescent="0.25">
      <c r="A37" s="39"/>
      <c r="B37" s="14" t="s">
        <v>33</v>
      </c>
      <c r="C37" s="15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6">
        <f t="shared" si="7"/>
        <v>0</v>
      </c>
    </row>
    <row r="38" spans="1:35" x14ac:dyDescent="0.25">
      <c r="A38" s="39"/>
      <c r="B38" s="16" t="s">
        <v>34</v>
      </c>
      <c r="C38" s="17"/>
      <c r="D38" s="75"/>
      <c r="E38" s="33">
        <f>D38+D36+D37-E34-E35</f>
        <v>0</v>
      </c>
      <c r="F38" s="33">
        <f t="shared" ref="F38:AH38" si="8">E38+E36+E37-F34-F35</f>
        <v>0</v>
      </c>
      <c r="G38" s="33">
        <f t="shared" si="8"/>
        <v>0</v>
      </c>
      <c r="H38" s="33">
        <f t="shared" si="8"/>
        <v>0</v>
      </c>
      <c r="I38" s="33">
        <f t="shared" si="8"/>
        <v>0</v>
      </c>
      <c r="J38" s="33">
        <f t="shared" si="8"/>
        <v>0</v>
      </c>
      <c r="K38" s="33">
        <f t="shared" si="8"/>
        <v>0</v>
      </c>
      <c r="L38" s="33">
        <f t="shared" si="8"/>
        <v>0</v>
      </c>
      <c r="M38" s="33">
        <f t="shared" si="8"/>
        <v>0</v>
      </c>
      <c r="N38" s="33">
        <f t="shared" si="8"/>
        <v>0</v>
      </c>
      <c r="O38" s="33">
        <f t="shared" si="8"/>
        <v>0</v>
      </c>
      <c r="P38" s="33">
        <f t="shared" si="8"/>
        <v>0</v>
      </c>
      <c r="Q38" s="33">
        <f t="shared" si="8"/>
        <v>0</v>
      </c>
      <c r="R38" s="33">
        <f t="shared" si="8"/>
        <v>0</v>
      </c>
      <c r="S38" s="33">
        <f t="shared" si="8"/>
        <v>0</v>
      </c>
      <c r="T38" s="33">
        <f t="shared" si="8"/>
        <v>0</v>
      </c>
      <c r="U38" s="33">
        <f t="shared" si="8"/>
        <v>0</v>
      </c>
      <c r="V38" s="33">
        <f t="shared" si="8"/>
        <v>0</v>
      </c>
      <c r="W38" s="33">
        <f t="shared" si="8"/>
        <v>0</v>
      </c>
      <c r="X38" s="33">
        <f t="shared" si="8"/>
        <v>0</v>
      </c>
      <c r="Y38" s="33">
        <f t="shared" si="8"/>
        <v>0</v>
      </c>
      <c r="Z38" s="33">
        <f t="shared" si="8"/>
        <v>0</v>
      </c>
      <c r="AA38" s="33">
        <f t="shared" si="8"/>
        <v>0</v>
      </c>
      <c r="AB38" s="33">
        <f t="shared" si="8"/>
        <v>0</v>
      </c>
      <c r="AC38" s="33">
        <f t="shared" si="8"/>
        <v>0</v>
      </c>
      <c r="AD38" s="33">
        <f t="shared" si="8"/>
        <v>0</v>
      </c>
      <c r="AE38" s="33">
        <f t="shared" si="8"/>
        <v>0</v>
      </c>
      <c r="AF38" s="33">
        <f t="shared" si="8"/>
        <v>0</v>
      </c>
      <c r="AG38" s="33">
        <f t="shared" si="8"/>
        <v>0</v>
      </c>
      <c r="AH38" s="33">
        <f t="shared" si="8"/>
        <v>0</v>
      </c>
    </row>
    <row r="39" spans="1:35" ht="17.25" customHeight="1" thickBot="1" x14ac:dyDescent="0.3">
      <c r="A39" s="40"/>
      <c r="B39" s="18" t="s">
        <v>35</v>
      </c>
      <c r="C39" s="18"/>
      <c r="D39" s="37">
        <f t="shared" ref="D39" si="9">D33+D32+D38</f>
        <v>0</v>
      </c>
      <c r="E39" s="34">
        <f t="shared" ref="E39:AI39" si="10">E33+E32+E38</f>
        <v>0</v>
      </c>
      <c r="F39" s="34">
        <f t="shared" si="10"/>
        <v>0</v>
      </c>
      <c r="G39" s="34">
        <f t="shared" si="10"/>
        <v>0</v>
      </c>
      <c r="H39" s="34">
        <f t="shared" si="10"/>
        <v>0</v>
      </c>
      <c r="I39" s="34">
        <f t="shared" si="10"/>
        <v>0</v>
      </c>
      <c r="J39" s="34">
        <f t="shared" si="10"/>
        <v>0</v>
      </c>
      <c r="K39" s="34">
        <f t="shared" si="10"/>
        <v>0</v>
      </c>
      <c r="L39" s="34">
        <f t="shared" si="10"/>
        <v>0</v>
      </c>
      <c r="M39" s="34">
        <f t="shared" si="10"/>
        <v>0</v>
      </c>
      <c r="N39" s="34">
        <f t="shared" si="10"/>
        <v>0</v>
      </c>
      <c r="O39" s="34">
        <f t="shared" si="10"/>
        <v>0</v>
      </c>
      <c r="P39" s="34">
        <f t="shared" si="10"/>
        <v>0</v>
      </c>
      <c r="Q39" s="34">
        <f t="shared" si="10"/>
        <v>0</v>
      </c>
      <c r="R39" s="34">
        <f t="shared" si="10"/>
        <v>0</v>
      </c>
      <c r="S39" s="34">
        <f t="shared" si="10"/>
        <v>0</v>
      </c>
      <c r="T39" s="34">
        <f t="shared" si="10"/>
        <v>0</v>
      </c>
      <c r="U39" s="34">
        <f t="shared" si="10"/>
        <v>0</v>
      </c>
      <c r="V39" s="34">
        <f t="shared" si="10"/>
        <v>0</v>
      </c>
      <c r="W39" s="34">
        <f t="shared" si="10"/>
        <v>0</v>
      </c>
      <c r="X39" s="34">
        <f t="shared" si="10"/>
        <v>0</v>
      </c>
      <c r="Y39" s="34">
        <f t="shared" si="10"/>
        <v>0</v>
      </c>
      <c r="Z39" s="34">
        <f t="shared" si="10"/>
        <v>0</v>
      </c>
      <c r="AA39" s="34">
        <f t="shared" si="10"/>
        <v>0</v>
      </c>
      <c r="AB39" s="34">
        <f t="shared" si="10"/>
        <v>0</v>
      </c>
      <c r="AC39" s="34">
        <f t="shared" si="10"/>
        <v>0</v>
      </c>
      <c r="AD39" s="34">
        <f t="shared" si="10"/>
        <v>0</v>
      </c>
      <c r="AE39" s="34">
        <f t="shared" si="10"/>
        <v>0</v>
      </c>
      <c r="AF39" s="34">
        <f t="shared" si="10"/>
        <v>0</v>
      </c>
      <c r="AG39" s="34">
        <f t="shared" si="10"/>
        <v>0</v>
      </c>
      <c r="AH39" s="34">
        <f t="shared" si="10"/>
        <v>0</v>
      </c>
      <c r="AI39" s="37">
        <f t="shared" si="10"/>
        <v>0</v>
      </c>
    </row>
    <row r="40" spans="1:35" x14ac:dyDescent="0.25">
      <c r="A40" s="19"/>
      <c r="B40" s="20" t="s">
        <v>36</v>
      </c>
      <c r="C40" s="18"/>
      <c r="D40" s="33">
        <f t="shared" ref="D40:AH40" si="11">D11+D24</f>
        <v>0</v>
      </c>
      <c r="E40" s="33">
        <f t="shared" si="11"/>
        <v>0</v>
      </c>
      <c r="F40" s="33">
        <f t="shared" si="11"/>
        <v>0</v>
      </c>
      <c r="G40" s="33">
        <f t="shared" si="11"/>
        <v>0</v>
      </c>
      <c r="H40" s="33">
        <f t="shared" si="11"/>
        <v>0</v>
      </c>
      <c r="I40" s="33">
        <f t="shared" si="11"/>
        <v>0</v>
      </c>
      <c r="J40" s="33">
        <f t="shared" si="11"/>
        <v>0</v>
      </c>
      <c r="K40" s="33">
        <f t="shared" si="11"/>
        <v>0</v>
      </c>
      <c r="L40" s="33">
        <f t="shared" si="11"/>
        <v>0</v>
      </c>
      <c r="M40" s="33">
        <f t="shared" si="11"/>
        <v>0</v>
      </c>
      <c r="N40" s="33">
        <f t="shared" si="11"/>
        <v>0</v>
      </c>
      <c r="O40" s="33">
        <f t="shared" si="11"/>
        <v>0</v>
      </c>
      <c r="P40" s="33">
        <f t="shared" si="11"/>
        <v>0</v>
      </c>
      <c r="Q40" s="33">
        <f t="shared" si="11"/>
        <v>0</v>
      </c>
      <c r="R40" s="33">
        <f t="shared" si="11"/>
        <v>0</v>
      </c>
      <c r="S40" s="33">
        <f t="shared" si="11"/>
        <v>0</v>
      </c>
      <c r="T40" s="33">
        <f t="shared" si="11"/>
        <v>0</v>
      </c>
      <c r="U40" s="33">
        <f t="shared" si="11"/>
        <v>0</v>
      </c>
      <c r="V40" s="33">
        <f t="shared" si="11"/>
        <v>0</v>
      </c>
      <c r="W40" s="33">
        <f t="shared" si="11"/>
        <v>0</v>
      </c>
      <c r="X40" s="33">
        <f t="shared" si="11"/>
        <v>0</v>
      </c>
      <c r="Y40" s="33">
        <f t="shared" si="11"/>
        <v>0</v>
      </c>
      <c r="Z40" s="33">
        <f t="shared" si="11"/>
        <v>0</v>
      </c>
      <c r="AA40" s="33">
        <f t="shared" si="11"/>
        <v>0</v>
      </c>
      <c r="AB40" s="33">
        <f t="shared" si="11"/>
        <v>0</v>
      </c>
      <c r="AC40" s="33">
        <f t="shared" si="11"/>
        <v>0</v>
      </c>
      <c r="AD40" s="33">
        <f t="shared" si="11"/>
        <v>0</v>
      </c>
      <c r="AE40" s="33">
        <f t="shared" si="11"/>
        <v>0</v>
      </c>
      <c r="AF40" s="33">
        <f t="shared" si="11"/>
        <v>0</v>
      </c>
      <c r="AG40" s="33">
        <f t="shared" si="11"/>
        <v>0</v>
      </c>
      <c r="AH40" s="33">
        <f t="shared" si="11"/>
        <v>0</v>
      </c>
    </row>
  </sheetData>
  <sheetProtection formatCells="0" formatColumns="0" formatRows="0" insertColumns="0" insertRows="0" insertHyperlinks="0" deleteColumns="0" deleteRows="0" sort="0" autoFilter="0" pivotTables="0"/>
  <mergeCells count="82">
    <mergeCell ref="AH24:AH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D24:D29"/>
    <mergeCell ref="E24:E29"/>
    <mergeCell ref="F24:F29"/>
    <mergeCell ref="G24:G29"/>
    <mergeCell ref="H24:H29"/>
    <mergeCell ref="I24:I29"/>
    <mergeCell ref="J24:J29"/>
    <mergeCell ref="K24:K29"/>
    <mergeCell ref="L24:L29"/>
    <mergeCell ref="M24:M29"/>
    <mergeCell ref="AH11:AH18"/>
    <mergeCell ref="AC11:AC18"/>
    <mergeCell ref="AD11:AD18"/>
    <mergeCell ref="AE11:AE18"/>
    <mergeCell ref="AF11:AF18"/>
    <mergeCell ref="AG11:AG18"/>
    <mergeCell ref="S11:S18"/>
    <mergeCell ref="T11:T18"/>
    <mergeCell ref="U11:U18"/>
    <mergeCell ref="V11:V18"/>
    <mergeCell ref="W11:W18"/>
    <mergeCell ref="X11:X18"/>
    <mergeCell ref="Y11:Y18"/>
    <mergeCell ref="Z11:Z18"/>
    <mergeCell ref="AA11:AA18"/>
    <mergeCell ref="AB11:AB18"/>
    <mergeCell ref="O11:O18"/>
    <mergeCell ref="P11:P18"/>
    <mergeCell ref="Q11:Q18"/>
    <mergeCell ref="R11:R18"/>
    <mergeCell ref="I11:I18"/>
    <mergeCell ref="J11:J18"/>
    <mergeCell ref="K11:K18"/>
    <mergeCell ref="L11:L18"/>
    <mergeCell ref="M11:M18"/>
    <mergeCell ref="B19:C19"/>
    <mergeCell ref="B20:C20"/>
    <mergeCell ref="A11:A20"/>
    <mergeCell ref="C11:C18"/>
    <mergeCell ref="N11:N18"/>
    <mergeCell ref="D11:D18"/>
    <mergeCell ref="E11:E18"/>
    <mergeCell ref="F11:F18"/>
    <mergeCell ref="G11:G18"/>
    <mergeCell ref="H11:H18"/>
    <mergeCell ref="B3:C3"/>
    <mergeCell ref="B4:C4"/>
    <mergeCell ref="A5:A9"/>
    <mergeCell ref="B5:C5"/>
    <mergeCell ref="B6:C6"/>
    <mergeCell ref="B7:C7"/>
    <mergeCell ref="B8:C8"/>
    <mergeCell ref="B9:C9"/>
    <mergeCell ref="A32:A39"/>
    <mergeCell ref="B21:C21"/>
    <mergeCell ref="B22:C22"/>
    <mergeCell ref="B23:C23"/>
    <mergeCell ref="A24:A30"/>
    <mergeCell ref="B30:C30"/>
    <mergeCell ref="C24:C26"/>
    <mergeCell ref="C27:C29"/>
  </mergeCells>
  <phoneticPr fontId="10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dcterms:created xsi:type="dcterms:W3CDTF">2020-06-04T05:09:14Z</dcterms:created>
  <dcterms:modified xsi:type="dcterms:W3CDTF">2020-07-21T05:15:23Z</dcterms:modified>
  <cp:category/>
</cp:coreProperties>
</file>