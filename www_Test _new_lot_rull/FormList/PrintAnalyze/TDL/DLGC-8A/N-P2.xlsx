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GC-8A\"/>
    </mc:Choice>
  </mc:AlternateContent>
  <bookViews>
    <workbookView xWindow="0" yWindow="0" windowWidth="19200" windowHeight="11550"/>
  </bookViews>
  <sheets>
    <sheet name="20170310 CONC 計算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D26" i="1" s="1"/>
  <c r="C24" i="1"/>
  <c r="C26" i="1" s="1"/>
  <c r="C25" i="1" s="1"/>
  <c r="D23" i="1"/>
  <c r="D30" i="1" s="1"/>
  <c r="D31" i="1" s="1"/>
  <c r="C23" i="1"/>
  <c r="C30" i="1" s="1"/>
  <c r="C31" i="1" s="1"/>
  <c r="D22" i="1"/>
  <c r="D25" i="1" s="1"/>
  <c r="C22" i="1"/>
  <c r="L12" i="1"/>
  <c r="K12" i="1"/>
  <c r="L11" i="1"/>
  <c r="K11" i="1"/>
</calcChain>
</file>

<file path=xl/sharedStrings.xml><?xml version="1.0" encoding="utf-8"?>
<sst xmlns="http://schemas.openxmlformats.org/spreadsheetml/2006/main" count="46" uniqueCount="43">
  <si>
    <t>GC detecter limite (acetone,N-pa)</t>
  </si>
  <si>
    <r>
      <rPr>
        <sz val="11"/>
        <color rgb="FF000000"/>
        <rFont val="Calibri"/>
        <family val="2"/>
      </rPr>
      <t xml:space="preserve"> </t>
    </r>
    <r>
      <rPr>
        <sz val="12"/>
        <color rgb="FF000000"/>
        <rFont val="Times New Roman"/>
        <family val="1"/>
      </rPr>
      <t>確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Times New Roman"/>
        <family val="1"/>
      </rPr>
      <t>認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Times New Roman"/>
        <family val="1"/>
      </rPr>
      <t>者</t>
    </r>
  </si>
  <si>
    <t>分析高專(主任)</t>
  </si>
  <si>
    <t>分析主管</t>
  </si>
  <si>
    <t xml:space="preserve">sample+4ppm </t>
  </si>
  <si>
    <t>注入量同前0.24ul</t>
  </si>
  <si>
    <t>CONC</t>
  </si>
  <si>
    <t>Acetone</t>
  </si>
  <si>
    <t>NPA</t>
  </si>
  <si>
    <t>分析師</t>
  </si>
  <si>
    <t>sample+4ppm-1</t>
  </si>
  <si>
    <t>sample+4ppm-2</t>
  </si>
  <si>
    <t>sample+4ppm-3</t>
  </si>
  <si>
    <t>sample+4ppm-4</t>
  </si>
  <si>
    <t>sample+4ppm</t>
  </si>
  <si>
    <t>sample+8ppm</t>
  </si>
  <si>
    <t>8-4(4ppm)(conc)</t>
  </si>
  <si>
    <t>12-8(4ppm)(conc)</t>
  </si>
  <si>
    <t>12-4(8ppm)(conc)</t>
  </si>
  <si>
    <t>sample+4ppm-5</t>
  </si>
  <si>
    <t>act</t>
  </si>
  <si>
    <t>sample+4ppm-6</t>
  </si>
  <si>
    <t>sample+4ppm-7</t>
  </si>
  <si>
    <t>sample+4ppm-8</t>
  </si>
  <si>
    <t>sample+4ppm-9</t>
  </si>
  <si>
    <t>sample+4ppm-10</t>
  </si>
  <si>
    <t>STD EV</t>
  </si>
  <si>
    <t>AVE</t>
  </si>
  <si>
    <t>8-4(4ppm)(area)</t>
  </si>
  <si>
    <t>DL</t>
  </si>
  <si>
    <t>1ppm</t>
  </si>
  <si>
    <t>Unit</t>
  </si>
  <si>
    <t>ppm</t>
  </si>
  <si>
    <t>AVE (ppm)</t>
  </si>
  <si>
    <t>sample (ppm)</t>
  </si>
  <si>
    <t>一. STD配置:</t>
  </si>
  <si>
    <t>1.STD(NPA:8040PPM+Acetone:7910PPM):取1ml(100%NPA Acetone) add 100%IPA 定量至100ml</t>
  </si>
  <si>
    <t>2.STD(NPA:80.4PPM+Acetone:79.1PPM):取 1.STD 1ml add 100%IPA 定量至100ml</t>
  </si>
  <si>
    <t>二.DL分析</t>
  </si>
  <si>
    <t>a.SAMPLE+4PPM:取 2.STD 5ml add 100%IPA 定量至100ml</t>
  </si>
  <si>
    <t>b.SAMPLE+4ppm:取 2.STD 10ml add 100%IPA 定量至100ml</t>
  </si>
  <si>
    <t>c.8-4(4PPM)(Area):(sample+4ppm)-(sample+4ppm 10次Avg)</t>
  </si>
  <si>
    <t>d.100%IPA分析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</si>
</sst>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 "/>
    <numFmt numFmtId="177" formatCode="0.0_ "/>
    <numFmt numFmtId="178" formatCode="0.0"/>
  </numFmts>
  <fonts count="17" x14ac:knownFonts="1">
    <font>
      <sz val="12"/>
      <color rgb="FF000000"/>
      <name val="新細明體"/>
      <family val="1"/>
      <charset val="136"/>
    </font>
    <font>
      <b/>
      <u/>
      <sz val="15"/>
      <color rgb="FF000000"/>
      <name val="Times New Roman"/>
      <family val="1"/>
    </font>
    <font>
      <sz val="9"/>
      <name val="新細明體"/>
      <family val="1"/>
      <charset val="136"/>
    </font>
    <font>
      <b/>
      <u/>
      <sz val="15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8"/>
      <color rgb="FF000000"/>
      <name val="細明體"/>
      <family val="3"/>
      <charset val="136"/>
    </font>
    <font>
      <sz val="12"/>
      <color rgb="FFFF0000"/>
      <name val="新細明體"/>
      <family val="1"/>
      <charset val="136"/>
    </font>
    <font>
      <b/>
      <sz val="14"/>
      <color rgb="FF000000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b/>
      <sz val="10"/>
      <color rgb="FF000000"/>
      <name val="Times New Roman"/>
      <family val="1"/>
    </font>
    <font>
      <b/>
      <u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新細明體"/>
      <family val="1"/>
      <charset val="136"/>
    </font>
    <font>
      <b/>
      <sz val="12"/>
      <color rgb="FF000000"/>
      <name val="Times New Roman"/>
      <family val="1"/>
    </font>
    <font>
      <sz val="12"/>
      <color rgb="FFFF00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" xfId="0" applyBorder="1"/>
    <xf numFmtId="0" fontId="12" fillId="0" borderId="1" xfId="0" applyFont="1" applyBorder="1" applyAlignment="1">
      <alignment horizontal="center"/>
    </xf>
    <xf numFmtId="176" fontId="9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2" borderId="2" xfId="0" applyFont="1" applyFill="1" applyBorder="1" applyAlignment="1">
      <alignment horizontal="center" wrapText="1"/>
    </xf>
    <xf numFmtId="177" fontId="9" fillId="0" borderId="1" xfId="0" applyNumberFormat="1" applyFont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/>
    </xf>
    <xf numFmtId="177" fontId="9" fillId="2" borderId="1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center" wrapText="1"/>
    </xf>
    <xf numFmtId="177" fontId="9" fillId="0" borderId="0" xfId="0" applyNumberFormat="1" applyFont="1" applyFill="1" applyAlignment="1">
      <alignment horizontal="center"/>
    </xf>
    <xf numFmtId="0" fontId="13" fillId="0" borderId="1" xfId="0" applyFont="1" applyBorder="1" applyAlignment="1">
      <alignment horizontal="center"/>
    </xf>
    <xf numFmtId="177" fontId="14" fillId="0" borderId="1" xfId="0" applyNumberFormat="1" applyFont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178" fontId="0" fillId="0" borderId="1" xfId="0" applyNumberFormat="1" applyBorder="1" applyAlignment="1">
      <alignment horizontal="center"/>
    </xf>
    <xf numFmtId="178" fontId="0" fillId="0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A2" sqref="A2"/>
    </sheetView>
  </sheetViews>
  <sheetFormatPr defaultRowHeight="16.5" x14ac:dyDescent="0.25"/>
  <cols>
    <col min="1" max="1" width="10.625" customWidth="1"/>
    <col min="2" max="2" width="18.125" customWidth="1"/>
    <col min="3" max="3" width="22.125" bestFit="1" customWidth="1"/>
    <col min="4" max="4" width="19" bestFit="1" customWidth="1"/>
    <col min="5" max="5" width="14.625" customWidth="1"/>
    <col min="6" max="6" width="16.125" customWidth="1"/>
    <col min="7" max="7" width="11.625" customWidth="1"/>
    <col min="8" max="9" width="8.125" customWidth="1"/>
    <col min="10" max="10" width="10.125" customWidth="1"/>
    <col min="11" max="12" width="10.125" hidden="1" customWidth="1"/>
  </cols>
  <sheetData>
    <row r="1" spans="1:12" ht="20.25" customHeight="1" x14ac:dyDescent="0.3">
      <c r="A1" s="1" t="s">
        <v>0</v>
      </c>
      <c r="B1" s="2"/>
      <c r="C1" s="2"/>
      <c r="D1" s="2"/>
      <c r="F1" s="3" t="s">
        <v>1</v>
      </c>
      <c r="G1" s="4" t="s">
        <v>2</v>
      </c>
      <c r="H1" s="5" t="s">
        <v>3</v>
      </c>
    </row>
    <row r="2" spans="1:12" ht="20.25" customHeight="1" x14ac:dyDescent="0.3">
      <c r="A2" s="1"/>
      <c r="B2" s="2"/>
      <c r="C2" s="2"/>
      <c r="D2" s="2"/>
      <c r="F2" s="6"/>
      <c r="G2" s="6"/>
      <c r="H2" s="7"/>
    </row>
    <row r="3" spans="1:12" ht="19.5" customHeight="1" x14ac:dyDescent="0.3">
      <c r="A3" s="8"/>
      <c r="B3" s="8"/>
      <c r="C3" s="9"/>
      <c r="F3" s="10"/>
      <c r="G3" s="10"/>
      <c r="H3" s="11"/>
    </row>
    <row r="4" spans="1:12" ht="19.5" customHeight="1" x14ac:dyDescent="0.3">
      <c r="A4" s="8"/>
      <c r="B4" s="8"/>
      <c r="C4" s="9" t="s">
        <v>4</v>
      </c>
      <c r="F4" s="12"/>
      <c r="G4" s="12"/>
      <c r="H4" s="12"/>
    </row>
    <row r="5" spans="1:12" ht="19.5" customHeight="1" x14ac:dyDescent="0.3">
      <c r="A5" s="8"/>
      <c r="B5" s="8"/>
      <c r="C5" s="9" t="s">
        <v>5</v>
      </c>
      <c r="F5" s="13"/>
      <c r="G5" s="13"/>
      <c r="H5" s="13"/>
    </row>
    <row r="6" spans="1:12" ht="18.75" customHeight="1" x14ac:dyDescent="0.3">
      <c r="B6" s="14" t="s">
        <v>6</v>
      </c>
      <c r="C6" s="15" t="s">
        <v>7</v>
      </c>
      <c r="D6" s="15" t="s">
        <v>8</v>
      </c>
      <c r="E6" s="16" t="s">
        <v>9</v>
      </c>
    </row>
    <row r="7" spans="1:12" x14ac:dyDescent="0.25">
      <c r="B7" s="17" t="s">
        <v>10</v>
      </c>
      <c r="C7" s="18"/>
      <c r="D7" s="18"/>
      <c r="E7" s="16"/>
    </row>
    <row r="8" spans="1:12" x14ac:dyDescent="0.25">
      <c r="B8" s="17" t="s">
        <v>11</v>
      </c>
      <c r="C8" s="18"/>
      <c r="D8" s="18"/>
      <c r="E8" s="16"/>
      <c r="F8" s="19"/>
      <c r="G8" s="19"/>
    </row>
    <row r="9" spans="1:12" x14ac:dyDescent="0.25">
      <c r="B9" s="17" t="s">
        <v>12</v>
      </c>
      <c r="C9" s="18"/>
      <c r="D9" s="18"/>
      <c r="E9" s="16"/>
    </row>
    <row r="10" spans="1:12" ht="43.5" customHeight="1" x14ac:dyDescent="0.25">
      <c r="B10" s="17" t="s">
        <v>13</v>
      </c>
      <c r="C10" s="18"/>
      <c r="D10" s="18"/>
      <c r="E10" s="16"/>
      <c r="H10" s="20" t="s">
        <v>14</v>
      </c>
      <c r="I10" s="20" t="s">
        <v>15</v>
      </c>
      <c r="J10" s="21" t="s">
        <v>16</v>
      </c>
      <c r="K10" s="21" t="s">
        <v>17</v>
      </c>
      <c r="L10" s="21" t="s">
        <v>18</v>
      </c>
    </row>
    <row r="11" spans="1:12" x14ac:dyDescent="0.25">
      <c r="B11" s="17" t="s">
        <v>19</v>
      </c>
      <c r="C11" s="18"/>
      <c r="D11" s="18"/>
      <c r="E11" s="16"/>
      <c r="G11" s="16" t="s">
        <v>20</v>
      </c>
      <c r="H11" s="16"/>
      <c r="I11" s="16"/>
      <c r="J11" s="16"/>
      <c r="K11" s="16" t="e">
        <f>#REF!-I11</f>
        <v>#REF!</v>
      </c>
      <c r="L11" s="16" t="e">
        <f>#REF!-H11</f>
        <v>#REF!</v>
      </c>
    </row>
    <row r="12" spans="1:12" x14ac:dyDescent="0.25">
      <c r="B12" s="17" t="s">
        <v>21</v>
      </c>
      <c r="C12" s="18"/>
      <c r="D12" s="18"/>
      <c r="E12" s="16"/>
      <c r="G12" s="16" t="s">
        <v>8</v>
      </c>
      <c r="H12" s="16"/>
      <c r="I12" s="16"/>
      <c r="J12" s="16"/>
      <c r="K12" s="16" t="e">
        <f>#REF!-I12</f>
        <v>#REF!</v>
      </c>
      <c r="L12" s="16" t="e">
        <f>#REF!-H12</f>
        <v>#REF!</v>
      </c>
    </row>
    <row r="13" spans="1:12" x14ac:dyDescent="0.25">
      <c r="B13" s="17" t="s">
        <v>22</v>
      </c>
      <c r="C13" s="18"/>
      <c r="D13" s="18"/>
      <c r="E13" s="16"/>
    </row>
    <row r="14" spans="1:12" x14ac:dyDescent="0.25">
      <c r="B14" s="17" t="s">
        <v>23</v>
      </c>
      <c r="C14" s="18"/>
      <c r="D14" s="18"/>
      <c r="E14" s="16"/>
    </row>
    <row r="15" spans="1:12" x14ac:dyDescent="0.25">
      <c r="B15" s="17" t="s">
        <v>24</v>
      </c>
      <c r="C15" s="18"/>
      <c r="D15" s="18"/>
      <c r="E15" s="16"/>
    </row>
    <row r="16" spans="1:12" x14ac:dyDescent="0.25">
      <c r="B16" s="17" t="s">
        <v>25</v>
      </c>
      <c r="C16" s="18"/>
      <c r="D16" s="18"/>
      <c r="E16" s="16"/>
    </row>
    <row r="17" spans="2:8" x14ac:dyDescent="0.25">
      <c r="B17" s="17"/>
      <c r="C17" s="18"/>
      <c r="D17" s="18"/>
    </row>
    <row r="18" spans="2:8" x14ac:dyDescent="0.25">
      <c r="B18" s="17"/>
      <c r="C18" s="18"/>
      <c r="D18" s="18"/>
    </row>
    <row r="19" spans="2:8" x14ac:dyDescent="0.25">
      <c r="B19" s="17"/>
      <c r="C19" s="18"/>
      <c r="D19" s="18"/>
    </row>
    <row r="20" spans="2:8" x14ac:dyDescent="0.25">
      <c r="B20" s="17"/>
      <c r="C20" s="18"/>
      <c r="D20" s="18"/>
    </row>
    <row r="21" spans="2:8" x14ac:dyDescent="0.25">
      <c r="B21" s="17"/>
      <c r="C21" s="18"/>
      <c r="D21" s="18"/>
    </row>
    <row r="22" spans="2:8" x14ac:dyDescent="0.25">
      <c r="B22" s="17" t="s">
        <v>26</v>
      </c>
      <c r="C22" s="22" t="e">
        <f>STDEV(C7:C16)</f>
        <v>#DIV/0!</v>
      </c>
      <c r="D22" s="22" t="e">
        <f>STDEV(D7:D16)</f>
        <v>#DIV/0!</v>
      </c>
    </row>
    <row r="23" spans="2:8" ht="18.75" customHeight="1" x14ac:dyDescent="0.3">
      <c r="B23" s="17" t="s">
        <v>27</v>
      </c>
      <c r="C23" s="22" t="e">
        <f>AVERAGE(C7:C16)</f>
        <v>#DIV/0!</v>
      </c>
      <c r="D23" s="22" t="e">
        <f>AVERAGE(D7:D16)</f>
        <v>#DIV/0!</v>
      </c>
      <c r="F23" s="23"/>
      <c r="G23" s="24"/>
      <c r="H23" s="24"/>
    </row>
    <row r="24" spans="2:8" ht="21" customHeight="1" x14ac:dyDescent="0.25">
      <c r="B24" s="25" t="s">
        <v>28</v>
      </c>
      <c r="C24" s="26">
        <f>J11</f>
        <v>0</v>
      </c>
      <c r="D24" s="26">
        <f>J12</f>
        <v>0</v>
      </c>
      <c r="F24" s="27"/>
      <c r="G24" s="28"/>
      <c r="H24" s="28"/>
    </row>
    <row r="25" spans="2:8" x14ac:dyDescent="0.25">
      <c r="B25" s="29" t="s">
        <v>29</v>
      </c>
      <c r="C25" s="30" t="e">
        <f>C22/C26*3</f>
        <v>#DIV/0!</v>
      </c>
      <c r="D25" s="30" t="e">
        <f>D22/D26*3</f>
        <v>#DIV/0!</v>
      </c>
      <c r="F25" s="31"/>
      <c r="G25" s="28"/>
      <c r="H25" s="28"/>
    </row>
    <row r="26" spans="2:8" x14ac:dyDescent="0.25">
      <c r="B26" s="17" t="s">
        <v>30</v>
      </c>
      <c r="C26" s="22">
        <f>C24/4</f>
        <v>0</v>
      </c>
      <c r="D26" s="22">
        <f>D24/4</f>
        <v>0</v>
      </c>
      <c r="F26" s="31"/>
      <c r="G26" s="28"/>
      <c r="H26" s="28"/>
    </row>
    <row r="27" spans="2:8" x14ac:dyDescent="0.25">
      <c r="B27" s="17" t="s">
        <v>31</v>
      </c>
      <c r="C27" s="32" t="s">
        <v>32</v>
      </c>
      <c r="D27" s="32" t="s">
        <v>32</v>
      </c>
      <c r="F27" s="31"/>
      <c r="G27" s="33"/>
      <c r="H27" s="33"/>
    </row>
    <row r="28" spans="2:8" x14ac:dyDescent="0.25">
      <c r="B28" s="34"/>
      <c r="C28" s="35"/>
      <c r="D28" s="35"/>
      <c r="F28" s="31"/>
      <c r="G28" s="33"/>
      <c r="H28" s="33"/>
    </row>
    <row r="29" spans="2:8" x14ac:dyDescent="0.25">
      <c r="B29" s="36"/>
      <c r="C29" s="17" t="s">
        <v>14</v>
      </c>
      <c r="D29" s="37"/>
      <c r="F29" s="38"/>
      <c r="G29" s="31"/>
      <c r="H29" s="39"/>
    </row>
    <row r="30" spans="2:8" x14ac:dyDescent="0.25">
      <c r="B30" s="17" t="s">
        <v>33</v>
      </c>
      <c r="C30" s="40" t="e">
        <f>$C23/C26</f>
        <v>#DIV/0!</v>
      </c>
      <c r="D30" s="40" t="e">
        <f>$D23/D26</f>
        <v>#DIV/0!</v>
      </c>
      <c r="F30" s="31"/>
      <c r="G30" s="41"/>
      <c r="H30" s="41"/>
    </row>
    <row r="31" spans="2:8" ht="15.75" customHeight="1" x14ac:dyDescent="0.25">
      <c r="B31" s="42" t="s">
        <v>34</v>
      </c>
      <c r="C31" s="40" t="e">
        <f>C30-4</f>
        <v>#DIV/0!</v>
      </c>
      <c r="D31" s="40" t="e">
        <f>D30-4</f>
        <v>#DIV/0!</v>
      </c>
      <c r="F31" s="38"/>
      <c r="G31" s="41"/>
      <c r="H31" s="41"/>
    </row>
    <row r="37" spans="2:2" x14ac:dyDescent="0.25">
      <c r="B37" t="s">
        <v>35</v>
      </c>
    </row>
    <row r="38" spans="2:2" x14ac:dyDescent="0.25">
      <c r="B38" t="s">
        <v>36</v>
      </c>
    </row>
    <row r="40" spans="2:2" x14ac:dyDescent="0.25">
      <c r="B40" t="s">
        <v>37</v>
      </c>
    </row>
    <row r="42" spans="2:2" x14ac:dyDescent="0.25">
      <c r="B42" t="s">
        <v>38</v>
      </c>
    </row>
    <row r="43" spans="2:2" x14ac:dyDescent="0.25">
      <c r="B43" t="s">
        <v>39</v>
      </c>
    </row>
    <row r="45" spans="2:2" x14ac:dyDescent="0.25">
      <c r="B45" t="s">
        <v>40</v>
      </c>
    </row>
    <row r="47" spans="2:2" x14ac:dyDescent="0.25">
      <c r="B47" t="s">
        <v>41</v>
      </c>
    </row>
    <row r="49" spans="2:2" x14ac:dyDescent="0.25">
      <c r="B49" t="s">
        <v>42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0866141732283472" right="0.70866141732283472" top="0.74803149606299213" bottom="0.74803149606299213" header="0.31496062992125978" footer="0.31496062992125978"/>
  <pageSetup paperSize="9" scale="64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20170310 CONC 計算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2017-03-10T06:24:11Z</dcterms:created>
  <dcterms:modified xsi:type="dcterms:W3CDTF">2017-03-10T06:24:22Z</dcterms:modified>
</cp:coreProperties>
</file>